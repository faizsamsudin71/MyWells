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840"/>
  </bookViews>
  <sheets>
    <sheet name="MyWells Drilling Comp" sheetId="1" r:id="rId1"/>
    <sheet name="Data Upload-prod" sheetId="2" r:id="rId2"/>
  </sheets>
  <definedNames>
    <definedName name="_xlnm._FilterDatabase" localSheetId="0" hidden="1">'MyWells Drilling Comp'!$A$1:$BY$996</definedName>
    <definedName name="_xlnm._FilterDatabase" localSheetId="1" hidden="1">'Data Upload-prod'!$A$1:$AA$1813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<sst xmlns="http://schemas.openxmlformats.org/spreadsheetml/2006/main" count="76188" uniqueCount="9770">
  <si>
    <t>NOOP Document Date</t>
  </si>
  <si>
    <t>FWR Document Date</t>
  </si>
  <si>
    <t>PAC Name</t>
  </si>
  <si>
    <t>Region Name</t>
  </si>
  <si>
    <t>Field Name</t>
  </si>
  <si>
    <t>Well Name</t>
  </si>
  <si>
    <t>Well Type</t>
  </si>
  <si>
    <t>Rig Name</t>
  </si>
  <si>
    <t>Rig Type</t>
  </si>
  <si>
    <t>Water Depth (m)</t>
  </si>
  <si>
    <t>Total Well Depth MD Plan (m)</t>
  </si>
  <si>
    <t>Total Well Depth TVD Plan (m)</t>
  </si>
  <si>
    <t>AFE Cost Dry (usd)</t>
  </si>
  <si>
    <t>AFE Cost Success (usd)</t>
  </si>
  <si>
    <t>AFE Days Dry</t>
  </si>
  <si>
    <t>AFE Days Success</t>
  </si>
  <si>
    <t>AFE Cost (usd)</t>
  </si>
  <si>
    <t>AFE Days</t>
  </si>
  <si>
    <t>Special Status</t>
  </si>
  <si>
    <t>Alternative Well Name</t>
  </si>
  <si>
    <t>Tree Type</t>
  </si>
  <si>
    <t>Spud Date</t>
  </si>
  <si>
    <t>Well Start Date Time</t>
  </si>
  <si>
    <t>Well End Date Time</t>
  </si>
  <si>
    <t>Meterage Drilled (m)</t>
  </si>
  <si>
    <t>Water Depth Category</t>
  </si>
  <si>
    <t>Total Well Depth MD Actual (m)</t>
  </si>
  <si>
    <t>Total Well Depth TVD Actual (m)</t>
  </si>
  <si>
    <t>Final Cost Dry (usd)</t>
  </si>
  <si>
    <t>Final Cost Success (usd)</t>
  </si>
  <si>
    <t>Final Days Dry</t>
  </si>
  <si>
    <t>Final Days Success</t>
  </si>
  <si>
    <t>Final Cost (usd)</t>
  </si>
  <si>
    <t>Final Days</t>
  </si>
  <si>
    <t>Well NPT Percentage WOW (%)</t>
  </si>
  <si>
    <t>Well NPT Percentage (%)</t>
  </si>
  <si>
    <t>Drilling Min Standard</t>
  </si>
  <si>
    <t>DMS</t>
  </si>
  <si>
    <t>Plan DDPTF (days/1000ft)</t>
  </si>
  <si>
    <t>Plan DDPTF</t>
  </si>
  <si>
    <t>Plan DCPF (usd/ft)</t>
  </si>
  <si>
    <t>Plan DCPF</t>
  </si>
  <si>
    <t>Plan WCPF (usd/ft)</t>
  </si>
  <si>
    <t>Plan WCPF</t>
  </si>
  <si>
    <t>Actual DDPTF (days/1000ft)</t>
  </si>
  <si>
    <t>Actual DDPTF</t>
  </si>
  <si>
    <t>Actual DCPF (usd/ft)</t>
  </si>
  <si>
    <t>Actual DCPF</t>
  </si>
  <si>
    <t>Actual WCPF (usd/ft)</t>
  </si>
  <si>
    <t>Actual WCPF</t>
  </si>
  <si>
    <t>Completion Days Plan</t>
  </si>
  <si>
    <t>Completion Cost Plan</t>
  </si>
  <si>
    <t>Completion Min Standard</t>
  </si>
  <si>
    <t>Plan CDPTF (days/1000ft)</t>
  </si>
  <si>
    <t>Plan CCPF (usd/ft)</t>
  </si>
  <si>
    <t>Completion Days Actual</t>
  </si>
  <si>
    <t>Completion Cost Actual</t>
  </si>
  <si>
    <t>Actual CDPTF (days/1000ft)</t>
  </si>
  <si>
    <t>Actual CCPF (usd/ft)</t>
  </si>
  <si>
    <t>Producing Formation</t>
  </si>
  <si>
    <t>Pressure Temperature</t>
  </si>
  <si>
    <t>Completion Type</t>
  </si>
  <si>
    <t>Smart Well</t>
  </si>
  <si>
    <t>ESP</t>
  </si>
  <si>
    <t>Tubing Size (inch)</t>
  </si>
  <si>
    <t>Zones</t>
  </si>
  <si>
    <t>Number Of String</t>
  </si>
  <si>
    <t>Tubing Material</t>
  </si>
  <si>
    <t>Sand Control Length (ft)</t>
  </si>
  <si>
    <t>PDG</t>
  </si>
  <si>
    <t>OH Inflow Control</t>
  </si>
  <si>
    <t>Completion Material</t>
  </si>
  <si>
    <t>Completion Fluid Weight (ppg)</t>
  </si>
  <si>
    <t>Completion Fluid Type</t>
  </si>
  <si>
    <t>Chemical Injection Valve</t>
  </si>
  <si>
    <t>Intelligent Gas Lift</t>
  </si>
  <si>
    <t>Availability</t>
  </si>
  <si>
    <t>VESTIGO</t>
  </si>
  <si>
    <t>PM</t>
  </si>
  <si>
    <t>LARUT</t>
  </si>
  <si>
    <t>LARUT A-26ST2</t>
  </si>
  <si>
    <t>APPRAISAL CUM DEV/DEVELOPMENT</t>
  </si>
  <si>
    <t>SAPURA BERANI</t>
  </si>
  <si>
    <t>TENDER ASSISTED DRILLING RIG (TADR)</t>
  </si>
  <si>
    <t>N/A</t>
  </si>
  <si>
    <t>NO</t>
  </si>
  <si>
    <t>DRY TREE</t>
  </si>
  <si>
    <t>SHALLOW WATER</t>
  </si>
  <si>
    <t>SW DEV ST 2HS MONOBORE</t>
  </si>
  <si>
    <t>SW DEV ST 2HS</t>
  </si>
  <si>
    <t>Yes</t>
  </si>
  <si>
    <t>yes</t>
  </si>
  <si>
    <t/>
  </si>
  <si>
    <t>SANDSTONE</t>
  </si>
  <si>
    <t>NORMAL</t>
  </si>
  <si>
    <t>CASED HOLE CEMENTED MONOBORE</t>
  </si>
  <si>
    <t>3-1/2"</t>
  </si>
  <si>
    <t>1.0</t>
  </si>
  <si>
    <t>SINGLE</t>
  </si>
  <si>
    <t>L80 13CR</t>
  </si>
  <si>
    <t>False</t>
  </si>
  <si>
    <t>BASE OIL/DIESEL</t>
  </si>
  <si>
    <t>LARUT-A09ST1</t>
  </si>
  <si>
    <t>L80</t>
  </si>
  <si>
    <t>LARUT-A29ST2</t>
  </si>
  <si>
    <t>LARUT-A24</t>
  </si>
  <si>
    <t>SIDETRACK</t>
  </si>
  <si>
    <t>LARUT-A01ST1</t>
  </si>
  <si>
    <t>SW DEV ST 2HS OHPDL</t>
  </si>
  <si>
    <t>OPEN HOLE PREDRILLED LINER</t>
  </si>
  <si>
    <t>KCL</t>
  </si>
  <si>
    <t>LARUT-A30ST1</t>
  </si>
  <si>
    <t>LARUT A-36ST1</t>
  </si>
  <si>
    <t>SW DEV C3 MONOBORE</t>
  </si>
  <si>
    <t>SW DEV C3</t>
  </si>
  <si>
    <t>LARUT-A23ST1</t>
  </si>
  <si>
    <t>LARUT A-35</t>
  </si>
  <si>
    <t>LARUT-A31ST2</t>
  </si>
  <si>
    <t>RE-SPUD</t>
  </si>
  <si>
    <t>LARUT A-34</t>
  </si>
  <si>
    <t>SK</t>
  </si>
  <si>
    <t>ANJUNG KECIL</t>
  </si>
  <si>
    <t>AJK-A2ST1</t>
  </si>
  <si>
    <t>BORR MIST</t>
  </si>
  <si>
    <t>JACK UP</t>
  </si>
  <si>
    <t>SW DEV C4 OHSAS/OHPDL</t>
  </si>
  <si>
    <t>SW DEV C4</t>
  </si>
  <si>
    <t>CARBONATE</t>
  </si>
  <si>
    <t>OPEN HOLE STAND ALONE SCREEN</t>
  </si>
  <si>
    <t>1</t>
  </si>
  <si>
    <t>ICD</t>
  </si>
  <si>
    <t>SEAWATER/DRILLWATER</t>
  </si>
  <si>
    <t>PCSB</t>
  </si>
  <si>
    <t>ANJUNG</t>
  </si>
  <si>
    <t>ANJUNG-A3</t>
  </si>
  <si>
    <t>NAGA-2</t>
  </si>
  <si>
    <t>SW DEV C4 OHPDL</t>
  </si>
  <si>
    <t>7"</t>
  </si>
  <si>
    <t>True</t>
  </si>
  <si>
    <t>SUPER 13CR</t>
  </si>
  <si>
    <t>NACOOH</t>
  </si>
  <si>
    <t>SHELL</t>
  </si>
  <si>
    <t>SB</t>
  </si>
  <si>
    <t>GEMILANG</t>
  </si>
  <si>
    <t>GEMILANG-1</t>
  </si>
  <si>
    <t>EXPLORATION/APPRAISAL</t>
  </si>
  <si>
    <t>WEST CAPELLA</t>
  </si>
  <si>
    <t>DRILLSHIP</t>
  </si>
  <si>
    <t>DEEP WATER</t>
  </si>
  <si>
    <t>No DMS category. Having value but not sure refering which version</t>
  </si>
  <si>
    <t>No</t>
  </si>
  <si>
    <t>REPSOL</t>
  </si>
  <si>
    <t>BUNGA ORKID</t>
  </si>
  <si>
    <t>BOB-9(J)</t>
  </si>
  <si>
    <t>PVD-3</t>
  </si>
  <si>
    <t>No DMS category</t>
  </si>
  <si>
    <t>NONE</t>
  </si>
  <si>
    <t>BUNGA PAKMA</t>
  </si>
  <si>
    <t>BPA-6</t>
  </si>
  <si>
    <t>5-1/2"</t>
  </si>
  <si>
    <t>RERAMA</t>
  </si>
  <si>
    <t>RERAMA-1</t>
  </si>
  <si>
    <t>NAGA-7</t>
  </si>
  <si>
    <t>BPA-4</t>
  </si>
  <si>
    <t>SW DEV C2 PM - MONOBORE</t>
  </si>
  <si>
    <t>SW DEV C2</t>
  </si>
  <si>
    <t>KINABALU</t>
  </si>
  <si>
    <t>KNDW-D08</t>
  </si>
  <si>
    <t>NAGA-5</t>
  </si>
  <si>
    <t>BPA-1</t>
  </si>
  <si>
    <t>SAMARANG</t>
  </si>
  <si>
    <t>SM-37ST</t>
  </si>
  <si>
    <t>NAGA-3</t>
  </si>
  <si>
    <t>CASED HOLE</t>
  </si>
  <si>
    <t>5.0</t>
  </si>
  <si>
    <t>13CR</t>
  </si>
  <si>
    <t>KNDW-D16</t>
  </si>
  <si>
    <t>KNDW-D02</t>
  </si>
  <si>
    <t>ROC OIL</t>
  </si>
  <si>
    <t>J4</t>
  </si>
  <si>
    <t>J4-A09</t>
  </si>
  <si>
    <t>PERISAI PACIFIC-101</t>
  </si>
  <si>
    <t>D21</t>
  </si>
  <si>
    <t>D21-A7ST1</t>
  </si>
  <si>
    <t>NBO-4</t>
  </si>
  <si>
    <t>ENSCO-52</t>
  </si>
  <si>
    <t>D21-P1</t>
  </si>
  <si>
    <t>PETROFAC</t>
  </si>
  <si>
    <t>WEST DESARU</t>
  </si>
  <si>
    <t>WD-A17ST1</t>
  </si>
  <si>
    <t>2-7/8"</t>
  </si>
  <si>
    <t>NACL</t>
  </si>
  <si>
    <t>NOEX</t>
  </si>
  <si>
    <t>LAYANG</t>
  </si>
  <si>
    <t>LAYANG-2</t>
  </si>
  <si>
    <t>EMEPMI</t>
  </si>
  <si>
    <t>GUNTONG</t>
  </si>
  <si>
    <t>GUNTONG-C14ST1</t>
  </si>
  <si>
    <t>T-9</t>
  </si>
  <si>
    <t>GUNTONG-C05ST1</t>
  </si>
  <si>
    <t>GUNTONG-C10</t>
  </si>
  <si>
    <t>SAMARANG EAST-1</t>
  </si>
  <si>
    <t>NAGA-4</t>
  </si>
  <si>
    <t>BAYAN</t>
  </si>
  <si>
    <t>BAYAN-220</t>
  </si>
  <si>
    <t>TASHA</t>
  </si>
  <si>
    <t>BAYAN-221</t>
  </si>
  <si>
    <t>BAYAN-223</t>
  </si>
  <si>
    <t>SW DEV C1</t>
  </si>
  <si>
    <t>SOUTH FURIOUS</t>
  </si>
  <si>
    <t>SF-16S2</t>
  </si>
  <si>
    <t>WEST VIGILANT</t>
  </si>
  <si>
    <t>TELOK</t>
  </si>
  <si>
    <t>TELOK-B4</t>
  </si>
  <si>
    <t>WEST LEDA</t>
  </si>
  <si>
    <t>CASED HOLE GRAVEL PACK</t>
  </si>
  <si>
    <t>DUAL</t>
  </si>
  <si>
    <t>TELOK-B6</t>
  </si>
  <si>
    <t>SAPURA OMV</t>
  </si>
  <si>
    <t>EAST BELUMUT</t>
  </si>
  <si>
    <t>EB A-08ST1</t>
  </si>
  <si>
    <t>ENSCO-106</t>
  </si>
  <si>
    <t>TELOK-B3</t>
  </si>
  <si>
    <t>EB-A05ST2</t>
  </si>
  <si>
    <t>D12</t>
  </si>
  <si>
    <t>D12-101A</t>
  </si>
  <si>
    <t>ENSCO-105</t>
  </si>
  <si>
    <t>KPOC</t>
  </si>
  <si>
    <t>KAMUNSU EAST</t>
  </si>
  <si>
    <t>KME-2</t>
  </si>
  <si>
    <t>ENSCO-8504</t>
  </si>
  <si>
    <t>SEMI-SUB</t>
  </si>
  <si>
    <t>DW EXP C2</t>
  </si>
  <si>
    <t>IPC</t>
  </si>
  <si>
    <t>BERANGAN</t>
  </si>
  <si>
    <t>BERANGAN-1</t>
  </si>
  <si>
    <t>OFFSHORE COURAGEOUS</t>
  </si>
  <si>
    <t>TIGA PAPAN</t>
  </si>
  <si>
    <t>TIGA PAPAN-5</t>
  </si>
  <si>
    <t>BERTAM</t>
  </si>
  <si>
    <t>BERTAM-2</t>
  </si>
  <si>
    <t>EB A-01</t>
  </si>
  <si>
    <t>COASTAL ENERGY KBM (CEKBM)</t>
  </si>
  <si>
    <t>ZAITUN</t>
  </si>
  <si>
    <t>ZAITUN-1</t>
  </si>
  <si>
    <t>MALIKAI</t>
  </si>
  <si>
    <t>MLK-123</t>
  </si>
  <si>
    <t>SAPURA ESPERANZA</t>
  </si>
  <si>
    <t>MERANTI</t>
  </si>
  <si>
    <t>MERANTI M3</t>
  </si>
  <si>
    <t>ATWOOD MANTA</t>
  </si>
  <si>
    <t>WD-A16</t>
  </si>
  <si>
    <t>TRIDENT-9</t>
  </si>
  <si>
    <t>3.0</t>
  </si>
  <si>
    <t>GRE</t>
  </si>
  <si>
    <t>25CR</t>
  </si>
  <si>
    <t>NACL/NABR</t>
  </si>
  <si>
    <t>COASTAL</t>
  </si>
  <si>
    <t>MERPAUH</t>
  </si>
  <si>
    <t>MERPAUH-1</t>
  </si>
  <si>
    <t>BANANG</t>
  </si>
  <si>
    <t>BANANG-B4</t>
  </si>
  <si>
    <t>KMSE</t>
  </si>
  <si>
    <t>KMSE-A06</t>
  </si>
  <si>
    <t>SW DEV SLIM HOLE (WITHOUT OFFLINE CAPABILITY RIG)</t>
  </si>
  <si>
    <t>OHSAS/OHPDL</t>
  </si>
  <si>
    <t>2</t>
  </si>
  <si>
    <t>LIMAU WEST - 1</t>
  </si>
  <si>
    <t>CASED HOLE STAND ALONE SCREEN</t>
  </si>
  <si>
    <t>HESS</t>
  </si>
  <si>
    <t>BUNGA TERATAI</t>
  </si>
  <si>
    <t>BUNGA TERATAI-C1</t>
  </si>
  <si>
    <t>CH</t>
  </si>
  <si>
    <t>4-1/2"</t>
  </si>
  <si>
    <t>GANSAR</t>
  </si>
  <si>
    <t>GANSAR-A3</t>
  </si>
  <si>
    <t>SW HPHT/HT</t>
  </si>
  <si>
    <t>MONOBORE</t>
  </si>
  <si>
    <t>HPHT</t>
  </si>
  <si>
    <t>GANSAR-A4</t>
  </si>
  <si>
    <t>GANSAR-A2</t>
  </si>
  <si>
    <t>ENQUEST</t>
  </si>
  <si>
    <t>SELIGI</t>
  </si>
  <si>
    <t>SEE-35</t>
  </si>
  <si>
    <t>SK PELAUT</t>
  </si>
  <si>
    <t>INNER STRING WITH SSD</t>
  </si>
  <si>
    <t>SEE-36</t>
  </si>
  <si>
    <t>SEE-34</t>
  </si>
  <si>
    <t>BINDU-A1</t>
  </si>
  <si>
    <t>BORR GUNNLOD</t>
  </si>
  <si>
    <t>DW DEV C3 (DRY TREE)</t>
  </si>
  <si>
    <t>1 ZONE</t>
  </si>
  <si>
    <t>BINDU-A2 ADDENDUM</t>
  </si>
  <si>
    <t>BEKANTAN-1</t>
  </si>
  <si>
    <t>PVD 6</t>
  </si>
  <si>
    <t>SW EXP C2</t>
  </si>
  <si>
    <t>TABU</t>
  </si>
  <si>
    <t>TABU-B30ST1</t>
  </si>
  <si>
    <t>SW DEV ST 1HS</t>
  </si>
  <si>
    <t>ROSEBAY-1</t>
  </si>
  <si>
    <t>SW EXP C1</t>
  </si>
  <si>
    <t>TABU-B13ST1</t>
  </si>
  <si>
    <t>POSCO</t>
  </si>
  <si>
    <t>PM524</t>
  </si>
  <si>
    <t>MAWAR MERAH-1</t>
  </si>
  <si>
    <t>DW EXP C1</t>
  </si>
  <si>
    <t>IRONG BARAT</t>
  </si>
  <si>
    <t>IRONG BARAT-C04ST1</t>
  </si>
  <si>
    <t>CACL2</t>
  </si>
  <si>
    <t>F22</t>
  </si>
  <si>
    <t>F22-101</t>
  </si>
  <si>
    <t>NOBLE TOM PROSSER</t>
  </si>
  <si>
    <t>F27</t>
  </si>
  <si>
    <t>F27-101</t>
  </si>
  <si>
    <t>SELASIH</t>
  </si>
  <si>
    <t>SELASIH-101</t>
  </si>
  <si>
    <t>DUYONG BARAT</t>
  </si>
  <si>
    <t>MERANSI-1</t>
  </si>
  <si>
    <t>SILUNGEN-1</t>
  </si>
  <si>
    <t>HAKURYU-5</t>
  </si>
  <si>
    <t>WET TREE</t>
  </si>
  <si>
    <t>MLNGX</t>
  </si>
  <si>
    <t>LEMANG-1</t>
  </si>
  <si>
    <t>SW EXP C4</t>
  </si>
  <si>
    <t>LATOK-1</t>
  </si>
  <si>
    <t>HABANERO-1</t>
  </si>
  <si>
    <t>D18</t>
  </si>
  <si>
    <t>D18-C310B</t>
  </si>
  <si>
    <t>D18-D406B</t>
  </si>
  <si>
    <t>D18-C312A</t>
  </si>
  <si>
    <t>D18-C312B</t>
  </si>
  <si>
    <t>SINSING</t>
  </si>
  <si>
    <t>SINSING-2</t>
  </si>
  <si>
    <t>SW EXP C3</t>
  </si>
  <si>
    <t>D18-C310A</t>
  </si>
  <si>
    <t>D18-D406A</t>
  </si>
  <si>
    <t>5 ZONE</t>
  </si>
  <si>
    <t>3</t>
  </si>
  <si>
    <t>AICV</t>
  </si>
  <si>
    <t>15CR</t>
  </si>
  <si>
    <t>NABR</t>
  </si>
  <si>
    <t>4</t>
  </si>
  <si>
    <t>5</t>
  </si>
  <si>
    <t>MENGKUDU</t>
  </si>
  <si>
    <t>MENGKUDU-1</t>
  </si>
  <si>
    <t>IRONG BARAT-C14ST1</t>
  </si>
  <si>
    <t>HML</t>
  </si>
  <si>
    <t>SFJT-D02</t>
  </si>
  <si>
    <t>SFJT-D03</t>
  </si>
  <si>
    <t>SFJT-D08</t>
  </si>
  <si>
    <t>L80 1CR</t>
  </si>
  <si>
    <t>SFJT-D11</t>
  </si>
  <si>
    <t>SFJT-D01</t>
  </si>
  <si>
    <t>OPEN HOLE PREDRILLED LINER &amp; CASED HOLE</t>
  </si>
  <si>
    <t>SFJT-D07</t>
  </si>
  <si>
    <t>SFJT-D04</t>
  </si>
  <si>
    <t>SFJT-D09</t>
  </si>
  <si>
    <t>SFJT-D06</t>
  </si>
  <si>
    <t>MISAI KUCING</t>
  </si>
  <si>
    <t>MISAI KUCING-1</t>
  </si>
  <si>
    <t>PTTEP</t>
  </si>
  <si>
    <t>CHENDA</t>
  </si>
  <si>
    <t>CHENDA-2</t>
  </si>
  <si>
    <t>NAGA-6</t>
  </si>
  <si>
    <t>IRONG BARAT-C16ST4</t>
  </si>
  <si>
    <t>GUNNLOD</t>
  </si>
  <si>
    <t>OHGP</t>
  </si>
  <si>
    <t>OPEN HOLE GRAVEL PACK</t>
  </si>
  <si>
    <t>D9</t>
  </si>
  <si>
    <t>D9-2</t>
  </si>
  <si>
    <t>NANGKA</t>
  </si>
  <si>
    <t>NANGKA-2</t>
  </si>
  <si>
    <t>ZOISIT</t>
  </si>
  <si>
    <t>ZOISIT DEEP-1</t>
  </si>
  <si>
    <t>SW HP/HPHT</t>
  </si>
  <si>
    <t>MEGAH</t>
  </si>
  <si>
    <t>MEGAH-1</t>
  </si>
  <si>
    <t>NOBLE VIKING</t>
  </si>
  <si>
    <t>DW EXP C3</t>
  </si>
  <si>
    <t>BILIT DEEP-1</t>
  </si>
  <si>
    <t>D21-A7 ST2</t>
  </si>
  <si>
    <t>SUSPEND</t>
  </si>
  <si>
    <t>KASAWARI</t>
  </si>
  <si>
    <t>KASAWARI-A6RDR1</t>
  </si>
  <si>
    <t>BENDAI</t>
  </si>
  <si>
    <t>BENDAI-2 ST1</t>
  </si>
  <si>
    <t>BUNGA RAYA</t>
  </si>
  <si>
    <t>BSA-3ST1 (NWBR I50L)</t>
  </si>
  <si>
    <t>TABU-A2ST2</t>
  </si>
  <si>
    <t>MANJAKANI</t>
  </si>
  <si>
    <t>MANJAKANI-1</t>
  </si>
  <si>
    <t>NAGA 6</t>
  </si>
  <si>
    <t>IRAMA NORTH</t>
  </si>
  <si>
    <t>IRAMA NORTH-1ST1</t>
  </si>
  <si>
    <t>CEMUMAR</t>
  </si>
  <si>
    <t>CEMUMAR-1</t>
  </si>
  <si>
    <t>IRAMA NORTH-1</t>
  </si>
  <si>
    <t>PVD-6</t>
  </si>
  <si>
    <t>AMARYLLIS</t>
  </si>
  <si>
    <t>AMARYLLIS-1</t>
  </si>
  <si>
    <t>KALUNG EMAS</t>
  </si>
  <si>
    <t>KALUNG EMAS-2</t>
  </si>
  <si>
    <t>IRONG BARAT-C05ST1</t>
  </si>
  <si>
    <t>TABU-A1ST1</t>
  </si>
  <si>
    <t>SM-F98ST1</t>
  </si>
  <si>
    <t>PVD-1</t>
  </si>
  <si>
    <t>6</t>
  </si>
  <si>
    <t>BERTAM A-21</t>
  </si>
  <si>
    <t>BSA-15ST1</t>
  </si>
  <si>
    <t>SFJT-D10</t>
  </si>
  <si>
    <t>D21-A3 ST2</t>
  </si>
  <si>
    <t>D21-A11 ST1</t>
  </si>
  <si>
    <t>TNAG</t>
  </si>
  <si>
    <t>TBK-B6</t>
  </si>
  <si>
    <t>SW DEV SLIM HOLE (WITH OFFLINE CAPABILITY RIG)</t>
  </si>
  <si>
    <t>SM-F95ST1</t>
  </si>
  <si>
    <t>CHGP</t>
  </si>
  <si>
    <t>TBK-B7</t>
  </si>
  <si>
    <t>BUNGA KANGSAR</t>
  </si>
  <si>
    <t>BUNGA KANGSAR-A5</t>
  </si>
  <si>
    <t>IRONG BARAT-C12ST2</t>
  </si>
  <si>
    <t>2 ZONE</t>
  </si>
  <si>
    <t>BEKOK</t>
  </si>
  <si>
    <t>BEKOK DEEP-2</t>
  </si>
  <si>
    <t>SW HT</t>
  </si>
  <si>
    <t>SAMARANG-F78ST1</t>
  </si>
  <si>
    <t>BPA-8 (PAKMA NOSE)</t>
  </si>
  <si>
    <t>JU NAGA IV</t>
  </si>
  <si>
    <t>MARJORAM</t>
  </si>
  <si>
    <t>MARJORAM-102</t>
  </si>
  <si>
    <t>DW DEV C2 (WET TREE)</t>
  </si>
  <si>
    <t>SUBSEA</t>
  </si>
  <si>
    <t>MARJORAM-101</t>
  </si>
  <si>
    <t>SEG-30</t>
  </si>
  <si>
    <t>SEG-29</t>
  </si>
  <si>
    <t>SEC-41ST1</t>
  </si>
  <si>
    <t>3 ZONE</t>
  </si>
  <si>
    <t>SEC-21ST1</t>
  </si>
  <si>
    <t>SAMARANG-E45ST2</t>
  </si>
  <si>
    <t>TABU-A4ST1</t>
  </si>
  <si>
    <t>BERGADING</t>
  </si>
  <si>
    <t>BERGADING A-11</t>
  </si>
  <si>
    <t>TABU-A8ST1</t>
  </si>
  <si>
    <t>BUNGA ASTER-2</t>
  </si>
  <si>
    <t>BUNGA TERATAI-C6</t>
  </si>
  <si>
    <t>BUNGA TERATAI-C5</t>
  </si>
  <si>
    <t>PM6/12</t>
  </si>
  <si>
    <t>LEBAH EMAS-1 ST1</t>
  </si>
  <si>
    <t xml:space="preserve">BOC-28 (TE) </t>
  </si>
  <si>
    <t>TABU-A16ST1</t>
  </si>
  <si>
    <t>BEKOK-BB18ST2</t>
  </si>
  <si>
    <t>CABR2</t>
  </si>
  <si>
    <t>BEKOK-BB17ST4</t>
  </si>
  <si>
    <t>SM-B124</t>
  </si>
  <si>
    <t>SM-B125</t>
  </si>
  <si>
    <t>SAMARANG-E48ST2</t>
  </si>
  <si>
    <t>KN-B6</t>
  </si>
  <si>
    <t>KN-B5</t>
  </si>
  <si>
    <t>LAVUNG TEPO</t>
  </si>
  <si>
    <t>LAVUNG TEPO-1</t>
  </si>
  <si>
    <t>KN-B7</t>
  </si>
  <si>
    <t>KERDAS</t>
  </si>
  <si>
    <t>KERDAS-1</t>
  </si>
  <si>
    <t>BOKOR</t>
  </si>
  <si>
    <t>BOKOR-E501</t>
  </si>
  <si>
    <t>CECIL</t>
  </si>
  <si>
    <t>CECIL-1</t>
  </si>
  <si>
    <t>GEDOMBAK</t>
  </si>
  <si>
    <t>GEDOMBAK-2</t>
  </si>
  <si>
    <t>BOKOR-E507</t>
  </si>
  <si>
    <t>SATONG</t>
  </si>
  <si>
    <t>SATONG-1</t>
  </si>
  <si>
    <t>TANGGU</t>
  </si>
  <si>
    <t>TANGGU-1</t>
  </si>
  <si>
    <t>BOKOR-E506</t>
  </si>
  <si>
    <t>BERANTAI</t>
  </si>
  <si>
    <t>BRWA-19</t>
  </si>
  <si>
    <t>PEKAKA</t>
  </si>
  <si>
    <t>PEKAKA-1</t>
  </si>
  <si>
    <t>BESAR</t>
  </si>
  <si>
    <t>BESAR-A6</t>
  </si>
  <si>
    <t>7.0</t>
  </si>
  <si>
    <t>E11</t>
  </si>
  <si>
    <t>E11SC-5ST1</t>
  </si>
  <si>
    <t>SAPURA PELAUT</t>
  </si>
  <si>
    <t>BOKOR-E505</t>
  </si>
  <si>
    <t>ROTAN</t>
  </si>
  <si>
    <t>ROTAN-2</t>
  </si>
  <si>
    <t>BUNGA ASTER -1</t>
  </si>
  <si>
    <t>BESAR-A7</t>
  </si>
  <si>
    <t>4.0</t>
  </si>
  <si>
    <t>BESAH</t>
  </si>
  <si>
    <t>BESAH-1</t>
  </si>
  <si>
    <t>BESAR-A9</t>
  </si>
  <si>
    <t>KMSE-A03</t>
  </si>
  <si>
    <t>SW DEV SLIM HOLEC (Without Offline Capability Rig)</t>
  </si>
  <si>
    <t>KMSE-A04</t>
  </si>
  <si>
    <t>SW DEV SLIM HOLE (Without Offline Capability Rig)</t>
  </si>
  <si>
    <t>SF MERAH-1</t>
  </si>
  <si>
    <t>GARANTUNG</t>
  </si>
  <si>
    <t>GARANTUNG-1</t>
  </si>
  <si>
    <t>NAHARA</t>
  </si>
  <si>
    <t>NAHARA-2</t>
  </si>
  <si>
    <t>BESAR-A4</t>
  </si>
  <si>
    <t>SEAH</t>
  </si>
  <si>
    <t>SF UNGU-1</t>
  </si>
  <si>
    <t>BUNGA TERATAI C-4</t>
  </si>
  <si>
    <t>BUNGA TERATAI C-3</t>
  </si>
  <si>
    <t>BUNGA TERATAI C-2</t>
  </si>
  <si>
    <t>F13</t>
  </si>
  <si>
    <t>F13ESC-A6</t>
  </si>
  <si>
    <t>F13ESC-A5</t>
  </si>
  <si>
    <t>NAFIRI</t>
  </si>
  <si>
    <t>NAFIRI-1</t>
  </si>
  <si>
    <t>BORR IDUN</t>
  </si>
  <si>
    <t>LANG LEBAH</t>
  </si>
  <si>
    <t>LANG LEBAH-3</t>
  </si>
  <si>
    <t>KNDW-D08ST1</t>
  </si>
  <si>
    <t>BENDAI-1</t>
  </si>
  <si>
    <t>BABADON</t>
  </si>
  <si>
    <t>BABADON-1</t>
  </si>
  <si>
    <t>BEKOK-AA19</t>
  </si>
  <si>
    <t>KNDW-D18</t>
  </si>
  <si>
    <t>JERUN</t>
  </si>
  <si>
    <t>JERUN-A5</t>
  </si>
  <si>
    <t>JERUN-A3</t>
  </si>
  <si>
    <t>JERUN-A2</t>
  </si>
  <si>
    <t>JERUN-A4</t>
  </si>
  <si>
    <t>JERUN-A6</t>
  </si>
  <si>
    <t>PANGKIN</t>
  </si>
  <si>
    <t>PANGKIN-1</t>
  </si>
  <si>
    <t>BUNGA DAHLIA</t>
  </si>
  <si>
    <t>BUNGA DAHLIA A-3</t>
  </si>
  <si>
    <t>BUNGA DAHLIA A-2</t>
  </si>
  <si>
    <t>BUNGA DAHLIA A-1</t>
  </si>
  <si>
    <t>F14</t>
  </si>
  <si>
    <t>F14-109</t>
  </si>
  <si>
    <t>JERUN-A1</t>
  </si>
  <si>
    <t>BANGSAWAN</t>
  </si>
  <si>
    <t>BANGSAWAN-1</t>
  </si>
  <si>
    <t>HIKMAT</t>
  </si>
  <si>
    <t>HIKMAT-1</t>
  </si>
  <si>
    <t>KERANJI</t>
  </si>
  <si>
    <t>KERANJI-1</t>
  </si>
  <si>
    <t>SW EXP SLIM HOLE</t>
  </si>
  <si>
    <t>DERMAWAN</t>
  </si>
  <si>
    <t>DERMAWAN-1</t>
  </si>
  <si>
    <t>KALUNG EMAS-1</t>
  </si>
  <si>
    <t>BARAM</t>
  </si>
  <si>
    <t>BARAM-B43</t>
  </si>
  <si>
    <t>9CR</t>
  </si>
  <si>
    <t>BEKOK DEEP-1RDR1</t>
  </si>
  <si>
    <t>BARAM-B42</t>
  </si>
  <si>
    <t>TADOM</t>
  </si>
  <si>
    <t>TADOM-1</t>
  </si>
  <si>
    <t>SIMPOH BELUDU</t>
  </si>
  <si>
    <t>SIMPOH BELUDU-1</t>
  </si>
  <si>
    <t>MEMALI</t>
  </si>
  <si>
    <t>MEMALI-1</t>
  </si>
  <si>
    <t>BUNGA LAVATERA</t>
  </si>
  <si>
    <t>BUNGA LAVATERA-1</t>
  </si>
  <si>
    <t>RUKU RUKU</t>
  </si>
  <si>
    <t>RUKU RUKU-1</t>
  </si>
  <si>
    <t>CHENDA-1</t>
  </si>
  <si>
    <t>MACHINCANG</t>
  </si>
  <si>
    <t>MACHINCANG-1</t>
  </si>
  <si>
    <t>LAYANG-LAYANG</t>
  </si>
  <si>
    <t>LAYANG-LAYANG-1</t>
  </si>
  <si>
    <t>BUNGA KANGSAR A-1</t>
  </si>
  <si>
    <t>2.0</t>
  </si>
  <si>
    <t>SIRUNG</t>
  </si>
  <si>
    <t>SIRUNG-2</t>
  </si>
  <si>
    <t>BOC-30 (T1)</t>
  </si>
  <si>
    <t>6.0</t>
  </si>
  <si>
    <t>BEKOK-AA14</t>
  </si>
  <si>
    <t>MIRDANGA</t>
  </si>
  <si>
    <t>MIRDANGA-1</t>
  </si>
  <si>
    <t>BEKOK-AA16ST2</t>
  </si>
  <si>
    <t>TIMI</t>
  </si>
  <si>
    <t>TIMI-101</t>
  </si>
  <si>
    <t>TIMI-103</t>
  </si>
  <si>
    <t>BEKOK-AA13</t>
  </si>
  <si>
    <t>SINSING-1</t>
  </si>
  <si>
    <t>KECUPU</t>
  </si>
  <si>
    <t>KECUPU-1</t>
  </si>
  <si>
    <t>MONG MERAH</t>
  </si>
  <si>
    <t>MONG MERAH-1</t>
  </si>
  <si>
    <t>BUNGA KANGSAR A-3</t>
  </si>
  <si>
    <t>OTHER</t>
  </si>
  <si>
    <t>KIKEH</t>
  </si>
  <si>
    <t>PX12 (150)</t>
  </si>
  <si>
    <t>DW DEV C2 (Wet Tree)</t>
  </si>
  <si>
    <t>BUNGA KANGSAR A-2</t>
  </si>
  <si>
    <t>GEDOMBAK-1</t>
  </si>
  <si>
    <t>BUNGA KANGSAR A-4</t>
  </si>
  <si>
    <t>BEKOK-AA18</t>
  </si>
  <si>
    <t>SELUANG</t>
  </si>
  <si>
    <t>SELUANG-1</t>
  </si>
  <si>
    <t>SELUANG-1RDR1</t>
  </si>
  <si>
    <t>PERMAS</t>
  </si>
  <si>
    <t>PRPA-13</t>
  </si>
  <si>
    <t>KECAPI</t>
  </si>
  <si>
    <t>KECAPI-1</t>
  </si>
  <si>
    <t>CENMUMUR</t>
  </si>
  <si>
    <t>CENMUMUR-1</t>
  </si>
  <si>
    <t>NAHARA-1</t>
  </si>
  <si>
    <t>BRB-11ST1</t>
  </si>
  <si>
    <t>SED-03</t>
  </si>
  <si>
    <t>AICD</t>
  </si>
  <si>
    <t>SED-22ST1</t>
  </si>
  <si>
    <t>BERGADING DEEP</t>
  </si>
  <si>
    <t>BERGADING DEEP-4</t>
  </si>
  <si>
    <t>BORR SAGA</t>
  </si>
  <si>
    <t>TEMU</t>
  </si>
  <si>
    <t>TEMU-1</t>
  </si>
  <si>
    <t>BEKOK-AA17</t>
  </si>
  <si>
    <t>BEKOK-BB20</t>
  </si>
  <si>
    <t>BEKOK-BB18ST1</t>
  </si>
  <si>
    <t>BERGADING-D5 (D_1_10)</t>
  </si>
  <si>
    <t>BAYAN-C315</t>
  </si>
  <si>
    <t>WEST PATRICIA</t>
  </si>
  <si>
    <t>WPPB-14</t>
  </si>
  <si>
    <t>WPPB-15/15ST1</t>
  </si>
  <si>
    <t>WPPB-16</t>
  </si>
  <si>
    <t>SW DEV SLIM HOLE (With Offline Capability Rig)</t>
  </si>
  <si>
    <t>OPEN HOLE COMPLIANT SCREEN</t>
  </si>
  <si>
    <t>BAYAN-C314</t>
  </si>
  <si>
    <t>2 ZONES</t>
  </si>
  <si>
    <t>DULANG</t>
  </si>
  <si>
    <t>DULANG-B31ST1</t>
  </si>
  <si>
    <t>22CR</t>
  </si>
  <si>
    <t>BAYAN-C313ST1</t>
  </si>
  <si>
    <t>BOC-29</t>
  </si>
  <si>
    <t>COP</t>
  </si>
  <si>
    <t>BENUM</t>
  </si>
  <si>
    <t>BENUM-2</t>
  </si>
  <si>
    <t>BY-311</t>
  </si>
  <si>
    <t>BY-312</t>
  </si>
  <si>
    <t>SALAM</t>
  </si>
  <si>
    <t>SALAM-3</t>
  </si>
  <si>
    <t>BERGADING-B4(J2)</t>
  </si>
  <si>
    <t>17CR</t>
  </si>
  <si>
    <t>718</t>
  </si>
  <si>
    <t>BEBOLI</t>
  </si>
  <si>
    <t>BEBOLI-1</t>
  </si>
  <si>
    <t>SEC-33ST1</t>
  </si>
  <si>
    <t>GAGAU</t>
  </si>
  <si>
    <t>GAGAU-1</t>
  </si>
  <si>
    <t>SERAMPANG</t>
  </si>
  <si>
    <t>SEPA-10ST1</t>
  </si>
  <si>
    <t>DULANG-B30ST1</t>
  </si>
  <si>
    <t>DULANG-B25ST2</t>
  </si>
  <si>
    <t>BEKOK-BB17</t>
  </si>
  <si>
    <t>BEKOK-BB19</t>
  </si>
  <si>
    <t>BOC-26 (3B)</t>
  </si>
  <si>
    <t>MUBADALA</t>
  </si>
  <si>
    <t>LADA PUTIH</t>
  </si>
  <si>
    <t>LADA PUTIH-1</t>
  </si>
  <si>
    <t>DEEP WATER NAUTILUS</t>
  </si>
  <si>
    <t>CENGKIH</t>
  </si>
  <si>
    <t>CENGKIH-1</t>
  </si>
  <si>
    <t>BOC-27 (3C)</t>
  </si>
  <si>
    <t>INAI</t>
  </si>
  <si>
    <t>INAI-1</t>
  </si>
  <si>
    <t>MERSING</t>
  </si>
  <si>
    <t>MERSING-1</t>
  </si>
  <si>
    <t>GUMUSUT KAKAP</t>
  </si>
  <si>
    <t>GK-W526C</t>
  </si>
  <si>
    <t>MAERSK VIKING</t>
  </si>
  <si>
    <t>DW DEV C3 (Wet Tree)</t>
  </si>
  <si>
    <t>GK-W721C</t>
  </si>
  <si>
    <t>GK-P527BS1</t>
  </si>
  <si>
    <t>PAPRIKA</t>
  </si>
  <si>
    <t>PAPRIKA-1</t>
  </si>
  <si>
    <t>WD-A09-ST1</t>
  </si>
  <si>
    <t>BERGADING-B1(H)</t>
  </si>
  <si>
    <t>BERGADING-B2(N)</t>
  </si>
  <si>
    <t>BERGADING-B3(O)</t>
  </si>
  <si>
    <t>IRAMA</t>
  </si>
  <si>
    <t>WD-A13</t>
  </si>
  <si>
    <t>ICON CAREN</t>
  </si>
  <si>
    <t>BOC-25 (DD)</t>
  </si>
  <si>
    <t>BO-F605</t>
  </si>
  <si>
    <t>BO-602</t>
  </si>
  <si>
    <t>BOC-24 (RR)</t>
  </si>
  <si>
    <t>KUMANG</t>
  </si>
  <si>
    <t>KUMANG-A6</t>
  </si>
  <si>
    <t>HADRAH</t>
  </si>
  <si>
    <t>HADRAH-1</t>
  </si>
  <si>
    <t>BO-F606</t>
  </si>
  <si>
    <t>LEDANG</t>
  </si>
  <si>
    <t>LEDANG-4SS</t>
  </si>
  <si>
    <t>BUNGA KESUMBA</t>
  </si>
  <si>
    <t>BUNGA KESUMBA A-4</t>
  </si>
  <si>
    <t>KASAWARI-A5</t>
  </si>
  <si>
    <t>INCONEL 925</t>
  </si>
  <si>
    <t>KASAWARI-A1</t>
  </si>
  <si>
    <t>F9</t>
  </si>
  <si>
    <t>F9-A7</t>
  </si>
  <si>
    <t>OPEN HOLE BAREFOOT</t>
  </si>
  <si>
    <t>BARONIA</t>
  </si>
  <si>
    <t>BN-87</t>
  </si>
  <si>
    <t>BN-86</t>
  </si>
  <si>
    <t>BN-85</t>
  </si>
  <si>
    <t>TUKAU</t>
  </si>
  <si>
    <t>TUKAU-E41ST1</t>
  </si>
  <si>
    <t>TUKAU-E42ST1</t>
  </si>
  <si>
    <t>F9-A6</t>
  </si>
  <si>
    <t>CENDOR</t>
  </si>
  <si>
    <t>EC-A08</t>
  </si>
  <si>
    <t>EC-A07</t>
  </si>
  <si>
    <t>EC-A04</t>
  </si>
  <si>
    <t>EC-A03</t>
  </si>
  <si>
    <t>EC-A05</t>
  </si>
  <si>
    <t>EC-A06</t>
  </si>
  <si>
    <t>SOUTH ACIS</t>
  </si>
  <si>
    <t>SASA-02</t>
  </si>
  <si>
    <t>BAKAU</t>
  </si>
  <si>
    <t>BAKAU-A09</t>
  </si>
  <si>
    <t>BAKAU-A10</t>
  </si>
  <si>
    <t>BAKAU-A08</t>
  </si>
  <si>
    <t>MAK YONG</t>
  </si>
  <si>
    <t>MAK YONG-1</t>
  </si>
  <si>
    <t>PUTERI</t>
  </si>
  <si>
    <t>PADANG-A02</t>
  </si>
  <si>
    <t>SNP</t>
  </si>
  <si>
    <t>S-SW1-P17</t>
  </si>
  <si>
    <t>VIT</t>
  </si>
  <si>
    <t>S-CN1-P11</t>
  </si>
  <si>
    <t>S-CN1-P14</t>
  </si>
  <si>
    <t>S-NE1-P10</t>
  </si>
  <si>
    <t>NANGKA-1</t>
  </si>
  <si>
    <t>PESA</t>
  </si>
  <si>
    <t>PESA-01</t>
  </si>
  <si>
    <t>PEMANIS</t>
  </si>
  <si>
    <t>PESA-02</t>
  </si>
  <si>
    <t>PESA-04</t>
  </si>
  <si>
    <t>ECA-02</t>
  </si>
  <si>
    <t>EC-A01</t>
  </si>
  <si>
    <t>KASAWARI-A7</t>
  </si>
  <si>
    <t>BRWA-17</t>
  </si>
  <si>
    <t>BRWA-16ST1</t>
  </si>
  <si>
    <t>BRWA-13ST</t>
  </si>
  <si>
    <t>KACAK</t>
  </si>
  <si>
    <t>KACAK-1</t>
  </si>
  <si>
    <t>JANGAS</t>
  </si>
  <si>
    <t>JANGAS-3</t>
  </si>
  <si>
    <t>D21-A14</t>
  </si>
  <si>
    <t>KULINTANG</t>
  </si>
  <si>
    <t>KULINTANG-1</t>
  </si>
  <si>
    <t>JX NIPPON</t>
  </si>
  <si>
    <t>HELANG</t>
  </si>
  <si>
    <t>HELANG DEEP-1</t>
  </si>
  <si>
    <t>D21-A11</t>
  </si>
  <si>
    <t>SIRUNG-1</t>
  </si>
  <si>
    <t>D21-A12</t>
  </si>
  <si>
    <t>D21-A13</t>
  </si>
  <si>
    <t>BEBARU</t>
  </si>
  <si>
    <t>BEBARU-2</t>
  </si>
  <si>
    <t>DOKONG</t>
  </si>
  <si>
    <t>DOKONG-1</t>
  </si>
  <si>
    <t>KAMOMIL</t>
  </si>
  <si>
    <t>KAMOMIL-1</t>
  </si>
  <si>
    <t>MLK-119</t>
  </si>
  <si>
    <t>DW DEV C3 (Dry Tree)</t>
  </si>
  <si>
    <t>MLK-121</t>
  </si>
  <si>
    <t>MLK-121 S1</t>
  </si>
  <si>
    <t>DW DEV C1 (Dry Tree)</t>
  </si>
  <si>
    <t>MLK-106</t>
  </si>
  <si>
    <t>MLK-118</t>
  </si>
  <si>
    <t>DW DEV C2 (Dry Tree)</t>
  </si>
  <si>
    <t>LANG LEBAH-2</t>
  </si>
  <si>
    <t>D21-A9</t>
  </si>
  <si>
    <t>D21-A10</t>
  </si>
  <si>
    <t>GAHARU</t>
  </si>
  <si>
    <t>GAHARU-1</t>
  </si>
  <si>
    <t>BARAM-H14</t>
  </si>
  <si>
    <t>ST JOSEPH</t>
  </si>
  <si>
    <t>SJ-610A</t>
  </si>
  <si>
    <t>SJ-609C</t>
  </si>
  <si>
    <t>SEA HIBISCUS</t>
  </si>
  <si>
    <t>SJ-609A</t>
  </si>
  <si>
    <t>SAINT JOSEPH</t>
  </si>
  <si>
    <t>SJ-609B</t>
  </si>
  <si>
    <t>BARAM-H15</t>
  </si>
  <si>
    <t>BARAM-H16</t>
  </si>
  <si>
    <t>PEGAGA</t>
  </si>
  <si>
    <t>PGA-06</t>
  </si>
  <si>
    <t>BUNGA TASBIH</t>
  </si>
  <si>
    <t>BUNGA TASBIH-1 (HARAPAN-1)</t>
  </si>
  <si>
    <t>NAGA-8</t>
  </si>
  <si>
    <t>PGA-01ST1</t>
  </si>
  <si>
    <t>PGA-02ST2</t>
  </si>
  <si>
    <t>BN-82ST1</t>
  </si>
  <si>
    <t>KCOOH</t>
  </si>
  <si>
    <t>PGA-04</t>
  </si>
  <si>
    <t>PGA-07</t>
  </si>
  <si>
    <t>PGA-05</t>
  </si>
  <si>
    <t>PGA-03ST1</t>
  </si>
  <si>
    <t>KNDW-D03</t>
  </si>
  <si>
    <t>BY-415</t>
  </si>
  <si>
    <t>PVD-2</t>
  </si>
  <si>
    <t>BY-417</t>
  </si>
  <si>
    <t>TABU-B19 ST1</t>
  </si>
  <si>
    <t>D18-301ST1</t>
  </si>
  <si>
    <t>4 ZONES</t>
  </si>
  <si>
    <t>ICV</t>
  </si>
  <si>
    <t>BN-84</t>
  </si>
  <si>
    <t>E06</t>
  </si>
  <si>
    <t>E06-101</t>
  </si>
  <si>
    <t>E06-102</t>
  </si>
  <si>
    <t>BY-416</t>
  </si>
  <si>
    <t>BY-414</t>
  </si>
  <si>
    <t>BENTARA</t>
  </si>
  <si>
    <t>BENTARA-A2</t>
  </si>
  <si>
    <t>BENTARA-A3</t>
  </si>
  <si>
    <t>BENTARA-A4</t>
  </si>
  <si>
    <t>BUNGA ANGGERIK</t>
  </si>
  <si>
    <t>BUNGA ANGGERIK A-5(B)ST1</t>
  </si>
  <si>
    <t>SERAWA</t>
  </si>
  <si>
    <t>SERAWA-1</t>
  </si>
  <si>
    <t>SAMARANG-B123</t>
  </si>
  <si>
    <t>TABU-B11 ST1</t>
  </si>
  <si>
    <t>KNDW-D13</t>
  </si>
  <si>
    <t>RT-P2</t>
  </si>
  <si>
    <t>WEST CARINA</t>
  </si>
  <si>
    <t>BL</t>
  </si>
  <si>
    <t>BL-P1</t>
  </si>
  <si>
    <t>RT-P3</t>
  </si>
  <si>
    <t>DULANG-A04 ST1</t>
  </si>
  <si>
    <t>TINGGI</t>
  </si>
  <si>
    <t>TINGGI M-1</t>
  </si>
  <si>
    <t>REMAYONG</t>
  </si>
  <si>
    <t>REMAYONG-1</t>
  </si>
  <si>
    <t>BAYAN-221ST2</t>
  </si>
  <si>
    <t>WEST LUTONG</t>
  </si>
  <si>
    <t>WEST LUTONG-A06ST1</t>
  </si>
  <si>
    <t>T-10</t>
  </si>
  <si>
    <t>WEST LUTONG-A13ST2</t>
  </si>
  <si>
    <t>SAMARANG-B122</t>
  </si>
  <si>
    <t>BERTAM A-15ST1</t>
  </si>
  <si>
    <t>WEST TELESTO</t>
  </si>
  <si>
    <t>SEPAT</t>
  </si>
  <si>
    <t>SEPAT-A11</t>
  </si>
  <si>
    <t>SEPAT-A12</t>
  </si>
  <si>
    <t xml:space="preserve">DULANG-A17ST2 </t>
  </si>
  <si>
    <t>TABU-B08ST2</t>
  </si>
  <si>
    <t>TABU-B23 ST1</t>
  </si>
  <si>
    <t>TEMBIKAI</t>
  </si>
  <si>
    <t>TBK-A3ST1</t>
  </si>
  <si>
    <t>TBK-A5</t>
  </si>
  <si>
    <t>TBK-A1</t>
  </si>
  <si>
    <t>TBK-A3</t>
  </si>
  <si>
    <t xml:space="preserve"> </t>
  </si>
  <si>
    <t>TBK-A1ST1</t>
  </si>
  <si>
    <t>BUNGA ANGGERIK A-4(C)</t>
  </si>
  <si>
    <t>BUNGA ANGGERIK A-3(E)</t>
  </si>
  <si>
    <t>KNDW-D15</t>
  </si>
  <si>
    <t>KESIDANG</t>
  </si>
  <si>
    <t>KESIDANG-2</t>
  </si>
  <si>
    <t>LALA</t>
  </si>
  <si>
    <t>LALA-1</t>
  </si>
  <si>
    <t>IRONG</t>
  </si>
  <si>
    <t>IRONG-7</t>
  </si>
  <si>
    <t>SM-B59ST2</t>
  </si>
  <si>
    <t>GOREK</t>
  </si>
  <si>
    <t>GRK-101</t>
  </si>
  <si>
    <t>GOREK-104</t>
  </si>
  <si>
    <t>ARAPAIMA</t>
  </si>
  <si>
    <t>ARAPAIMA-1</t>
  </si>
  <si>
    <t>D35</t>
  </si>
  <si>
    <t>D35B-214ST1</t>
  </si>
  <si>
    <t>DULANG-A23ST2</t>
  </si>
  <si>
    <t>BAYAN-B225</t>
  </si>
  <si>
    <t>DULANG-A33ST2</t>
  </si>
  <si>
    <t>WEST LUTONG-A08ST3</t>
  </si>
  <si>
    <t>CASED HOLE SAND CONSOLIDATION</t>
  </si>
  <si>
    <t>KELAPA BALI</t>
  </si>
  <si>
    <t>KELAPA BALI-1</t>
  </si>
  <si>
    <t>SEPAT-9</t>
  </si>
  <si>
    <t>ABAN-8</t>
  </si>
  <si>
    <t>KNDW-D10</t>
  </si>
  <si>
    <t>KNDW-D17</t>
  </si>
  <si>
    <t>SEPAT-10</t>
  </si>
  <si>
    <t>D18-403</t>
  </si>
  <si>
    <t>BAYAN-B224</t>
  </si>
  <si>
    <t>D18-404</t>
  </si>
  <si>
    <t>D18-402</t>
  </si>
  <si>
    <t>5 ZONES</t>
  </si>
  <si>
    <t>D18 401</t>
  </si>
  <si>
    <t>KNDW-D09</t>
  </si>
  <si>
    <t>BUNGA ANGGERIK A-1(D)</t>
  </si>
  <si>
    <t>BUNGA ANGGERIK A-2(A)</t>
  </si>
  <si>
    <t>SF30-13</t>
  </si>
  <si>
    <t>SAMARANG-C110</t>
  </si>
  <si>
    <t>D35-215ST1</t>
  </si>
  <si>
    <t>D35B-221</t>
  </si>
  <si>
    <t>D35B-219ST2</t>
  </si>
  <si>
    <t>WEST LUTONG-A15ST1</t>
  </si>
  <si>
    <t>DULANG-A11ST2</t>
  </si>
  <si>
    <t>SEPAT-A08ST1</t>
  </si>
  <si>
    <t>NPNT</t>
  </si>
  <si>
    <t>JITANG</t>
  </si>
  <si>
    <t>JTG-A2</t>
  </si>
  <si>
    <t>JTG-A1</t>
  </si>
  <si>
    <t>JTG-A3</t>
  </si>
  <si>
    <t>JTG-A4</t>
  </si>
  <si>
    <t>SF30-6 ST1</t>
  </si>
  <si>
    <t>TEMANA</t>
  </si>
  <si>
    <t>TE-82</t>
  </si>
  <si>
    <t>NURI</t>
  </si>
  <si>
    <t>NURI-1</t>
  </si>
  <si>
    <t>TUKAU TIMUR</t>
  </si>
  <si>
    <t>TT-A7</t>
  </si>
  <si>
    <t>TUKAU TIMUR-A4</t>
  </si>
  <si>
    <t>TT-A1</t>
  </si>
  <si>
    <t>SAMARANG-C23S2</t>
  </si>
  <si>
    <t>BERTAM A-18</t>
  </si>
  <si>
    <t>SEPAT-11</t>
  </si>
  <si>
    <t>BENUM-1</t>
  </si>
  <si>
    <t>BERTAM A-19</t>
  </si>
  <si>
    <t>BOD-26</t>
  </si>
  <si>
    <t>SF30-4</t>
  </si>
  <si>
    <t>D18 107ST1</t>
  </si>
  <si>
    <t>3 ZONES</t>
  </si>
  <si>
    <t>SEE-32</t>
  </si>
  <si>
    <t>EDRILL-2</t>
  </si>
  <si>
    <t>SF30-2</t>
  </si>
  <si>
    <t>SEE-33</t>
  </si>
  <si>
    <t>PATAWALI</t>
  </si>
  <si>
    <t>PATAWALI-2</t>
  </si>
  <si>
    <t>ERB WEST</t>
  </si>
  <si>
    <t>EW-102ST2</t>
  </si>
  <si>
    <t>KERUING</t>
  </si>
  <si>
    <t>KERUING-1</t>
  </si>
  <si>
    <t>TBK-B1</t>
  </si>
  <si>
    <t>TBK-B4</t>
  </si>
  <si>
    <t>TBK-B3</t>
  </si>
  <si>
    <t>TBK-B2</t>
  </si>
  <si>
    <t>TABU-A05 ST1</t>
  </si>
  <si>
    <t>BERTAM-4</t>
  </si>
  <si>
    <t>TABU-A17ST1</t>
  </si>
  <si>
    <t>TABU-A09 ST1</t>
  </si>
  <si>
    <t>TABU-A11ST1</t>
  </si>
  <si>
    <t>LARAK</t>
  </si>
  <si>
    <t>LARAK-A1</t>
  </si>
  <si>
    <t>LARAK-A2</t>
  </si>
  <si>
    <t>TE-83</t>
  </si>
  <si>
    <t>BUNGA ZETUNG</t>
  </si>
  <si>
    <t>BUNGA ZETUNG A-2 (B)</t>
  </si>
  <si>
    <t>BUNGA ZETUNG A-3 (F)</t>
  </si>
  <si>
    <t>BUNGA ZETUNG A-4 (C)</t>
  </si>
  <si>
    <t>BUNGA ZETUNG A-1(A)</t>
  </si>
  <si>
    <t>BOLAI</t>
  </si>
  <si>
    <t>BOLAI-1</t>
  </si>
  <si>
    <t>BO-404</t>
  </si>
  <si>
    <t>BO-401ST1</t>
  </si>
  <si>
    <t>BOKOR-D403</t>
  </si>
  <si>
    <t>BO-402</t>
  </si>
  <si>
    <t>SJ-105C</t>
  </si>
  <si>
    <t>BERTAM-5</t>
  </si>
  <si>
    <t>D35A-107ST1</t>
  </si>
  <si>
    <t>WEST BELUMUT</t>
  </si>
  <si>
    <t>WB A-03ST2</t>
  </si>
  <si>
    <t>ERB WEST 120 ST2</t>
  </si>
  <si>
    <t>EW-119 ST2</t>
  </si>
  <si>
    <t>WB A-02ST3</t>
  </si>
  <si>
    <t>SJ-105B</t>
  </si>
  <si>
    <t>D35A-111ST1</t>
  </si>
  <si>
    <t>PUDING EMAS</t>
  </si>
  <si>
    <t>PE-1</t>
  </si>
  <si>
    <t>AJK-A1ST1</t>
  </si>
  <si>
    <t>SJ-105A</t>
  </si>
  <si>
    <t>ANJUNG-A2</t>
  </si>
  <si>
    <t>D18 201ST1</t>
  </si>
  <si>
    <t>BOD-25</t>
  </si>
  <si>
    <t>D18 208B</t>
  </si>
  <si>
    <t>F14-108</t>
  </si>
  <si>
    <t>F14-106</t>
  </si>
  <si>
    <t>EW-123ST2</t>
  </si>
  <si>
    <t>GANDARUSA</t>
  </si>
  <si>
    <t>GANDARUSA-1</t>
  </si>
  <si>
    <t>JERANGAU</t>
  </si>
  <si>
    <t>JERANGAU-1</t>
  </si>
  <si>
    <t>MONG</t>
  </si>
  <si>
    <t>MONG-01</t>
  </si>
  <si>
    <t>BUNGA SAFRON</t>
  </si>
  <si>
    <t>BUNGA SAFFRON-1</t>
  </si>
  <si>
    <t>TAWAKAL</t>
  </si>
  <si>
    <t>TAWAKAL-1</t>
  </si>
  <si>
    <t>D35A-106ST1</t>
  </si>
  <si>
    <t>SERDAM</t>
  </si>
  <si>
    <t>SERDAM-01</t>
  </si>
  <si>
    <t>CD-C12</t>
  </si>
  <si>
    <t>CASED HOLE COMPLIANT SCREEN</t>
  </si>
  <si>
    <t>GK-P718AR2</t>
  </si>
  <si>
    <t>EB A-18ST2</t>
  </si>
  <si>
    <t>EB A-22ST2</t>
  </si>
  <si>
    <t>EB A-29ST1</t>
  </si>
  <si>
    <t>EB A-19ST1</t>
  </si>
  <si>
    <t>LANG LEBAH-1RDL2</t>
  </si>
  <si>
    <t>ANGSI</t>
  </si>
  <si>
    <t>ANGSI-E16</t>
  </si>
  <si>
    <t>SUMANDAK SELATAN</t>
  </si>
  <si>
    <t>SUMANDAK SELATAN-B16ST1</t>
  </si>
  <si>
    <t>SUMANDAK SELATAN-B11ST1</t>
  </si>
  <si>
    <t>BN-83</t>
  </si>
  <si>
    <t>KNDW-D04</t>
  </si>
  <si>
    <t>BUNGA KEKWA</t>
  </si>
  <si>
    <t>BKC-03</t>
  </si>
  <si>
    <t>SUMANDAK SELATAN-B12ST1</t>
  </si>
  <si>
    <t>SUMANDAK SELATAN-B02ST1</t>
  </si>
  <si>
    <t>TAMPAN</t>
  </si>
  <si>
    <t>TAMPAN-1</t>
  </si>
  <si>
    <t>CD-B17</t>
  </si>
  <si>
    <t>BKC-17</t>
  </si>
  <si>
    <t>GUMUSUT</t>
  </si>
  <si>
    <t>GK-W515B</t>
  </si>
  <si>
    <t>GK-W614B</t>
  </si>
  <si>
    <t>SHALLOW CLASTIC</t>
  </si>
  <si>
    <t>SCDR-A6</t>
  </si>
  <si>
    <t>CD-B16</t>
  </si>
  <si>
    <t>BN-80</t>
  </si>
  <si>
    <t>D35C-301ST1</t>
  </si>
  <si>
    <t xml:space="preserve">D35C-303ST1 </t>
  </si>
  <si>
    <t>D35C-305ST3</t>
  </si>
  <si>
    <t>SUMANDAK SELATAN-B20</t>
  </si>
  <si>
    <t>ANGSI-E14</t>
  </si>
  <si>
    <t>BKC-8</t>
  </si>
  <si>
    <t>BN-81</t>
  </si>
  <si>
    <t>BKC-10ST1 (B)</t>
  </si>
  <si>
    <t>BARAM D2-1</t>
  </si>
  <si>
    <t>BERANTAI WEST-1</t>
  </si>
  <si>
    <t>E06-108</t>
  </si>
  <si>
    <t>BERANTAI EAST-2</t>
  </si>
  <si>
    <t>D28</t>
  </si>
  <si>
    <t>D28-OP2</t>
  </si>
  <si>
    <t>D28-OP1</t>
  </si>
  <si>
    <t>BN-79</t>
  </si>
  <si>
    <t>ANGSI-E15</t>
  </si>
  <si>
    <t>SUMANDAK SELATAN B04 ST1</t>
  </si>
  <si>
    <t>SUMANDAK SELATAN-B01ST1</t>
  </si>
  <si>
    <t>CD-B02ST2</t>
  </si>
  <si>
    <t>TE-81</t>
  </si>
  <si>
    <t>GINSENG</t>
  </si>
  <si>
    <t>GINSENG-1</t>
  </si>
  <si>
    <t>F14-102</t>
  </si>
  <si>
    <t>D35B-216</t>
  </si>
  <si>
    <t>D35B</t>
  </si>
  <si>
    <t>D35B-217 ST2</t>
  </si>
  <si>
    <t>D35A-108ST5</t>
  </si>
  <si>
    <t>D35-218ST1</t>
  </si>
  <si>
    <t>BN-77</t>
  </si>
  <si>
    <t>BN-78</t>
  </si>
  <si>
    <t>BPA-5</t>
  </si>
  <si>
    <t>CD-C11</t>
  </si>
  <si>
    <t>BERGADING-A8(K)</t>
  </si>
  <si>
    <t>BERGADING-A9(M)</t>
  </si>
  <si>
    <t>BERGADING-A10(P)</t>
  </si>
  <si>
    <t>SUMANDAK UTARA</t>
  </si>
  <si>
    <t>SUMANDAK UTARA-1</t>
  </si>
  <si>
    <t>BERYL</t>
  </si>
  <si>
    <t>BU-3</t>
  </si>
  <si>
    <t>AXINIT</t>
  </si>
  <si>
    <t>AXINIT-1</t>
  </si>
  <si>
    <t>SAPA-01ST2</t>
  </si>
  <si>
    <t>SAPA-17ST1</t>
  </si>
  <si>
    <t>SAPA-03</t>
  </si>
  <si>
    <t>BUNGA ANDONG</t>
  </si>
  <si>
    <t>BUNGA ANDONG-1</t>
  </si>
  <si>
    <t>BN-76</t>
  </si>
  <si>
    <t>BPA-3</t>
  </si>
  <si>
    <t>BPA-2</t>
  </si>
  <si>
    <t>SEC-40</t>
  </si>
  <si>
    <t>REALGAR</t>
  </si>
  <si>
    <t>REALGAR-2</t>
  </si>
  <si>
    <t>BUNGA TERUNTUM</t>
  </si>
  <si>
    <t>BUNGA TERUNTUM-1</t>
  </si>
  <si>
    <t>PATAWALI-1</t>
  </si>
  <si>
    <t>SALAM-2</t>
  </si>
  <si>
    <t>BU-1</t>
  </si>
  <si>
    <t>PROSPECT</t>
  </si>
  <si>
    <t>BUNGA KANGSAR-1</t>
  </si>
  <si>
    <t>BU-2</t>
  </si>
  <si>
    <t>BUNGA TERATAI 5</t>
  </si>
  <si>
    <t>SM-47ST</t>
  </si>
  <si>
    <t>SM-50ST2</t>
  </si>
  <si>
    <t>KNDW-D11</t>
  </si>
  <si>
    <t>BUNGA TERATAI-4</t>
  </si>
  <si>
    <t>KNDW-D01</t>
  </si>
  <si>
    <t>KNDW-D12</t>
  </si>
  <si>
    <t>DULANG-D02ST1</t>
  </si>
  <si>
    <t>TIMI-1</t>
  </si>
  <si>
    <t>DULANG-D12ST1</t>
  </si>
  <si>
    <t>KAYU SUGI</t>
  </si>
  <si>
    <t>KAYU SUGI-1</t>
  </si>
  <si>
    <t>TOTAL ENERGIES</t>
  </si>
  <si>
    <t>TEPAT</t>
  </si>
  <si>
    <t>TEPAT-1</t>
  </si>
  <si>
    <t>MAERSK DELIVERER</t>
  </si>
  <si>
    <t>BERTAM A-17</t>
  </si>
  <si>
    <t>UMBAI</t>
  </si>
  <si>
    <t>UMBAI-1</t>
  </si>
  <si>
    <t>BUAH KERAS</t>
  </si>
  <si>
    <t>BUAH KERAS-1</t>
  </si>
  <si>
    <t>LOKIO</t>
  </si>
  <si>
    <t>LOKIO-1</t>
  </si>
  <si>
    <t>KNDW-D06</t>
  </si>
  <si>
    <t>BESAR-A3</t>
  </si>
  <si>
    <t>BESAR-A5</t>
  </si>
  <si>
    <t>JARAK</t>
  </si>
  <si>
    <t>JARAK-1</t>
  </si>
  <si>
    <t>TE-80</t>
  </si>
  <si>
    <t>GANSAR-2</t>
  </si>
  <si>
    <t>SAMARANG ASAM PAYA</t>
  </si>
  <si>
    <t>SUMAZAU-1</t>
  </si>
  <si>
    <t>J4-A06ST1</t>
  </si>
  <si>
    <t>J4-A02ST1</t>
  </si>
  <si>
    <t>EB A-04ST1</t>
  </si>
  <si>
    <t>HAKURYU-11</t>
  </si>
  <si>
    <t>TT-A6</t>
  </si>
  <si>
    <t>KNDW-D07</t>
  </si>
  <si>
    <t>DULANG-D13ST1</t>
  </si>
  <si>
    <t>BESAR-A1</t>
  </si>
  <si>
    <t>BENTARA-A1</t>
  </si>
  <si>
    <t>DULANG-D10ST1 (WI)</t>
  </si>
  <si>
    <t>PEPULUT</t>
  </si>
  <si>
    <t>PEPULUT-01</t>
  </si>
  <si>
    <t>SK408</t>
  </si>
  <si>
    <t>REMUJUNG-01</t>
  </si>
  <si>
    <t>BESAR-A2</t>
  </si>
  <si>
    <t>BESTARI</t>
  </si>
  <si>
    <t>BESTARI-3</t>
  </si>
  <si>
    <t>KNDW-D14</t>
  </si>
  <si>
    <t>MLK-124</t>
  </si>
  <si>
    <t>EAST BELUMUT A-13 ST2</t>
  </si>
  <si>
    <t>EAST BELUMUT A-10 ST1</t>
  </si>
  <si>
    <t>BERGADING-A7(O)</t>
  </si>
  <si>
    <t>ZUHAL SOUTH</t>
  </si>
  <si>
    <t>ZUHAL SOUTH-1</t>
  </si>
  <si>
    <t>SM-121</t>
  </si>
  <si>
    <t>PELAJO</t>
  </si>
  <si>
    <t>PELAJO-1</t>
  </si>
  <si>
    <t>SEWOK</t>
  </si>
  <si>
    <t>SEROK-7</t>
  </si>
  <si>
    <t>SM-118</t>
  </si>
  <si>
    <t>SM-120</t>
  </si>
  <si>
    <t>SM-119ST1</t>
  </si>
  <si>
    <t>OPHIR</t>
  </si>
  <si>
    <t>OPHIR-A3</t>
  </si>
  <si>
    <t>PUTERI BASEMENT-1</t>
  </si>
  <si>
    <t>B15</t>
  </si>
  <si>
    <t>B15-A1</t>
  </si>
  <si>
    <t>OPHIR-A2</t>
  </si>
  <si>
    <t>OPHIR-A1</t>
  </si>
  <si>
    <t>D21-A8</t>
  </si>
  <si>
    <t>F12</t>
  </si>
  <si>
    <t>F12-A2</t>
  </si>
  <si>
    <t>F12-A1</t>
  </si>
  <si>
    <t>F12-A3</t>
  </si>
  <si>
    <t>SASA-19</t>
  </si>
  <si>
    <t>TBK-A4</t>
  </si>
  <si>
    <t>D21-A6</t>
  </si>
  <si>
    <t>TT-A8</t>
  </si>
  <si>
    <t>WD-A18</t>
  </si>
  <si>
    <t>BERGADING-A4(E)</t>
  </si>
  <si>
    <t>WEST BELUMUT A-06</t>
  </si>
  <si>
    <t>WEST BELUMUT A-05</t>
  </si>
  <si>
    <t>WEST BELUMUT A-04</t>
  </si>
  <si>
    <t>LANGSAT</t>
  </si>
  <si>
    <t>LANGSAT-1</t>
  </si>
  <si>
    <t>NOBLE BULLY-2</t>
  </si>
  <si>
    <t>HYDRAULIC WORKOVER UNIT (HWU)</t>
  </si>
  <si>
    <t>MLK-113</t>
  </si>
  <si>
    <t>TT-A5</t>
  </si>
  <si>
    <t>SADOK</t>
  </si>
  <si>
    <t>SADOK-1</t>
  </si>
  <si>
    <t>UNGGUL</t>
  </si>
  <si>
    <t>UNGGUL-1</t>
  </si>
  <si>
    <t>BERGADING-A1(A)</t>
  </si>
  <si>
    <t>MLK-122</t>
  </si>
  <si>
    <t>BERGADING-A2(C)</t>
  </si>
  <si>
    <t>BERGADING-A3(B)</t>
  </si>
  <si>
    <t>TT-A2</t>
  </si>
  <si>
    <t>NC3</t>
  </si>
  <si>
    <t>NC3-A5</t>
  </si>
  <si>
    <t>LAKUM</t>
  </si>
  <si>
    <t>LAKUM-1</t>
  </si>
  <si>
    <t>NAGA-1</t>
  </si>
  <si>
    <t>LIMBAYONG</t>
  </si>
  <si>
    <t>LIMBAYONG-4</t>
  </si>
  <si>
    <t>DSM-1</t>
  </si>
  <si>
    <t>LIMBAYONG-4 RDR</t>
  </si>
  <si>
    <t>BUNGA KESUMBA-A2(B)</t>
  </si>
  <si>
    <t>BUNGA KESUMBA A-3(C)</t>
  </si>
  <si>
    <t>BUNGA KESUMBA A-1(A)</t>
  </si>
  <si>
    <t>PUDING EMAS -1</t>
  </si>
  <si>
    <t>BN-72</t>
  </si>
  <si>
    <t>BN-73</t>
  </si>
  <si>
    <t>BN-74</t>
  </si>
  <si>
    <t>EMPURAU</t>
  </si>
  <si>
    <t>EMPURAU-1</t>
  </si>
  <si>
    <t>JITANG-1</t>
  </si>
  <si>
    <t>BEDUK</t>
  </si>
  <si>
    <t>BEDUK-1</t>
  </si>
  <si>
    <t>SM-117</t>
  </si>
  <si>
    <t>SM-49ST</t>
  </si>
  <si>
    <t>SM-116</t>
  </si>
  <si>
    <t>BERGADING-D2 (B)</t>
  </si>
  <si>
    <t>BERGADING-D1 (C)</t>
  </si>
  <si>
    <t>BERGADING-D3 (D)</t>
  </si>
  <si>
    <t>BERGADING-D4 (A)</t>
  </si>
  <si>
    <t>EB A-14ST2</t>
  </si>
  <si>
    <t>D35-211</t>
  </si>
  <si>
    <t>MALIGAN</t>
  </si>
  <si>
    <t>MALIGAN-1</t>
  </si>
  <si>
    <t>WEST PROSPERO</t>
  </si>
  <si>
    <t>SM-115</t>
  </si>
  <si>
    <t>SM-114</t>
  </si>
  <si>
    <t>GUNTONG-C11ST1</t>
  </si>
  <si>
    <t>SASA-15</t>
  </si>
  <si>
    <t>SASA-13</t>
  </si>
  <si>
    <t>SASA-14</t>
  </si>
  <si>
    <t>D35-209-ST2</t>
  </si>
  <si>
    <t>BAMBAZON</t>
  </si>
  <si>
    <t>BAMBAZON SH1-1</t>
  </si>
  <si>
    <t>EBA-06ST2</t>
  </si>
  <si>
    <t>EB A-11ST1</t>
  </si>
  <si>
    <t>SM-113</t>
  </si>
  <si>
    <t>D35-213</t>
  </si>
  <si>
    <t>SM112</t>
  </si>
  <si>
    <t>BERGADING-C1 (A)</t>
  </si>
  <si>
    <t>BERGADING-C3 (C)</t>
  </si>
  <si>
    <t>BERGADING-C4 (D)</t>
  </si>
  <si>
    <t>BERGADING-C2(B)</t>
  </si>
  <si>
    <t>MARJORAM-2</t>
  </si>
  <si>
    <t>ZOISIT-1</t>
  </si>
  <si>
    <t>TUNTONG</t>
  </si>
  <si>
    <t>TUNTONG-1</t>
  </si>
  <si>
    <t>SASA-05</t>
  </si>
  <si>
    <t>BUNGA TERATAI-3</t>
  </si>
  <si>
    <t>BERTAM-3</t>
  </si>
  <si>
    <t>BAIDURI</t>
  </si>
  <si>
    <t>BAIDURI-1</t>
  </si>
  <si>
    <t>F9 NORTH</t>
  </si>
  <si>
    <t>F9-A5</t>
  </si>
  <si>
    <t>BESTARI-2</t>
  </si>
  <si>
    <t>OCEAN ROVER</t>
  </si>
  <si>
    <t>JEREMIN</t>
  </si>
  <si>
    <t>JEREMIN-1</t>
  </si>
  <si>
    <t>PUTAT</t>
  </si>
  <si>
    <t>PUTAT-1</t>
  </si>
  <si>
    <t>JERUN-1</t>
  </si>
  <si>
    <t>NC3-A4</t>
  </si>
  <si>
    <t>D18-309</t>
  </si>
  <si>
    <t>MAERSK CONVINCER</t>
  </si>
  <si>
    <t>ROTAN RP-1</t>
  </si>
  <si>
    <t>MERAPUH</t>
  </si>
  <si>
    <t>MERAPUH-05</t>
  </si>
  <si>
    <t>PRPA-06</t>
  </si>
  <si>
    <t>CHENANG</t>
  </si>
  <si>
    <t>CHENANG-2</t>
  </si>
  <si>
    <t>ROWAN GORILLA-2</t>
  </si>
  <si>
    <t>D18-108</t>
  </si>
  <si>
    <t>PERMAI</t>
  </si>
  <si>
    <t>PERMAI-1</t>
  </si>
  <si>
    <t>NC3-A1</t>
  </si>
  <si>
    <t>AZURIT</t>
  </si>
  <si>
    <t>AZURIT-1</t>
  </si>
  <si>
    <t>TOMAN</t>
  </si>
  <si>
    <t>TOMAN-1</t>
  </si>
  <si>
    <t>PRPA-01</t>
  </si>
  <si>
    <t>PRPA-02</t>
  </si>
  <si>
    <t>MURPHY</t>
  </si>
  <si>
    <t>PRPA-03</t>
  </si>
  <si>
    <t>PRPA-04</t>
  </si>
  <si>
    <t>SALAM-1</t>
  </si>
  <si>
    <t>DEEP DRILLER-3</t>
  </si>
  <si>
    <t>TBK-A2</t>
  </si>
  <si>
    <t>DELIMA</t>
  </si>
  <si>
    <t>DELIMA-1</t>
  </si>
  <si>
    <t>PRPA-10ST2</t>
  </si>
  <si>
    <t>PRPA-12</t>
  </si>
  <si>
    <t>PRPA-11</t>
  </si>
  <si>
    <t>TEMANA-T76</t>
  </si>
  <si>
    <t>MENAWAN</t>
  </si>
  <si>
    <t>MENAWAN-1ST1</t>
  </si>
  <si>
    <t>PRPA-05</t>
  </si>
  <si>
    <t>WEST LUTONG DEEP-1</t>
  </si>
  <si>
    <t>BOKOR DEEP WESTERN FLANK - 1</t>
  </si>
  <si>
    <t>CD-C10</t>
  </si>
  <si>
    <t>BAYAN-222</t>
  </si>
  <si>
    <t>D18-208A</t>
  </si>
  <si>
    <t>COSL BOSS</t>
  </si>
  <si>
    <t>D18-207A</t>
  </si>
  <si>
    <t>ANDING UTARA</t>
  </si>
  <si>
    <t>ANDING UTARA-3</t>
  </si>
  <si>
    <t>BELUM</t>
  </si>
  <si>
    <t>BESA-12</t>
  </si>
  <si>
    <t>BESA-01</t>
  </si>
  <si>
    <t>BESA-03</t>
  </si>
  <si>
    <t>BA-33 ST1</t>
  </si>
  <si>
    <t>NUANG</t>
  </si>
  <si>
    <t>NUANG-1</t>
  </si>
  <si>
    <t>AQUA MARINE DRILLER</t>
  </si>
  <si>
    <t>K5</t>
  </si>
  <si>
    <t>K5-4</t>
  </si>
  <si>
    <t>BERTAM A-3</t>
  </si>
  <si>
    <t>LAWA</t>
  </si>
  <si>
    <t>LAWA-1</t>
  </si>
  <si>
    <t>SAPA-07</t>
  </si>
  <si>
    <t>SAPA-15</t>
  </si>
  <si>
    <t>KUANG NORTH</t>
  </si>
  <si>
    <t>KUANG NORTH-3</t>
  </si>
  <si>
    <t>SAPA-04</t>
  </si>
  <si>
    <t>TELOK-B7</t>
  </si>
  <si>
    <t>WAKID</t>
  </si>
  <si>
    <t>WAKID-3</t>
  </si>
  <si>
    <t>MG HULME</t>
  </si>
  <si>
    <t>DANUM</t>
  </si>
  <si>
    <t>DANUM-2</t>
  </si>
  <si>
    <t>D18-209A</t>
  </si>
  <si>
    <t>D18-209B</t>
  </si>
  <si>
    <t>NILAM</t>
  </si>
  <si>
    <t>NILAM-1</t>
  </si>
  <si>
    <t>AMRA</t>
  </si>
  <si>
    <t>AMRA-1</t>
  </si>
  <si>
    <t>MENGKUANG</t>
  </si>
  <si>
    <t>MENGKUANG-1</t>
  </si>
  <si>
    <t>WD-A12</t>
  </si>
  <si>
    <t>ZUHAL NORTH</t>
  </si>
  <si>
    <t>ZUHAL NORTH - 1</t>
  </si>
  <si>
    <t>CEKUR MANIS</t>
  </si>
  <si>
    <t>CEKUR MANIS-1</t>
  </si>
  <si>
    <t>CHERMINGAT</t>
  </si>
  <si>
    <t>CHRA-03 ST1</t>
  </si>
  <si>
    <t>ENSCO-104</t>
  </si>
  <si>
    <t>BESTARI-1</t>
  </si>
  <si>
    <t>KIKEH_PX03(136)</t>
  </si>
  <si>
    <t>SAPA-13</t>
  </si>
  <si>
    <t>SAPA-06</t>
  </si>
  <si>
    <t>EB A-09ST2</t>
  </si>
  <si>
    <t>SRI AMAN</t>
  </si>
  <si>
    <t>SRI AMAN-1 RDR-1</t>
  </si>
  <si>
    <t>LIMAU MANIS-1</t>
  </si>
  <si>
    <t>BA-41 SR</t>
  </si>
  <si>
    <t>SAPA-12</t>
  </si>
  <si>
    <t>KN-B4</t>
  </si>
  <si>
    <t>SAPA-14</t>
  </si>
  <si>
    <t>SAPA</t>
  </si>
  <si>
    <t>SAPA-10</t>
  </si>
  <si>
    <t>ANGSI-B31</t>
  </si>
  <si>
    <t>KITABU</t>
  </si>
  <si>
    <t>KITABU-1</t>
  </si>
  <si>
    <t>PUTERI A-05</t>
  </si>
  <si>
    <t>GANSAR-1</t>
  </si>
  <si>
    <t>BUJANG</t>
  </si>
  <si>
    <t>BUJANG D2-1</t>
  </si>
  <si>
    <t>TOPAZ DRILLER</t>
  </si>
  <si>
    <t>CD-C08</t>
  </si>
  <si>
    <t>BERTAM A-1</t>
  </si>
  <si>
    <t>GAYONG DEEP</t>
  </si>
  <si>
    <t>GAYONG DEEP-1</t>
  </si>
  <si>
    <t>BERTAM A-6</t>
  </si>
  <si>
    <t>BERTAM A-2</t>
  </si>
  <si>
    <t>KIKEH_WX16(119)</t>
  </si>
  <si>
    <t>TELOK-B2</t>
  </si>
  <si>
    <t>SIAKAP NORTH PETAI</t>
  </si>
  <si>
    <t>S-CN1-W4</t>
  </si>
  <si>
    <t>BAKONG</t>
  </si>
  <si>
    <t>BAKONG-1</t>
  </si>
  <si>
    <t>DAMAR</t>
  </si>
  <si>
    <t>DAMAR-A05</t>
  </si>
  <si>
    <t>F14-105</t>
  </si>
  <si>
    <t>SKD ALLIANCE</t>
  </si>
  <si>
    <t>TEMBUNGO</t>
  </si>
  <si>
    <t>TBG-A01 ST1</t>
  </si>
  <si>
    <t>TEMBAKAU</t>
  </si>
  <si>
    <t>TEMBAKAU-2</t>
  </si>
  <si>
    <t>KUKUSAN</t>
  </si>
  <si>
    <t>KUKUSAN-1</t>
  </si>
  <si>
    <t>TBG-B5ST1</t>
  </si>
  <si>
    <t>TBG-B3ST2</t>
  </si>
  <si>
    <t>SAPA-22</t>
  </si>
  <si>
    <t>SAPA-20</t>
  </si>
  <si>
    <t>SAPA-21</t>
  </si>
  <si>
    <t>SAPA-24</t>
  </si>
  <si>
    <t>SAPA-19ST1</t>
  </si>
  <si>
    <t>BUNGA KAMANJU</t>
  </si>
  <si>
    <t>BUNGA KAMANJU-1</t>
  </si>
  <si>
    <t>LARAK-1</t>
  </si>
  <si>
    <t>SERENDAH</t>
  </si>
  <si>
    <t>SNPA-24</t>
  </si>
  <si>
    <t>LAILA</t>
  </si>
  <si>
    <t>LA-104</t>
  </si>
  <si>
    <t>LA-102</t>
  </si>
  <si>
    <t>LA-103</t>
  </si>
  <si>
    <t>LIMBAYONG-3</t>
  </si>
  <si>
    <t>TUNGSTEN EXPLORER</t>
  </si>
  <si>
    <t>SM-111</t>
  </si>
  <si>
    <t>LEGUNDI</t>
  </si>
  <si>
    <t>LEGUNDI-1</t>
  </si>
  <si>
    <t>GOREK-1</t>
  </si>
  <si>
    <t>DAMAR-A12</t>
  </si>
  <si>
    <t>KEKEK</t>
  </si>
  <si>
    <t>KEKEK-1</t>
  </si>
  <si>
    <t>SNPA-14</t>
  </si>
  <si>
    <t>SNPA-11</t>
  </si>
  <si>
    <t>SNPA-12</t>
  </si>
  <si>
    <t>SNPA-10</t>
  </si>
  <si>
    <t>SNPA-13</t>
  </si>
  <si>
    <t>TEJA</t>
  </si>
  <si>
    <t>TEJA-1</t>
  </si>
  <si>
    <t>PEGAGA-2</t>
  </si>
  <si>
    <t>SONGA VENUS</t>
  </si>
  <si>
    <t>S-SW1-P2</t>
  </si>
  <si>
    <t>KEBAYA</t>
  </si>
  <si>
    <t>KEBAYA-1</t>
  </si>
  <si>
    <t>SM-102</t>
  </si>
  <si>
    <t>S-CN2-W2</t>
  </si>
  <si>
    <t>DAMAR-A07</t>
  </si>
  <si>
    <t>SEADRILL WEST LEDA</t>
  </si>
  <si>
    <t>DAMAR-A14</t>
  </si>
  <si>
    <t>DAMAR-A4</t>
  </si>
  <si>
    <t>KENTAL</t>
  </si>
  <si>
    <t>KENTAL-1</t>
  </si>
  <si>
    <t>KINABALU WEST DEEP</t>
  </si>
  <si>
    <t>KN-B3</t>
  </si>
  <si>
    <t>HEBAT</t>
  </si>
  <si>
    <t>HEBAT-1</t>
  </si>
  <si>
    <t>NAIM</t>
  </si>
  <si>
    <t>NAIM-1</t>
  </si>
  <si>
    <t>WEST COURAGEOUS</t>
  </si>
  <si>
    <t>ZUHAL EAST</t>
  </si>
  <si>
    <t>ZE-B</t>
  </si>
  <si>
    <t>ZUHAL EAST-C</t>
  </si>
  <si>
    <t>ZUHAL EAST-A</t>
  </si>
  <si>
    <t>SEMANTAN</t>
  </si>
  <si>
    <t>SEMANTAN-1</t>
  </si>
  <si>
    <t>D18-8</t>
  </si>
  <si>
    <t>DUYONG</t>
  </si>
  <si>
    <t>DUYONG SHALLOW-2</t>
  </si>
  <si>
    <t>SM-109</t>
  </si>
  <si>
    <t>SNPA-04</t>
  </si>
  <si>
    <t>SNPA-06</t>
  </si>
  <si>
    <t>SNPA-07</t>
  </si>
  <si>
    <t>SNPA-05</t>
  </si>
  <si>
    <t>SNPA-08</t>
  </si>
  <si>
    <t>EW-104ST3</t>
  </si>
  <si>
    <t>KM-1</t>
  </si>
  <si>
    <t>INAS</t>
  </si>
  <si>
    <t>INAS-8</t>
  </si>
  <si>
    <t>BUJANG-7</t>
  </si>
  <si>
    <t>NOSONG</t>
  </si>
  <si>
    <t>NOSONG-3</t>
  </si>
  <si>
    <t>EW-124 ST3</t>
  </si>
  <si>
    <t>AJK-A1</t>
  </si>
  <si>
    <t>AJK-A2</t>
  </si>
  <si>
    <t>S-SW1-W1</t>
  </si>
  <si>
    <t>S-SW1-P1</t>
  </si>
  <si>
    <t>KN-B1</t>
  </si>
  <si>
    <t>PIMENTO</t>
  </si>
  <si>
    <t>PIMENTO-1</t>
  </si>
  <si>
    <t>S-NE1-W5</t>
  </si>
  <si>
    <t>SEPAT BARAT</t>
  </si>
  <si>
    <t>SEPAT BARAT-3</t>
  </si>
  <si>
    <t>S-NE1-P8</t>
  </si>
  <si>
    <t>S-CN1-P4</t>
  </si>
  <si>
    <t>SM-106</t>
  </si>
  <si>
    <t>SM-104</t>
  </si>
  <si>
    <t>KEBABANGAN</t>
  </si>
  <si>
    <t>KBB-A07</t>
  </si>
  <si>
    <t>KBB-A06</t>
  </si>
  <si>
    <t>KBB-A13</t>
  </si>
  <si>
    <t>KBB-A02</t>
  </si>
  <si>
    <t>KBB-A20</t>
  </si>
  <si>
    <t>KBB-A05</t>
  </si>
  <si>
    <t>KBB-A03</t>
  </si>
  <si>
    <t>KMSE-A2</t>
  </si>
  <si>
    <t>MAYONG</t>
  </si>
  <si>
    <t>MAYONG-1</t>
  </si>
  <si>
    <t>BERANANG</t>
  </si>
  <si>
    <t>RAMUNIA-1</t>
  </si>
  <si>
    <t>KMSE-A1</t>
  </si>
  <si>
    <t>SEPAT-A10</t>
  </si>
  <si>
    <t>D35 EAST-1</t>
  </si>
  <si>
    <t>PENARA</t>
  </si>
  <si>
    <t>PENARA NW-1</t>
  </si>
  <si>
    <t>DANUM-1</t>
  </si>
  <si>
    <t>ANGSI-D17</t>
  </si>
  <si>
    <t>GLEN TANAR</t>
  </si>
  <si>
    <t>DULANG A-26 ST1</t>
  </si>
  <si>
    <t>D21-A3</t>
  </si>
  <si>
    <t>TANGGA BARAT</t>
  </si>
  <si>
    <t>TNGB-A11</t>
  </si>
  <si>
    <t>TRIUMPH-101</t>
  </si>
  <si>
    <t>TNGB-A12</t>
  </si>
  <si>
    <t>BEKOK-B13</t>
  </si>
  <si>
    <t>BERANANG WEST</t>
  </si>
  <si>
    <t>BERANANG WEST-1</t>
  </si>
  <si>
    <t>SM-84</t>
  </si>
  <si>
    <t>RESAK</t>
  </si>
  <si>
    <t>RESAK-A19</t>
  </si>
  <si>
    <t>D21-A4</t>
  </si>
  <si>
    <t>DULANG-C22ST2</t>
  </si>
  <si>
    <t>ANGSI-D15</t>
  </si>
  <si>
    <t>F19</t>
  </si>
  <si>
    <t>F19 SHALLOW-1</t>
  </si>
  <si>
    <t>ARA</t>
  </si>
  <si>
    <t>ARA-1</t>
  </si>
  <si>
    <t>DULANG-C29</t>
  </si>
  <si>
    <t>TNGB-A6</t>
  </si>
  <si>
    <t>MERAWAN BATU</t>
  </si>
  <si>
    <t>MERAWAN BATU-1</t>
  </si>
  <si>
    <t>KAURAN</t>
  </si>
  <si>
    <t>KAURAN-1</t>
  </si>
  <si>
    <t>DDKG-2</t>
  </si>
  <si>
    <t>RAJAH SHALLOW</t>
  </si>
  <si>
    <t>RAJAH SHALLOW-1</t>
  </si>
  <si>
    <t>DULANG-D28</t>
  </si>
  <si>
    <t>TAMPARULI</t>
  </si>
  <si>
    <t>TAMPARULI-1</t>
  </si>
  <si>
    <t>DULANG-D24ST2</t>
  </si>
  <si>
    <t>DULANG-D32</t>
  </si>
  <si>
    <t>DULANG-D30</t>
  </si>
  <si>
    <t>DULANG-D31</t>
  </si>
  <si>
    <t>SEPAT-A4</t>
  </si>
  <si>
    <t>TNGB-A9</t>
  </si>
  <si>
    <t>SEPAT A-03</t>
  </si>
  <si>
    <t>TNGB-A4</t>
  </si>
  <si>
    <t>BUJANG-6</t>
  </si>
  <si>
    <t>KEDIDI</t>
  </si>
  <si>
    <t>KEDIDI-1</t>
  </si>
  <si>
    <t>ACTINIA</t>
  </si>
  <si>
    <t>DULANG-D27</t>
  </si>
  <si>
    <t>DULANG-D29</t>
  </si>
  <si>
    <t>KANOWIT</t>
  </si>
  <si>
    <t>KANOWIT-SS2</t>
  </si>
  <si>
    <t>CSCOOH</t>
  </si>
  <si>
    <t>KANOWIT-SS1</t>
  </si>
  <si>
    <t>SUMANDAK</t>
  </si>
  <si>
    <t>SUJT-C07</t>
  </si>
  <si>
    <t>TRIDENT-17</t>
  </si>
  <si>
    <t>SUJT-C05</t>
  </si>
  <si>
    <t>TT-A3</t>
  </si>
  <si>
    <t>BOKOR-E508</t>
  </si>
  <si>
    <t>ANGSI-B27 ST3</t>
  </si>
  <si>
    <t>SELENDANG</t>
  </si>
  <si>
    <t>SELENDANG-1</t>
  </si>
  <si>
    <t>BN-75</t>
  </si>
  <si>
    <t>SAPA-11</t>
  </si>
  <si>
    <t>TNGB-A8</t>
  </si>
  <si>
    <t>SEPAT A-02</t>
  </si>
  <si>
    <t>BERTAM A-11</t>
  </si>
  <si>
    <t>DULANG-C31</t>
  </si>
  <si>
    <t>RT-P1</t>
  </si>
  <si>
    <t>SASA-07</t>
  </si>
  <si>
    <t>DULANG-C03</t>
  </si>
  <si>
    <t>SEPA-12</t>
  </si>
  <si>
    <t>BEKOK A-10</t>
  </si>
  <si>
    <t>TEKNIK BERKAT</t>
  </si>
  <si>
    <t>KN-B2</t>
  </si>
  <si>
    <t>BUNGA BAKAWALI</t>
  </si>
  <si>
    <t>BUNGA BAKAWALI-2</t>
  </si>
  <si>
    <t>SASA-03</t>
  </si>
  <si>
    <t>SEPAT A-05</t>
  </si>
  <si>
    <t>F14-107</t>
  </si>
  <si>
    <t xml:space="preserve">WEST ALLIANCE </t>
  </si>
  <si>
    <t>BO-208ST</t>
  </si>
  <si>
    <t>ENAU</t>
  </si>
  <si>
    <t>ENAU-1</t>
  </si>
  <si>
    <t>ROSMARI</t>
  </si>
  <si>
    <t>ROSMARI-1</t>
  </si>
  <si>
    <t>DOO SUNG</t>
  </si>
  <si>
    <t>BESA-02</t>
  </si>
  <si>
    <t>SASA</t>
  </si>
  <si>
    <t>SASA-01</t>
  </si>
  <si>
    <t>D28-2</t>
  </si>
  <si>
    <t>BAKONG A-01</t>
  </si>
  <si>
    <t>BERTAM A-12</t>
  </si>
  <si>
    <t>SIRIH</t>
  </si>
  <si>
    <t>SIRIH-1</t>
  </si>
  <si>
    <t>SM-103</t>
  </si>
  <si>
    <t>D21-A1</t>
  </si>
  <si>
    <t>BOKOR-E504</t>
  </si>
  <si>
    <t>ANGSI-D16</t>
  </si>
  <si>
    <t>BEKOK A-01</t>
  </si>
  <si>
    <t>MERANTI M1</t>
  </si>
  <si>
    <t>TNGB-A3</t>
  </si>
  <si>
    <t>BERTAM A-5</t>
  </si>
  <si>
    <t>BIDARA</t>
  </si>
  <si>
    <t>BIDARA-1</t>
  </si>
  <si>
    <t>SONGKET</t>
  </si>
  <si>
    <t>SONGKET-1</t>
  </si>
  <si>
    <t>BUNGA BAKAWALI DEEP-1</t>
  </si>
  <si>
    <t>SEPAT A-09</t>
  </si>
  <si>
    <t>CERI</t>
  </si>
  <si>
    <t>CERI-1</t>
  </si>
  <si>
    <t>BERGADING-A6(G)</t>
  </si>
  <si>
    <t>D21-A2</t>
  </si>
  <si>
    <t>ANGSI-B20ST1</t>
  </si>
  <si>
    <t>SM-105</t>
  </si>
  <si>
    <t>BERTAM A-7</t>
  </si>
  <si>
    <t>BUNGA KAMANJU-1 RDR1</t>
  </si>
  <si>
    <t xml:space="preserve">SW EXP C3                  </t>
  </si>
  <si>
    <t>PENDEKAR</t>
  </si>
  <si>
    <t>PENDEKAR-1</t>
  </si>
  <si>
    <t>WPPB-17</t>
  </si>
  <si>
    <t>SASA-16</t>
  </si>
  <si>
    <t>S-SW1-P9</t>
  </si>
  <si>
    <t>MALIKAI NFE</t>
  </si>
  <si>
    <t>MLK-103</t>
  </si>
  <si>
    <t>BOKOR-E503</t>
  </si>
  <si>
    <t>BAKONG A-02</t>
  </si>
  <si>
    <t>MLK-120</t>
  </si>
  <si>
    <t xml:space="preserve">BN-82ST1 </t>
  </si>
  <si>
    <t>BANANG-B2</t>
  </si>
  <si>
    <t>DAMAR-A10</t>
  </si>
  <si>
    <t>SEC-39</t>
  </si>
  <si>
    <t>ARENGA</t>
  </si>
  <si>
    <t>ARENGA-1</t>
  </si>
  <si>
    <t>BERGADING-A5(N)</t>
  </si>
  <si>
    <t>ANGSI-B32</t>
  </si>
  <si>
    <t>MLK-108</t>
  </si>
  <si>
    <t>BANANG-B1</t>
  </si>
  <si>
    <t>DULANG-D20ST1</t>
  </si>
  <si>
    <t>SASA-17</t>
  </si>
  <si>
    <t>BOKOR-E502</t>
  </si>
  <si>
    <t>ANGSI-B19</t>
  </si>
  <si>
    <t>SF-15</t>
  </si>
  <si>
    <t>PIC</t>
  </si>
  <si>
    <t>Status</t>
  </si>
  <si>
    <t>ReportJournalId</t>
  </si>
  <si>
    <t>WellId</t>
  </si>
  <si>
    <t>WellName</t>
  </si>
  <si>
    <t>Id</t>
  </si>
  <si>
    <t>IsReport</t>
  </si>
  <si>
    <t>Type</t>
  </si>
  <si>
    <t>ContentType</t>
  </si>
  <si>
    <t>Size</t>
  </si>
  <si>
    <t>UploadAt</t>
  </si>
  <si>
    <t>CreatedBy</t>
  </si>
  <si>
    <t>CreatedAt</t>
  </si>
  <si>
    <t>UpdatedBy</t>
  </si>
  <si>
    <t>UpdatedAt</t>
  </si>
  <si>
    <t>IsSuccess</t>
  </si>
  <si>
    <t>DeletedBy</t>
  </si>
  <si>
    <t>IsDeleted</t>
  </si>
  <si>
    <t>FileName</t>
  </si>
  <si>
    <t>FileName (ETL)</t>
  </si>
  <si>
    <t>FileSize</t>
  </si>
  <si>
    <t>Path</t>
  </si>
  <si>
    <t>Mursyid</t>
  </si>
  <si>
    <t>8AA810DC-2B3D-46BD-9491-9F16C59EE792</t>
  </si>
  <si>
    <t>DE852130-D7D6-4B59-A0FB-001DEBCCE3EB</t>
  </si>
  <si>
    <t>C4BFE42D-6C6A-4722-8265-7492D0FEB38F</t>
  </si>
  <si>
    <t>NOOP</t>
  </si>
  <si>
    <t>application/pdf</t>
  </si>
  <si>
    <t>NULL</t>
  </si>
  <si>
    <t>SAMARANG-B123 NOOP.pdf</t>
  </si>
  <si>
    <t>Uploads\c4bfe42d-6c6a-4722-8265-7492d0feb38f.pdf</t>
  </si>
  <si>
    <t>5FF025AE-E7FD-4902-ACDD-C7BA0594F8FE</t>
  </si>
  <si>
    <t>0A421437-1633-46AD-BC15-0B7E164DB2E2</t>
  </si>
  <si>
    <t>FWR</t>
  </si>
  <si>
    <t>SAMARANG-B123 FWR.pdf</t>
  </si>
  <si>
    <t>Uploads\0a421437-1633-46ad-bc15-0b7e164db2e2.pdf</t>
  </si>
  <si>
    <t>5E04E6D7-8AFE-4D45-8E01-992A7CABFC22</t>
  </si>
  <si>
    <t>59815EB3-C163-450B-A924-00CD25EED857</t>
  </si>
  <si>
    <t>F2A753FA-4F94-4E04-BA19-FD5DD3C20070</t>
  </si>
  <si>
    <t>Hadrah-1 Final Well Report_with attachments.pdf</t>
  </si>
  <si>
    <t>Uploads\f2a753fa-4f94-4e04-ba19-fd5dd3c20070.pdf</t>
  </si>
  <si>
    <t>08E63DE3-4F92-467E-9934-5744194F510A</t>
  </si>
  <si>
    <t>28E6B044-E20C-48C0-9464-8C0385877FCA</t>
  </si>
  <si>
    <t>Hadrah-1 NOOP.pdf</t>
  </si>
  <si>
    <t>Uploads\28e6b044-e20c-48c0-9464-8c0385877fca.pdf</t>
  </si>
  <si>
    <t>9C582344-803A-4408-B364-165E54F1AC33</t>
  </si>
  <si>
    <t>E2E37CDE-4762-4283-8993-00D4920B267D</t>
  </si>
  <si>
    <t>F1BD3C71-CE1A-4942-9D06-A028C51DD1D4</t>
  </si>
  <si>
    <t>PMO3WDESWS14_WD-A13.pdf</t>
  </si>
  <si>
    <t>Uploads\f1bd3c71-ce1a-4942-9d06-a028c51dd1d4.pdf</t>
  </si>
  <si>
    <t>A7CCB483-E533-4705-9ABC-E4170E4CB088</t>
  </si>
  <si>
    <t>908E1F2C-E3D8-4F44-8EF6-1EC2D56677F4</t>
  </si>
  <si>
    <t>PMO3WDESWS49_WD-A13.pdf</t>
  </si>
  <si>
    <t>Uploads\908e1f2c-e3d8-4f44-8ef6-1ec2d56677f4.pdf</t>
  </si>
  <si>
    <t>2802568D-0803-40F3-8168-FC03FB34CE58</t>
  </si>
  <si>
    <t>C844197F-4206-492F-9856-010FFE56793F</t>
  </si>
  <si>
    <t>963A123D-1A47-4F8E-A984-359B05959C6C</t>
  </si>
  <si>
    <t>Petronas Final Well Report B16 ST2 rev 3.pdf</t>
  </si>
  <si>
    <t>Uploads\963a123d-1a47-4f8e-a984-359b05959c6c.pdf</t>
  </si>
  <si>
    <t>75C6ECC4-711E-4529-973B-64E4C3CE7ECB</t>
  </si>
  <si>
    <t>FB5E6977-EDDE-47A9-8D74-8CC0C45C66AD</t>
  </si>
  <si>
    <t>Sumandak Selatan B16 ST1 NOOP (FINAL).pdf</t>
  </si>
  <si>
    <t>Uploads\fb5e6977-edde-47a9-8d74-8cc0c45c66ad.pdf</t>
  </si>
  <si>
    <t>9E3730FF-FD4F-43C6-92A6-61045B607718</t>
  </si>
  <si>
    <t>1626FB0A-7458-414B-B820-015880FA6921</t>
  </si>
  <si>
    <t>5D18B9F3-4EA1-41F5-8B05-08B27AFA51CD</t>
  </si>
  <si>
    <t>SKO3D21-WS47_D21-A3.pdf</t>
  </si>
  <si>
    <t>Uploads\5d18b9f3-4ea1-41f5-8b05-08b27afa51cd.pdf</t>
  </si>
  <si>
    <t>06D82BA6-E854-4453-BE79-1882F19FFFE1</t>
  </si>
  <si>
    <t>6725064A-4CAD-40BA-A806-3A8CB1AF511F</t>
  </si>
  <si>
    <t>SKO3D21-WS50_D21-A3.pdf</t>
  </si>
  <si>
    <t>Uploads\6725064a-4cad-40ba-a806-3a8cb1af511f.pdf</t>
  </si>
  <si>
    <t>692DEF30-8075-4FFB-A121-D02B881F214C</t>
  </si>
  <si>
    <t>024D8DAB-F83E-4087-8CA7-016D8C5687AC</t>
  </si>
  <si>
    <t>E02CC16F-4304-4215-9107-34A100D9B785</t>
  </si>
  <si>
    <t>KMSE-A1-FWR.pdf</t>
  </si>
  <si>
    <t>Uploads\e02cc16f-4304-4215-9107-34a100d9b785.pdf</t>
  </si>
  <si>
    <t>8FD94B8F-6F3E-458C-8D62-DD64F3CCB550</t>
  </si>
  <si>
    <t>C1707397-8860-41BE-811B-55766483FDD8</t>
  </si>
  <si>
    <t>KMSE A1_NOOP_2013_SK.pdf</t>
  </si>
  <si>
    <t>Uploads\c1707397-8860-41be-811b-55766483fdd8.pdf</t>
  </si>
  <si>
    <t>FB8E0A8B-2E89-4B43-846F-FED38257C652</t>
  </si>
  <si>
    <t>5E15C965-E999-48C8-9069-01877D2A515F</t>
  </si>
  <si>
    <t>49B1239B-C9CC-44EC-A244-675514BD5F66</t>
  </si>
  <si>
    <t>DULANG-D10ST1 FWR.pdf</t>
  </si>
  <si>
    <t>Uploads\49b1239b-c9cc-44ec-a244-675514bd5f66.pdf</t>
  </si>
  <si>
    <t>C33F0AD0-0E2D-4FF6-B493-128A3680FADA</t>
  </si>
  <si>
    <t>32AB8B2B-48C2-4149-BF0C-581722E48E7F</t>
  </si>
  <si>
    <t>Dulang EMP D10ST1 (W1) - WI Final Submission to MPM.pdf</t>
  </si>
  <si>
    <t>Uploads\32ab8b2b-48c2-4149-bf0c-581722e48e7f.pdf</t>
  </si>
  <si>
    <t>1BA09680-BDD0-4F15-8448-4F3976417F1C</t>
  </si>
  <si>
    <t>16119A4E-13CE-49EC-953A-023BB4B36713</t>
  </si>
  <si>
    <t>EB9CF70E-C7D9-4DD3-B329-6C976EE0E827</t>
  </si>
  <si>
    <t>Bentara-A4 Final Well Report_.pdf</t>
  </si>
  <si>
    <t>Uploads\eb9cf70e-c7d9-4dd3-b329-6c976ee0e827.pdf</t>
  </si>
  <si>
    <t>9492E4B7-C6B1-47ED-BC1D-D8F7EBF4CB75</t>
  </si>
  <si>
    <t>71E2CFC6-F653-4CEB-93A7-3BE85AF92416</t>
  </si>
  <si>
    <t>NOOP Bentara-A4_Signed_rev01.pdf</t>
  </si>
  <si>
    <t>Uploads\71e2cfc6-f653-4ceb-93a7-3be85af92416.pdf</t>
  </si>
  <si>
    <t>9325DC20-1891-4F21-8CFB-1E9D80830BAE</t>
  </si>
  <si>
    <t>853C8EE9-7432-41BC-A655-024326B964D0</t>
  </si>
  <si>
    <t>9B2021DE-FE26-4D41-A86D-3CF9D89BECC6</t>
  </si>
  <si>
    <t>OPHIR-A3 EOWR [FINAL].pdf</t>
  </si>
  <si>
    <t>Uploads\9b2021de-fe26-4d41-a86d-3cf9d89becc6.pdf</t>
  </si>
  <si>
    <t>8226D588-54E3-4054-8DA7-A7E421DFE6A2</t>
  </si>
  <si>
    <t>CD1CD901-F56C-44B5-94C6-6B34D541C2C9</t>
  </si>
  <si>
    <t>NOOP Ophir-A3 Azry.pdf</t>
  </si>
  <si>
    <t>Uploads\cd1cd901-f56c-44b5-94c6-6b34d541c2c9.pdf</t>
  </si>
  <si>
    <t>EA7128A4-2AFA-484B-BA6F-2B537FD225C6</t>
  </si>
  <si>
    <t>90ABE30C-CFE5-4B96-AD6A-029E6883FD37</t>
  </si>
  <si>
    <t>21EBEC4F-0D88-464F-8D4A-162F5407907F</t>
  </si>
  <si>
    <t>SKO3D18-GL29_D18_208A.pdf</t>
  </si>
  <si>
    <t>Uploads\21ebec4f-0d88-464f-8d4a-162f5407907f.pdf</t>
  </si>
  <si>
    <t>41F76A10-EB81-4CD3-911F-4F373500EE57</t>
  </si>
  <si>
    <t>AA2252D7-590F-43EE-9CF7-88DBD8E45919</t>
  </si>
  <si>
    <t>D-18 208 A Final Well Report 208A-OP6 Signed.pdf</t>
  </si>
  <si>
    <t>Uploads\aa2252d7-590f-43ee-9cf7-88dbd8e45919.pdf</t>
  </si>
  <si>
    <t>1B0340CC-880F-4F44-BADA-9A2397381E8F</t>
  </si>
  <si>
    <t>56C05C64-A50C-4B2A-802E-02D40CDEE213</t>
  </si>
  <si>
    <t>37AD2524-37E7-4E17-9815-CFB73152015E</t>
  </si>
  <si>
    <t>Bunga Kangsar-1 NOOP.pdf</t>
  </si>
  <si>
    <t>Uploads\37ad2524-37e7-4e17-9815-cfb73152015e.pdf</t>
  </si>
  <si>
    <t>72F451A6-55FD-4566-A61E-D7B8A3E61EC5</t>
  </si>
  <si>
    <t>639814D0-FA66-46D5-AC1E-3DA444319404</t>
  </si>
  <si>
    <t>Bunga Kangsar-1 n ST1 EoWR - Signed.pdf</t>
  </si>
  <si>
    <t>Uploads\639814d0-fa66-46d5-ac1e-3da444319404.pdf</t>
  </si>
  <si>
    <t>D9D333FA-0B6F-4C84-9F21-B6BEF1D5C00A</t>
  </si>
  <si>
    <t>A1A933A4-9D40-420C-89FE-0323004F37C0</t>
  </si>
  <si>
    <t>907F858F-735B-460C-89E8-77A3C270C6E8</t>
  </si>
  <si>
    <t>F14-107 FDCR.pdf</t>
  </si>
  <si>
    <t>Uploads\907f858f-735b-460c-89e8-77a3c270c6e8.pdf</t>
  </si>
  <si>
    <t>7AEB8C5F-3F31-4E4C-A8EE-43CAD0DB7FE2</t>
  </si>
  <si>
    <t>8C25344F-4963-4A7F-98BA-15C138FE1A9C</t>
  </si>
  <si>
    <t>SKO3F14-GL02_F14-A104, F14-A105, F14-A107_SHELL_NOOP.pdf</t>
  </si>
  <si>
    <t>Uploads\8c25344f-4963-4a7f-98ba-15c138fe1a9c.pdf</t>
  </si>
  <si>
    <t>CC046533-72C1-4CA5-9820-D1CA438DAE45</t>
  </si>
  <si>
    <t>216A2CEC-A146-4481-B58F-042860677FDC</t>
  </si>
  <si>
    <t>A1566789-2451-40A3-B609-81788A5C796C</t>
  </si>
  <si>
    <t>Hibiscus Platform St Joseph well SJ-105B NOOP.pdf</t>
  </si>
  <si>
    <t>Uploads\a1566789-2451-40a3-b609-81788a5c796c.pdf</t>
  </si>
  <si>
    <t>C685184F-CD37-4521-A21E-F1ED5F504419</t>
  </si>
  <si>
    <t>683EED7D-E49B-4E6C-B767-B83ECABF3F77</t>
  </si>
  <si>
    <t>SJ-105B EOWR (PCSB JV).pdf</t>
  </si>
  <si>
    <t>Uploads\683eed7d-e49b-4e6c-b767-b83ecabf3f77.pdf</t>
  </si>
  <si>
    <t>3CB3E716-DFBA-466E-B983-4943844F34C9</t>
  </si>
  <si>
    <t>AA5EE92B-3C85-4669-B458-04982D57F884</t>
  </si>
  <si>
    <t>E0622FC5-A821-4C3B-A8DE-CFF149BBCF17</t>
  </si>
  <si>
    <t>Satong-1_EOWR_20-June-2024_Signed.pdf</t>
  </si>
  <si>
    <t>Uploads\e0622fc5-a821-4c3b-a8de-cff149bbcf17.pdf</t>
  </si>
  <si>
    <t>D09E6C10-5361-4907-B980-B15A2B6D6DEF</t>
  </si>
  <si>
    <t>2848C598-1106-4857-AC53-4809B7F04A78</t>
  </si>
  <si>
    <t>SK405B_Satong-1_NOOP.pdf</t>
  </si>
  <si>
    <t>Uploads\2848c598-1106-4857-ac53-4809b7f04a78.pdf</t>
  </si>
  <si>
    <t>5ECF0704-5652-44A8-8C70-6F0D2DB220C8</t>
  </si>
  <si>
    <t>7B04A1F3-6C63-458A-9DD7-05338CA76373</t>
  </si>
  <si>
    <t>C50ECEED-EA8C-47EA-BEF8-EE588E59224B</t>
  </si>
  <si>
    <t>JXN-DWR-DRG-6-TCR-011-Rev.03 (FINAL)_Bestari-3_EOWR with Appendix.pdf</t>
  </si>
  <si>
    <t>Uploads\c50eceed-ea8c-47ea-bef8-ee588e59224b.pdf</t>
  </si>
  <si>
    <t>11B07E50-C2B0-47A7-AF35-58FB019495F4</t>
  </si>
  <si>
    <t>A4F54413-7861-408B-A6B1-B32A431128B5</t>
  </si>
  <si>
    <t>Bestari-3 NOOP.pdf</t>
  </si>
  <si>
    <t>Uploads\a4f54413-7861-408b-a6b1-b32a431128b5.pdf</t>
  </si>
  <si>
    <t>8C019F30-392E-4DCE-8632-76BD7BCA9905</t>
  </si>
  <si>
    <t>DD10A50F-B668-4097-82FB-062F0BEFFFBF</t>
  </si>
  <si>
    <t>A074076C-196B-4972-8DB3-E3464433F3CD</t>
  </si>
  <si>
    <t>NOOP BRWA17.pdf</t>
  </si>
  <si>
    <t>Uploads\a074076c-196b-4972-8db3-e3464433f3cd.pdf</t>
  </si>
  <si>
    <t>1E45B69E-C78A-400B-8216-783CD6D389D6</t>
  </si>
  <si>
    <t>7DB6A500-455C-4031-9D46-C7558BAF9B13</t>
  </si>
  <si>
    <t>VPSB-BEF3-DRL-WWR-0003 BRWA-17 Final Well Report Rev.1.pdf</t>
  </si>
  <si>
    <t>Uploads\7db6a500-455c-4031-9d46-c7558baf9b13.pdf</t>
  </si>
  <si>
    <t>0384D4C4-7AFC-463A-9878-1A22D1A11744</t>
  </si>
  <si>
    <t>8C9D4BBF-95D2-490B-82A4-0652024B90A1</t>
  </si>
  <si>
    <t>C45EF873-F468-42E3-ACC8-6A5D3BC1AE7E</t>
  </si>
  <si>
    <t>PEMANIS PESA-1, PESA-2, PESA-3 and PESA-4 NOOP Revised.pdf</t>
  </si>
  <si>
    <t>Uploads\c45ef873-f468-42e3-acc8-6a5d3bc1ae7e.pdf</t>
  </si>
  <si>
    <t>2A125C18-480B-468B-9731-DF24D0785D58</t>
  </si>
  <si>
    <t>9C463DFF-0A22-4B77-B88A-B2C7364349BD</t>
  </si>
  <si>
    <t>PESA-2 EOWR FINAL (APPROVED).pdf</t>
  </si>
  <si>
    <t>Uploads\9c463dff-0a22-4b77-b88a-b2c7364349bd.pdf</t>
  </si>
  <si>
    <t>AE4C98D3-7731-43E4-9834-7C32980803E1</t>
  </si>
  <si>
    <t>D2179E06-3BAA-4D3C-A29F-06A51D43ACD6</t>
  </si>
  <si>
    <t>6BD835FF-3184-41A0-8603-42F41E09C4AC</t>
  </si>
  <si>
    <t>Puteri A-5 End of Well Report - FINAL - signed.pdf</t>
  </si>
  <si>
    <t>Uploads\6bd835ff-3184-41a0-8603-42f41e09c4ac.pdf</t>
  </si>
  <si>
    <t>C0BB2163-87F8-429B-8087-9406A91951E7</t>
  </si>
  <si>
    <t>B9AE50FE-7783-41DF-8B4F-E1FE94897BD0</t>
  </si>
  <si>
    <t>PMO3PTRIGL04_PUTERI-A05_SOMV.pdf</t>
  </si>
  <si>
    <t>Uploads\b9ae50fe-7783-41df-8b4f-e1fe94897bd0.pdf</t>
  </si>
  <si>
    <t>97BFA078-E9FD-4462-9F8D-A8E6750D7282</t>
  </si>
  <si>
    <t>E06E5C20-4565-4AC3-BB56-06EBD3970E37</t>
  </si>
  <si>
    <t>BFB119B0-5FCF-4894-AD29-F7B01946E94E</t>
  </si>
  <si>
    <t>PMO3BKWAGL71_BKC-17ST1(C).pdf</t>
  </si>
  <si>
    <t>Uploads\bfb119b0-5fcf-4894-ad29-f7b01946e94e.pdf</t>
  </si>
  <si>
    <t>104C9AFD-33A2-4DDB-B821-5AB3E835C9C1</t>
  </si>
  <si>
    <t>CA34D36C-1813-449B-B2C8-09EACF5E947A</t>
  </si>
  <si>
    <t>PMO3BKWAWSB5_BKC-17ST1(C).pdf</t>
  </si>
  <si>
    <t>Uploads\ca34d36c-1813-449b-b2c8-09eacf5e947a.pdf</t>
  </si>
  <si>
    <t>B1BA5BF3-8952-4573-8A97-76564FD873F4</t>
  </si>
  <si>
    <t>90978F74-C776-46A8-B2CC-06FF8CB0ED05</t>
  </si>
  <si>
    <t>A29CBF93-5C02-47E9-B051-126315B08A52</t>
  </si>
  <si>
    <t>NOOP Berantai West.pdf</t>
  </si>
  <si>
    <t>Uploads\a29cbf93-5c02-47e9-b051-126315b08a52.pdf</t>
  </si>
  <si>
    <t>9A7DA3BA-3772-40F9-BEEE-C01F0ACC01A9</t>
  </si>
  <si>
    <t>821ADA6E-4271-46F0-BD36-654B2A723C91</t>
  </si>
  <si>
    <t>BRW-1 Final Well Report 2018-Final.pdf</t>
  </si>
  <si>
    <t>Uploads\821ada6e-4271-46f0-bd36-654b2a723c91.pdf</t>
  </si>
  <si>
    <t>7306B53A-D376-4F0F-B2DF-5E069DCA04F3</t>
  </si>
  <si>
    <t>E58C22EA-C774-4ED6-8796-072482B46DCD</t>
  </si>
  <si>
    <t>10EB5179-8327-4EA8-BF91-814D97BAEE2F</t>
  </si>
  <si>
    <t>SKO3TMANWS03_TOMAN-1.pdf</t>
  </si>
  <si>
    <t>Uploads\10eb5179-8327-4ea8-bf91-814d97baee2f.pdf</t>
  </si>
  <si>
    <t>7B507B7F-245C-4CC5-8E66-94365A3CE471</t>
  </si>
  <si>
    <t>10B4BC09-5717-4652-825E-307AD6235D4B</t>
  </si>
  <si>
    <t>SKO3TMANWS01_TOMAN-1.pdf</t>
  </si>
  <si>
    <t>Uploads\10b4bc09-5717-4652-825e-307ad6235d4b.pdf</t>
  </si>
  <si>
    <t>FB510231-D3EB-41AC-8A62-1B8432AD1D76</t>
  </si>
  <si>
    <t>70EE8F9B-20C5-4567-9461-072BFA4D3F21</t>
  </si>
  <si>
    <t>97922E5C-16DD-4872-94E9-472221233477</t>
  </si>
  <si>
    <t>Telok B7 Final Well Report (MPM Submission).pdf</t>
  </si>
  <si>
    <t>Uploads\97922e5c-16dd-4872-94e9-472221233477.pdf</t>
  </si>
  <si>
    <t>1F5C693A-2AD4-4D1F-A9B5-14B41E74A568</t>
  </si>
  <si>
    <t>26E9326C-9339-4D10-B1DE-FF5DF864DC8F</t>
  </si>
  <si>
    <t>PMO3TELOWS58_TELOK-B7.pdf</t>
  </si>
  <si>
    <t>Uploads\26e9326c-9339-4d10-b1de-ff5df864dc8f.pdf</t>
  </si>
  <si>
    <t>EEEA4236-9924-4D3B-9499-626E2A28BD1F</t>
  </si>
  <si>
    <t>0A22AC6B-DDCD-42DF-A124-073F9E73111F</t>
  </si>
  <si>
    <t>DD36B1B2-5439-4647-8A85-B68CC43759F3</t>
  </si>
  <si>
    <t>SKO3D21-GL11_BERANANG WEST-1_PCSB_NOOP.pdf</t>
  </si>
  <si>
    <t>Uploads\dd36b1b2-5439-4647-8a85-b68cc43759f3.pdf</t>
  </si>
  <si>
    <t>F10C99CE-4F45-4263-86D0-69689AAEA801</t>
  </si>
  <si>
    <t>AC73EF69-B808-49F2-8EBB-A2290E9138BE</t>
  </si>
  <si>
    <t>SKO3D21-WS66_BERANANG WEST-1_PCSB_FWR.pdf</t>
  </si>
  <si>
    <t>Uploads\ac73ef69-b808-49f2-8ebb-a2290e9138be.pdf</t>
  </si>
  <si>
    <t>5A3F6AE6-BFBE-42A4-B128-81F0019A03C7</t>
  </si>
  <si>
    <t>3F58C90E-E39C-485F-A58A-07710A847553</t>
  </si>
  <si>
    <t>E06-106</t>
  </si>
  <si>
    <t>E931EA5D-6C92-4462-AB92-4011F2B495FD</t>
  </si>
  <si>
    <t>E06-106 End of Well Report.pdf</t>
  </si>
  <si>
    <t>Uploads\e931ea5d-6c92-4462-ab92-4011f2b495fd.pdf</t>
  </si>
  <si>
    <t>AD77BF2F-9A1B-495E-8D1E-58AB44A16C6F</t>
  </si>
  <si>
    <t>AAE22BEA-B16D-4E0B-8B6D-465ACCDD9479</t>
  </si>
  <si>
    <t>SKO3E6--GL6008_E06-101-102-106-108_SHELL.pdf</t>
  </si>
  <si>
    <t>E06-106 (N2) NOOP R2 Final - signed.pdf</t>
  </si>
  <si>
    <t>Uploads\aae22bea-b16d-4e0b-8b6d-465accdd9479.pdf</t>
  </si>
  <si>
    <t>1AB305DF-3A58-4E80-B618-4EED30F78C97</t>
  </si>
  <si>
    <t>AC9164DC-3DFB-4E89-B845-07B6E935B1E7</t>
  </si>
  <si>
    <t>77F4721D-BE69-4091-8B28-AF0CBAB2303F</t>
  </si>
  <si>
    <t>Sepat A4 FWR.pdf</t>
  </si>
  <si>
    <t>Uploads\77f4721d-be69-4091-8b28-af0cbab2303f.pdf</t>
  </si>
  <si>
    <t>2C0A2A4F-B103-4C60-91B3-7A37D6F88C8A</t>
  </si>
  <si>
    <t>7F483FA6-066D-41A7-B110-216CD556479B</t>
  </si>
  <si>
    <t>PMO3SPATGL44_SEPAT-A4.pdf</t>
  </si>
  <si>
    <t>Uploads\7f483fa6-066d-41a7-b110-216cd556479b.pdf</t>
  </si>
  <si>
    <t>4ECE03FF-0ED8-45C6-BCE9-6C255919C5C1</t>
  </si>
  <si>
    <t>65C02843-ACE7-4E11-B4E5-08FB22C2C2D1</t>
  </si>
  <si>
    <t>6E07F49E-1879-4A82-AF07-B0AFFB59D796</t>
  </si>
  <si>
    <t>NOOP - BAA_4C and 3E_Rev0_Final.pdf</t>
  </si>
  <si>
    <t>Uploads\6e07f49e-1879-4a82-af07-b0affb59d796.pdf</t>
  </si>
  <si>
    <t>E41DF2D7-27C0-4D9D-A041-03C5A0A9D95C</t>
  </si>
  <si>
    <t>91609D82-5AB0-490E-B2D7-1068D091DDE5</t>
  </si>
  <si>
    <t>NMB-DRI-RPT-01174.pdf</t>
  </si>
  <si>
    <t>Uploads\91609d82-5ab0-490e-b2d7-1068d091dde5.pdf</t>
  </si>
  <si>
    <t>172B7A70-8233-4C32-ABC8-88D61A519E60</t>
  </si>
  <si>
    <t>DCB9EA9A-6672-4E1F-AE2A-0946E9A5D490</t>
  </si>
  <si>
    <t>A0918E0E-084F-4020-8CB2-82672D1457D4</t>
  </si>
  <si>
    <t>SERAWA-1_NOOP_Internal.pdf</t>
  </si>
  <si>
    <t>Uploads\a0918e0e-084f-4020-8cb2-82672d1457d4.pdf</t>
  </si>
  <si>
    <t>97D93545-8C29-4ABC-9EC4-E98E30993431</t>
  </si>
  <si>
    <t>2092F69F-3526-498F-827A-735FEF7CC4F9</t>
  </si>
  <si>
    <t>SERAWA-1 FWR ALFIAN SIGNED.pdf</t>
  </si>
  <si>
    <t>Uploads\2092f69f-3526-498f-827a-735fef7cc4f9.pdf</t>
  </si>
  <si>
    <t>D7336E90-BE91-480E-A79D-FC0759B5A6C1</t>
  </si>
  <si>
    <t>1D9CA263-7677-4D36-BCAF-095C8E03B23E</t>
  </si>
  <si>
    <t>60E61C03-6403-49A4-AE5E-C0D1BAB93A08</t>
  </si>
  <si>
    <t>ECN-GEN-D-0004_Rev00 NOOP WELL EC-A06 (Slot 3A ECW-A Platform) Rev 00 DS.pdf</t>
  </si>
  <si>
    <t>Uploads\60e61c03-6403-49a4-ae5e-c0d1bab93a08.pdf</t>
  </si>
  <si>
    <t>F829C46B-07AB-467E-8F3A-634CC86E6D2D</t>
  </si>
  <si>
    <t>30B42411-1683-4893-8FDA-05B766470F79</t>
  </si>
  <si>
    <t>EC-A06 Final Well Report (Final).pdf</t>
  </si>
  <si>
    <t>Uploads\30b42411-1683-4893-8fda-05b766470f79.pdf</t>
  </si>
  <si>
    <t>0C24E71B-5821-442A-823B-6037117CFFE5</t>
  </si>
  <si>
    <t>6A984092-1D9D-415B-8DB1-09CA3776E081</t>
  </si>
  <si>
    <t>9874CF15-FB61-4242-A29E-EF2AF052824B</t>
  </si>
  <si>
    <t>Tinggi M-1 NOOP Internal PCSB (1).pdf</t>
  </si>
  <si>
    <t>Uploads\9874cf15-fb61-4242-a29e-ef2af052824b.pdf</t>
  </si>
  <si>
    <t>1DEBAF2F-63E4-4C3A-A833-4727BCDB14D6</t>
  </si>
  <si>
    <t>D8A10067-CA9F-4944-84DB-3993178489B4</t>
  </si>
  <si>
    <t>Tinggi M-1 FWR_Approved with attachments.pdf</t>
  </si>
  <si>
    <t>Uploads\d8a10067-ca9f-4944-84db-3993178489b4.pdf</t>
  </si>
  <si>
    <t>7242906A-D938-4886-8DCA-5063D11DEB8E</t>
  </si>
  <si>
    <t>67281EBF-8F93-4BF7-8093-0A0C9B005694</t>
  </si>
  <si>
    <t>4C759E1D-9FBB-463B-A4DB-6CF796FC880B</t>
  </si>
  <si>
    <t>SBO3SMRGGL31_SM-106_PCSB_NOOP.pdf</t>
  </si>
  <si>
    <t>Uploads\4c759e1d-9fbb-463b-a4db-6cf796fc880b.pdf</t>
  </si>
  <si>
    <t>B1C152C4-B50D-452B-A9C7-3AE14CA51117</t>
  </si>
  <si>
    <t>A0D1ACD7-DFFC-4110-A143-E957D40E5A13</t>
  </si>
  <si>
    <t>SBO3SMRGWSBS_SM-106_pcsb_fwr.pdf</t>
  </si>
  <si>
    <t>Uploads\a0d1acd7-dffc-4110-a143-e957d40e5a13.pdf</t>
  </si>
  <si>
    <t>E813183C-A110-4955-BA60-FACAEF4B40D2</t>
  </si>
  <si>
    <t>0F9F950C-67DD-45BC-A010-0A28F887FB78</t>
  </si>
  <si>
    <t>D2CE0814-5BDD-43B7-A18A-3A2E6D3CE48A</t>
  </si>
  <si>
    <t>Paprika-1 end of well report - combined.pdf</t>
  </si>
  <si>
    <t>Uploads\d2ce0814-5bdd-43b7-a18a-3a2e6d3ce48a.pdf</t>
  </si>
  <si>
    <t>EBDE31C8-0E4F-4CF0-8268-FF2BDDEF8BDE</t>
  </si>
  <si>
    <t>DCA0F3B2-439F-44AB-A3AA-D12E9E7862DE</t>
  </si>
  <si>
    <t>Paprika-1_NOOP_signed.pdf</t>
  </si>
  <si>
    <t>Uploads\dca0f3b2-439f-44ab-a3aa-d12e9e7862de.pdf</t>
  </si>
  <si>
    <t>5B5A91EC-5D37-4D63-A98B-2D6DEF87915F</t>
  </si>
  <si>
    <t>E3B4313E-954D-4297-83F6-0A5653045544</t>
  </si>
  <si>
    <t>003D052E-18B8-4422-BC60-1BA1875CB15B</t>
  </si>
  <si>
    <t>Nangka-1 Drilling Final Well Report.pdf</t>
  </si>
  <si>
    <t>Uploads\003d052e-18b8-4422-bc60-1ba1875cb15b.pdf</t>
  </si>
  <si>
    <t>073027B0-DF17-49E0-AD99-672DC1411B47</t>
  </si>
  <si>
    <t>6DE1BEFC-B35E-48A3-86AC-03D54112E15F</t>
  </si>
  <si>
    <t>SK417 Nangka-1 NOOP Final.pdf</t>
  </si>
  <si>
    <t>Uploads\6de1befc-b35e-48a3-86ac-03d54112e15f.pdf</t>
  </si>
  <si>
    <t>8D58A7D9-7C9C-4918-AE8A-5A0FC76CDA8A</t>
  </si>
  <si>
    <t>A83022C6-F379-4B7B-AAD9-0A6B2FB1AEBF</t>
  </si>
  <si>
    <t>8D93DEE0-52CB-4034-88DB-A4843922B686</t>
  </si>
  <si>
    <t>Sumandak Utara 1 Final Well Report.pdf</t>
  </si>
  <si>
    <t>Uploads\8d93dee0-52cb-4034-88db-a4843922b686.pdf</t>
  </si>
  <si>
    <t>E79F15D0-47A2-4CD9-84B1-EE21B18EB02B</t>
  </si>
  <si>
    <t>6EC59C10-DED2-4979-8CD5-794E7090461C</t>
  </si>
  <si>
    <t>Sumandak Utara NOOP-1.pdf</t>
  </si>
  <si>
    <t>Uploads\6ec59c10-ded2-4979-8cd5-794e7090461c.pdf</t>
  </si>
  <si>
    <t>9471972A-9D4C-4CB3-A600-6FB239612E8C</t>
  </si>
  <si>
    <t>47CEAC94-CCD6-4CEB-996E-0A8190E7E609</t>
  </si>
  <si>
    <t>E2A175F2-A646-45D4-91AF-2FBEC4091412</t>
  </si>
  <si>
    <t>MY-SK309-61-DNC-RP-0001-00_WPPB Infill Campaign EOWR.pdf</t>
  </si>
  <si>
    <t>Uploads\e2a175f2-a646-45d4-91af-2fbec4091412.pdf</t>
  </si>
  <si>
    <t>96462F02-3B7E-4219-AB61-A30BCB545CE4</t>
  </si>
  <si>
    <t>1C0CEF0E-5E0E-4ABC-9A16-747C6DF6CC4B</t>
  </si>
  <si>
    <t>MOM-SK309-61-DR-PR-0001-00_WPPB_INFILL_NOOP.pdf</t>
  </si>
  <si>
    <t>Uploads\1c0cef0e-5e0e-4abc-9a16-747c6df6cc4b.pdf</t>
  </si>
  <si>
    <t>7F6DAEF3-1496-4907-9D87-A9174B56FA69</t>
  </si>
  <si>
    <t>64A76E03-5C03-40C7-8EC3-0AA5D98E04A1</t>
  </si>
  <si>
    <t>13FF1C0A-36BE-468C-9017-EB0EF310D040</t>
  </si>
  <si>
    <t>KUMANG-A6ST1 FWR (Approved).pdf</t>
  </si>
  <si>
    <t>Uploads\13ff1c0a-36be-468c-9017-eb0ef310d040.pdf</t>
  </si>
  <si>
    <t>DAF7CD6C-348B-44A3-85B7-D7241130CE5F</t>
  </si>
  <si>
    <t>E55FBE8A-62D1-46F9-A637-0A7B40CD5C62</t>
  </si>
  <si>
    <t>Kumang-A6 NOOP.pdf</t>
  </si>
  <si>
    <t>Uploads\e55fbe8a-62d1-46f9-a637-0a7b40cd5c62.pdf</t>
  </si>
  <si>
    <t>697A3A70-5304-4813-8C7C-6C0C9C66E788</t>
  </si>
  <si>
    <t>56E41B87-E96E-4B6C-9EAA-0B8E51FBD403</t>
  </si>
  <si>
    <t>1290B1A6-6407-4FBA-B334-2E383819973B</t>
  </si>
  <si>
    <t>Gagau-1_Apr2022_signed.pdf</t>
  </si>
  <si>
    <t>Uploads\1290b1a6-6407-4fba-b334-2e383819973b.pdf</t>
  </si>
  <si>
    <t>3799BCA7-D13B-4D4D-845B-4B92BA6BA672</t>
  </si>
  <si>
    <t>597935D5-FE29-4781-89E0-B015E3BAB4DF</t>
  </si>
  <si>
    <t>Gagau-1_EndofWell_Report_Final_Signed.pdf</t>
  </si>
  <si>
    <t>Uploads\597935d5-fe29-4781-89e0-b015e3bab4df.pdf</t>
  </si>
  <si>
    <t>14298B22-9183-4136-BA90-313315969F0C</t>
  </si>
  <si>
    <t>181BD3CB-02E4-492C-A082-0C518E653C2E</t>
  </si>
  <si>
    <t>E2FA02F9-FF91-41FF-9741-52C7495CBDAF</t>
  </si>
  <si>
    <t>PMO3SGKTWS04_SONGKET_1.pdf</t>
  </si>
  <si>
    <t>Uploads\e2fa02f9-ff91-41ff-9741-52c7495cbdaf.pdf</t>
  </si>
  <si>
    <t>098BE62E-80AE-49B4-B4CD-8086229A2C09</t>
  </si>
  <si>
    <t>92B6C94E-3EBB-4566-AF8E-67205FE5E4CA</t>
  </si>
  <si>
    <t>PMO3SGKTWS02_SONGKET_1.pdf</t>
  </si>
  <si>
    <t>Uploads\92b6c94e-3ebb-4566-af8e-67205fe5e4ca.pdf</t>
  </si>
  <si>
    <t>F44FED2F-470D-42CF-B0DE-93B947DB7059</t>
  </si>
  <si>
    <t>ACCFDFE7-F5F2-4E40-B2CD-0CB1E3599D21</t>
  </si>
  <si>
    <t>B926807C-1FF8-4D33-9E9F-579BFCD81D30</t>
  </si>
  <si>
    <t>BU1 NOOP.pdf</t>
  </si>
  <si>
    <t>Uploads\b926807c-1ff8-4d33-9e9f-579bfcd81d30.pdf</t>
  </si>
  <si>
    <t>B232A11A-7BF7-4EA4-AC6E-C8FBC18A5729</t>
  </si>
  <si>
    <t>47299C7C-FA51-44C8-A55F-6304CF77CFCD</t>
  </si>
  <si>
    <t>BU-1.BU1ST1 EOWR (Signed).pdf</t>
  </si>
  <si>
    <t>Uploads\47299c7c-fa51-44c8-a55f-6304cf77cfcd.pdf</t>
  </si>
  <si>
    <t>5BB78D51-16EA-4C2A-B90E-DDF48A3E2B3E</t>
  </si>
  <si>
    <t>02C107BA-5DF7-4606-B961-0CB248F56286</t>
  </si>
  <si>
    <t>E71A7BED-DA17-4ED8-9DFB-52E946B43481</t>
  </si>
  <si>
    <t>BB-19ST2_Petronas Final Well Report_FINAL.pdf</t>
  </si>
  <si>
    <t>Uploads\e71a7bed-da17-4ed8-9dfb-52e946b43481.pdf</t>
  </si>
  <si>
    <t>8C726C3D-030B-49F4-AC25-8F9E05DF4641</t>
  </si>
  <si>
    <t>DA3F9544-F048-41F9-BA66-B4BB58D50C66</t>
  </si>
  <si>
    <t>NOOP Bekok BB19_Final Rev1_01052022.pdf</t>
  </si>
  <si>
    <t>Uploads\da3f9544-f048-41f9-ba66-b4bb58d50c66.pdf</t>
  </si>
  <si>
    <t>48BBFA13-09D3-4FDE-B641-53505506883F</t>
  </si>
  <si>
    <t>4CEB7F03-E6D4-46B3-A620-0CC484D62555</t>
  </si>
  <si>
    <t>1A1917A3-28B3-4BA4-865A-A4A3A6D888B7</t>
  </si>
  <si>
    <t>D35DPA-111ST1 End Of Well Report Final.pdf</t>
  </si>
  <si>
    <t>Uploads\1a1917a3-28b3-4ba4-865a-a4a3a6d888b7.pdf</t>
  </si>
  <si>
    <t>F9804246-EC3D-4EF7-AFBE-061A6D7CFDC4</t>
  </si>
  <si>
    <t>D8FC57A6-F330-4841-8E4D-C1E817A5DFC7</t>
  </si>
  <si>
    <t>D35A-111ST1 NOOP Final1.pdf</t>
  </si>
  <si>
    <t>Uploads\d8fc57a6-f330-4841-8e4d-c1e817a5dfc7.pdf</t>
  </si>
  <si>
    <t>EBC14FAE-D27B-4153-B398-114110345C15</t>
  </si>
  <si>
    <t>C05A392C-B2EA-43D3-8F55-0D02C275CBE6</t>
  </si>
  <si>
    <t>8C8C18FD-CBB8-4D7A-BE99-9A1C354F7AC1</t>
  </si>
  <si>
    <t>EOWR GK-W721C.pdf</t>
  </si>
  <si>
    <t>Uploads\8c8c18fd-cbb8-4d7a-be99-9a1c354f7ac1.pdf</t>
  </si>
  <si>
    <t>CC68727C-A2A1-4C1A-817B-6CCE2FDE7839</t>
  </si>
  <si>
    <t>6996B6AF-57B4-411D-AB15-CC4C8C834756</t>
  </si>
  <si>
    <t>GK-W721C NOOP.pdf</t>
  </si>
  <si>
    <t>Uploads\6996b6af-57b4-411d-ab15-cc4c8c834756.pdf</t>
  </si>
  <si>
    <t>BE200A28-1668-402A-9DFE-CE35517A2A18</t>
  </si>
  <si>
    <t>58CE1F1C-5C0E-45CF-B89C-0D32CF989AEC</t>
  </si>
  <si>
    <t>88367B35-C598-48BC-B9CA-6E8728BCF29B</t>
  </si>
  <si>
    <t>EBA10ST1 NOOP.pdf</t>
  </si>
  <si>
    <t>Uploads\88367b35-c598-48bc-b9ca-6e8728bcf29b.pdf</t>
  </si>
  <si>
    <t>CFD0CE73-F519-40BE-B256-C83F144395E0</t>
  </si>
  <si>
    <t>C684E8FF-D7A0-457B-AE12-ED2736873A10</t>
  </si>
  <si>
    <t>EBA-10ST1 FWR_SOMV.pdf</t>
  </si>
  <si>
    <t>Uploads\c684e8ff-d7a0-457b-ae12-ed2736873a10.pdf</t>
  </si>
  <si>
    <t>8412839E-EB89-4345-AA49-E3923EABCDCB</t>
  </si>
  <si>
    <t>2D8C210A-CD05-4ED9-804D-0D44A3D7A384</t>
  </si>
  <si>
    <t>94B4A3DF-82D8-43B5-A704-3EBF180DC9BE</t>
  </si>
  <si>
    <t>D21 U1ST1 (A7) EOWR.pdf</t>
  </si>
  <si>
    <t>Uploads\94b4a3df-82d8-43b5-a704-3ebf180dc9be.pdf</t>
  </si>
  <si>
    <t>FE370956-3921-43D4-AE0D-02187DC69EE6</t>
  </si>
  <si>
    <t>977F599D-4EED-41D5-9468-DB08910B95BF</t>
  </si>
  <si>
    <t>D21-C2A-FB3 (D21-A7)NOOP.pdf</t>
  </si>
  <si>
    <t>Uploads\977f599d-4eed-41d5-9468-db08910b95bf.pdf</t>
  </si>
  <si>
    <t>7089545A-2575-46D9-A058-4D91E180A936</t>
  </si>
  <si>
    <t>7274F7BD-E2AD-45E9-B7C4-0E1A960E53EA</t>
  </si>
  <si>
    <t>DB7ECE0A-FB2D-4573-BC90-3BA18DDE31FE</t>
  </si>
  <si>
    <t>PMO3KNJIGL6274_KERANJI-1_FWR.pdf</t>
  </si>
  <si>
    <t>Uploads\db7ece0a-fb2d-4573-bc90-3ba18dde31fe.pdf</t>
  </si>
  <si>
    <t>855AC8E8-CA9F-4361-A658-B9123ECCF434</t>
  </si>
  <si>
    <t>E6DC9DE2-51B0-4464-8879-AF5E18027EA7</t>
  </si>
  <si>
    <t>Keranji-1 Notice of Operation (NOOP)_C1_signed_WGS.pdf</t>
  </si>
  <si>
    <t>Uploads\e6dc9de2-51b0-4464-8879-af5e18027ea7.pdf</t>
  </si>
  <si>
    <t>BCF23954-3DDE-48BF-9F6A-C8C1D8617DC3</t>
  </si>
  <si>
    <t>72545402-E934-4905-8407-0E38DABC371B</t>
  </si>
  <si>
    <t>6E2455E0-217F-4A4F-A358-9E932A00601A</t>
  </si>
  <si>
    <t>Kalung Emas-1 NOOP - SK315 (2023).pdf</t>
  </si>
  <si>
    <t>Uploads\6e2455e0-217f-4a4f-a358-9e932a00601a.pdf</t>
  </si>
  <si>
    <t>8462A360-DA7D-4D0A-808E-487255BE818D</t>
  </si>
  <si>
    <t>792B5EB9-DB98-47EA-8B5A-88C392E76941</t>
  </si>
  <si>
    <t>Kalung Emas-1 Final Well Report.pdf</t>
  </si>
  <si>
    <t>Uploads\792b5eb9-db98-47ea-8b5a-88c392e76941.pdf</t>
  </si>
  <si>
    <t>07B7DE95-C290-4ADF-939B-0984F2FC8F19</t>
  </si>
  <si>
    <t>10018C77-4BE1-43E4-B058-0E3D77C1FD13</t>
  </si>
  <si>
    <t>1BF54ED1-3F5A-4497-965A-5212D2913883</t>
  </si>
  <si>
    <t>PMO3RESKWS3C_RESAK_A19.pdf</t>
  </si>
  <si>
    <t>Uploads\1bf54ed1-3f5a-4497-965a-5212d2913883.pdf</t>
  </si>
  <si>
    <t>E6060644-CB89-4F02-AAF3-7B8356D98598</t>
  </si>
  <si>
    <t>2644175F-56D8-4C63-9BC9-2666253A6597</t>
  </si>
  <si>
    <t>PMO3RESKWS3H_RESAK_A19.pdf</t>
  </si>
  <si>
    <t>Uploads\2644175f-56d8-4c63-9bc9-2666253a6597.pdf</t>
  </si>
  <si>
    <t>29990A66-9FDA-483D-86CB-935E4448126F</t>
  </si>
  <si>
    <t>B9C0218C-C674-4B3B-BF3B-0E564F158392</t>
  </si>
  <si>
    <t>1CC6570A-70A5-4655-B585-3239D4F874AB</t>
  </si>
  <si>
    <t>PMO3BUJGWS51_BUJANG-7_FWR.pdf</t>
  </si>
  <si>
    <t>Uploads\1cc6570a-70a5-4655-b585-3239d4f874ab.pdf</t>
  </si>
  <si>
    <t>7CE09D66-CF86-4A2F-BE33-02EA6307CC24</t>
  </si>
  <si>
    <t>05C8B027-F774-4DDD-832F-A868B9395F4A</t>
  </si>
  <si>
    <t>PMO3BUJGWS47_BUJANG-7_PCSB_NOOP.pdf</t>
  </si>
  <si>
    <t>Uploads\05c8b027-f774-4ddd-832f-a868b9395f4a.pdf</t>
  </si>
  <si>
    <t>6F4CFDC8-C746-43D4-8D5E-C22A4230278D</t>
  </si>
  <si>
    <t>612FB073-5C1D-4A68-9C56-0F6D89697212</t>
  </si>
  <si>
    <t>585D60EB-34A7-4E9F-BBBF-BB5886BC57FA</t>
  </si>
  <si>
    <t>SASA 19nST NOOP- Rev1 (Compacted) (2).pdf</t>
  </si>
  <si>
    <t>Uploads\585d60eb-34a7-4e9f-bbbf-bb5886bc57fa.pdf</t>
  </si>
  <si>
    <t>648AD323-63C3-42AC-B3C7-F67AAEFE61BF</t>
  </si>
  <si>
    <t>542BB74D-E588-4DEA-9C74-8BC3C1C46753</t>
  </si>
  <si>
    <t>SASA-19_19ST1 EOWR.pdf</t>
  </si>
  <si>
    <t>Uploads\542bb74d-e588-4dea-9c74-8bc3c1c46753.pdf</t>
  </si>
  <si>
    <t>81848184-14E1-4C37-93C0-FEC536A80158</t>
  </si>
  <si>
    <t>B5F16F5B-C55D-44A1-B62C-0FD07C95858F</t>
  </si>
  <si>
    <t>55F4CBF8-4317-420C-8ABB-8FAAE202C8B0</t>
  </si>
  <si>
    <t>SK408 Kesidang-1 End of Well Report_SOMV.pdf</t>
  </si>
  <si>
    <t>SK408 Kesidang-1 End of Well Report.pdf</t>
  </si>
  <si>
    <t>Uploads\55f4cbf8-4317-420c-8abb-8faae202c8b0.pdf</t>
  </si>
  <si>
    <t>592A0430-A732-4A11-853B-4CEC8A954E51</t>
  </si>
  <si>
    <t>7BB65CD3-33CF-4888-9722-B5536E361E33</t>
  </si>
  <si>
    <t>Kesidang-1 NOOP_Oct 2019_signed_SOMV.pdf</t>
  </si>
  <si>
    <t>Uploads\7bb65cd3-33cf-4888-9722-b5536e361e33.pdf</t>
  </si>
  <si>
    <t>06E8C015-8C2D-4F84-8C24-4548BA770121</t>
  </si>
  <si>
    <t>1F0B8FC3-A4EA-44C4-95F2-108CA75CAE46</t>
  </si>
  <si>
    <t>4251C55E-1553-4D02-B4AE-FAD75C986AC6</t>
  </si>
  <si>
    <t>BO-B208ST NOOP.pdf</t>
  </si>
  <si>
    <t>Uploads\4251c55e-1553-4d02-b4ae-fad75c986ac6.pdf</t>
  </si>
  <si>
    <t>442D0704-88F6-4144-8AF6-A081EED77972</t>
  </si>
  <si>
    <t>C9C83E91-E306-47EF-8096-2F537BB5F2C7</t>
  </si>
  <si>
    <t>BO 208 ST FWR.pdf</t>
  </si>
  <si>
    <t>Uploads\c9c83e91-e306-47ef-8096-2f537bb5f2c7.pdf</t>
  </si>
  <si>
    <t>42A5D44E-D673-478A-BB37-2C365A18EF8D</t>
  </si>
  <si>
    <t>249FCBA4-82A7-4B10-A96E-10B0B469A066</t>
  </si>
  <si>
    <t>5B8C099F-B0AF-4022-9B38-5260F1BBE904</t>
  </si>
  <si>
    <t>Langsat-1 End of Well Report.pdf</t>
  </si>
  <si>
    <t>Uploads\5b8c099f-b0af-4022-9b38-5260f1bbe904.pdf</t>
  </si>
  <si>
    <t>B9DD0AA8-F9B3-41AB-9D56-CA31673EA9FE</t>
  </si>
  <si>
    <t>F3C83F05-C010-4F18-85E9-654A614685FE</t>
  </si>
  <si>
    <t>Langsat-1 NOOP _Final.pdf</t>
  </si>
  <si>
    <t>Uploads\f3c83f05-c010-4f18-85e9-654a614685fe.pdf</t>
  </si>
  <si>
    <t>5B48B7F7-8C85-4EAD-A73D-C227817A49A5</t>
  </si>
  <si>
    <t>6D4DFCED-7CA6-46A9-8B18-11F5BC967ED2</t>
  </si>
  <si>
    <t>B21AF505-3B8D-4311-972B-29CD186FD175</t>
  </si>
  <si>
    <t>SBO3ZUHNGL01_ZUHAL NORTH-1.pdf</t>
  </si>
  <si>
    <t>Uploads\b21af505-3b8d-4311-972b-29cd186fd175.pdf</t>
  </si>
  <si>
    <t>90C01E4B-0B44-4A93-8B45-9E622C7B53C6</t>
  </si>
  <si>
    <t>67657DEB-AE93-4217-A8D6-785980F15472</t>
  </si>
  <si>
    <t>SBO3ZUHNWS05_ZUHAL NORTH-1.pdf</t>
  </si>
  <si>
    <t>Uploads\67657deb-ae93-4217-a8d6-785980f15472.pdf</t>
  </si>
  <si>
    <t>9D50A38A-42BE-4388-8FA3-9E6E3385CA07</t>
  </si>
  <si>
    <t>0589C3C7-6DC2-465C-9F58-12C6A5555B30</t>
  </si>
  <si>
    <t>E129C284-6364-476B-8E3D-E4DA086AFE72</t>
  </si>
  <si>
    <t>D35B-215ST1 NOOP_signed.pdf</t>
  </si>
  <si>
    <t>Uploads\e129c284-6364-476b-8e3d-e4da086afe72.pdf</t>
  </si>
  <si>
    <t>AA82B3B3-A785-41E0-A149-A3B6805839A4</t>
  </si>
  <si>
    <t>C6C74C8B-3424-42C0-AC9C-C20BAF273829</t>
  </si>
  <si>
    <t>D35B-215ST1 EOWR - 1.pdf</t>
  </si>
  <si>
    <t>Uploads\c6c74c8b-3424-42c0-ac9c-c20baf273829.pdf</t>
  </si>
  <si>
    <t>4E3DE9FE-39BE-4665-B401-A1992A44A222</t>
  </si>
  <si>
    <t>7EEF8196-E443-481C-AA6C-12D2516EF957</t>
  </si>
  <si>
    <t>05CD3DC7-EC5A-43F4-9360-1DE175EB6390</t>
  </si>
  <si>
    <t>NOOP BN-78 Final (Internal) Rev1.pdf</t>
  </si>
  <si>
    <t>Uploads\05cd3dc7-ec5a-43f4-9360-1de175eb6390.pdf</t>
  </si>
  <si>
    <t>BC1368A4-4EFE-446A-9042-C89AC552C4F8</t>
  </si>
  <si>
    <t>82B0047A-3C50-476F-8896-CBB27A793BEA</t>
  </si>
  <si>
    <t>BN78_0_Final Well Report.pdf</t>
  </si>
  <si>
    <t>Uploads\82b0047a-3c50-476f-8896-cbb27a793bea.pdf</t>
  </si>
  <si>
    <t>5304CED2-DA81-4B63-9E72-21E0083C21E5</t>
  </si>
  <si>
    <t>C888CEDE-6448-4BC7-A453-13AE10AE14B2</t>
  </si>
  <si>
    <t>4A5C16D5-509A-4DE7-9E21-91D9F9D9E379</t>
  </si>
  <si>
    <t>E06-101 (N2) NOOP Rev2.pdf</t>
  </si>
  <si>
    <t>Uploads\4a5c16d5-509a-4de7-9e21-91d9f9d9e379.pdf</t>
  </si>
  <si>
    <t>D703DF48-ADEA-497E-9BF8-4BDDD6DC9622</t>
  </si>
  <si>
    <t>0B317304-B3E6-47CE-93E3-2CB56E7B277D</t>
  </si>
  <si>
    <t>E06-101 End of Well Report Final.pdf</t>
  </si>
  <si>
    <t>Uploads\0b317304-b3e6-47ce-93e3-2cb56e7b277d.pdf</t>
  </si>
  <si>
    <t>664B00B8-8A44-454E-AE65-ACEF35C74671</t>
  </si>
  <si>
    <t>A17216D9-C1A2-4435-B86B-13EF8133CCD8</t>
  </si>
  <si>
    <t>3EC6BB5D-9BE1-45A6-9EB2-1731EAD24883</t>
  </si>
  <si>
    <t>KMSE-A04 (NOOP) Rev.0.pdf</t>
  </si>
  <si>
    <t>Uploads\3ec6bb5d-9be1-45a6-9eb2-1731ead24883.pdf</t>
  </si>
  <si>
    <t>E606A6BD-05C0-4CD4-B5D2-82810967AEF7</t>
  </si>
  <si>
    <t>8219E229-7D53-4C7A-B5BA-71992D4B8992</t>
  </si>
  <si>
    <t>KMSE-A04 Final Well Report (1).pdf</t>
  </si>
  <si>
    <t>Uploads\8219e229-7d53-4c7a-b5ba-71992d4b8992.pdf</t>
  </si>
  <si>
    <t>7A0334BA-96EC-4E2D-BAD4-3380836B0953</t>
  </si>
  <si>
    <t>7402BCC4-B9CB-439E-8D6B-13F387F9D593</t>
  </si>
  <si>
    <t>9CF72792-7640-40A4-9278-9B689DCA2694</t>
  </si>
  <si>
    <t>Axinit-1 EOWR.pdf</t>
  </si>
  <si>
    <t>Uploads\9cf72792-7640-40a4-9278-9b689dca2694.pdf</t>
  </si>
  <si>
    <t>0D451E47-A6D3-4F7C-B6FB-0E2D4159C120</t>
  </si>
  <si>
    <t>0EF93DE5-3F25-41DE-85EC-01E4BABC11E5</t>
  </si>
  <si>
    <t>SBO3AXNTGL02_AXINIT-1_REPSOL-NOOP.pdf</t>
  </si>
  <si>
    <t>Uploads\0ef93de5-3f25-41de-85ec-01e4babc11e5.pdf</t>
  </si>
  <si>
    <t>FC1B3373-CE8B-42C2-85D2-51E03591612B</t>
  </si>
  <si>
    <t>4862C4EF-5AB6-4794-AB49-1417587BC393</t>
  </si>
  <si>
    <t>47317A27-39F6-45B9-A2F5-BD912117BB13</t>
  </si>
  <si>
    <t>Kikeh Phase 3a Development_PX12(150)_NOOP_REV0.pdf</t>
  </si>
  <si>
    <t>Uploads\47317a27-39f6-45b9-a2f5-bd912117bb13.pdf</t>
  </si>
  <si>
    <t>EE7DDB50-08F1-4CB0-9534-E086C95DBF9C</t>
  </si>
  <si>
    <t>0F0F71E6-C3CE-43ED-93CF-DD08475849DD</t>
  </si>
  <si>
    <t>MY-K-40-DNC-RP-0003-00_PX12(150)_EOWR_Final 2.pdf</t>
  </si>
  <si>
    <t>Uploads\0f0f71e6-c3ce-43ed-93cf-dd08475849dd.pdf</t>
  </si>
  <si>
    <t>BEEFC53A-3DEB-4B06-A9AD-DEA2891CBA34</t>
  </si>
  <si>
    <t>2F38857B-E0D8-4F9C-8546-14360AA10758</t>
  </si>
  <si>
    <t>456750E1-5632-4979-B97E-1560C8055085</t>
  </si>
  <si>
    <t>BEKOK-B13ST1 FWR.pdf</t>
  </si>
  <si>
    <t>Uploads\456750e1-5632-4979-b97e-1560c8055085.pdf</t>
  </si>
  <si>
    <t>41374903-6FFD-40CA-8A06-4531665E1985</t>
  </si>
  <si>
    <t>D95D36F2-2F61-42E6-8368-066E4A9F43ED</t>
  </si>
  <si>
    <t>BEKOK B13_NOOP_2012_PM.pdf</t>
  </si>
  <si>
    <t>Uploads\d95d36f2-2f61-42e6-8368-066e4a9f43ed.pdf</t>
  </si>
  <si>
    <t>ACE5D51C-C746-445B-8394-D330719545AB</t>
  </si>
  <si>
    <t>723C6B80-313B-413A-B52A-14A3A9D26691</t>
  </si>
  <si>
    <t>205309F3-1B0A-4818-AD66-89213F0BF30C</t>
  </si>
  <si>
    <t>Tuntong-1 FINAL NOOP 12Oct2015.pdf</t>
  </si>
  <si>
    <t>Uploads\205309f3-1b0a-4818-ad66-89213f0bf30c.pdf</t>
  </si>
  <si>
    <t>F27F0EBE-141C-411B-9826-B9C4BD040CA0</t>
  </si>
  <si>
    <t>49BF2BAC-C30B-46BC-B807-E5F3C632879A</t>
  </si>
  <si>
    <t>Tuntong-1.pdf</t>
  </si>
  <si>
    <t>Uploads\49bf2bac-c30b-46bc-b807-e5f3c632879a.pdf</t>
  </si>
  <si>
    <t>25BDD107-9BD9-498C-8C87-25323BB0415E</t>
  </si>
  <si>
    <t>D6048237-B1F2-4032-8A1B-14D5C0C4D62A</t>
  </si>
  <si>
    <t>12C5C62E-6CCE-49B9-9E63-C1D47078B61A</t>
  </si>
  <si>
    <t>Inai-1_Final MLNGx_NOOP.pdf</t>
  </si>
  <si>
    <t>Uploads\12c5c62e-6cce-49b9-9e63-c1d47078b61a.pdf</t>
  </si>
  <si>
    <t>2BA28760-BB27-43DC-AC41-892F7A8449FB</t>
  </si>
  <si>
    <t>764B7702-A671-4BD5-B39A-30E88415EB86</t>
  </si>
  <si>
    <t>Inai-1- SMEP - MLNG Exploration - EOWR.pdf</t>
  </si>
  <si>
    <t>Uploads\764b7702-a671-4bd5-b39a-30e88415eb86.pdf</t>
  </si>
  <si>
    <t>7381DFAF-8EE6-4F46-823B-DABC7F755B50</t>
  </si>
  <si>
    <t>42199651-5ADD-4ACF-B9ED-14D893EF586C</t>
  </si>
  <si>
    <t>6EF6E080-5FCA-4647-9C05-5DE62F156A27</t>
  </si>
  <si>
    <t>SBO3KNBLWS6064_KNDW - D18_NOOP.pdf</t>
  </si>
  <si>
    <t>Uploads\6ef6e080-5fca-4647-9c05-5de62f156a27.pdf</t>
  </si>
  <si>
    <t>402BE419-8D4C-433F-8896-FA9B9BC0A908</t>
  </si>
  <si>
    <t>3010AEEF-78EA-4B68-8AF6-6A7DFFB07177</t>
  </si>
  <si>
    <t>EOWR KNDW-D18_Final.pdf</t>
  </si>
  <si>
    <t>Uploads\3010aeef-78ea-4b68-8af6-6a7dffb07177.pdf</t>
  </si>
  <si>
    <t>0AFADD0A-084A-4D58-B0B8-EFCA89BA60EA</t>
  </si>
  <si>
    <t>6DDB2F2F-5DF5-472C-882C-14FD2C17F275</t>
  </si>
  <si>
    <t>BC71F7D3-02EB-4CF0-9600-9655569446B6</t>
  </si>
  <si>
    <t>Petronas Final Well Report EW-102 ST2.pdf</t>
  </si>
  <si>
    <t>Uploads\bc71f7d3-02eb-4cf0-9600-9655569446b6.pdf</t>
  </si>
  <si>
    <t>A5E43C30-E0F5-4910-88BD-52401A597B16</t>
  </si>
  <si>
    <t>7E05AC35-F3D5-45A5-80BB-F13E810836CD</t>
  </si>
  <si>
    <t>Erb West EW102 ST2 NOOP.pdf</t>
  </si>
  <si>
    <t>Uploads\7e05ac35-f3d5-45a5-80bb-f13e810836cd.pdf</t>
  </si>
  <si>
    <t>51AEEA32-BBEE-4342-B604-AE893AF43682</t>
  </si>
  <si>
    <t>8AF1C868-C086-4BCB-B90D-15A3D5FF347E</t>
  </si>
  <si>
    <t>FD2DA99F-E3ED-4B07-84D9-8CB6EC1B1296</t>
  </si>
  <si>
    <t>SKO3LGNDWS04_LEGUNDI-1.pdf</t>
  </si>
  <si>
    <t>Uploads\fd2da99f-e3ed-4b07-84d9-8cb6ec1b1296.pdf</t>
  </si>
  <si>
    <t>DCC91C23-0C0A-4200-A92C-B5EB2E3D61A8</t>
  </si>
  <si>
    <t>4977979A-B255-4E5A-8C16-0173235DF85A</t>
  </si>
  <si>
    <t>SKO3LGNDWS05_LEGUNDI-1.pdf</t>
  </si>
  <si>
    <t>Uploads\4977979a-b255-4e5a-8c16-0173235df85a.pdf</t>
  </si>
  <si>
    <t>8FBC33C1-CDA9-4E8B-BAB5-BDF04E23A72F</t>
  </si>
  <si>
    <t>9223BF09-7D7E-4979-8DB9-15AF3047D02D</t>
  </si>
  <si>
    <t>8278C789-3190-49BD-8A61-4DD53DDB8954</t>
  </si>
  <si>
    <t>SBO3KARNWS02_KAURAN-1_PCSB.pdf</t>
  </si>
  <si>
    <t>Uploads\8278c789-3190-49bd-8a61-4dd53ddb8954.pdf</t>
  </si>
  <si>
    <t>DFC348AD-99D8-4AC2-ABEB-9BA05CBB479C</t>
  </si>
  <si>
    <t>B9E918D8-C179-4447-86B0-285FF22293D5</t>
  </si>
  <si>
    <t>Kauran-1 FWR_PCSB.pdf</t>
  </si>
  <si>
    <t>Uploads\b9e918d8-c179-4447-86b0-285ff22293d5.pdf</t>
  </si>
  <si>
    <t>87275562-0821-4172-9779-7353EE63A57D</t>
  </si>
  <si>
    <t>721BB7AC-D529-46C1-8581-15D559367D49</t>
  </si>
  <si>
    <t>1679841A-4ACF-40A9-93BB-01367D76553C</t>
  </si>
  <si>
    <t>SEPA12ST1RD EOWR_ FINAL (APPROVED).pdf</t>
  </si>
  <si>
    <t>Uploads\1679841a-4acf-40a9-93bb-01367d76553c.pdf</t>
  </si>
  <si>
    <t>798E198A-3B06-4D58-88D4-31A1AEB27A58</t>
  </si>
  <si>
    <t>3493ECEC-3CF9-4106-8C65-CF0C276174B2</t>
  </si>
  <si>
    <t>NOOP SEPA-10,SEPA-12.pdf</t>
  </si>
  <si>
    <t>Uploads\3493ecec-3cf9-4106-8c65-cf0c276174b2.pdf</t>
  </si>
  <si>
    <t>38FCBE81-0A7E-4A3B-87F4-447D49AF4B4B</t>
  </si>
  <si>
    <t>A2754879-793A-4FC5-9ECE-16526DFEFC7E</t>
  </si>
  <si>
    <t>B8BE4952-68C2-4F87-A387-1DAF6B88029C</t>
  </si>
  <si>
    <t>EBA-13ST2 FWR Final.pdf</t>
  </si>
  <si>
    <t>Uploads\b8be4952-68c2-4f87-a387-1daf6b88029c.pdf</t>
  </si>
  <si>
    <t>0BA3F808-266F-4FC6-8600-0FA6959A90F7</t>
  </si>
  <si>
    <t>20DECB29-22D0-4FC7-AAE3-B56DD1B6A1CD</t>
  </si>
  <si>
    <t>EBA13ST2 NOOP.pdf</t>
  </si>
  <si>
    <t>Uploads\20decb29-22d0-4fc7-aae3-b56dd1b6a1cd.pdf</t>
  </si>
  <si>
    <t>C292CF5A-641C-45D3-A672-0AD96DFBCFD7</t>
  </si>
  <si>
    <t>D096C26F-6123-4C02-AC7C-166615DC47E1</t>
  </si>
  <si>
    <t>MLK-116</t>
  </si>
  <si>
    <t>5D724888-6161-4D76-AECE-56E43BA0792F</t>
  </si>
  <si>
    <t>MLK-116 EOWR Final 201117.pdf</t>
  </si>
  <si>
    <t>Uploads\5d724888-6161-4d76-aece-56e43ba0792f.pdf</t>
  </si>
  <si>
    <t>4A6ACA88-FE9C-4309-8516-5904204880D8</t>
  </si>
  <si>
    <t>B0F57192-080C-4BB1-8D4C-D6F284445DF3</t>
  </si>
  <si>
    <t>SBO3MKAIGL22_MLK-116_SHELL_NOOP.pdf</t>
  </si>
  <si>
    <t>Uploads\b0f57192-080c-4bb1-8d4c-d6f284445df3.pdf</t>
  </si>
  <si>
    <t>9CDE0568-266B-4B0F-9B76-6A0DF4DA7CB3</t>
  </si>
  <si>
    <t>B83D49E0-E860-4C5E-A8D0-173B8D7AF7F2</t>
  </si>
  <si>
    <t>8EEDA14A-3C3D-4A6E-A49B-476DBA08487E</t>
  </si>
  <si>
    <t>SKO3SRDHWS71_SNPA_13.pdf</t>
  </si>
  <si>
    <t>Uploads\8eeda14a-3c3d-4a6e-a49b-476dba08487e.pdf</t>
  </si>
  <si>
    <t>6D0D80BF-4B8C-4207-A35C-AEAAC21E00F6</t>
  </si>
  <si>
    <t>6AD0BF61-1515-42B1-9F68-A2464C4A5FD9</t>
  </si>
  <si>
    <t>MOM-SK309-72-DR-SOW-0005-00_NOOP for SNPA Dev Project Revisit 2 Phase II.pdf</t>
  </si>
  <si>
    <t>Uploads\6ad0bf61-1515-42b1-9f68-a2464c4a5fd9.pdf</t>
  </si>
  <si>
    <t>E8E4DEB1-6AD6-4E99-ABDE-A7A46327EB65</t>
  </si>
  <si>
    <t>55D3100B-81B5-4D62-9B87-175A1BD14946</t>
  </si>
  <si>
    <t>700CC823-4E64-4AE6-8CC0-5286D10B37ED</t>
  </si>
  <si>
    <t>EOWR_BDL-A1 - final - signed.pdf</t>
  </si>
  <si>
    <t>Uploads\700cc823-4e64-4ae6-8cc0-5286d10b37ed.pdf</t>
  </si>
  <si>
    <t>608C469E-FE1A-46F0-A1A7-CCEED732B98F</t>
  </si>
  <si>
    <t>F81FA9C3-5895-4E35-8F20-4C2045253EFF</t>
  </si>
  <si>
    <t>NOOP_Bunga Dahlia-A1_ BDL-A1.pdf</t>
  </si>
  <si>
    <t>Uploads\f81fa9c3-5895-4e35-8f20-4c2045253eff.pdf</t>
  </si>
  <si>
    <t>68E42185-47FB-4775-A3A0-E97CC82B5EE3</t>
  </si>
  <si>
    <t>D3D88475-0467-410E-B708-17C8B7A22861</t>
  </si>
  <si>
    <t>89CCE446-E3E1-421F-BB05-208484D711B5</t>
  </si>
  <si>
    <t>SBO3KNTLWS05_KENTAL-1_PCSB_FWR.pdf</t>
  </si>
  <si>
    <t>Uploads\89cce446-e3e1-421f-bb05-208484d711b5.pdf</t>
  </si>
  <si>
    <t>B84FAA11-1DE5-49E3-90C3-3A2843CEADE9</t>
  </si>
  <si>
    <t>054A70F6-5B35-4960-9A88-E333D2654698</t>
  </si>
  <si>
    <t>Kental-1-NOOP signed.pdf</t>
  </si>
  <si>
    <t>Uploads\054a70f6-5b35-4960-9a88-e333d2654698.pdf</t>
  </si>
  <si>
    <t>10053987-9D43-41C5-A983-357A53D03FC3</t>
  </si>
  <si>
    <t>A1CF9B37-CF17-4F60-9A5D-17ECF405C98C</t>
  </si>
  <si>
    <t>1FB3FA45-4471-4295-B1E1-723663460806</t>
  </si>
  <si>
    <t>NOOP_Dulang B31ST1_(Internal Copy).pdf</t>
  </si>
  <si>
    <t>Uploads\1fb3fa45-4471-4295-b1e1-723663460806.pdf</t>
  </si>
  <si>
    <t>50323378-8181-4EED-A7B2-19315A519966</t>
  </si>
  <si>
    <t>931D53C1-AEDF-42C2-BE34-5DBDD48E1007</t>
  </si>
  <si>
    <t>Dulang B31ST1 Final Well Report.pdf</t>
  </si>
  <si>
    <t>Uploads\931d53c1-aedf-42c2-be34-5dbdd48e1007.pdf</t>
  </si>
  <si>
    <t>4B7D5426-F67D-4A9F-A73E-17BDA7B505C1</t>
  </si>
  <si>
    <t>EE3CDA0B-0790-4EEE-84E2-18028F71BF4A</t>
  </si>
  <si>
    <t>6A47F64B-CFE3-474A-8B3A-671C77C148E6</t>
  </si>
  <si>
    <t>PMO3TNGBWS74_TNGB-A8_PCSB_NOOP.pdf</t>
  </si>
  <si>
    <t>Uploads\6a47f64b-cfe3-474a-8b3a-671c77c148e6.pdf</t>
  </si>
  <si>
    <t>266530B0-CB86-41CE-858B-2EA7E2350951</t>
  </si>
  <si>
    <t>4C9DA848-2CF5-4867-9283-E60B6475BB25</t>
  </si>
  <si>
    <t>PMO3TNGBWS67_TNGB-A8_PCSB_FWR.pdf</t>
  </si>
  <si>
    <t>Uploads\4c9da848-2cf5-4867-9283-e60b6475bb25.pdf</t>
  </si>
  <si>
    <t>4DF58BD5-C6CD-40C6-A9CA-A7C026E2BEA4</t>
  </si>
  <si>
    <t>9C1E6ACA-D7C4-4517-80FB-186C65797D45</t>
  </si>
  <si>
    <t>ECCC5300-C1A4-40F8-BC75-C7CE25AFF7BA</t>
  </si>
  <si>
    <t>NOOP BO-403 ADDENDUM SIGNED_PCSB.pdf</t>
  </si>
  <si>
    <t>Uploads\eccc5300-c1a4-40f8-bc75-c7ce25aff7ba.pdf</t>
  </si>
  <si>
    <t>49DCB309-31AF-46FF-B22A-C9EA6140D966</t>
  </si>
  <si>
    <t>B5118C05-07BB-4EE4-828D-B5B40C7854B7</t>
  </si>
  <si>
    <t>Final Well Report BO-403.pdf</t>
  </si>
  <si>
    <t>Uploads\b5118c05-07bb-4ee4-828d-b5b40c7854b7.pdf</t>
  </si>
  <si>
    <t>0643435C-101F-4F46-840A-2799153C8FD5</t>
  </si>
  <si>
    <t>0CED9DB4-E278-4196-A375-195729B6A22F</t>
  </si>
  <si>
    <t>ACC979F8-C272-4EFB-93BA-10EDF29E544C</t>
  </si>
  <si>
    <t>SJ-610A EOWR (MPM Drilling).pdf</t>
  </si>
  <si>
    <t>Uploads\acc979f8-c272-4efb-93ba-10edf29e544c.pdf</t>
  </si>
  <si>
    <t>62641FAB-9CF2-4CAD-BF32-195DE501D09E</t>
  </si>
  <si>
    <t>D6BE6C6D-0A2F-4FAF-9A60-58C044427882</t>
  </si>
  <si>
    <t>SJ-610A NOOP - MPM Drilling.pdf</t>
  </si>
  <si>
    <t>Uploads\d6be6c6d-0a2f-4faf-9a60-58c044427882.pdf</t>
  </si>
  <si>
    <t>E885BE21-5AB3-4797-BD5F-9370ED31CB2F</t>
  </si>
  <si>
    <t>8D8B0AE6-66CA-4ACD-8A00-198E0C04B8CF</t>
  </si>
  <si>
    <t>A5EEA14B-D5F5-423E-A2FF-E71255A532A2</t>
  </si>
  <si>
    <t>NOOP JTG-A1.pdf</t>
  </si>
  <si>
    <t>Uploads\a5eea14b-d5f5-423e-a2ff-e71255a532a2.pdf</t>
  </si>
  <si>
    <t>2DAB3924-71EC-472D-80B6-856812F5981E</t>
  </si>
  <si>
    <t>5517A109-1176-41E9-981B-469B5028C6BE</t>
  </si>
  <si>
    <t>JTG-A1 Final Well Report_2020_01_22.pdf</t>
  </si>
  <si>
    <t>Uploads\5517a109-1176-41e9-981b-469b5028c6be.pdf</t>
  </si>
  <si>
    <t>7BB55B6C-88C6-43D4-A65C-79641F83E1EE</t>
  </si>
  <si>
    <t>D9C009EB-5218-4F19-96CB-1A2FCD236D3B</t>
  </si>
  <si>
    <t>C1FD34ED-A1FE-4594-BFDF-ABB29505F583</t>
  </si>
  <si>
    <t>BOC-30 (T1) EOWR.pdf</t>
  </si>
  <si>
    <t>Uploads\c1fd34ed-a1fe-4594-bfdf-abb29505f583.pdf</t>
  </si>
  <si>
    <t>DFFB2B53-A8B4-4988-992D-BF79D9BA2D3D</t>
  </si>
  <si>
    <t>1B8E062C-DEB4-4375-8B73-4BC59484FE5D</t>
  </si>
  <si>
    <t>BOC-30 (T1) NOOP Rev 1.0.pdf</t>
  </si>
  <si>
    <t>Uploads\1b8e062c-deb4-4375-8b73-4bc59484fe5d.pdf</t>
  </si>
  <si>
    <t>8D00DEA3-5CA3-4FA4-9F53-D679840D4E5C</t>
  </si>
  <si>
    <t>2EC335A4-A4C4-4E11-9D7F-1A4464B88CD0</t>
  </si>
  <si>
    <t>A0F81B65-DFE2-4759-88FE-D7370FDC2AB3</t>
  </si>
  <si>
    <t>BPA-3 EOWR.pdf</t>
  </si>
  <si>
    <t>Uploads\a0f81b65-dfe2-4759-88fe-d7370fdc2ab3.pdf</t>
  </si>
  <si>
    <t>A69A9087-8253-4D7B-B38B-E7B5E4620805</t>
  </si>
  <si>
    <t>33D583EA-9939-4244-AD11-31E5DD09DBA0</t>
  </si>
  <si>
    <t>BPA-3 (C) NOOP.pdf</t>
  </si>
  <si>
    <t>Uploads\33d583ea-9939-4244-ad11-31e5dd09dba0.pdf</t>
  </si>
  <si>
    <t>67201C7E-F8BA-40BB-A238-092BE9CF5BF3</t>
  </si>
  <si>
    <t>8320AF34-770C-4E36-9C5B-1A57CEAD4150</t>
  </si>
  <si>
    <t>852013E0-B885-4D35-A1F1-292D21CDC311</t>
  </si>
  <si>
    <t>WB A-03ST2 EOWR.pdf</t>
  </si>
  <si>
    <t>Uploads\852013e0-b885-4d35-a1f1-292d21cdc311.pdf</t>
  </si>
  <si>
    <t>8047E39C-8A2E-4D55-9B74-08306081C508</t>
  </si>
  <si>
    <t>A1F35A29-89C8-4F6F-9092-BF269EEF8019</t>
  </si>
  <si>
    <t>WB A-03ST2 Final.pdf</t>
  </si>
  <si>
    <t>Uploads\a1f35a29-89c8-4f6f-9092-bf269eef8019.pdf</t>
  </si>
  <si>
    <t>A6308D3A-5C39-449F-8E2E-2329076E3F2A</t>
  </si>
  <si>
    <t>AD23C7DC-7E8A-4863-9C4B-1A5C0A6BF01F</t>
  </si>
  <si>
    <t>D195A0BF-ADBF-46DF-A7AD-D0248A90C33C</t>
  </si>
  <si>
    <t>SBO3TMBGWS9D_TBG-A01 ST1.pdf</t>
  </si>
  <si>
    <t>Uploads\d195a0bf-adbf-46df-a7ad-d0248a90c33c.pdf</t>
  </si>
  <si>
    <t>056AD695-4C6F-420D-BE48-FCFEC7B50949</t>
  </si>
  <si>
    <t>D3C0435D-F775-48CD-8E9E-40BE3C71DAC0</t>
  </si>
  <si>
    <t>SBO3TMBGWS8L_TBG-A01 ST1.pdf</t>
  </si>
  <si>
    <t>Uploads\d3c0435d-f775-48cd-8e9e-40be3c71dac0.pdf</t>
  </si>
  <si>
    <t>18FCBEAD-F6BB-4412-93CD-C3567905C991</t>
  </si>
  <si>
    <t>2DD75F44-0CA1-446F-AA25-1AE3A914C0F2</t>
  </si>
  <si>
    <t>ED836F54-DFE2-4530-807A-8D82A2876D66</t>
  </si>
  <si>
    <t>SapuraOMV SK408 Jerun Development NOOP_FINAL_R1 1.pdf</t>
  </si>
  <si>
    <t>Uploads\ed836f54-dfe2-4530-807a-8d82a2876d66.pdf</t>
  </si>
  <si>
    <t>8DA845FD-0D2C-471E-8EC4-983F25D82431</t>
  </si>
  <si>
    <t>7971697C-5474-448B-9402-AD1B9F6DB351</t>
  </si>
  <si>
    <t>SK408 Jerun-A6 Final Well Report_FINAL.pdf</t>
  </si>
  <si>
    <t>Uploads\7971697c-5474-448b-9402-ad1b9f6db351.pdf</t>
  </si>
  <si>
    <t>72A1286D-6E03-4772-83C5-40A8EE9E7F71</t>
  </si>
  <si>
    <t>C83E9977-98E0-48B1-A4D8-1BA99F0D574F</t>
  </si>
  <si>
    <t>03CAD961-6B8F-4595-8BA8-75F85A053AFF</t>
  </si>
  <si>
    <t>KNDW-D04, NOOP, 15 Jan 2020.pdf</t>
  </si>
  <si>
    <t>Uploads\03cad961-6b8f-4595-8ba8-75f85a053aff.pdf</t>
  </si>
  <si>
    <t>60776489-833F-464B-9C6F-D1EE8F7AEFF2</t>
  </si>
  <si>
    <t>9C488BD2-6FB3-478F-88F9-AB1FD20BEB32</t>
  </si>
  <si>
    <t>EOWR KNDW-D04.pdf</t>
  </si>
  <si>
    <t>Uploads\9c488bd2-6fb3-478f-88f9-ab1fd20beb32.pdf</t>
  </si>
  <si>
    <t>DDB878A9-B08C-4197-8AEF-559984F9E6A1</t>
  </si>
  <si>
    <t>FCEFA5FE-B806-44EA-82A5-1BD25C6D64B2</t>
  </si>
  <si>
    <t>DF863AC9-153B-448A-9FFD-8771C9F0AD3D</t>
  </si>
  <si>
    <t>Samarang-E102 FWR.pdf</t>
  </si>
  <si>
    <t>Uploads\df863ac9-153b-448a-9ffd-8771c9f0ad3d.pdf</t>
  </si>
  <si>
    <t>BCD3F539-3EAB-4C1B-A601-AA81DDB2E6DE</t>
  </si>
  <si>
    <t>A2431A1B-461F-4846-AFCB-C9415730383A</t>
  </si>
  <si>
    <t>SAMARANG-102 (E-01)_NOOP_2014_SB.pdf</t>
  </si>
  <si>
    <t>Uploads\a2431a1b-461f-4846-afcb-c9415730383a.pdf</t>
  </si>
  <si>
    <t>9C7CB73A-2170-4CC0-9902-51ECC0961B74</t>
  </si>
  <si>
    <t>0D184390-82E0-4412-B8FD-1BE818F46D45</t>
  </si>
  <si>
    <t>F9EF33B7-E45D-4481-8C00-65FEA8EA7B17</t>
  </si>
  <si>
    <t>Uploads\f9ef33b7-e45d-4481-8c00-65fea8ea7b17.pdf</t>
  </si>
  <si>
    <t>25AC2429-7AAA-4E41-992C-5A0A6270F453</t>
  </si>
  <si>
    <t>3E912B46-4726-4FD6-9160-B83334489788</t>
  </si>
  <si>
    <t>SKO3SRDHWS72_SNPA-14.pdf</t>
  </si>
  <si>
    <t>Uploads\3e912b46-4726-4fd6-9160-b83334489788.pdf</t>
  </si>
  <si>
    <t>214DC1C4-C4B1-4EBC-A053-933EF00D2B4C</t>
  </si>
  <si>
    <t>7A0A74BE-8917-49B0-9DDF-1C33FBA4C055</t>
  </si>
  <si>
    <t>96B32E5A-9A72-48AE-B7FC-3F00132A0B0A</t>
  </si>
  <si>
    <t>NOOP - BD-4 Rev0.pdf</t>
  </si>
  <si>
    <t>Uploads\96b32e5a-9a72-48ae-b7fc-3f00132a0b0a.pdf</t>
  </si>
  <si>
    <t>A8931281-B57C-48B5-BCCF-F941C4A39C07</t>
  </si>
  <si>
    <t>041DE044-3997-4E7F-8B4D-74BDE226C7CC</t>
  </si>
  <si>
    <t>EOWR_Bergading Deep-4_BD-4_signed.pdf</t>
  </si>
  <si>
    <t>Uploads\041de044-3997-4e7f-8b4d-74bde226c7cc.pdf</t>
  </si>
  <si>
    <t>4E7F2B6B-4E65-46EF-8118-DA63D4DCF916</t>
  </si>
  <si>
    <t>307072D6-FA11-4DF1-B034-1C493991391B</t>
  </si>
  <si>
    <t>8DDC0B33-09B3-4BF6-AE70-FCFE78832912</t>
  </si>
  <si>
    <t>NOOP BN82-ST1 FINAL SIGNED.pdf</t>
  </si>
  <si>
    <t>Uploads\8ddc0b33-09b3-4bf6-ae70-fcfe78832912.pdf</t>
  </si>
  <si>
    <t>81282EB9-1F1B-467C-8FFA-685DA25F6A55</t>
  </si>
  <si>
    <t>B5E3C5C6-C663-4316-B090-B179E6EEE2D0</t>
  </si>
  <si>
    <t>FWR BN-82ST1 FINAL - for submission.pdf</t>
  </si>
  <si>
    <t>Uploads\b5e3c5c6-c663-4316-b090-b179e6eee2d0.pdf</t>
  </si>
  <si>
    <t>84A87D8B-AC2F-4A39-85C5-0F46760CBD97</t>
  </si>
  <si>
    <t>E5A45F92-8234-46AE-9CD3-1C4F79568714</t>
  </si>
  <si>
    <t>87F9E2CE-9E7E-4264-88BC-79B619857980</t>
  </si>
  <si>
    <t>NOOP Bekok BB17_Final Rev1_01052022.pdf</t>
  </si>
  <si>
    <t>Uploads\87f9e2ce-9e7e-4264-88bc-79b619857980.pdf</t>
  </si>
  <si>
    <t>D4AA1EB7-A8AD-4DE8-A0D7-F6C0E3C78A4E</t>
  </si>
  <si>
    <t>D63A1A4B-42B8-4536-8118-0328CBF25596</t>
  </si>
  <si>
    <t>BB17_Petronas Final Well Report_18102022.pdf</t>
  </si>
  <si>
    <t>Uploads\d63a1a4b-42b8-4536-8118-0328cbf25596.pdf</t>
  </si>
  <si>
    <t>CEF2EB6C-6884-403A-BF50-ED987059ABF9</t>
  </si>
  <si>
    <t>6B8B7B5C-D0C4-4532-B985-1C63D094C9E2</t>
  </si>
  <si>
    <t>2B5EAD52-C6D2-4DD7-8ABE-49ADACBBB5C9</t>
  </si>
  <si>
    <t>Limau Manis-1 NOOP.pdf</t>
  </si>
  <si>
    <t>Uploads\2b5ead52-c6d2-4dd7-8abe-49adacbbb5c9.pdf</t>
  </si>
  <si>
    <t>BBE772FC-E897-435B-8317-38439B22065B</t>
  </si>
  <si>
    <t>D17211C7-AB26-4172-B951-17A837365A68</t>
  </si>
  <si>
    <t>SKO3LMISWS08_LIMAU-MANIS-01_PCSB.pdf</t>
  </si>
  <si>
    <t>Uploads\d17211c7-ab26-4172-b951-17a837365a68.pdf</t>
  </si>
  <si>
    <t>354E2CCD-8BDC-4FD8-A744-442FB160B3C4</t>
  </si>
  <si>
    <t>44DCFDEB-9E07-48B4-9762-1C6C112BA31A</t>
  </si>
  <si>
    <t>AB871B2A-9A96-4DBE-A398-2CAD6490D4DE</t>
  </si>
  <si>
    <t>Lada Putih-1 MP_EOWR_FINAL_26 August 2022.pdf</t>
  </si>
  <si>
    <t>Uploads\ab871b2a-9a96-4dbe-a398-2cad6490d4de.pdf</t>
  </si>
  <si>
    <t>579702F9-A60E-494C-988C-8098507FA7E3</t>
  </si>
  <si>
    <t>BE08F75C-E0D8-49D1-8FEB-9954AB5F5BED</t>
  </si>
  <si>
    <t>LADA PUTIH-1 NOOP Final Version 1.pdf</t>
  </si>
  <si>
    <t>Uploads\be08f75c-e0d8-49d1-8feb-9954ab5f5bed.pdf</t>
  </si>
  <si>
    <t>DD06FAA3-54FD-4A6E-AAB6-43A35EB1A067</t>
  </si>
  <si>
    <t>944526CC-0FDB-481F-B644-1C6D8E33471C</t>
  </si>
  <si>
    <t>4553A7B4-047C-40BB-A49E-B48B07487834</t>
  </si>
  <si>
    <t>Arapaima-1 Internal_FINAL_NOOP - 16112019_3.pdf</t>
  </si>
  <si>
    <t>Uploads\4553a7b4-047c-40bb-a49e-b48b07487834.pdf</t>
  </si>
  <si>
    <t>2698C39F-1983-4159-86BC-4760970E2410</t>
  </si>
  <si>
    <t>9B28A801-7891-42AD-9C4E-7CA7B9E54E2C</t>
  </si>
  <si>
    <t>Arapaima-1 Final Well Report_FINAL.pdf</t>
  </si>
  <si>
    <t>Uploads\9b28a801-7891-42ad-9c4e-7ca7b9e54e2c.pdf</t>
  </si>
  <si>
    <t>F567F5FC-08C4-4084-B37D-3FF7D3EA0710</t>
  </si>
  <si>
    <t>EBF2DC12-B503-47DD-8EE8-1C9FB4A15273</t>
  </si>
  <si>
    <t>154D7F53-3CBC-47A5-8602-1F46A45C2956</t>
  </si>
  <si>
    <t>SAMARANG SM-104 FWR.pdf</t>
  </si>
  <si>
    <t>Uploads\154d7f53-3cbc-47a5-8602-1f46a45c2956.pdf</t>
  </si>
  <si>
    <t>935B3603-63CF-484C-AE93-612E83914BBE</t>
  </si>
  <si>
    <t>A80EBD1F-9C9C-4D0B-8808-99CF10543CD1</t>
  </si>
  <si>
    <t>SBO3SMRGGL29_SM-104.pdf</t>
  </si>
  <si>
    <t>Uploads\a80ebd1f-9c9c-4d0b-8808-99cf10543cd1.pdf</t>
  </si>
  <si>
    <t>153CCD92-7BDF-4CC2-B29C-6000C4ACA653</t>
  </si>
  <si>
    <t>4B276C9C-CA00-4F8C-BC02-1CC094816649</t>
  </si>
  <si>
    <t>A27B0827-5389-4A06-9DE3-E7D09E7F509A</t>
  </si>
  <si>
    <t>Approved NOOP Sepat A12.pdf</t>
  </si>
  <si>
    <t>Uploads\a27b0827-5389-4a06-9de3-e7d09e7f509a.pdf</t>
  </si>
  <si>
    <t>D84D672A-33AF-446E-82E9-D531E2C10001</t>
  </si>
  <si>
    <t>A6BAC2C3-24D1-4739-A86F-ED8BAFEAA58C</t>
  </si>
  <si>
    <t>FWR A12 5 July 2020 rev3_FINAL-signed-signed.pdf</t>
  </si>
  <si>
    <t>Uploads\a6bac2c3-24d1-4739-a86f-ed8bafeaa58c.pdf</t>
  </si>
  <si>
    <t>D206D224-81B9-4943-A12B-5833B620FDFD</t>
  </si>
  <si>
    <t>77D02427-9C82-428F-BF04-1CF22CA055E5</t>
  </si>
  <si>
    <t>02FD4B24-3ABD-4A9C-911D-07AF2B6D35AF</t>
  </si>
  <si>
    <t>BKG-A1 NOOP 2-July-2019 FINAL.pdf</t>
  </si>
  <si>
    <t>Uploads\02fd4b24-3abd-4a9c-911d-07af2b6d35af.pdf</t>
  </si>
  <si>
    <t>771F3871-3CB9-4197-B2DE-13843C7B0360</t>
  </si>
  <si>
    <t>3ABE6C28-7DFC-4161-B54E-24913733C2FC</t>
  </si>
  <si>
    <t>SK408 BKG-A1 FINAL WELL REPORT FINAL.pdf</t>
  </si>
  <si>
    <t>Uploads\3abe6c28-7dfc-4161-b54e-24913733c2fc.pdf</t>
  </si>
  <si>
    <t>64C8042A-0DDD-41DC-B74C-76FE23973245</t>
  </si>
  <si>
    <t>A33B5AF5-F478-4B57-B673-1D2AE9736C14</t>
  </si>
  <si>
    <t>SAPA-09</t>
  </si>
  <si>
    <t>581AC2BA-F0B5-416F-9252-7197C2472BE0</t>
  </si>
  <si>
    <t>SAPA-09 EOWR.pdf</t>
  </si>
  <si>
    <t>Uploads\581ac2ba-f0b5-416f-9252-7197c2472be0.pdf</t>
  </si>
  <si>
    <t>9E2691EC-A215-4338-A919-8B2128753F93</t>
  </si>
  <si>
    <t>B6D5B943-AE76-4293-8C74-B7995524BE66</t>
  </si>
  <si>
    <t>SAPA-08 &amp; SAPA-09 NOOP.pdf</t>
  </si>
  <si>
    <t>Uploads\b6d5b943-ae76-4293-8c74-b7995524be66.pdf</t>
  </si>
  <si>
    <t>3C69AA3E-B412-43B3-830E-21491B8D5B11</t>
  </si>
  <si>
    <t>52C5AF32-29CF-4A31-AFF8-1E046A7321A3</t>
  </si>
  <si>
    <t>FC9F4DEE-EFA2-45B9-B73D-428A00CF7C37</t>
  </si>
  <si>
    <t>Limbayong-4.pdf</t>
  </si>
  <si>
    <t>Limbayong-4 RDR(1).pdf</t>
  </si>
  <si>
    <t>Uploads\fc9f4dee-efa2-45b9-b73d-428a00cf7c37.pdf</t>
  </si>
  <si>
    <t>DE17D205-8180-4170-AE5C-341765489CC4</t>
  </si>
  <si>
    <t>396BBE69-054A-48E0-A1B0-4465B10387AA</t>
  </si>
  <si>
    <t>Uploads\396bbe69-054a-48e0-a1b0-4465b10387aa.pdf</t>
  </si>
  <si>
    <t>F9D10E0E-BCCF-4980-B7E2-B0DAC8FA3913</t>
  </si>
  <si>
    <t>BF3B18CB-485D-47BF-B29A-1F0B1720E9ED</t>
  </si>
  <si>
    <t>19286826-30FA-4D8F-9B9C-331171C8BEC4</t>
  </si>
  <si>
    <t>Kasawari A7 NOOP_Final.pdf</t>
  </si>
  <si>
    <t>Uploads\19286826-30fa-4d8f-9b9c-331171c8bec4.pdf</t>
  </si>
  <si>
    <t>D1EBFD7E-1025-457B-A5F3-ECF8F9C38207</t>
  </si>
  <si>
    <t>A061F63C-6A79-4BF2-AC5E-520F2BC913DC</t>
  </si>
  <si>
    <t>Final Well Report (FWR) Well A7_Kasawari_rev1 (002) TR.pdf</t>
  </si>
  <si>
    <t>Uploads\a061f63c-6a79-4bf2-ac5e-520f2bc913dc.pdf</t>
  </si>
  <si>
    <t>5A1D8EB1-56D3-4359-8F7F-D7D7579B8B31</t>
  </si>
  <si>
    <t>AF73AD10-5225-4B91-9619-1F80DF9C9388</t>
  </si>
  <si>
    <t>0F0E3230-F60D-4D9B-8A0C-D5F3A4075B4D</t>
  </si>
  <si>
    <t>BERTAM-A3 NOOP.pdf</t>
  </si>
  <si>
    <t>PMO3BTAMWS30_BERTAM-3_NOOP.pdf</t>
  </si>
  <si>
    <t>Uploads\0f0e3230-f60d-4d9b-8a0c-d5f3a4075b4d.pdf</t>
  </si>
  <si>
    <t>0C114BAB-47B1-4835-85BC-B91952A3139C</t>
  </si>
  <si>
    <t>837A5C9B-A26C-4D81-9712-269B84CF326D</t>
  </si>
  <si>
    <t>BERTAM-A3 EOWR.pdf</t>
  </si>
  <si>
    <t>PMO3BTAMDR08_BERTAM-3.pdf</t>
  </si>
  <si>
    <t>Uploads\837a5c9b-a26c-4d81-9712-269b84cf326d.pdf</t>
  </si>
  <si>
    <t>16B07C41-2E56-420A-8CF4-F34740B7E153</t>
  </si>
  <si>
    <t>288AA648-B63E-4977-BD17-20296303F906</t>
  </si>
  <si>
    <t>69943AD9-C516-43A5-A3A3-78C204C56DE4</t>
  </si>
  <si>
    <t>SBO3ERBWWS8W_EW-104ST3_PCSB_FWR.pdf</t>
  </si>
  <si>
    <t>Uploads\69943ad9-c516-43a5-a3a3-78c204c56de4.pdf</t>
  </si>
  <si>
    <t>8EA99699-6BC9-49C6-87E5-FEA2A3E87E36</t>
  </si>
  <si>
    <t>1956C1CA-ED09-4096-89CE-788A918B0B32</t>
  </si>
  <si>
    <t>SBO3ERBWWS9H_EW-104ST3_PCSB_NOOP.pdf</t>
  </si>
  <si>
    <t>Uploads\1956c1ca-ed09-4096-89ce-788a918b0b32.pdf</t>
  </si>
  <si>
    <t>ABB580C0-985D-46BB-AEC1-A8CC9B008F96</t>
  </si>
  <si>
    <t>61F57B54-AB75-40C6-AB41-20A8E951D6EF</t>
  </si>
  <si>
    <t>EB4FFF91-0AAF-47B5-9E1A-4A5B8CB1B1EC</t>
  </si>
  <si>
    <t>Tampan-1 Final Well Report with Attachments.pdf</t>
  </si>
  <si>
    <t>Uploads\eb4fff91-0aaf-47b5-9e1a-4a5b8cb1b1ec.pdf</t>
  </si>
  <si>
    <t>082C963B-1FDE-4A41-9DFC-1A1C508C19DF</t>
  </si>
  <si>
    <t>4855C47B-13F7-4B05-8113-224060A0D050</t>
  </si>
  <si>
    <t>Tampan-1 NOOP Final Internal.pdf</t>
  </si>
  <si>
    <t>Uploads\4855c47b-13f7-4b05-8113-224060a0d050.pdf</t>
  </si>
  <si>
    <t>EA122C63-21D0-4B5F-9D88-9E8DD65C71A0</t>
  </si>
  <si>
    <t>1DD5E5E2-0A8B-4EE9-8689-219AE9B483EE</t>
  </si>
  <si>
    <t>F11B0C2D-227F-43C4-9490-3683555276AF</t>
  </si>
  <si>
    <t>MOM-SK311-91-DR-TN-0001-00_SAPA Revisit 1 Phase I NOOP_Rev 0.pdf</t>
  </si>
  <si>
    <t>Uploads\f11b0c2d-227f-43c4-9490-3683555276af.pdf</t>
  </si>
  <si>
    <t>4F3E0DE9-FA22-4B40-B572-73AB003E09F5</t>
  </si>
  <si>
    <t>904A84C6-5E64-40C8-B48D-D861334B5935</t>
  </si>
  <si>
    <t>SAPA-21ST1 EOWR (2).pdf</t>
  </si>
  <si>
    <t>Uploads\904a84c6-5e64-40c8-b48d-d861334b5935.pdf</t>
  </si>
  <si>
    <t>BCD4D9C8-F442-4784-955A-9E1A2D6362C2</t>
  </si>
  <si>
    <t>6367637A-B3CA-4657-A2AF-226988ED4E5A</t>
  </si>
  <si>
    <t>129B05FC-970C-448A-B70E-3F121E62A029</t>
  </si>
  <si>
    <t>VPSB-BEF3-DRL-WWR-0002 BRWA-13ST1 Final Well Report Rev.1.pdf</t>
  </si>
  <si>
    <t>Uploads\129b05fc-970c-448a-b70e-3f121e62a029.pdf</t>
  </si>
  <si>
    <t>A6F07F33-F049-4A3A-8B56-A0E49287E7CD</t>
  </si>
  <si>
    <t>1A8DD5FF-6C98-4462-9BA9-BEFF2927EF41</t>
  </si>
  <si>
    <t>NOOP BRWA13ST1.pdf</t>
  </si>
  <si>
    <t>Uploads\1a8dd5ff-6c98-4462-9ba9-beff2927ef41.pdf</t>
  </si>
  <si>
    <t>77F10B73-2B42-40DB-A330-7B39300894B6</t>
  </si>
  <si>
    <t>88B69B02-CA5E-48B3-9BCD-22A030AC3633</t>
  </si>
  <si>
    <t>DFDB17D0-D9AA-43BE-ACE1-8250E5989DB0</t>
  </si>
  <si>
    <t>Petronas Final Well Report WL13ST2.pdf</t>
  </si>
  <si>
    <t>Uploads\dfdb17d0-d9aa-43be-ace1-8250e5989db0.pdf</t>
  </si>
  <si>
    <t>9A648E96-458A-430A-90C1-6A2C400299D4</t>
  </si>
  <si>
    <t>C0B8BD45-605F-44D1-AB09-05B073321FD8</t>
  </si>
  <si>
    <t>NOOP WL13ST2 Final_signed (1).pdf</t>
  </si>
  <si>
    <t>Uploads\c0b8bd45-605f-44d1-ab09-05b073321fd8.pdf</t>
  </si>
  <si>
    <t>5C73F84E-7407-4C72-B589-78BE1D7CCB16</t>
  </si>
  <si>
    <t>5958809C-79F4-4670-AEC4-2367DCBD817A</t>
  </si>
  <si>
    <t>4DE31669-578F-4C21-B6F3-4A2DDF27E654</t>
  </si>
  <si>
    <t>B.Kesumba A-2_ Rev0_02072017 - PETRONAS SUBMISSION_FINAL.pdf</t>
  </si>
  <si>
    <t>Uploads\4de31669-578f-4c21-b6f3-4a2ddf27e654.pdf</t>
  </si>
  <si>
    <t>AE8C1DC8-8AFE-4CBD-8351-25FD51571898</t>
  </si>
  <si>
    <t>309B7A98-0D3E-4561-9A1F-A97310600C38</t>
  </si>
  <si>
    <t>NOOP Kesumba A-2 (B)_Final.pdf</t>
  </si>
  <si>
    <t>Uploads\309b7a98-0d3e-4561-9a1f-a97310600c38.pdf</t>
  </si>
  <si>
    <t>22325BEF-ECB0-49AC-BDC4-DE7CFEA09F92</t>
  </si>
  <si>
    <t>7BC00E72-6EC5-4D48-8F16-24267269F5BA</t>
  </si>
  <si>
    <t>6E8295FC-F5B3-42FF-8A24-8BE32FCEFC95</t>
  </si>
  <si>
    <t>NOOP Sepat-10(approved).pdf</t>
  </si>
  <si>
    <t>Uploads\6e8295fc-f5b3-42ff-8a24-8be32fcefc95.pdf</t>
  </si>
  <si>
    <t>937A3402-D061-487E-84AE-CBE4F975278C</t>
  </si>
  <si>
    <t>3834F4C9-F2AB-4ED9-87A5-6DDC5FF31FCC</t>
  </si>
  <si>
    <t>Sepat-10 FWR finalized.pdf</t>
  </si>
  <si>
    <t>Uploads\3834f4c9-f2ab-4ed9-87a5-6ddc5ff31fcc.pdf</t>
  </si>
  <si>
    <t>4A9F17C2-AA56-4401-83C0-1248BCA63BA2</t>
  </si>
  <si>
    <t>100CBEB6-8229-4F1C-A4DF-244493AA02F2</t>
  </si>
  <si>
    <t>8D8F00FF-9EA2-4225-B3D3-6442B5010FBC</t>
  </si>
  <si>
    <t>PMO3SLDGGL03_SELENDANG-1_PCSB_NOOP.pdf</t>
  </si>
  <si>
    <t>Uploads\8d8f00ff-9ea2-4225-b3d3-6442b5010fbc.pdf</t>
  </si>
  <si>
    <t>08D84EFD-BB40-4C52-8137-0E214AD3BA4B</t>
  </si>
  <si>
    <t>496D070D-D368-451C-872A-36CE0426DA94</t>
  </si>
  <si>
    <t>PMO3SLDGWS05_SELENDANG-1_PCSB_FWR.pdf</t>
  </si>
  <si>
    <t>Uploads\496d070d-d368-451c-872a-36ce0426da94.pdf</t>
  </si>
  <si>
    <t>CDCAE5D2-A53A-42AB-8D1F-05C14C4CCC1D</t>
  </si>
  <si>
    <t>D4CB29BF-3FB8-40B9-813D-24B422F0A35E</t>
  </si>
  <si>
    <t>3972E34D-3029-499E-9728-791B35831318</t>
  </si>
  <si>
    <t>LARUT A-35 (NOOP_OP2)-Rev2.pdf</t>
  </si>
  <si>
    <t>Uploads\3972e34d-3029-499e-9728-791b35831318.pdf</t>
  </si>
  <si>
    <t>4D458DC9-542C-4648-A2D1-CCBBDBB70356</t>
  </si>
  <si>
    <t>D65D5A52-0845-483F-836D-104F5D35342D</t>
  </si>
  <si>
    <t>LARUT A-35 (OP2) Final Well Report Rev. 0.pdf</t>
  </si>
  <si>
    <t>Uploads\d65d5a52-0845-483f-836d-104f5d35342d.pdf</t>
  </si>
  <si>
    <t>6A5B7BC3-C944-4D09-90E6-0C70C63E26AE</t>
  </si>
  <si>
    <t>37735D40-5C98-4801-9694-254BB8930EDC</t>
  </si>
  <si>
    <t>C4739645-40D3-450A-8B46-5253F47FFF05</t>
  </si>
  <si>
    <t>PMO3TNGBWS1G_TNGB-A6_PCSB_FWR.pdf</t>
  </si>
  <si>
    <t>Uploads\c4739645-40d3-450a-8b46-5253f47fff05.pdf</t>
  </si>
  <si>
    <t>81EA7328-AA4B-4A0A-89F7-A7700F3FBD33</t>
  </si>
  <si>
    <t>E95FC575-369A-4AD5-97BF-B5A1B69F6226</t>
  </si>
  <si>
    <t>PMO3TNGBWS61_TNGB-A6_PCSB_NOOP.pdf</t>
  </si>
  <si>
    <t>Uploads\e95fc575-369a-4ad5-97bf-b5a1b69f6226.pdf</t>
  </si>
  <si>
    <t>668CF2E2-8844-4CED-A96A-C8BA96F405D6</t>
  </si>
  <si>
    <t>1D10055F-631D-49F6-A9E7-2599E26C0165</t>
  </si>
  <si>
    <t>FDE0E01C-47B7-4C85-AD2F-F602DAAB735B</t>
  </si>
  <si>
    <t>Bertam A-6 Notice of Operations 20150425.pdf</t>
  </si>
  <si>
    <t>Uploads\fde0e01c-47b7-4c85-ad2f-f602daab735b.pdf</t>
  </si>
  <si>
    <t>8C073B04-A1C2-4C34-9783-EBCC61D4A56E</t>
  </si>
  <si>
    <t>BB0574B4-73D5-46C1-9011-12EA459B4B69</t>
  </si>
  <si>
    <t>Bertam A-6 EOWR FINAL Part1.pdf</t>
  </si>
  <si>
    <t>Uploads\bb0574b4-73d5-46c1-9011-12ea459b4b69.pdf</t>
  </si>
  <si>
    <t>446C941C-B15B-4DDC-9B08-66E024DB9483</t>
  </si>
  <si>
    <t>51BAE098-5BB4-4199-B7B0-26A7D8EAC23E</t>
  </si>
  <si>
    <t>B292F1C0-20D6-4619-8A9C-36C8B5F300C6</t>
  </si>
  <si>
    <t>SEMANTAN-1 FWR.pdf</t>
  </si>
  <si>
    <t>Uploads\b292f1c0-20d6-4619-8a9c-36c8b5f300c6.pdf</t>
  </si>
  <si>
    <t>23D7FC70-0E55-4BE1-92E5-3EA6AB3A6F69</t>
  </si>
  <si>
    <t>41FAC71D-9660-45B6-BA3E-DBB83DFA5760</t>
  </si>
  <si>
    <t>PMO3SMTNWS01_SEMANTAN-1_PCSB.pdf</t>
  </si>
  <si>
    <t>Uploads\41fac71d-9660-45b6-ba3e-dbb83dfa5760.pdf</t>
  </si>
  <si>
    <t>B8072EEF-D573-472A-8650-302052E7EE62</t>
  </si>
  <si>
    <t>1E1A5194-1615-4590-A760-26B84C4888D2</t>
  </si>
  <si>
    <t>9050E596-6550-46D2-B61A-9085D6A438B6</t>
  </si>
  <si>
    <t>PMO3DYSHWS06_DUYONG_SHALLOW_2.pdf</t>
  </si>
  <si>
    <t>Uploads\9050e596-6550-46d2-b61a-9085d6a438b6.pdf</t>
  </si>
  <si>
    <t>97F838BA-6449-4F3A-9C23-8A26B3EC8BAC</t>
  </si>
  <si>
    <t>BD09FBB5-13AF-4E60-826D-72405F3FC7E8</t>
  </si>
  <si>
    <t>PMO3DYSHWS10_DUYONG_SHALLOW_2.pdf</t>
  </si>
  <si>
    <t>Uploads\bd09fbb5-13af-4e60-826d-72405f3fc7e8.pdf</t>
  </si>
  <si>
    <t>4ADF7D60-55BF-4352-8F4E-6ADA39C4C522</t>
  </si>
  <si>
    <t>61C1CFF7-7A36-4D60-8588-26F3C02AE38E</t>
  </si>
  <si>
    <t>2882FE6F-DE2D-4AB1-A035-2320525F07C6</t>
  </si>
  <si>
    <t>PMO3ARA-WS04_ARA_1.pdf</t>
  </si>
  <si>
    <t>Uploads\2882fe6f-de2d-4ab1-a035-2320525f07c6.pdf</t>
  </si>
  <si>
    <t>3821F75B-DE21-407D-8D6D-17173FDE8723</t>
  </si>
  <si>
    <t>47F24E90-BFFC-4CB1-A589-CFADE5BF7CB3</t>
  </si>
  <si>
    <t>PMO3ARA-WS03_ARA_1.pdf</t>
  </si>
  <si>
    <t>Uploads\47f24e90-bffc-4cb1-a589-cfade5bf7cb3.pdf</t>
  </si>
  <si>
    <t>DD069232-3D01-4473-B298-0089C598FC9B</t>
  </si>
  <si>
    <t>EE262CDB-1C4A-424F-8848-2746A5A4D103</t>
  </si>
  <si>
    <t>78EA59C4-685D-4106-984C-7CACE3861DC8</t>
  </si>
  <si>
    <t>FWR Nahara-2_Final for Submission to MPM.pdf</t>
  </si>
  <si>
    <t>Uploads\78ea59c4-685d-4106-984c-7cace3861dc8.pdf</t>
  </si>
  <si>
    <t>7E0EA099-AE6A-439C-9B0C-E277C4FFEE0A</t>
  </si>
  <si>
    <t>DA3B941F-527C-4D13-B361-D66C51E2D7BA</t>
  </si>
  <si>
    <t>NOOP Nahara-2 Final for Submission to MPM with Attachment.pdf</t>
  </si>
  <si>
    <t>Uploads\da3b941f-527c-4d13-b361-d66c51e2d7ba.pdf</t>
  </si>
  <si>
    <t>DE0F1EA0-F868-4F3E-B2FE-EADDE90A2229</t>
  </si>
  <si>
    <t>521992F6-F69C-4132-AB18-2764E18C29DC</t>
  </si>
  <si>
    <t>960ED507-99C8-4CB6-BE79-591DBDD47DA5</t>
  </si>
  <si>
    <t>SKO3LARKWS05_LARAK_1.pdf</t>
  </si>
  <si>
    <t>1.0 Larak-1 Final Well Report 17 Oct 2014.pdf</t>
  </si>
  <si>
    <t>Uploads\960ed507-99c8-4cb6-be79-591dbdd47da5.pdf</t>
  </si>
  <si>
    <t>E9681F13-B5A4-41F3-9B7E-EF161FEE4DB3</t>
  </si>
  <si>
    <t>8C33571F-1848-4547-A495-391AB7BA38DF</t>
  </si>
  <si>
    <t>SKO3LARKWS01_LARAK_1.pdf</t>
  </si>
  <si>
    <t>Uploads\8c33571f-1848-4547-a495-391ab7ba38df.pdf</t>
  </si>
  <si>
    <t>81C28F61-793F-41DF-9D7F-553C54239D0A</t>
  </si>
  <si>
    <t>07F2CE31-CA7C-4998-B955-27E0C16A922F</t>
  </si>
  <si>
    <t>86663017-608B-47FD-8B11-65BA9052A3A2</t>
  </si>
  <si>
    <t>Final Well Report AA19.pdf</t>
  </si>
  <si>
    <t>Uploads\86663017-608b-47fd-8b11-65ba9052a3a2.pdf</t>
  </si>
  <si>
    <t>6AEF97EB-96D4-415B-BB66-AC6AAE5740C6</t>
  </si>
  <si>
    <t>F03550FE-9FC9-426E-A2C4-23F25B875405</t>
  </si>
  <si>
    <t>NOOP Bekok AA19.pdf</t>
  </si>
  <si>
    <t>Uploads\f03550fe-9fc9-426e-a2c4-23f25b875405.pdf</t>
  </si>
  <si>
    <t>9BDF2C5A-5B8D-4A61-87FD-7E5F0B330BF1</t>
  </si>
  <si>
    <t>A45B64AE-B041-45B9-940B-2885DD54DC85</t>
  </si>
  <si>
    <t>E477E568-5BED-4808-9B2C-A8344B0FD837</t>
  </si>
  <si>
    <t>SKO3CKRMWS03_CEKUR MANIS-1_PCSB_FWR.pdf</t>
  </si>
  <si>
    <t>Uploads\e477e568-5bed-4808-9b2c-a8344b0fd837.pdf</t>
  </si>
  <si>
    <t>BC4CC0E1-BE45-4B1D-9359-5C882B760BC0</t>
  </si>
  <si>
    <t>ED38F016-0314-4395-B207-73F78183D30D</t>
  </si>
  <si>
    <t>SKO3CKRMWS01_CEKUR MANIS-1_PCSB_NOOP_sep 14.pdf</t>
  </si>
  <si>
    <t>Uploads\ed38f016-0314-4395-b207-73f78183d30d.pdf</t>
  </si>
  <si>
    <t>FF71D010-F73C-4019-A9E4-3DABFFA26526</t>
  </si>
  <si>
    <t>9BA4F880-8050-4EF8-8E4B-28C2C0C18B74</t>
  </si>
  <si>
    <t>640DFD88-A228-4F3D-8FA3-EC7FB826DB94</t>
  </si>
  <si>
    <t>OPHIR-A1 ST1 EOWR [FINAL].pdf</t>
  </si>
  <si>
    <t>Uploads\640dfd88-a228-4f3d-8fa3-ec7fb826db94.pdf</t>
  </si>
  <si>
    <t>3317E2B4-B86C-400C-A727-FCF9062FE0FB</t>
  </si>
  <si>
    <t>A7BEA7AB-2B2A-4497-A441-4FB3FC958CFF</t>
  </si>
  <si>
    <t>NOOP Ophir-A1 well.pdf</t>
  </si>
  <si>
    <t>Uploads\a7bea7ab-2b2a-4497-a441-4fb3fc958cff.pdf</t>
  </si>
  <si>
    <t>91FAC5D5-1DD2-46E5-9555-A8769826D0A8</t>
  </si>
  <si>
    <t>F235BE84-EA2E-4EDA-B16F-28E47A95AFEB</t>
  </si>
  <si>
    <t>8785D2EF-EAD0-4FA4-BF3F-608772091E08</t>
  </si>
  <si>
    <t>KNDW-D02 EOWR.pdf</t>
  </si>
  <si>
    <t>Uploads\8785d2ef-ead0-4fa4-bf3f-608772091e08.pdf</t>
  </si>
  <si>
    <t>7089E7D9-C75D-42AD-9862-8D2F504B57C6</t>
  </si>
  <si>
    <t>D68F40CF-A5DD-44B2-AAFE-0B986BD3E7C0</t>
  </si>
  <si>
    <t>KNDW D-02 NOOP.pdf</t>
  </si>
  <si>
    <t>Uploads\d68f40cf-a5dd-44b2-aafe-0b986bd3e7c0.pdf</t>
  </si>
  <si>
    <t>57744C4D-7597-4E9C-8B61-95CFAEF5F9F8</t>
  </si>
  <si>
    <t>9A86E73D-28EB-4BF5-AB67-290384BA99A2</t>
  </si>
  <si>
    <t>A277018B-C6D5-4AAA-83C6-E3EDE85A3389</t>
  </si>
  <si>
    <t>BKG-A4 NOOP.pdf</t>
  </si>
  <si>
    <t>Uploads\a277018b-c6d5-4aaa-83c6-e3ede85a3389.pdf</t>
  </si>
  <si>
    <t>D49419C1-4E30-4AA7-A456-14D553A4EB2B</t>
  </si>
  <si>
    <t>454468A6-EC2B-4511-896F-1DA504046F9E</t>
  </si>
  <si>
    <t>BKG-A4 EOWR.pdf</t>
  </si>
  <si>
    <t>Uploads\454468a6-ec2b-4511-896f-1da504046f9e.pdf</t>
  </si>
  <si>
    <t>D4F46845-4E85-496B-9E88-99CBAEDAFCA8</t>
  </si>
  <si>
    <t>6E1114A0-A0F7-4D83-8F26-298C1C647DF7</t>
  </si>
  <si>
    <t>8B406ACA-1377-4A0E-B660-C5731ACFA1F6</t>
  </si>
  <si>
    <t>SJ-609A NOOP - MPM Drilling.pdf</t>
  </si>
  <si>
    <t>Uploads\8b406aca-1377-4a0e-b660-c5731acfa1f6.pdf</t>
  </si>
  <si>
    <t>C1D90A12-F04F-4021-BCAA-C110392C5840</t>
  </si>
  <si>
    <t>0D0B9CBE-8756-4900-A2D0-82DBC5E7C233</t>
  </si>
  <si>
    <t>SJ-609A EOWR_MPM.pdf</t>
  </si>
  <si>
    <t>Uploads\0d0b9cbe-8756-4900-a2d0-82dbc5e7c233.pdf</t>
  </si>
  <si>
    <t>333F7325-C82B-46DA-B63F-9FD8D312B7B0</t>
  </si>
  <si>
    <t>7A492736-C78E-4B65-AB90-29DBCB5476F0</t>
  </si>
  <si>
    <t>63E3CC49-0F4D-49F8-87A9-EB1A58BCE369</t>
  </si>
  <si>
    <t>SBO3TMBGWS8U_TBG-B5ST1_PCSB_FWR.pdf</t>
  </si>
  <si>
    <t>Uploads\63e3cc49-0f4d-49f8-87a9-eb1a58bce369.pdf</t>
  </si>
  <si>
    <t>D41E0504-F070-4C14-84F0-72EBB4EF5EE6</t>
  </si>
  <si>
    <t>5DD6B0E7-E7AC-4067-9435-D9A0AF230C8D</t>
  </si>
  <si>
    <t>SBO3TMBGWS8N_TBG-B5ST1_PCSB_NOOP.pdf</t>
  </si>
  <si>
    <t>Uploads\5dd6b0e7-e7ac-4067-9435-d9a0af230c8d.pdf</t>
  </si>
  <si>
    <t>C25B15B4-C645-4E71-948C-76D27C0E5CDD</t>
  </si>
  <si>
    <t>11B95227-81C9-4388-A95B-29FF84A93AB4</t>
  </si>
  <si>
    <t>0AFC540A-8EFB-45D6-8075-E86B811DE84D</t>
  </si>
  <si>
    <t>EOWR_BDL-A3 - signed.pdf</t>
  </si>
  <si>
    <t>Uploads\0afc540a-8efb-45d6-8075-e86b811de84d.pdf</t>
  </si>
  <si>
    <t>11A24E41-4823-4520-BB85-4528351CF40F</t>
  </si>
  <si>
    <t>7D335E98-6C2A-496E-89F0-6BECDC0FE9E6</t>
  </si>
  <si>
    <t>NOOP_Bunga Dahlia-A3_ BDL-A3.pdf</t>
  </si>
  <si>
    <t>Uploads\7d335e98-6c2a-496e-89f0-6becdc0fe9e6.pdf</t>
  </si>
  <si>
    <t>7BAEA2C5-C9F1-4CCF-A605-80FE50068611</t>
  </si>
  <si>
    <t>3E2C7A61-27CF-46C2-AFDE-2AA8AE8086FC</t>
  </si>
  <si>
    <t>646E23A2-6100-4D52-BBBF-A0CAF61A6CEB</t>
  </si>
  <si>
    <t>Bunga Bakawali Deep-1 NOOP Final - External.pdf</t>
  </si>
  <si>
    <t>BUNGA BAKAWALI DEEP-1_NOOP_2013_PM.pdf</t>
  </si>
  <si>
    <t>Uploads\646e23a2-6100-4d52-bbbf-a0caf61a6ceb.pdf</t>
  </si>
  <si>
    <t>5084D5C7-E411-4363-9F62-81CE2807D251</t>
  </si>
  <si>
    <t>7D2DA106-A7FC-46DF-B1B1-94BDCA9F8B46</t>
  </si>
  <si>
    <t>BUNGA BAKAWALI DEEP-1 FWR Final.pdf</t>
  </si>
  <si>
    <t>Uploads\7d2da106-a7fc-46df-b1b1-94bdca9f8b46.pdf</t>
  </si>
  <si>
    <t>92FADBD2-FA81-401C-8F42-3298FD983F21</t>
  </si>
  <si>
    <t>34C790F1-1188-4690-B735-2AF42CDC460F</t>
  </si>
  <si>
    <t>9B944210-ECBE-4D8E-B3D1-B661F1BB148D</t>
  </si>
  <si>
    <t>SBO3SMDPWS19_SUJT-C07.pdf</t>
  </si>
  <si>
    <t>Uploads\9b944210-ecbe-4d8e-b3d1-b661f1bb148d.pdf</t>
  </si>
  <si>
    <t>9C9E4476-2401-414F-A198-F0B86296C1BC</t>
  </si>
  <si>
    <t>28D4D733-B264-4780-81C8-710F0C05A9E5</t>
  </si>
  <si>
    <t>SBO3SMDPWS29_SUJT-C07.pdf</t>
  </si>
  <si>
    <t>Uploads\28d4d733-b264-4780-81c8-710f0c05a9e5.pdf</t>
  </si>
  <si>
    <t>E4A92676-6FA2-41C0-8498-38C9051F7986</t>
  </si>
  <si>
    <t>78743B71-F2D6-40D5-B3FE-2B7C6921C569</t>
  </si>
  <si>
    <t>3030244F-CE05-4BD0-A982-4D31F9B3BEC4</t>
  </si>
  <si>
    <t>BERTAM-A02ST1 NOOP.pdf</t>
  </si>
  <si>
    <t>Uploads\3030244f-ce05-4bd0-a982-4d31f9b3bec4.pdf</t>
  </si>
  <si>
    <t>161924DF-2D42-48A8-B982-90D59555ADBD</t>
  </si>
  <si>
    <t>58569AA5-2E83-4D16-B51B-23DD8FA37126</t>
  </si>
  <si>
    <t>BERTAM-A02ST1 EOWR.pdf</t>
  </si>
  <si>
    <t>Uploads\58569aa5-2e83-4d16-b51b-23dd8fa37126.pdf</t>
  </si>
  <si>
    <t>265B4F6F-023B-4760-B6E4-4A7BD419F0AC</t>
  </si>
  <si>
    <t>9A1BE3FE-3AEA-496C-9CE3-2BAF00761A3E</t>
  </si>
  <si>
    <t>6FDC1C6A-76B7-4A32-86EE-F9FC6DD2FE88</t>
  </si>
  <si>
    <t>EOWR_BTR-C2.pdf</t>
  </si>
  <si>
    <t>Uploads\6fdc1c6a-76b7-4a32-86ee-f9fc6dd2fe88.pdf</t>
  </si>
  <si>
    <t>87A8447C-BE65-415F-83D8-CE4817E7E1F4</t>
  </si>
  <si>
    <t>FB8D0E4D-11D9-4126-9DD4-B9DD5A1B528D</t>
  </si>
  <si>
    <t>BTR-C2 NOOP (DWP).pdf</t>
  </si>
  <si>
    <t>Uploads\fb8d0e4d-11d9-4126-9dd4-b9dd5a1b528d.pdf</t>
  </si>
  <si>
    <t>CE815D8D-CE65-455F-8DAD-F2262C6A59F8</t>
  </si>
  <si>
    <t>C7C06C94-0D41-4840-86A8-2BB8D6F0D32E</t>
  </si>
  <si>
    <t>A989734E-ED8A-46B7-822B-259705C664CB</t>
  </si>
  <si>
    <t>NOOP Besar-A5.pdf</t>
  </si>
  <si>
    <t>Uploads\a989734e-ed8a-46b7-822b-259705c664cb.pdf</t>
  </si>
  <si>
    <t>097E4D27-50D6-4553-AE23-E50AF43AA222</t>
  </si>
  <si>
    <t>936CBF86-EF0B-4C6B-9C1B-0BAF98A34593</t>
  </si>
  <si>
    <t>FWR Besar-A5.pdf</t>
  </si>
  <si>
    <t>Uploads\936cbf86-ef0b-4c6b-9c1b-0baf98a34593.pdf</t>
  </si>
  <si>
    <t>6477AF4C-C983-4A3F-8F51-C0079D78AD90</t>
  </si>
  <si>
    <t>7FEADBB5-438B-43C1-AA37-2BBE9DF563A0</t>
  </si>
  <si>
    <t>967A27B8-E808-427D-A913-2B7EA1162BCA</t>
  </si>
  <si>
    <t>Anjung Gas Development AJJT-A2 NOOP SIGNED (1).pdf</t>
  </si>
  <si>
    <t>Uploads\967a27b8-e808-427d-a913-2b7ea1162bca.pdf</t>
  </si>
  <si>
    <t>E317A43B-7361-4FAF-ADB6-B93243132E08</t>
  </si>
  <si>
    <t>B006EAAF-A13D-475C-9311-D30FDB13B63C</t>
  </si>
  <si>
    <t>Anjung Gas Development AJJT-A2 Final Well Report.pdf</t>
  </si>
  <si>
    <t>Uploads\b006eaaf-a13d-475c-9311-d30fdb13b63c.pdf</t>
  </si>
  <si>
    <t>4FEA70B5-30C9-49C1-91AE-FAA5D8A8DDA3</t>
  </si>
  <si>
    <t>17737BD7-CE16-4127-8E9C-2BC560C393EF</t>
  </si>
  <si>
    <t>C1C6A5D5-29A3-47B9-9A8D-FE028FDE2166</t>
  </si>
  <si>
    <t>TBK-A1ST1 Final Well Report final.pdf</t>
  </si>
  <si>
    <t>Uploads\c1c6a5d5-29a3-47b9-9a8d-fe028fde2166.pdf</t>
  </si>
  <si>
    <t>8E8420EE-0DBC-4E7E-B402-9BA251A5676F</t>
  </si>
  <si>
    <t>E4621B8A-B413-4C34-81B8-CFF9700591A7</t>
  </si>
  <si>
    <t>NOOP TBK-A1.pdf</t>
  </si>
  <si>
    <t>Uploads\e4621b8a-b413-4c34-81b8-cff9700591a7.pdf</t>
  </si>
  <si>
    <t>FE972F7A-CD1F-463F-99AB-B33C153283CD</t>
  </si>
  <si>
    <t>4E5E4549-4759-41C3-9DC8-2C1534CBAD9A</t>
  </si>
  <si>
    <t>D13C0E5C-EC24-4172-8A7C-D1716688481A</t>
  </si>
  <si>
    <t>NOOP BN-79 Final (Internal).pdf</t>
  </si>
  <si>
    <t>Uploads\d13c0e5c-ec24-4172-8a7c-d1716688481a.pdf</t>
  </si>
  <si>
    <t>586A7687-4DE2-4EA1-AD8C-E767B4DD12DB</t>
  </si>
  <si>
    <t>A0252F88-781B-448E-AFF3-F482263AA4ED</t>
  </si>
  <si>
    <t>BN79_0_Final Well Report.pdf</t>
  </si>
  <si>
    <t>Uploads\a0252f88-781b-448e-aff3-f482263aa4ed.pdf</t>
  </si>
  <si>
    <t>E5B00ACC-1A48-43A1-B82D-720B376EEFF4</t>
  </si>
  <si>
    <t>20BAD509-7DE0-4E1D-8B75-2C63E987CAD9</t>
  </si>
  <si>
    <t>B66B3829-8319-4605-AB1F-246D0D54FF26</t>
  </si>
  <si>
    <t>PETRONAS Final Well Report F13ESC-6 (Signed).pdf</t>
  </si>
  <si>
    <t>Uploads\b66b3829-8319-4605-ab1f-246d0d54ff26.pdf</t>
  </si>
  <si>
    <t>02C07E64-B926-4745-992F-4DF35E820BFF</t>
  </si>
  <si>
    <t>3AF49D8D-67F8-4311-AE5E-12B2B547D710</t>
  </si>
  <si>
    <t>Notice of Operations (NOOP)_Shallow Clastics F13ESC-6 [INTERNAL].pdf</t>
  </si>
  <si>
    <t>Uploads\3af49d8d-67f8-4311-ae5e-12b2b547d710.pdf</t>
  </si>
  <si>
    <t>F0BD39F8-2128-479C-85B2-2F820EF4B71A</t>
  </si>
  <si>
    <t>389A898C-4A54-4A75-B2BE-2C9E59EFCAE4</t>
  </si>
  <si>
    <t>832BE719-F00E-495B-BC32-6B4B495F7820</t>
  </si>
  <si>
    <t>SAMARANG-B59S2 FWR.pdf</t>
  </si>
  <si>
    <t>Uploads\832be719-f00e-495b-bc32-6b4b495f7820.pdf</t>
  </si>
  <si>
    <t>49F801A2-2184-4B95-9AD5-A8FD95168484</t>
  </si>
  <si>
    <t>8EF14212-A0FB-486B-A0CB-DFD77BC72924</t>
  </si>
  <si>
    <t>SM-B59S2 NOOP.pdf</t>
  </si>
  <si>
    <t>SM-B59ST2 NOOP Addendum.pdf</t>
  </si>
  <si>
    <t>Uploads\8ef14212-a0fb-486b-a0cb-dfd77bc72924.pdf</t>
  </si>
  <si>
    <t>2CBF245F-72F6-4BBD-9208-9BA18308566F</t>
  </si>
  <si>
    <t>1779F7AB-C644-4707-8A9F-2CEC290BF547</t>
  </si>
  <si>
    <t>EB156B48-403F-4237-8AAD-04E8C25072DF</t>
  </si>
  <si>
    <t>Pelajo-1 ST1 PCSB FWR.pdf</t>
  </si>
  <si>
    <t>Uploads\eb156b48-403f-4237-8aad-04e8c25072df.pdf</t>
  </si>
  <si>
    <t>9BB4DB3A-0D0C-46C4-816C-C277F12430F5</t>
  </si>
  <si>
    <t>66D89C66-00B2-4DD9-BCE0-A1DAF0B8BDEC</t>
  </si>
  <si>
    <t>Pelajo-1 NOOP_rev0.pdf</t>
  </si>
  <si>
    <t>Uploads\66d89c66-00b2-4dd9-bce0-a1daf0b8bdec.pdf</t>
  </si>
  <si>
    <t>4B7FC77F-13C5-4081-A7C5-835E21DE3586</t>
  </si>
  <si>
    <t>59B50BFF-7995-4B0C-99AD-2DDF1FACA83B</t>
  </si>
  <si>
    <t>2685A6BF-0D91-46D5-8083-BAE314DE0B28</t>
  </si>
  <si>
    <t>NOOP - Gaharu-1 Internal (Rev.1)_signed.pdf</t>
  </si>
  <si>
    <t>Uploads\2685a6bf-0d91-46d5-8083-bae314de0b28.pdf</t>
  </si>
  <si>
    <t>B3768649-EF08-4BC3-A0C9-1DB425A7A765</t>
  </si>
  <si>
    <t>007D1587-CA3F-45E3-90CE-B8D420526201</t>
  </si>
  <si>
    <t>Gaharu-1 Final Well Report with Attachments.pdf</t>
  </si>
  <si>
    <t>Uploads\007d1587-ca3f-45e3-90ce-b8d420526201.pdf</t>
  </si>
  <si>
    <t>A4058FBE-319A-428A-8DEE-5872F5DC3E81</t>
  </si>
  <si>
    <t>60E75136-E366-4B00-82CF-2DEE2B8ED352</t>
  </si>
  <si>
    <t>ABABB286-02B6-48F5-B82F-C9C431DDAA29</t>
  </si>
  <si>
    <t>SK408 LRK-A2 FINAL WELL REPORT.pdf</t>
  </si>
  <si>
    <t>Uploads\ababb286-02b6-48f5-b82f-c9c431ddaa29.pdf</t>
  </si>
  <si>
    <t>AEB4ED12-72F0-4EC9-845E-ADA2787679E3</t>
  </si>
  <si>
    <t>4F855739-A0E4-4C99-827A-83EC2E481E80</t>
  </si>
  <si>
    <t>LRK A2 NOOP 3-July-2019 FINAL Rev1.pdf</t>
  </si>
  <si>
    <t>Uploads\4f855739-a0e4-4c99-827a-83ec2e481e80.pdf</t>
  </si>
  <si>
    <t>554AD539-7D54-4F2F-B6A5-A052155E98ED</t>
  </si>
  <si>
    <t>5D5F8188-C45C-4F5F-9E3A-2DF76BBC95C3</t>
  </si>
  <si>
    <t>D0A2ACEB-6C40-4671-A4B4-AD7ECA06A9E5</t>
  </si>
  <si>
    <t>LARUT A-23ST1 (OP5_NOOP) rev.3.pdf</t>
  </si>
  <si>
    <t>Uploads\d0a2aceb-6c40-4671-a4b4-ad7eca06a9e5.pdf</t>
  </si>
  <si>
    <t>E33E3198-C180-433A-A54D-342F6D0E2F4E</t>
  </si>
  <si>
    <t>9CDC4400-C4BC-433B-857A-0900C9DFDED4</t>
  </si>
  <si>
    <t>LARUT A-23ST1 (OP5) Final Well Report_Rev0.pdf</t>
  </si>
  <si>
    <t>Uploads\9cdc4400-c4bc-433b-857a-0900c9dfded4.pdf</t>
  </si>
  <si>
    <t>40403A88-A0C8-47CF-9253-379F9845E8BA</t>
  </si>
  <si>
    <t>1E541D8D-E1B8-4108-995D-2E2C142FA1E6</t>
  </si>
  <si>
    <t>4263BBD3-5950-459B-907E-D3269E383111</t>
  </si>
  <si>
    <t>NOOP F12-A2 FINAL.pdf</t>
  </si>
  <si>
    <t>Uploads\4263bbd3-5950-459b-907e-d3269e383111.pdf</t>
  </si>
  <si>
    <t>49395640-7497-4F90-9EA3-08D7FB351239</t>
  </si>
  <si>
    <t>8A193171-349C-40B9-96EA-4B6B8538590C</t>
  </si>
  <si>
    <t>F12-A2 FWR.pdf</t>
  </si>
  <si>
    <t>Uploads\8a193171-349c-40b9-96ea-4b6b8538590c.pdf</t>
  </si>
  <si>
    <t>E1AC60F7-C6ED-4450-A33E-B122D5ACA5BA</t>
  </si>
  <si>
    <t>0659EC77-8C37-4A84-9EFE-2E4700D97E46</t>
  </si>
  <si>
    <t>8AC7E38D-D1B9-4381-B9C4-3FD7822F948A</t>
  </si>
  <si>
    <t>PGA-05_NOOP 20th Apr 2020.pdf</t>
  </si>
  <si>
    <t>PGA-05 NOOP Rev 1.0_Supplemental.pdf</t>
  </si>
  <si>
    <t>Uploads\8ac7e38d-d1b9-4381-b9c4-3fd7822f948a.pdf</t>
  </si>
  <si>
    <t>B0461BCB-D572-4A77-8438-FB22144840F1</t>
  </si>
  <si>
    <t>3566FE4B-DE23-44E6-AC2F-76B4B37DFDED</t>
  </si>
  <si>
    <t>PGA-05 EOWR_FINAL.pdf</t>
  </si>
  <si>
    <t>Uploads\3566fe4b-de23-44e6-ac2f-76b4b37dfded.pdf</t>
  </si>
  <si>
    <t>FB6BA8ED-D6B0-43D4-BD8F-DB303EE8C384</t>
  </si>
  <si>
    <t>0407A029-C3FD-4B3B-BEB2-2E6D23882474</t>
  </si>
  <si>
    <t>F335AC54-E21C-4E3B-82EB-BE91C7447835</t>
  </si>
  <si>
    <t>SAMARANG-114 NOOP.pdf</t>
  </si>
  <si>
    <t>Uploads\f335ac54-e21c-4e3b-82eb-be91c7447835.pdf</t>
  </si>
  <si>
    <t>369398AF-8A64-49C4-95F6-22BBEFA2BFC7</t>
  </si>
  <si>
    <t>EE791BAB-EA50-4427-890B-048B8B4BD113</t>
  </si>
  <si>
    <t>SAMARANG-114 EOWR (Revised Cost).pdf</t>
  </si>
  <si>
    <t>Uploads\ee791bab-ea50-4427-890b-048b8b4bd113.pdf</t>
  </si>
  <si>
    <t>70AEB13C-A12C-4E1B-89C7-8E703E3CD765</t>
  </si>
  <si>
    <t>905CD9B5-95FF-468F-B344-2E8196548DF8</t>
  </si>
  <si>
    <t>BA463054-B9A8-4EA9-A13A-E85B12DE45B6</t>
  </si>
  <si>
    <t>Bergading-A3(B) EoWR_FINAL (2).pdf</t>
  </si>
  <si>
    <t>Uploads\ba463054-b9a8-4ea9-a13a-e85b12de45b6.pdf</t>
  </si>
  <si>
    <t>4F66FEC5-C9AD-48AC-8281-65FA81EA858B</t>
  </si>
  <si>
    <t>5977A995-7E37-4C68-B2F0-534306BB3B89</t>
  </si>
  <si>
    <t>Bergading A-3 (B) FINAL_SIGNED.pdf</t>
  </si>
  <si>
    <t>Uploads\5977a995-7e37-4c68-b2f0-534306bb3b89.pdf</t>
  </si>
  <si>
    <t>E9C64F94-F3D5-4757-9ECA-9334820D53E1</t>
  </si>
  <si>
    <t>312EC3A4-A94B-4D0E-A8CD-2F02ABB90C64</t>
  </si>
  <si>
    <t>A1ED007C-504D-465F-A44B-3A750EA47F16</t>
  </si>
  <si>
    <t>SK408 BKG-A2 FINAL WELL REPORT - FINAL wo attachments.pdf</t>
  </si>
  <si>
    <t>Uploads\a1ed007c-504d-465f-a44b-3a750ea47f16.pdf</t>
  </si>
  <si>
    <t>3B4B1976-C16D-451B-9F63-C16F531B9559</t>
  </si>
  <si>
    <t>03397B67-F4A4-4714-8555-3BC090614841</t>
  </si>
  <si>
    <t>BKG-A2 NOOP 17-July-2019 FINAL.pdf</t>
  </si>
  <si>
    <t>Uploads\03397b67-f4a4-4714-8555-3bc090614841.pdf</t>
  </si>
  <si>
    <t>7EF334DB-AC4C-4368-BF29-96AA7639FA2F</t>
  </si>
  <si>
    <t>CD3EFF66-A102-4C50-9772-2F657999B09D</t>
  </si>
  <si>
    <t>E45585CF-E377-4CF3-B5B7-D9234CB369D3</t>
  </si>
  <si>
    <t>BN-76 FWR Final.pdf</t>
  </si>
  <si>
    <t>Uploads\e45585cf-e377-4cf3-b5b7-d9234cb369d3.pdf</t>
  </si>
  <si>
    <t>43464B15-4A5C-4EE7-8FD6-5A6DBD7C8924</t>
  </si>
  <si>
    <t>63FD27FB-7A05-4CCE-8E8D-B3026D722989</t>
  </si>
  <si>
    <t>NOOP BN-76 Final Rev2 (Internal).pdf</t>
  </si>
  <si>
    <t>Uploads\63fd27fb-7a05-4cce-8e8d-b3026d722989.pdf</t>
  </si>
  <si>
    <t>BAA94AFA-0177-4963-A3FC-563B0ABE514C</t>
  </si>
  <si>
    <t>2DFBB79A-FB78-493B-BD59-2F84B1A255F8</t>
  </si>
  <si>
    <t>53D15997-66C9-4699-9A11-355152078985</t>
  </si>
  <si>
    <t>PMO3ANSIGL13_ANGSI-B31.pdf</t>
  </si>
  <si>
    <t>Uploads\53d15997-66c9-4699-9a11-355152078985.pdf</t>
  </si>
  <si>
    <t>9526C074-6A04-4B2D-82D8-B68DC89E8770</t>
  </si>
  <si>
    <t>5A3E8944-96EE-4B5A-B633-652CA2A8EDE6</t>
  </si>
  <si>
    <t>Angsi B31 Final Well Report.pdf</t>
  </si>
  <si>
    <t>Uploads\5a3e8944-96ee-4b5a-b633-652ca2a8ede6.pdf</t>
  </si>
  <si>
    <t>420AC9BC-CB93-4250-8923-1815D8C24E0F</t>
  </si>
  <si>
    <t>B43C4211-6A1E-4A4E-B6BC-2FB55E604220</t>
  </si>
  <si>
    <t>062B3C50-0311-458D-AB75-6B4B30813180</t>
  </si>
  <si>
    <t>MOM-SK309-72-DR-TN-0001-00_SNPA Dev Project Revisit 2 Phase I - NOOP.pdf</t>
  </si>
  <si>
    <t>Uploads\062b3c50-0311-458d-ab75-6b4b30813180.pdf</t>
  </si>
  <si>
    <t>E7CE376B-5013-4B3A-ACD6-9A884C99C8CB</t>
  </si>
  <si>
    <t>414A22AC-9A47-444F-A53B-7FB6ADB042AC</t>
  </si>
  <si>
    <t>MOM-SK309-72-DNC-RP-0010-00_SNPA-04 EOWR.pdf</t>
  </si>
  <si>
    <t>Uploads\414a22ac-9a47-444f-a53b-7fb6adb042ac.pdf</t>
  </si>
  <si>
    <t>CC50907F-55D1-466C-A16C-95CE352D0E82</t>
  </si>
  <si>
    <t>70F7CEF4-1009-4F6C-A1B1-3114782121FB</t>
  </si>
  <si>
    <t>CFFBF9FD-0F73-440A-9427-59B56D13B992</t>
  </si>
  <si>
    <t>PMO3CDORWS3D_CD-C10_FWR_PETROFAC.pdf</t>
  </si>
  <si>
    <t>PMO3CDORWS1S_CD-C10_NOOP_PETROFAC.pdf</t>
  </si>
  <si>
    <t>Uploads\cffbf9fd-0f73-440a-9427-59b56d13b992.pdf</t>
  </si>
  <si>
    <t>E3A7E599-310E-46BF-8807-B717649F3C14</t>
  </si>
  <si>
    <t>D9169008-534B-4E5C-A237-2190CED94D66</t>
  </si>
  <si>
    <t>Uploads\d9169008-534b-4e5c-a237-2190ced94d66.pdf</t>
  </si>
  <si>
    <t>27914EF0-3AFA-44CC-B20A-AC2D6EA176B0</t>
  </si>
  <si>
    <t>EA53CBC7-80EC-436A-9B65-31E9CB199614</t>
  </si>
  <si>
    <t>DA41BFE4-25A8-4B47-8362-4EBF294D012D</t>
  </si>
  <si>
    <t>TT-A5 Final.pdf</t>
  </si>
  <si>
    <t>Uploads\da41bfe4-25a8-4b47-8362-4ebf294d012d.pdf</t>
  </si>
  <si>
    <t>4B058724-7392-4EB3-9615-38168B17EB31</t>
  </si>
  <si>
    <t>831EB44E-AD91-43C1-BE8A-48C72B7FF379</t>
  </si>
  <si>
    <t>TT-A5_FWR 2017 Final-for MPM.pdf</t>
  </si>
  <si>
    <t>Uploads\831eb44e-ad91-43c1-be8a-48c72b7ff379.pdf</t>
  </si>
  <si>
    <t>49F5DA78-3FBC-4B04-83C8-34F223ADC2E8</t>
  </si>
  <si>
    <t>CA1E3BB1-0553-431B-8763-31ED28249935</t>
  </si>
  <si>
    <t>90A5E4C8-935F-4F7E-B8E8-286587B10E88</t>
  </si>
  <si>
    <t>SKO3BENDGL6643_BENDAI-1_PCSB_FWR.pdf</t>
  </si>
  <si>
    <t>Uploads\90a5e4c8-935f-4f7e-b8e8-286587b10e88.pdf</t>
  </si>
  <si>
    <t>47010087-EF0F-461E-A1A5-BC5E9EE723C2</t>
  </si>
  <si>
    <t>E36A4B3C-21A9-4D59-A5FD-C79771C826D8</t>
  </si>
  <si>
    <t>BENDAI-1 APPRAISAL WELL NOOP.pdf</t>
  </si>
  <si>
    <t>Uploads\e36a4b3c-21a9-4d59-a5fd-c79771c826d8.pdf</t>
  </si>
  <si>
    <t>9DD68AAF-0C2F-40D4-8C9B-AD96767E8D73</t>
  </si>
  <si>
    <t>23BEABC4-F49D-4D7B-9A11-31FB2122A780</t>
  </si>
  <si>
    <t>33F5675C-6082-44B0-A6C2-48BA0C7D4B0C</t>
  </si>
  <si>
    <t>NOOP TBK-A3.pdf</t>
  </si>
  <si>
    <t>Uploads\33f5675c-6082-44b0-a6c2-48ba0c7d4b0c.pdf</t>
  </si>
  <si>
    <t>EC28DC1D-586C-47CF-A37A-7908AEE3615E</t>
  </si>
  <si>
    <t>C1E57EDC-B787-4CCD-97C2-48ABD315FE48</t>
  </si>
  <si>
    <t>TBK-A3ST1ST2 Final Well Report.pdf</t>
  </si>
  <si>
    <t>Uploads\c1e57edc-b787-4ccd-97c2-48abd315fe48.pdf</t>
  </si>
  <si>
    <t>3B4830EC-A70F-4AA0-9BFB-CAC477A0E31E</t>
  </si>
  <si>
    <t>DCE80E19-DA20-453E-B5A3-3241F492E6A2</t>
  </si>
  <si>
    <t>537384E2-BEF2-46E4-8335-09CC60487050</t>
  </si>
  <si>
    <t>Merpauh-1 Notice of Operations  rev9.pdf</t>
  </si>
  <si>
    <t>Uploads\537384e2-bef2-46e4-8335-09cc60487050.pdf</t>
  </si>
  <si>
    <t>980FBDD1-7BAA-484C-B325-EF30FDC59EAB</t>
  </si>
  <si>
    <t>B3CA7089-E2C2-4862-82CF-F7B2603866F5</t>
  </si>
  <si>
    <t>Merpauh-1 and ST1_V2EOWR_.pdf</t>
  </si>
  <si>
    <t>Uploads\b3ca7089-e2c2-4862-82cf-f7b2603866f5.pdf</t>
  </si>
  <si>
    <t>93DB1ED1-0A7B-48E1-AAB0-D042D495A18A</t>
  </si>
  <si>
    <t>42122C2D-E48B-4016-A622-3275658E40F4</t>
  </si>
  <si>
    <t>588FC151-D7C8-40BB-B06A-2C48473531C5</t>
  </si>
  <si>
    <t>Kamomil-1_NOOP_Internal.pdf</t>
  </si>
  <si>
    <t>Uploads\588fc151-d7c8-40bb-b06a-2c48473531c5.pdf</t>
  </si>
  <si>
    <t>52215DCE-48DE-4EEF-89C1-5054F42A7957</t>
  </si>
  <si>
    <t>85351F40-1D68-4995-86A3-C0CEFC7F1AD6</t>
  </si>
  <si>
    <t>FINAL WELL REPORT (FWR) KAMOMIL-1, SK 316, OFFSHORE SARAWAK.pdf</t>
  </si>
  <si>
    <t>Uploads\85351f40-1d68-4995-86a3-c0cefc7f1ad6.pdf</t>
  </si>
  <si>
    <t>9CFA87D7-12C3-4C04-B72B-65EDD44A7F53</t>
  </si>
  <si>
    <t>CCB99400-EBD9-4E9D-8237-32F0C84D0D76</t>
  </si>
  <si>
    <t>8C33E588-465A-4E55-9113-E4F95DFCF11E</t>
  </si>
  <si>
    <t>Uploads\8c33e588-465a-4e55-9113-e4f95dfcf11e.pdf</t>
  </si>
  <si>
    <t>65F9E53F-3102-4620-972B-B744749C75BE</t>
  </si>
  <si>
    <t>5B2952BB-284D-42B0-9870-E2A1D808B84F</t>
  </si>
  <si>
    <t>Uploads\5b2952bb-284d-42b0-9870-e2a1d808b84f.pdf</t>
  </si>
  <si>
    <t>E7DB2C2F-AA4A-4456-B5F8-6423BD4CD739</t>
  </si>
  <si>
    <t>A54A13F0-184B-465D-9C88-3301DDD7BDA4</t>
  </si>
  <si>
    <t>E6FAB8E7-F3D4-4E83-8FBC-6DF65D851875</t>
  </si>
  <si>
    <t>GEDOMBAK-2 FINAL WELL REPORT.pdf</t>
  </si>
  <si>
    <t>Uploads\e6fab8e7-f3d4-4e83-8fbc-6df65d851875.pdf</t>
  </si>
  <si>
    <t>0EA21D1D-874E-4793-9114-5B3BB2A2B29E</t>
  </si>
  <si>
    <t>B6B6EAE4-542F-462C-B30A-7E3D0D9EDAA2</t>
  </si>
  <si>
    <t>NOOP - GEDOMBAK-2_APPROVED.pdf</t>
  </si>
  <si>
    <t>NOOP - GEDOMBAK-2.pdf</t>
  </si>
  <si>
    <t>Uploads\b6b6eae4-542f-462c-b30a-7e3d0d9edaa2.pdf</t>
  </si>
  <si>
    <t>A8C02939-33F1-406C-A171-26FDF173A022</t>
  </si>
  <si>
    <t>018474E6-0BDF-419C-8FDE-33A2B63D66C3</t>
  </si>
  <si>
    <t>B70E57EB-B84D-4828-9F02-95E64B5A1E00</t>
  </si>
  <si>
    <t>LARUT A-34 (OP1) Final Well Report.pdf</t>
  </si>
  <si>
    <t>Uploads\b70e57eb-b84d-4828-9f02-95e64b5a1e00.pdf</t>
  </si>
  <si>
    <t>2F3DA142-FF77-493B-BFA9-BDF1B7917C26</t>
  </si>
  <si>
    <t>23D42890-8CF3-43B4-A792-127999F21E30</t>
  </si>
  <si>
    <t>LARUT A-34 (NOOP_OP1)-Rev2.pdf</t>
  </si>
  <si>
    <t>Uploads\23d42890-8cf3-43b4-a792-127999f21e30.pdf</t>
  </si>
  <si>
    <t>E9790C9A-B997-474C-BBD3-20CF25A609D7</t>
  </si>
  <si>
    <t>EED5E706-8C27-4CC9-9494-33BAE9B9B11F</t>
  </si>
  <si>
    <t>795F2ABB-2E92-4A96-8A62-6D4B5B45356E</t>
  </si>
  <si>
    <t>Tadom-1 Internal NOOP.pdf</t>
  </si>
  <si>
    <t>NOOP TADOM-1RDR1 EXP.pdf</t>
  </si>
  <si>
    <t>Uploads\795f2abb-2e92-4a96-8a62-6d4b5b45356e.pdf</t>
  </si>
  <si>
    <t>65C7E09D-BEFD-4B73-BD56-37001A5318A1</t>
  </si>
  <si>
    <t>07FD7506-3A82-4C61-9F85-234DEF592563</t>
  </si>
  <si>
    <t>Tadom-1RDR1_with attachement-Petronas Final Well Report.pdf</t>
  </si>
  <si>
    <t>Uploads\07fd7506-3a82-4c61-9f85-234def592563.pdf</t>
  </si>
  <si>
    <t>Wadi</t>
  </si>
  <si>
    <t>D03644D0-6FBC-44FB-91B5-1C4CFFB3FD28</t>
  </si>
  <si>
    <t>F7ECEE17-B575-416A-9B96-344C3B7BCE73</t>
  </si>
  <si>
    <t>3007D75B-D152-4398-A390-0C7BEEC934D7</t>
  </si>
  <si>
    <t>SASA Ph1_BATCH 2 NOOP.pdf</t>
  </si>
  <si>
    <t>Uploads\3007d75b-d152-4398-a390-0c7beec934d7.pdf</t>
  </si>
  <si>
    <t>7E705BBE-6065-40EE-9FC4-97D82EAEB018</t>
  </si>
  <si>
    <t>4B65D833-4BDF-4295-910F-81120E73ABC7</t>
  </si>
  <si>
    <t>SASA-15 EOWR.pdf</t>
  </si>
  <si>
    <t>Uploads\4b65d833-4bdf-4295-910f-81120e73abc7.pdf</t>
  </si>
  <si>
    <t>F45865F8-B82E-4E27-B4A5-AEE227A2D9BD</t>
  </si>
  <si>
    <t>91667EAD-C07B-4ED8-975A-34737D1993DC</t>
  </si>
  <si>
    <t>1CCD2027-E05F-471C-81C5-A331FC3B2557</t>
  </si>
  <si>
    <t>Petronas Final Well Report WL8ST3 - FINAL.pdf</t>
  </si>
  <si>
    <t>Uploads\1ccd2027-e05f-471c-81c5-a331fc3b2557.pdf</t>
  </si>
  <si>
    <t>48873B25-EFFE-424A-916E-60E1AE96DEFA</t>
  </si>
  <si>
    <t>4226DE9F-B75C-4D37-8BCF-21A5EF1B424F</t>
  </si>
  <si>
    <t>NOOP WL8ST3.pdf</t>
  </si>
  <si>
    <t>Uploads\4226de9f-b75c-4d37-8bcf-21a5ef1b424f.pdf</t>
  </si>
  <si>
    <t>F452656D-0812-4005-9CA9-35B278C40E97</t>
  </si>
  <si>
    <t>F366EF79-8F10-4890-9A63-34CA4365AB6E</t>
  </si>
  <si>
    <t>65BC80C6-6E68-4AB2-9468-DA1898F8C420</t>
  </si>
  <si>
    <t>SKO3ACISWS1K_SAPA-07_PTTEP.pdf</t>
  </si>
  <si>
    <t>Uploads\65bc80c6-6e68-4ab2-9468-da1898f8c420.pdf</t>
  </si>
  <si>
    <t>AD35F4E8-D219-460F-B126-B9E762E5C912</t>
  </si>
  <si>
    <t>E99C70DF-6124-4D35-84CB-3A95D232334E</t>
  </si>
  <si>
    <t>SAPA-07 EOWR.pdf</t>
  </si>
  <si>
    <t>Uploads\e99c70df-6124-4d35-84cb-3a95d232334e.pdf</t>
  </si>
  <si>
    <t>51D343DB-EEBB-4B2E-8A78-C1911579EE2A</t>
  </si>
  <si>
    <t>19BC8D1B-3823-4EB1-9506-34CCE94FB591</t>
  </si>
  <si>
    <t>3D2AECEA-3884-48BE-A8D4-0DA020B70631</t>
  </si>
  <si>
    <t>B30ST1 Petronas Final Well Report_DULANG-B30_PCSB.pdf</t>
  </si>
  <si>
    <t>Uploads\3d2aecea-3884-48be-a8d4-0da020b70631.pdf</t>
  </si>
  <si>
    <t>42337823-5A5A-482A-BD12-A4835C53E66E</t>
  </si>
  <si>
    <t>BAF99512-1EE4-40C3-B21D-2455B3D7F343</t>
  </si>
  <si>
    <t>Dulang Rev 2 - NOOP_B30ST1 (Internal Copy).pdf</t>
  </si>
  <si>
    <t>Uploads\baf99512-1ee4-40c3-b21d-2455b3d7f343.pdf</t>
  </si>
  <si>
    <t>E4DDFAC4-43FB-49D6-9873-84E234953DFA</t>
  </si>
  <si>
    <t>3A85B961-CCD4-49FD-BD64-35F31F532C09</t>
  </si>
  <si>
    <t>E2ABA7C6-1FB2-4A3D-ACAE-6585561EA728</t>
  </si>
  <si>
    <t>MY-SK311-94-DNC-PR-0002-00-0_PRPA_INFILL_NOOP_PRPA-13_PTTEP.pdf</t>
  </si>
  <si>
    <t>Uploads\e2aba7c6-1fb2-4a3d-acae-6585561ea728.pdf</t>
  </si>
  <si>
    <t>7EBEA8FA-2D0C-4416-9F59-472AF4CED495</t>
  </si>
  <si>
    <t>A594DDCB-3585-4B74-ACF4-9E78CBA467C3</t>
  </si>
  <si>
    <t>MY-SK311-94-DNC-RP-0001_PRPA-13 EOWR.pdf</t>
  </si>
  <si>
    <t>Uploads\a594ddcb-3585-4b74-acf4-9e78cba467c3.pdf</t>
  </si>
  <si>
    <t>D5FE935E-4AC1-4F3D-B65C-2F98311D5CF9</t>
  </si>
  <si>
    <t>CCD1DF43-AA8A-447F-914C-362DBEED16B5</t>
  </si>
  <si>
    <t>2FF071AC-9066-4C2F-B0E6-C6A6AB7DC75D</t>
  </si>
  <si>
    <t>Mirdanga-1 Final Well Report w Attachements.pdf</t>
  </si>
  <si>
    <t>Uploads\2ff071ac-9066-4c2f-b0e6-c6a6ab7dc75d.pdf</t>
  </si>
  <si>
    <t>C49B0C02-ECB3-4674-BE9D-A1FCD6F8AFFF</t>
  </si>
  <si>
    <t>34F04187-2A17-4043-90CB-8D0DE9A6F084</t>
  </si>
  <si>
    <t>Mirdanga-1 - SK GARUDA NOOP.pdf</t>
  </si>
  <si>
    <t>Uploads\34f04187-2a17-4043-90cb-8d0de9a6f084.pdf</t>
  </si>
  <si>
    <t>174F479E-4833-4823-9838-0E7E0C5C740B</t>
  </si>
  <si>
    <t>761BDFB6-9187-4BC6-B31C-36A3EBAA9540</t>
  </si>
  <si>
    <t>4B9ED68A-BA45-42F2-8C4A-0E615D540B3B</t>
  </si>
  <si>
    <t>GK-W515B NOOP_SHELL.pdf</t>
  </si>
  <si>
    <t>Uploads\4b9ed68a-ba45-42f2-8c4a-0e615d540b3b.pdf</t>
  </si>
  <si>
    <t>E35E2B6F-43AD-4280-B946-D4ED61E150B3</t>
  </si>
  <si>
    <t>D72A9FBF-5E7F-437A-BE1A-C1C041E76A6A</t>
  </si>
  <si>
    <t>GK W515B FINAL EOWR .pdf</t>
  </si>
  <si>
    <t>Uploads\d72a9fbf-5e7f-437a-be1a-c1c041e76a6a.pdf</t>
  </si>
  <si>
    <t>A787DE76-DEFB-4F3A-B0C6-CEA7382B2674</t>
  </si>
  <si>
    <t>76A0AEFF-D425-4C23-B637-3726CEE4F349</t>
  </si>
  <si>
    <t>F29A0DA4-7FB3-4490-8C8B-F41A4F8EFF7F</t>
  </si>
  <si>
    <t>KNDW-D01 EOWR.pdf</t>
  </si>
  <si>
    <t>Uploads\f29a0da4-7fb3-4490-8c8b-f41a4f8eff7f.pdf</t>
  </si>
  <si>
    <t>19337C22-A9A3-4520-9C61-351004BD2246</t>
  </si>
  <si>
    <t>7DF1E4D4-5DB4-4FD5-8EB3-41005483EA50</t>
  </si>
  <si>
    <t>KNDW D-01 NOOP.pdf</t>
  </si>
  <si>
    <t>Uploads\7df1e4d4-5db4-4fd5-8eb3-41005483ea50.pdf</t>
  </si>
  <si>
    <t>DF32867B-B7AE-46AB-BBEC-4CD967B9D2A7</t>
  </si>
  <si>
    <t>8FCD42D5-820B-42DF-883C-374129306299</t>
  </si>
  <si>
    <t>E639C647-9234-4E66-AD41-C0EEBB8050F8</t>
  </si>
  <si>
    <t>SKO3TEJAGL01_TEJA-1_SAPURA OMV_NOOP.pdf</t>
  </si>
  <si>
    <t>Uploads\e639c647-9234-4e66-ad41-c0eebb8050f8.pdf</t>
  </si>
  <si>
    <t>FF0FF404-A4CB-4C52-9F1D-0F0015A442DD</t>
  </si>
  <si>
    <t>F6F35524-4ECA-44C6-8864-1BDB36F48CEE</t>
  </si>
  <si>
    <t>Teja-1 End of Well Report 22 May 2014.pdf</t>
  </si>
  <si>
    <t>Uploads\f6f35524-4eca-44c6-8864-1bdb36f48cee.pdf</t>
  </si>
  <si>
    <t>73B1F670-3871-43CD-A704-8F962F090411</t>
  </si>
  <si>
    <t>1CB6B52A-8136-440B-B4F6-37AE8CE6E190</t>
  </si>
  <si>
    <t>1FBA8AAF-47FB-4803-950B-FAEB6F6412F4</t>
  </si>
  <si>
    <t>DAMAR-A12 EOWR.pdf</t>
  </si>
  <si>
    <t>Uploads\1fba8aaf-47fb-4803-950b-faeb6f6412f4.pdf</t>
  </si>
  <si>
    <t>6BA18B42-6C76-439E-8C0E-765FE7AF382B</t>
  </si>
  <si>
    <t>26D5AD5E-E3D6-4A01-908B-BEB14E7CDBC6</t>
  </si>
  <si>
    <t>PMO3DMARGL02_DAMAR-12_EMEPMI.pdf</t>
  </si>
  <si>
    <t>Uploads\26d5ad5e-e3d6-4a01-908b-beb14e7cdbc6.pdf</t>
  </si>
  <si>
    <t>249D989B-825F-478C-91F0-8C8703B12A9A</t>
  </si>
  <si>
    <t>A8F78279-862A-4158-BACE-38D2C65F18C8</t>
  </si>
  <si>
    <t>8B882E5E-5BC3-4C53-BC8D-3FD9C6DE7085</t>
  </si>
  <si>
    <t>PMO3DULGWSXO_DULANG-D27_PCSB_NOOP.pdf</t>
  </si>
  <si>
    <t>Uploads\8b882e5e-5bc3-4c53-bc8d-3fd9c6de7085.pdf</t>
  </si>
  <si>
    <t>29DB40F8-61FC-44BE-852E-1C8E6DB5E315</t>
  </si>
  <si>
    <t>840B58C8-DBAA-49F9-89AA-5B444986F301</t>
  </si>
  <si>
    <t>PMO3DULGWSYE_DULANG-D27_PCSB_FWR.pdf</t>
  </si>
  <si>
    <t>Uploads\840b58c8-dbaa-49f9-89aa-5b444986f301.pdf</t>
  </si>
  <si>
    <t>CA9C75A8-2F3B-4E5F-A065-AF98F144CBAF</t>
  </si>
  <si>
    <t>D022734A-B47B-48D4-8B02-38E872DB24C7</t>
  </si>
  <si>
    <t>7DEB9642-2745-4735-933D-16EA910AEC9B</t>
  </si>
  <si>
    <t>Uploads\7deb9642-2745-4735-933d-16ea910aec9b.pdf</t>
  </si>
  <si>
    <t>327E8897-0C03-4FC6-B960-855AE18ADC9A</t>
  </si>
  <si>
    <t>F6D831D8-81C1-4983-A12F-6D0680250E17</t>
  </si>
  <si>
    <t>FWR BOKOR_E507 (1).pdf</t>
  </si>
  <si>
    <t>Uploads\f6d831d8-81c1-4983-a12f-6d0680250e17.pdf</t>
  </si>
  <si>
    <t>F2763E7D-563A-4EE0-938F-88BF7142A7EC</t>
  </si>
  <si>
    <t>E5A5D73C-205F-4D6F-8818-3904DDFD8902</t>
  </si>
  <si>
    <t>15A73CFA-7BD9-420A-B47D-CD20A36C7DE1</t>
  </si>
  <si>
    <t>SKO3LTGWGL10_WEST LUTONG DEEP-1_PCSB_NOOP.pdf</t>
  </si>
  <si>
    <t>Uploads\15a73cfa-7bd9-420a-b47d-cd20a36c7de1.pdf</t>
  </si>
  <si>
    <t>C8BBBAE2-A540-4D82-A845-0A6068227489</t>
  </si>
  <si>
    <t>37D1F526-0DA9-4373-8D8E-C7DA74034AB4</t>
  </si>
  <si>
    <t>SKO3LTGWWS1D_WEST LUTONG DEEP-1_PCSB_FWR.pdf</t>
  </si>
  <si>
    <t>Uploads\37d1f526-0da9-4373-8d8e-c7da74034ab4.pdf</t>
  </si>
  <si>
    <t>7AFFE1CB-B041-442E-BC16-D167B573CDE0</t>
  </si>
  <si>
    <t>09940047-093B-44AD-9E3E-391FAACC21F0</t>
  </si>
  <si>
    <t>79BDC503-4552-4A2E-8227-36492AB32860</t>
  </si>
  <si>
    <t>SKO3BKNGWS03_BAKONG-1_SAPURA OMV_FWR_28 Dec 2014.pdf</t>
  </si>
  <si>
    <t>Uploads\79bdc503-4552-4a2e-8227-36492ab32860.pdf</t>
  </si>
  <si>
    <t>918534D7-09F0-4354-BF74-C1EFF087090E</t>
  </si>
  <si>
    <t>F5093DDB-31DD-4AE5-95EA-886EB8082B35</t>
  </si>
  <si>
    <t>SKO3BKNGGL01_BAKONG-1_SAPURA OMV_NOOP rev 1.pdf</t>
  </si>
  <si>
    <t>Uploads\f5093ddb-31dd-4ae5-95ea-886eb8082b35.pdf</t>
  </si>
  <si>
    <t>2BE992BF-96BD-451C-B051-CE78133BFC04</t>
  </si>
  <si>
    <t>65AD927E-5624-4BFF-8AE1-392B0A768B1D</t>
  </si>
  <si>
    <t>0AF96168-08D3-4D8E-A352-E1541F3DBB7B</t>
  </si>
  <si>
    <t>Sumandak Selatan B11 ST1 NOOP_20190131.pdf</t>
  </si>
  <si>
    <t>Uploads\0af96168-08d3-4d8e-a352-e1541f3dbb7b.pdf</t>
  </si>
  <si>
    <t>8F93A5E8-4030-4F5E-85B3-6C66D96E52C4</t>
  </si>
  <si>
    <t>50558CFF-5BFD-4D37-B5C7-2AD84933B2C0</t>
  </si>
  <si>
    <t>PCSB Final Well Report (Sumandak Selatan B11 ST1).pdf</t>
  </si>
  <si>
    <t>Uploads\50558cff-5bfd-4d37-b5c7-2ad84933b2c0.pdf</t>
  </si>
  <si>
    <t>BA5DF5DD-065E-41AE-8EA8-5F7F435B95FC</t>
  </si>
  <si>
    <t>451FD30C-996B-48AC-B6B9-39CDEFFF16DE</t>
  </si>
  <si>
    <t>3BB9FB8A-2AE0-4452-AFF7-58E91B061A27</t>
  </si>
  <si>
    <t>SUMAZAU-1 FWR with ATTACHMENT (FINAL).pdf</t>
  </si>
  <si>
    <t>Uploads\3bb9fb8a-2ae0-4452-aff7-58e91b061a27.pdf</t>
  </si>
  <si>
    <t>1F11A42C-232B-437D-9024-111DA4F7531F</t>
  </si>
  <si>
    <t>40197DB6-C1F2-46C0-9831-9CE78630FD29</t>
  </si>
  <si>
    <t>SUMAZAU-1 NOOP_INTERNAL .pdf</t>
  </si>
  <si>
    <t>Uploads\40197db6-c1f2-46c0-9831-9ce78630fd29.pdf</t>
  </si>
  <si>
    <t>B7ADC9A3-9897-48C9-86D5-529BB8CFD682</t>
  </si>
  <si>
    <t>C6981AF6-642D-45D4-8B65-39CED04CAD61</t>
  </si>
  <si>
    <t>51AAFB99-F253-4C05-BA09-9C9E90408164</t>
  </si>
  <si>
    <t>SK408 LRK-A1 FINAL WELL REPORT.pdf</t>
  </si>
  <si>
    <t>Uploads\51aafb99-f253-4c05-ba09-9c9e90408164.pdf</t>
  </si>
  <si>
    <t>C7AFD003-01CB-4B21-996A-70155C9A3DA1</t>
  </si>
  <si>
    <t>B14AA937-AD60-4026-ACEF-ED4253A4F9C0</t>
  </si>
  <si>
    <t>LRK A1 NOOP 3-July-2019 FINAL Rev1.pdf</t>
  </si>
  <si>
    <t>Uploads\b14aa937-ad60-4026-acef-ed4253a4f9c0.pdf</t>
  </si>
  <si>
    <t>1DBE0D74-9854-47D0-8421-216C51BD8826</t>
  </si>
  <si>
    <t>1F7D1558-AEF6-4FE7-8795-3A19646C9633</t>
  </si>
  <si>
    <t>EBA2AD6E-6D06-49C2-8AA6-F221D29F7AAF</t>
  </si>
  <si>
    <t>SKO3KNWTWS12_KANOWIT_SS2.pdf</t>
  </si>
  <si>
    <t>Uploads\eba2ad6e-6d06-49c2-8aa6-f221d29f7aaf.pdf</t>
  </si>
  <si>
    <t>22FF615A-D961-491E-8631-D7737E113BF2</t>
  </si>
  <si>
    <t>3C6F5476-252E-4F25-BE30-B392EDEB3267</t>
  </si>
  <si>
    <t>SKO3KNWTGL04_KANOWIT_SS2.pdf</t>
  </si>
  <si>
    <t>Uploads\3c6f5476-252e-4f25-be30-b392edeb3267.pdf</t>
  </si>
  <si>
    <t>DBD85289-3A56-4FC8-AF6D-E3BAC2CE97CE</t>
  </si>
  <si>
    <t>CDE52883-9019-4C62-8D1D-3A2A66343C20</t>
  </si>
  <si>
    <t>8C45D1F7-CA8B-40A8-96CE-5B6127F94B80</t>
  </si>
  <si>
    <t>Nuri-1 Nuri-1 RDR1 FWR (with Attachment) (1).pdf</t>
  </si>
  <si>
    <t>Uploads\8c45d1f7-ca8b-40a8-96ce-5b6127f94b80.pdf</t>
  </si>
  <si>
    <t>CCEBA16B-8A1C-4F5E-9314-A3E60EF20E00</t>
  </si>
  <si>
    <t>670728FE-3BF9-4356-8C6E-EEB8BE609B55</t>
  </si>
  <si>
    <t>NOOP - Nuri-1 MPM.pdf</t>
  </si>
  <si>
    <t>NOOP - Nuri-1 MPM.PDF</t>
  </si>
  <si>
    <t>Uploads\670728fe-3bf9-4356-8c6e-eeb8be609b55.pdf</t>
  </si>
  <si>
    <t>00A4D6B4-1908-44F1-BA04-566467991EAC</t>
  </si>
  <si>
    <t>0A003F3E-FB3F-4A2C-A2C3-3A49737997E3</t>
  </si>
  <si>
    <t>6098EFF0-1FD1-4E16-BA82-FB4536950796</t>
  </si>
  <si>
    <t>SKO3D21-WS45_D21_A4.pdf</t>
  </si>
  <si>
    <t>Uploads\6098eff0-1fd1-4e16-ba82-fb4536950796.pdf</t>
  </si>
  <si>
    <t>2FCBC576-38B5-4ED7-AD8A-44C29CF6794D</t>
  </si>
  <si>
    <t>2CA7065B-01F4-4D3E-9312-06DC42484C74</t>
  </si>
  <si>
    <t>SKO3D21-WS51_D21_A4.pdf</t>
  </si>
  <si>
    <t>Uploads\2ca7065b-01f4-4d3e-9312-06dc42484c74.pdf</t>
  </si>
  <si>
    <t>C8F5EC5E-AE61-465A-88A2-4CBF1E55B127</t>
  </si>
  <si>
    <t>E3AB7483-D571-4BA7-AE7D-3A59AC76B9F9</t>
  </si>
  <si>
    <t>33549DA0-1CD0-4EBC-AC04-98DA34A1C187</t>
  </si>
  <si>
    <t>SAMARANG-G112 FWR (Cost revised).pdf</t>
  </si>
  <si>
    <t>Uploads\33549da0-1cd0-4ebc-ac04-98da34a1c187.pdf</t>
  </si>
  <si>
    <t>022AB5B8-C5E5-4113-9DC2-EF81033C4EEA</t>
  </si>
  <si>
    <t>E395DE2F-0B54-4D88-A6A2-E5DB0645BC1F</t>
  </si>
  <si>
    <t>SBO3SMRGGL48_SM112_PCSB_NOOP.pdf</t>
  </si>
  <si>
    <t>Uploads\e395de2f-0b54-4d88-a6a2-e5db0645bc1f.pdf</t>
  </si>
  <si>
    <t>2AAE2781-FDF2-4412-8836-F4BE5D5F0AEF</t>
  </si>
  <si>
    <t>2388796F-E046-45B3-950B-3A8E164A03FF</t>
  </si>
  <si>
    <t>SAPA-05</t>
  </si>
  <si>
    <t>EA7B1190-8C37-4252-A685-F38D8B0BCEC5</t>
  </si>
  <si>
    <t>SAPA-05 EOWR.pdf</t>
  </si>
  <si>
    <t>Uploads\ea7b1190-8c37-4252-a685-f38d8b0bcec5.pdf</t>
  </si>
  <si>
    <t>41E1565A-ED09-4703-B354-9EC360E72DDF</t>
  </si>
  <si>
    <t>F0A032EE-3BA5-47B1-B706-C3E75EF9A5CE</t>
  </si>
  <si>
    <t>SKO3ACISWS67_SAPA-05-06-13-15_PTTEP.pdf</t>
  </si>
  <si>
    <t>Uploads\f0a032ee-3ba5-47b1-b706-c3e75ef9a5ce.pdf</t>
  </si>
  <si>
    <t>E51667BC-86A3-4431-AC93-4431140C437F</t>
  </si>
  <si>
    <t>77B1425A-47F7-4F57-A276-3AE04B503734</t>
  </si>
  <si>
    <t>561D6A52-5666-4390-ACDD-F2DF21DD9BA3</t>
  </si>
  <si>
    <t>Bertam A-15 ST1 EOWR_Final_Complete.pdf</t>
  </si>
  <si>
    <t>Uploads\561d6a52-5666-4390-acdd-f2df21dd9ba3.pdf</t>
  </si>
  <si>
    <t>05A622C6-2B15-4C72-B8FF-085A937B2740</t>
  </si>
  <si>
    <t>53A0A5F2-3DDE-4056-AE20-A68DBE99E6BC</t>
  </si>
  <si>
    <t>Bertam A-15 ST1 NOOP.pdf</t>
  </si>
  <si>
    <t>Uploads\53a0a5f2-3dde-4056-ae20-a68dbe99e6bc.pdf</t>
  </si>
  <si>
    <t>1592EE2B-1DEA-4D65-A0DC-4F60AA453134</t>
  </si>
  <si>
    <t>87FBD696-E5A0-47F4-BDC9-3AE0A8144DCD</t>
  </si>
  <si>
    <t>EA4AA409-ACAF-43E0-BC8C-4738EBAA1493</t>
  </si>
  <si>
    <t>SKO3D28-GL03_D28-2_PCSB.pdf</t>
  </si>
  <si>
    <t>Uploads\ea4aa409-acaf-43e0-bc8c-4738ebaa1493.pdf</t>
  </si>
  <si>
    <t>64FFC150-9DE2-439B-9E62-DF4398E05505</t>
  </si>
  <si>
    <t>85DC18FA-EAEB-497C-AF76-5AF8541C7E0A</t>
  </si>
  <si>
    <t>SKO3D28-WS06_D28-2_PCSB.pdf</t>
  </si>
  <si>
    <t>Uploads\85dc18fa-eaeb-497c-af76-5af8541c7e0a.pdf</t>
  </si>
  <si>
    <t>14575532-4DC2-4DB6-830F-5698B8FFA1CC</t>
  </si>
  <si>
    <t>0E7C3139-0842-4837-A974-3B489295A6C8</t>
  </si>
  <si>
    <t>D448D733-9EA3-497C-8D85-667F82EE400E</t>
  </si>
  <si>
    <t>EOWR_Bergading B-4(J2) - signed.pdf</t>
  </si>
  <si>
    <t>Uploads\d448d733-9ea3-497c-8d85-667f82ee400e.pdf</t>
  </si>
  <si>
    <t>9F3401AC-35D0-44A2-A6AC-2ED25400403E</t>
  </si>
  <si>
    <t>19A2F5D6-9298-46D4-A1F6-CC261B569DCC</t>
  </si>
  <si>
    <t>NOOP - BRGB-4(J2), Bergading B-4(J2).pdf</t>
  </si>
  <si>
    <t>Uploads\19a2f5d6-9298-46d4-a1f6-cc261b569dcc.pdf</t>
  </si>
  <si>
    <t>8330AD40-319A-4DC0-8DF0-089F5436A960</t>
  </si>
  <si>
    <t>6C2FDEEC-3954-41EA-8509-3B61606CAB83</t>
  </si>
  <si>
    <t>C38DF178-FD25-4B85-B2DE-271E3B0E0BF0</t>
  </si>
  <si>
    <t>SBO3KIKHWS2L_KIKEH_WX16.pdf</t>
  </si>
  <si>
    <t>Uploads\c38df178-fd25-4b85-b2de-271e3b0e0bf0.pdf</t>
  </si>
  <si>
    <t>AA3C2BC5-F009-4206-806D-C81AD788DDBD</t>
  </si>
  <si>
    <t>4DA8BA42-1C4F-45FB-9FAF-AB613DB7A151</t>
  </si>
  <si>
    <t>SBO3KIKHWSX7_KIKEH_WX16.pdf</t>
  </si>
  <si>
    <t>Uploads\4da8ba42-1c4f-45fb-9faf-ab613db7a151.pdf</t>
  </si>
  <si>
    <t>C5B7697B-D820-4407-B072-173D89822DB6</t>
  </si>
  <si>
    <t>2EFC76B6-D08F-480E-8525-3B66AE2C5CD5</t>
  </si>
  <si>
    <t>9F4B43B9-7DFC-4195-8316-422F451A5009</t>
  </si>
  <si>
    <t>Uploads\9f4b43b9-7dfc-4195-8316-422f451a5009.pdf</t>
  </si>
  <si>
    <t>39CF2D14-FCBE-440F-857F-773F84DA42D2</t>
  </si>
  <si>
    <t>BD27EE06-9CAB-4473-84EF-14A5373CA01B</t>
  </si>
  <si>
    <t>SK408 Jerun-A1 Final Well Report - FINAL.pdf</t>
  </si>
  <si>
    <t>Uploads\bd27ee06-9cab-4473-84ef-14a5373ca01b.pdf</t>
  </si>
  <si>
    <t>A6E7E1F0-A1FE-437C-86F5-669CFA34BB75</t>
  </si>
  <si>
    <t>740F6802-264B-4833-A750-3B831CB5AA28</t>
  </si>
  <si>
    <t>2706F729-A367-42F8-81D9-FF6244B6EA8B</t>
  </si>
  <si>
    <t>SBO3SMRGGL55_SM-116.pdf</t>
  </si>
  <si>
    <t>Uploads\2706f729-a367-42f8-81d9-ff6244b6ea8b.pdf</t>
  </si>
  <si>
    <t>E9DFE7C8-F7A6-48E6-8069-4039EC46F0C7</t>
  </si>
  <si>
    <t>8CBBCA7C-CA4B-4072-BEDA-06248A877846</t>
  </si>
  <si>
    <t>SBO3SMRGWSEK_SM-116.pdf</t>
  </si>
  <si>
    <t>Uploads\8cbbca7c-ca4b-4072-beda-06248a877846.pdf</t>
  </si>
  <si>
    <t>E2D8102A-5696-46A0-A59A-2381D2D6504B</t>
  </si>
  <si>
    <t>B64B00AF-2104-4E59-BD41-3BC8ECC471A3</t>
  </si>
  <si>
    <t>D9F37E72-D048-4488-9E86-75287B0ED0EB</t>
  </si>
  <si>
    <t>PMO3DULGGL82_DULANG-C31.pdf</t>
  </si>
  <si>
    <t>Uploads\d9f37e72-d048-4488-9e86-75287b0ed0eb.pdf</t>
  </si>
  <si>
    <t>A11256CD-9715-4436-A642-BE87E4860886</t>
  </si>
  <si>
    <t>73B63310-B3F2-4F80-99AB-977D0E69EADF</t>
  </si>
  <si>
    <t>PMO3DULGWS7N_DULANG-C31.pdf</t>
  </si>
  <si>
    <t>Uploads\73b63310-b3f2-4f80-99ab-977d0e69eadf.pdf</t>
  </si>
  <si>
    <t>2529A475-4981-4DC6-8743-C5129E7E14A8</t>
  </si>
  <si>
    <t>C848A266-D601-48A5-9637-3C4EC1967806</t>
  </si>
  <si>
    <t>77FC35A1-CD03-4CE9-B2BC-FEB13B1EA44A</t>
  </si>
  <si>
    <t>D-18 209B Final Well Report 209B (Signed).pdf</t>
  </si>
  <si>
    <t>Uploads\77fc35a1-cd03-4ce9-b2bc-feb13b1ea44a.pdf</t>
  </si>
  <si>
    <t>CBF8B37A-B7AF-43F8-BF83-EA5A3E529F0D</t>
  </si>
  <si>
    <t>57B447F5-3E4E-49E2-A6D6-E4A5A2F4751F</t>
  </si>
  <si>
    <t>SKO3D18-GL30_D18-209B.pdf</t>
  </si>
  <si>
    <t>Uploads\57b447f5-3e4e-49e2-a6d6-e4a5a2f4751f.pdf</t>
  </si>
  <si>
    <t>8C331858-427D-4DA9-A2E8-DBB4A69DBE90</t>
  </si>
  <si>
    <t>0183ABCA-117A-4754-BF3B-3C501A8B962A</t>
  </si>
  <si>
    <t>E31102D8-1E68-41F1-A2D0-661589CE300E</t>
  </si>
  <si>
    <t>EOWR Bunga Lavatera-1_Rev1.pdf</t>
  </si>
  <si>
    <t>Uploads\e31102d8-1e68-41f1-a2d0-661589ce300e.pdf</t>
  </si>
  <si>
    <t>2CE4272B-22C7-4AED-9B78-DD03ADFAFAF2</t>
  </si>
  <si>
    <t>4A228F7E-2379-4AF5-BE85-1872C1B333C4</t>
  </si>
  <si>
    <t>NOOP_Bunga Lavatera-1_signed.pdf</t>
  </si>
  <si>
    <t>Uploads\4a228f7e-2379-4af5-be85-1872c1b333c4.pdf</t>
  </si>
  <si>
    <t>B69B0CC3-0B1D-4395-8783-46851DBF60DE</t>
  </si>
  <si>
    <t>E5C5F8CF-6EC4-4968-8F72-3C55785EA6C4</t>
  </si>
  <si>
    <t>A58D7675-6511-4418-B530-627D345B26F4</t>
  </si>
  <si>
    <t>EOWR KNDW-D13.pdf</t>
  </si>
  <si>
    <t>Uploads\a58d7675-6511-4418-b530-627d345b26f4.pdf</t>
  </si>
  <si>
    <t>B0006E6C-30D0-4D3C-B580-932EED49F230</t>
  </si>
  <si>
    <t>0A067198-5172-45EB-9F05-B1A74AB0A3CC</t>
  </si>
  <si>
    <t>KNDW-D13, NOOP, 18 Feb 2020.pdf</t>
  </si>
  <si>
    <t>Uploads\0a067198-5172-45eb-9f05-b1a74ab0a3cc.pdf</t>
  </si>
  <si>
    <t>5BABB973-E7F1-4106-8E44-6B3074740745</t>
  </si>
  <si>
    <t>FDDBB895-CBFE-47C5-A557-3D7F8BDD37CE</t>
  </si>
  <si>
    <t>67121D9A-2084-4772-B500-B25F148C88D6</t>
  </si>
  <si>
    <t>PMO3BTAMDR06_BERTAM A-12_IPC_LUNDIN_FWR.pdf</t>
  </si>
  <si>
    <t>Uploads\67121d9a-2084-4772-b500-b25f148c88d6.pdf</t>
  </si>
  <si>
    <t>F7EA1C9B-1BB9-4F11-8F08-5CA82D61291B</t>
  </si>
  <si>
    <t>68553374-75A2-4383-A03D-1BFE986F95AB</t>
  </si>
  <si>
    <t>PMO3BTAMWS25_BERTAM A-12_IPC_LUNDIN_NOOP.pdf</t>
  </si>
  <si>
    <t>Uploads\68553374-75a2-4383-a03d-1bfe986f95ab.pdf</t>
  </si>
  <si>
    <t>0C661B41-7639-43B7-92A0-6D25D4741EB8</t>
  </si>
  <si>
    <t>E33C6831-E784-4EEF-A5F1-3E5354B4EAEF</t>
  </si>
  <si>
    <t>4A6950C3-FF46-484D-B158-2495B492B0EC</t>
  </si>
  <si>
    <t>Keruing-1 EOWR_Final.pdf</t>
  </si>
  <si>
    <t>Uploads\4a6950c3-ff46-484d-b158-2495b492b0ec.pdf</t>
  </si>
  <si>
    <t>6AC61A1A-CDDE-4EB1-9CCF-820F87BA27CC</t>
  </si>
  <si>
    <t>D136AC70-14B3-4181-A132-81F15D070503</t>
  </si>
  <si>
    <t>Keruing-1  ST1 NOOP.pdf</t>
  </si>
  <si>
    <t>Uploads\d136ac70-14b3-4181-a132-81f15d070503.pdf</t>
  </si>
  <si>
    <t>89A60878-F156-456B-9A9A-0DD70CC3BFD6</t>
  </si>
  <si>
    <t>B5F2FB8F-99BA-4D3E-8A72-3F30EB144ADA</t>
  </si>
  <si>
    <t>FB45F973-2F04-4D5C-83BB-8E6EA97671C8</t>
  </si>
  <si>
    <t>210302_NOTICE OF OPERATIONS - WELL EC-A02 Signed.pdf</t>
  </si>
  <si>
    <t>210302_NOTICE OF OPERATIONS - WELL EC-A02 (Slot 2C)-Rev 0.0 Signed.pdf</t>
  </si>
  <si>
    <t>Uploads\fb45f973-2f04-4d5c-83bb-8e6ea97671c8.pdf</t>
  </si>
  <si>
    <t>0BDF810E-B2F5-4771-80FB-DD0C30B6B4EB</t>
  </si>
  <si>
    <t>CD48F1B7-51EF-408E-97C5-0607983E3E07</t>
  </si>
  <si>
    <t>EC-A02 Final Well Report.pdf</t>
  </si>
  <si>
    <t>Uploads\cd48f1b7-51ef-408e-97c5-0607983e3e07.pdf</t>
  </si>
  <si>
    <t>5737E6A4-4EC9-45B7-B6A8-473CC4A4E602</t>
  </si>
  <si>
    <t>D22322E0-A9BE-4105-858E-3F8EFB8FAC92</t>
  </si>
  <si>
    <t>2FA77019-FF96-4F2A-B9A4-62C492D8AFE6</t>
  </si>
  <si>
    <t>SBO3MKAIGL26_MALIKAI-123_NOOP_SHELL.pdf</t>
  </si>
  <si>
    <t>Uploads\2fa77019-ff96-4f2a-b9a4-62c492d8afe6.pdf</t>
  </si>
  <si>
    <t>D091BA31-9536-4D8B-A60E-6D05D81DC36A</t>
  </si>
  <si>
    <t>CC284183-253E-4DB0-A514-5A83079C733D</t>
  </si>
  <si>
    <t>MLK-123 EOWR For Petronas.pdf</t>
  </si>
  <si>
    <t>Uploads\cc284183-253e-4db0-a514-5a83079c733d.pdf</t>
  </si>
  <si>
    <t>0D315C51-2349-4D42-9736-98F18F8281BC</t>
  </si>
  <si>
    <t>A3F21024-4DD5-47BE-983C-403FEF42C3AE</t>
  </si>
  <si>
    <t>7AC9710A-232C-49BE-92D9-0E85559AAE00</t>
  </si>
  <si>
    <t>SKO3ACISWS1L_SAPA-04_NOOP_PTTEP.pdf</t>
  </si>
  <si>
    <t>Uploads\7ac9710a-232c-49be-92d9-0e85559aae00.pdf</t>
  </si>
  <si>
    <t>9B14DC82-D2B1-47D5-BDAC-AE4EE5734017</t>
  </si>
  <si>
    <t>4F3CF0A0-8CE7-46D2-B912-6B61EEC27B48</t>
  </si>
  <si>
    <t>SAPA-04ST2 EOWR.pdf</t>
  </si>
  <si>
    <t>Uploads\4f3cf0a0-8ce7-46d2-b912-6b61eec27b48.pdf</t>
  </si>
  <si>
    <t>54A254D7-16D7-4AEF-9D2B-9ACE73305E67</t>
  </si>
  <si>
    <t>FA28D0F3-E812-4EE8-B8CD-40865BCA9538</t>
  </si>
  <si>
    <t>2C1FC1DC-925D-4C59-9FC3-5EC5C374EC5A</t>
  </si>
  <si>
    <t>LARUT A-36 (OP6_NOOP) rev 2.pdf</t>
  </si>
  <si>
    <t>Uploads\2c1fc1dc-925d-4c59-9fc3-5ec5c374ec5a.pdf</t>
  </si>
  <si>
    <t>AAD9B25B-DB4E-4695-85DF-70C4D42A3251</t>
  </si>
  <si>
    <t>AA96E963-8C15-4A02-BD73-82537E92261B</t>
  </si>
  <si>
    <t>LARUT A-36ST1 (OP6) Final Well Report_Rev0.pdf</t>
  </si>
  <si>
    <t>Uploads\aa96e963-8c15-4a02-bd73-82537e92261b.pdf</t>
  </si>
  <si>
    <t>AA2EAEC0-0F87-41A9-8258-6E15E075B347</t>
  </si>
  <si>
    <t>0E48523A-02F2-42D4-BDB1-408EB6F80BB0</t>
  </si>
  <si>
    <t>C37E3D1E-1A8A-46F4-8A20-38B81FE3E07B</t>
  </si>
  <si>
    <t>PESA-1 EOWR FINAL (APPROVED).pdf</t>
  </si>
  <si>
    <t>Uploads\c37e3d1e-1a8a-46f4-8a20-38b81fe3e07b.pdf</t>
  </si>
  <si>
    <t>2F378AA7-F97C-4CB6-B205-10FCC65A9EFE</t>
  </si>
  <si>
    <t>60C0BB70-F620-4848-92B4-78A28E34425E</t>
  </si>
  <si>
    <t>Uploads\60c0bb70-f620-4848-92b4-78a28e34425e.pdf</t>
  </si>
  <si>
    <t>3B489B14-FB13-4EC1-8B18-60C1C21E0034</t>
  </si>
  <si>
    <t>5D489043-70A7-43A7-A6C5-40B4B099AFE2</t>
  </si>
  <si>
    <t>6E0AFC72-8E2A-45A0-B189-63A31A0A7F04</t>
  </si>
  <si>
    <t>Bergading C-1 (A) R0_Final.pdf</t>
  </si>
  <si>
    <t>Uploads\6e0afc72-8e2a-45a0-b189-63a31a0a7f04.pdf</t>
  </si>
  <si>
    <t>0F9A3AC5-FE6E-4BA6-9C6E-788277890ADF</t>
  </si>
  <si>
    <t>AA2866DF-622D-49F0-AA2F-0F70C003B964</t>
  </si>
  <si>
    <t>EOWR_Bergading C-1_ Rev2_25082017 - PETRONAS SUBMISSION.pdf</t>
  </si>
  <si>
    <t>Uploads\aa2866df-622d-49f0-aa2f-0f70c003b964.pdf</t>
  </si>
  <si>
    <t>5615BF43-539E-4F58-BE1A-0B989D220F13</t>
  </si>
  <si>
    <t>B66391F8-1DD9-4505-B0E6-414095C763AA</t>
  </si>
  <si>
    <t>D5F4D71B-D513-4E83-87A6-1B201BDE6797</t>
  </si>
  <si>
    <t>DULANG-A11ST2_Petronas Final Well Report_Final.pdf</t>
  </si>
  <si>
    <t>Uploads\d5f4d71b-d513-4e83-87a6-1b201bde6797.pdf</t>
  </si>
  <si>
    <t>CC19B113-0692-47F1-A50E-D97DF7BB5C7E</t>
  </si>
  <si>
    <t>096F0669-489B-4B4B-8776-9AA3145347C3</t>
  </si>
  <si>
    <t>Dulang _A11ST2(OP1)_Final_Rev01.pdf</t>
  </si>
  <si>
    <t>Uploads\096f0669-489b-4b4b-8776-9aa3145347c3.pdf</t>
  </si>
  <si>
    <t>AB384FE2-47FF-44DA-83F3-80D012E749DE</t>
  </si>
  <si>
    <t>546C41AB-33D9-4BAD-851B-415DB7689EAC</t>
  </si>
  <si>
    <t>84FEBC09-5154-4CE9-BE35-6FDD6CE702CD</t>
  </si>
  <si>
    <t>D35C-305ST3 End Of Well Report.pdf</t>
  </si>
  <si>
    <t>Uploads\84febc09-5154-4ce9-be35-6fdd6ce702cd.pdf</t>
  </si>
  <si>
    <t>0E015355-3742-4E64-BB9A-A241A1D0800C</t>
  </si>
  <si>
    <t>5F3B7280-4D84-405F-96A3-2FCEEDF1D031</t>
  </si>
  <si>
    <t>D35C-305ST3 Well NOOP Final.pdf</t>
  </si>
  <si>
    <t>Uploads\5f3b7280-4d84-405f-96a3-2fceedf1d031.pdf</t>
  </si>
  <si>
    <t>EBF1C41E-BD95-4ACC-B4EF-9C9CC26EFC53</t>
  </si>
  <si>
    <t>4101B450-D906-4874-BCE1-41B0470DA307</t>
  </si>
  <si>
    <t>B6009AC9-8576-47A5-B6CD-F87E266C62D6</t>
  </si>
  <si>
    <t>Serdam-1 NOOP.pdf</t>
  </si>
  <si>
    <t>Uploads\b6009ac9-8576-47a5-b6cd-f87e266c62d6.pdf</t>
  </si>
  <si>
    <t>372CC15F-5C92-42DA-88C4-63BA7176E694</t>
  </si>
  <si>
    <t>4CD77B99-A32A-4A22-95AA-F443B26B639C</t>
  </si>
  <si>
    <t>Serdam-01 End of Well Report.pdf</t>
  </si>
  <si>
    <t>Uploads\4cd77b99-a32a-4a22-95aa-f443b26b639c.pdf</t>
  </si>
  <si>
    <t>D79BC86B-DE78-42CD-9168-720E0D071BDA</t>
  </si>
  <si>
    <t>A2B18ED2-9FF9-465E-8A2D-42417E9269AB</t>
  </si>
  <si>
    <t>CB00022D-12C7-414B-887E-C6D5BF9BCCF4</t>
  </si>
  <si>
    <t>SM-121 EOWR Final.pdf</t>
  </si>
  <si>
    <t>Uploads\cb00022d-12c7-414b-887e-c6d5bf9bccf4.pdf</t>
  </si>
  <si>
    <t>C732E7BE-42BA-4C9C-86F1-BEF3F6F9A709</t>
  </si>
  <si>
    <t>EE6B44CB-71D5-4BD5-8568-2065699A6D7E</t>
  </si>
  <si>
    <t>SM121 w Signature.pdf</t>
  </si>
  <si>
    <t>Uploads\ee6b44cb-71d5-4bd5-8568-2065699a6d7e.pdf</t>
  </si>
  <si>
    <t>E2AE8C6B-063B-4914-9E9F-79FD04813108</t>
  </si>
  <si>
    <t>7DED9134-350F-4858-A3B5-434B1B821B07</t>
  </si>
  <si>
    <t>83DD1513-A5E6-439B-9D5C-DEE7EF33F1A3</t>
  </si>
  <si>
    <t>PMO3BTAMWS21_BERTAM-A5.pdf</t>
  </si>
  <si>
    <t>Uploads\83dd1513-a5e6-439b-9d5c-dee7ef33f1a3.pdf</t>
  </si>
  <si>
    <t>5A2AB612-8F93-41F4-891E-ACD2E6B4FF51</t>
  </si>
  <si>
    <t>952F8812-0E07-4CF2-B00D-F645AEB535F7</t>
  </si>
  <si>
    <t>Bertam-5 EOWR_Final_Complete.pdf</t>
  </si>
  <si>
    <t>Uploads\952f8812-0e07-4cf2-b00d-f645aeb535f7.pdf</t>
  </si>
  <si>
    <t>613CB5D8-9F45-40C6-8B8C-E7CB16698A3A</t>
  </si>
  <si>
    <t>02DF2FC8-5E1A-4B68-AD8A-438EC72A85B6</t>
  </si>
  <si>
    <t>7CE12094-9C28-478F-BF26-C8A37827CA3A</t>
  </si>
  <si>
    <t>Gandarusa-1 NOOP_FINAL.pdf</t>
  </si>
  <si>
    <t>Uploads\7ce12094-9c28-478f-bf26-c8a37827ca3a.pdf</t>
  </si>
  <si>
    <t>536DC096-8B7E-4892-A780-E52EB13B002E</t>
  </si>
  <si>
    <t>A208AF3A-6619-4E02-BBD0-93136816F1F6</t>
  </si>
  <si>
    <t>Gandarusa-1 End of Well Report (FINAL).pdf</t>
  </si>
  <si>
    <t>Uploads\a208af3a-6619-4e02-bbd0-93136816f1f6.pdf</t>
  </si>
  <si>
    <t>340F598A-32CC-435A-AC12-DAFD104867FB</t>
  </si>
  <si>
    <t>85A68FC2-C40B-4C3C-B5A9-43A39479D0ED</t>
  </si>
  <si>
    <t>60C3EECD-FCF3-49C0-A7DC-440166E8E503</t>
  </si>
  <si>
    <t>F14-106 End of Well Report - Final.pdf</t>
  </si>
  <si>
    <t>Uploads\60c3eecd-fcf3-49c0-a7dc-440166e8e503.pdf</t>
  </si>
  <si>
    <t>B7418980-3582-4802-81F0-A3A8258D7B07</t>
  </si>
  <si>
    <t>C0CB9392-A8A0-4685-958E-D01358C6CD2C</t>
  </si>
  <si>
    <t>F14-106 (N2) NOOP R2 Final - signed.pdf</t>
  </si>
  <si>
    <t>Uploads\c0cb9392-a8a0-4685-958e-d01358c6cd2c.pdf</t>
  </si>
  <si>
    <t>E51B6440-D63F-4230-9F20-08622C2E6B54</t>
  </si>
  <si>
    <t>E76978CB-E90B-4EC7-97F1-43AF81B9A2DC</t>
  </si>
  <si>
    <t>7A6330B2-22A0-4F69-9E9B-1267B6F8533F</t>
  </si>
  <si>
    <t>D21-A14 NOOP_FINAL.pdf</t>
  </si>
  <si>
    <t>Uploads\7a6330b2-22a0-4f69-9e9b-1267b6f8533f.pdf</t>
  </si>
  <si>
    <t>227E2C23-19B2-41B5-8D1D-12341D5A7C85</t>
  </si>
  <si>
    <t>D8CDCBB4-F9E0-4CEB-A275-4F503EE7142F</t>
  </si>
  <si>
    <t>D21-A14 End of Well Report_Final.pdf</t>
  </si>
  <si>
    <t>Uploads\d8cdcbb4-f9e0-4ceb-a275-4f503ee7142f.pdf</t>
  </si>
  <si>
    <t>2D1FBB54-7FB6-47C2-87FB-D1A3FD942318</t>
  </si>
  <si>
    <t>529C04BF-E94B-4409-AE9B-43FC3AD5F4EB</t>
  </si>
  <si>
    <t>9E6F1E9A-CBD3-4F74-A370-8BB961D45A5D</t>
  </si>
  <si>
    <t>EOWR_Bunga Anggerik A-2A FINAL.pdf</t>
  </si>
  <si>
    <t>Uploads\9e6f1e9a-cbd3-4f74-a370-8bb961d45a5d.pdf</t>
  </si>
  <si>
    <t>8826FA5B-72E7-4F05-8CCA-E6BF7C4DF94F</t>
  </si>
  <si>
    <t>75A87156-0CF3-4B32-AF37-270B3EE23AB3</t>
  </si>
  <si>
    <t>NOOP - BAA_SxS_Rev0.pdf</t>
  </si>
  <si>
    <t>Uploads\75a87156-0cf3-4b32-af37-270b3ee23ab3.pdf</t>
  </si>
  <si>
    <t>19D1BB2F-6934-4748-9370-07520D928DB4</t>
  </si>
  <si>
    <t>2A9CC296-5A9F-4C01-AC9F-43FD392EFC22</t>
  </si>
  <si>
    <t>877B551F-FEF8-4059-8CB2-0C53E2CA4F31</t>
  </si>
  <si>
    <t>NOOP BOKOR-E508 FINAL.pdf</t>
  </si>
  <si>
    <t>Uploads\877b551f-fef8-4059-8cb2-0c53e2ca4f31.pdf</t>
  </si>
  <si>
    <t>DD79BF04-9C74-4EE1-931A-7C3348921EE8</t>
  </si>
  <si>
    <t>5D430F9B-CA99-4CE1-AE8B-2D2C3CADBCD0</t>
  </si>
  <si>
    <t>FWR_BOKOR-E508.pdf</t>
  </si>
  <si>
    <t>Uploads\5d430f9b-ca99-4ce1-ae8b-2d2c3cadbcd0.pdf</t>
  </si>
  <si>
    <t>1D17FE0C-C617-494C-8289-1777DA63C703</t>
  </si>
  <si>
    <t>D87E84CF-DC6C-446A-9183-442CA53D15D4</t>
  </si>
  <si>
    <t>604EF7D3-AC46-4E23-B0BB-4FEE1AD7938D</t>
  </si>
  <si>
    <t>PMO3DULGWSXJ_DULANG-D28.pdf</t>
  </si>
  <si>
    <t>Uploads\604ef7d3-ac46-4e23-b0bb-4fee1ad7938d.pdf</t>
  </si>
  <si>
    <t>BB0CCC49-D4D0-408D-A3EE-DF8849807103</t>
  </si>
  <si>
    <t>F702B7A9-BB77-4E58-8B4E-450DBF5E6EC4</t>
  </si>
  <si>
    <t>PMO3DULGWSYF_DULANG-D28.pdf</t>
  </si>
  <si>
    <t>Uploads\f702b7a9-bb77-4e58-8b4e-450dbf5e6ec4.pdf</t>
  </si>
  <si>
    <t>C75E031C-8EF2-4818-B6E5-C3BF2CFB6E2D</t>
  </si>
  <si>
    <t>F03F3694-3C1D-46BA-807E-4493B01BD994</t>
  </si>
  <si>
    <t>2FB6F6FA-C81D-4B24-B3C5-514D872D82CE</t>
  </si>
  <si>
    <t>BKC-10ST1 EOWR.pdf</t>
  </si>
  <si>
    <t>Uploads\2fb6f6fa-c81d-4b24-b3c5-514d872d82ce.pdf</t>
  </si>
  <si>
    <t>0A6995A2-71F9-4B2A-8B0F-52008DB81B56</t>
  </si>
  <si>
    <t>5918415C-0626-43BC-A36A-BAC5FD880010</t>
  </si>
  <si>
    <t>PMO3BKWAGL66_BKC-10ST1 (B).pdf</t>
  </si>
  <si>
    <t>Uploads\5918415c-0626-43bc-a36a-bac5fd880010.pdf</t>
  </si>
  <si>
    <t>A2702A01-BD96-4FFE-8D8E-00CFB09EBF13</t>
  </si>
  <si>
    <t>C92D16DB-B8EE-4229-BBE7-44C0074B16F6</t>
  </si>
  <si>
    <t>DBBFB09B-F3A7-4114-9127-3A21E8662E83</t>
  </si>
  <si>
    <t>PERMAS Revisit 1 PHASE 1 NOOP_Rev 1 (1)_PRPA-10-11-12.pdf</t>
  </si>
  <si>
    <t>Uploads\dbbfb09b-f3a7-4114-9127-3a21e8662e83.pdf</t>
  </si>
  <si>
    <t>B4C55531-70E4-41A8-AF2C-65A14D3BB148</t>
  </si>
  <si>
    <t>CA9089C7-6B56-4835-805D-E08CACA95B9D</t>
  </si>
  <si>
    <t>PRPA-10ST2 EOWR.pdf</t>
  </si>
  <si>
    <t>Uploads\ca9089c7-6b56-4835-805d-e08caca95b9d.pdf</t>
  </si>
  <si>
    <t>88803753-72FC-4974-AC5D-2327805F3DE9</t>
  </si>
  <si>
    <t>67BE7986-D965-4720-B9D3-4504DFDAC633</t>
  </si>
  <si>
    <t>F0D20EC7-A6AB-40E6-9258-BB1DE725ED72</t>
  </si>
  <si>
    <t>SBO3SMRGWSCW_SM-109.pdf</t>
  </si>
  <si>
    <t>Uploads\f0d20ec7-a6ab-40e6-9258-bb1de725ed72.pdf</t>
  </si>
  <si>
    <t>7CB3538E-31B5-4276-AD22-38EFCD593C92</t>
  </si>
  <si>
    <t>939FCF87-DCCE-401B-9E24-73DC1006B65E</t>
  </si>
  <si>
    <t>SBO3SMRGGL34_SM-109.pdf</t>
  </si>
  <si>
    <t>Uploads\939fcf87-dcce-401b-9e24-73dc1006b65e.pdf</t>
  </si>
  <si>
    <t>D1F5C78B-8E20-445B-93EA-4EF1AFAB5805</t>
  </si>
  <si>
    <t>235065B8-0C5A-4238-88F2-45AB5C107E0D</t>
  </si>
  <si>
    <t>5E7DFF38-B3D6-4CB0-A9CB-C4F2AC59168A</t>
  </si>
  <si>
    <t>Kecapi-1_End_Of_Well_Report_270423.pdf</t>
  </si>
  <si>
    <t>Uploads\5e7dff38-b3d6-4cb0-a9cb-c4f2ac59168a.pdf</t>
  </si>
  <si>
    <t>51C0594A-6D00-4EAF-B48E-4E22EF1D6BFF</t>
  </si>
  <si>
    <t>833AC3B7-0466-4C01-92B6-FFFCFDC1B54F</t>
  </si>
  <si>
    <t>Kecapi-1_NOOP_signed.pdf</t>
  </si>
  <si>
    <t>Uploads\833ac3b7-0466-4c01-92b6-fffcfdc1b54f.pdf</t>
  </si>
  <si>
    <t>EFFC72FB-2CCC-45AB-99D8-97CB40A9053C</t>
  </si>
  <si>
    <t>1BD6F1C6-F8D7-4A98-8277-45B3849CF0C2</t>
  </si>
  <si>
    <t>7D77D3F7-3AE6-4271-B939-6F0F14F535E2</t>
  </si>
  <si>
    <t>AJJT-A3 FWR_ANJUNG-A3_PCSB.pdf</t>
  </si>
  <si>
    <t>Uploads\7d77d3f7-3ae6-4271-b939-6f0f14f535e2.pdf</t>
  </si>
  <si>
    <t>1CA05DC2-6A93-46ED-9BD5-94FE2EA06757</t>
  </si>
  <si>
    <t>CE726A5E-8EB6-410C-83F9-C8F7D5DF8AD7</t>
  </si>
  <si>
    <t>Anjung Gas Development AJJT-A3 NOOP SIGNED.pdf</t>
  </si>
  <si>
    <t>Uploads\ce726a5e-8eb6-410c-83f9-c8f7d5df8ad7.pdf</t>
  </si>
  <si>
    <t>4CD7BC76-8241-44BD-A787-8D381E567A28</t>
  </si>
  <si>
    <t>E9421686-9855-4672-82CB-45B50296EC9E</t>
  </si>
  <si>
    <t>8BA3410D-63EB-4639-B28D-3D0E8DBAF656</t>
  </si>
  <si>
    <t>MY-SK311-92-DR-PR-0002-00_South_Acis_Drilling__Completion_Campaign_NOOP Rev1.pdf</t>
  </si>
  <si>
    <t>Uploads\8ba3410d-63eb-4639-b28d-3d0e8dbaf656.pdf</t>
  </si>
  <si>
    <t>EEFE5B4D-991F-4686-8A27-02DC07243D97</t>
  </si>
  <si>
    <t>EEECA648-F330-4601-AF8A-B353889A3015</t>
  </si>
  <si>
    <t>SASA Infill Campaign EOWR.pdf</t>
  </si>
  <si>
    <t>Uploads\eeeca648-f330-4601-af8a-b353889a3015.pdf</t>
  </si>
  <si>
    <t>1A55BFBE-414C-49FE-B95B-DED357C03FA9</t>
  </si>
  <si>
    <t>85DC6FD1-123F-4457-962A-4609A35E14C5</t>
  </si>
  <si>
    <t>2E3F7F1B-C51E-4969-812B-78EEC19E9F3E</t>
  </si>
  <si>
    <t>Uploads\2e3f7f1b-c51e-4969-812b-78eec19e9f3e.pdf</t>
  </si>
  <si>
    <t>596720A5-D1D6-41C0-9740-E81BAB669DDB</t>
  </si>
  <si>
    <t>324B2BFF-47A0-40BB-A5C8-D6BCF98BD1E4</t>
  </si>
  <si>
    <t>Uploads\324b2bff-47a0-40bb-a5c8-d6bcf98bd1e4.pdf</t>
  </si>
  <si>
    <t>F021EFDE-B4A8-4760-92C6-D89FEEE97580</t>
  </si>
  <si>
    <t>B2BCAB5A-5D07-447D-A2AB-46300482FE00</t>
  </si>
  <si>
    <t>C3D1895B-7765-4CF2-BB47-093AA38DBBB2</t>
  </si>
  <si>
    <t>Nafiri-1 FWR_Final (002).pdf</t>
  </si>
  <si>
    <t>Uploads\c3d1895b-7765-4cf2-bb47-093aa38dbbb2.pdf</t>
  </si>
  <si>
    <t>46A381A6-8D6D-48C9-AFC7-AB08F3BAF868</t>
  </si>
  <si>
    <t>CE59A411-2633-45B7-AE52-EB729FD34DB2</t>
  </si>
  <si>
    <t>NAFIRI-1 NOOP.pdf</t>
  </si>
  <si>
    <t>Uploads\ce59a411-2633-45b7-ae52-eb729fd34db2.pdf</t>
  </si>
  <si>
    <t>EC706CB6-8A9A-43FD-A5A1-A56375E39E02</t>
  </si>
  <si>
    <t>AAB7539C-4724-487E-A77B-467966ED160E</t>
  </si>
  <si>
    <t>D6106FF7-734B-44F7-BF87-4D59C28D22ED</t>
  </si>
  <si>
    <t>D35DPB-219ST2 End Of Well Report Final.pdf</t>
  </si>
  <si>
    <t>Uploads\d6106ff7-734b-44f7-bf87-4d59c28d22ed.pdf</t>
  </si>
  <si>
    <t>C5B73A3F-4171-4DA8-BC88-45E0FB04E70B</t>
  </si>
  <si>
    <t>5C88D90E-8E2D-47BA-89C9-EBD236943FCF</t>
  </si>
  <si>
    <t>D35B-219ST2 NOOP_signed.pdf</t>
  </si>
  <si>
    <t>Uploads\5c88d90e-8e2d-47ba-89c9-ebd236943fcf.pdf</t>
  </si>
  <si>
    <t>D81F9F6B-F3BC-450D-B3F5-CCF31AE5001F</t>
  </si>
  <si>
    <t>1DA73D73-4C81-4747-8266-473EC6024B0B</t>
  </si>
  <si>
    <t>02C278E6-7AE4-40FA-8ADE-C5A8FD28576A</t>
  </si>
  <si>
    <t>BARAM-B42 NOOP.pdf</t>
  </si>
  <si>
    <t>Uploads\02c278e6-7ae4-40fa-8ade-c5a8fd28576a.pdf</t>
  </si>
  <si>
    <t>3DB6AF6B-5394-4772-A839-B653FF3397A8</t>
  </si>
  <si>
    <t>84DCEFEB-BA55-407E-A42E-70384180423C</t>
  </si>
  <si>
    <t>SKO3BARMGL6647_Baram-B42.pdf</t>
  </si>
  <si>
    <t>Uploads\84dcefeb-ba55-407e-a42e-70384180423c.pdf</t>
  </si>
  <si>
    <t>BC4A66D8-F450-434E-819C-403ACF59BCF2</t>
  </si>
  <si>
    <t>72548658-F280-4B73-9AA6-475F8F9AF155</t>
  </si>
  <si>
    <t>4CD52AD2-5C4F-4CB3-962E-CFD14F8977FD</t>
  </si>
  <si>
    <t>BEBARU-1 EOWR_Final (full)_Submission.pdf</t>
  </si>
  <si>
    <t>Uploads\4cd52ad2-5c4f-4cb3-962e-cfd14f8977fd.pdf</t>
  </si>
  <si>
    <t>4BC52536-7074-46B6-AF6D-ACC456B16BDC</t>
  </si>
  <si>
    <t>EFCE21A9-5F94-4D78-93CA-9B689C8ACC7F</t>
  </si>
  <si>
    <t>Bebaru-1 NOOP_FINAL_Rev1.pdf</t>
  </si>
  <si>
    <t>Uploads\efce21a9-5f94-4d78-93ca-9b689c8acc7f.pdf</t>
  </si>
  <si>
    <t>C358E0A9-1382-403D-83B3-A40875072BCD</t>
  </si>
  <si>
    <t>0A8AC405-1B88-49D8-93A5-479BD31AB65D</t>
  </si>
  <si>
    <t>8EAF9FC5-164B-4154-9651-6FE360BA165C</t>
  </si>
  <si>
    <t>Seluang-1 NOOP Internal.pdf</t>
  </si>
  <si>
    <t>Uploads\8eaf9fc5-164b-4154-9651-6fe360ba165c.pdf</t>
  </si>
  <si>
    <t>32A0405C-F87E-4EC2-98C8-C2DFD4CC3B7C</t>
  </si>
  <si>
    <t>2C2507B3-3169-486D-8DDD-DB02BA69A4DA</t>
  </si>
  <si>
    <t>SELUANG-1RDR1 FWR without Appendix_signed.pdf</t>
  </si>
  <si>
    <t>Uploads\2c2507b3-3169-486d-8ddd-db02ba69a4da.pdf</t>
  </si>
  <si>
    <t>81FD0DAD-8953-4E90-8FFD-821676059577</t>
  </si>
  <si>
    <t>62F2EFB7-6F74-449F-9106-48030830EC10</t>
  </si>
  <si>
    <t>3FF1A734-D54E-4827-9980-6947BD30A914</t>
  </si>
  <si>
    <t>PMO3ANSIGL23_ANGSI_D15.pdf</t>
  </si>
  <si>
    <t>Uploads\3ff1a734-d54e-4827-9980-6947bd30a914.pdf</t>
  </si>
  <si>
    <t>ACD280F0-64A2-427D-B3E8-21DAC7C833A4</t>
  </si>
  <si>
    <t>A424CDA2-F217-4A29-8F7D-BFBE04B9A3E8</t>
  </si>
  <si>
    <t>PMO3ANSIWSJ3_ANGSI_D15.pdf</t>
  </si>
  <si>
    <t>Uploads\a424cda2-f217-4a29-8f7d-bfbe04b9a3e8.pdf</t>
  </si>
  <si>
    <t>2D177256-1B82-42B9-AA4E-5E841752BC39</t>
  </si>
  <si>
    <t>E8E53181-FD48-4AB6-B65E-480F47C9E91D</t>
  </si>
  <si>
    <t>76994A64-652C-47E0-AE48-17D7B03F3756</t>
  </si>
  <si>
    <t>PMO3TMBAWS03_TEMBAKAU-2_LUNDIN_IPC_NOOP.pdf</t>
  </si>
  <si>
    <t>Uploads\76994a64-652c-47e0-ae48-17d7b03f3756.pdf</t>
  </si>
  <si>
    <t>76DE1A05-0219-44AE-99A6-C7553BCFB884</t>
  </si>
  <si>
    <t>4538A00D-EE04-4049-9D25-ABB16E56370F</t>
  </si>
  <si>
    <t>PMO3TMBAWS04_TEMBAKAU-2_LUNDIN_IPC_FWR.pdf</t>
  </si>
  <si>
    <t>Uploads\4538a00d-ee04-4049-9d25-abb16e56370f.pdf</t>
  </si>
  <si>
    <t>93B8A527-1362-46DD-A7F2-723100C1776F</t>
  </si>
  <si>
    <t>25EA6A85-8FF5-447B-BE91-485DF311A9CD</t>
  </si>
  <si>
    <t>593DABE7-9AEF-40D6-B7F5-AE2D35B0E831</t>
  </si>
  <si>
    <t>Hebat-1 FWR.pdf</t>
  </si>
  <si>
    <t>Uploads\593dabe7-9aef-40d6-b7f5-ae2d35b0e831.pdf</t>
  </si>
  <si>
    <t>FF2533EA-D7D0-4346-B342-A3E1D8FCAD29</t>
  </si>
  <si>
    <t>FBB5377F-BC1A-4B6B-BE65-CF5A23C8DD5B</t>
  </si>
  <si>
    <t>HEBAT-1 NOOP.pdf</t>
  </si>
  <si>
    <t>Uploads\fbb5377f-bc1a-4b6b-be65-cf5a23c8dd5b.pdf</t>
  </si>
  <si>
    <t>0EAA436F-8BE3-4944-8C9D-1EC7B087C42A</t>
  </si>
  <si>
    <t>822400CF-FE0C-4607-A386-48F6AF3BE52B</t>
  </si>
  <si>
    <t>1D5C7E78-CC4A-4354-BF12-D83B9CF8D39A</t>
  </si>
  <si>
    <t>SAMARANG-SM 84 ST1 (F14) NOOP.pdf</t>
  </si>
  <si>
    <t>Uploads\1d5c7e78-cc4a-4354-bf12-d83b9cf8d39a.pdf</t>
  </si>
  <si>
    <t>A51C8CC4-4F50-4F93-925E-5AD55AABF003</t>
  </si>
  <si>
    <t>6FEE9A24-C775-4246-A34A-B72B5F7A2BB4</t>
  </si>
  <si>
    <t>SBO3SMRGWSCT_SM_84.pdf</t>
  </si>
  <si>
    <t>SAMARANG SM-84 ST1 EOWR.pdf</t>
  </si>
  <si>
    <t>Uploads\6fee9a24-c775-4246-a34a-b72b5f7a2bb4.pdf</t>
  </si>
  <si>
    <t>D6D519FE-35C4-486D-8D0B-348591BAEE2B</t>
  </si>
  <si>
    <t>446A2F5A-17F7-4A85-8634-49B0380203F9</t>
  </si>
  <si>
    <t>B9853CCE-0AD4-49B0-84D0-238C213DF568</t>
  </si>
  <si>
    <t>MY-H-10-DR-RP-0001-00_Block H Phase 1A Development Notice of Operation Rev0.pdf</t>
  </si>
  <si>
    <t>Uploads\b9853cce-0ad4-49b0-84d0-238c213df568.pdf</t>
  </si>
  <si>
    <t>B93B995D-8151-4699-84D2-AD0BCEBAE7D4</t>
  </si>
  <si>
    <t>6644A6E0-44AB-4C75-9695-5537D1910642</t>
  </si>
  <si>
    <t>RT-P3_EOWR.pdf</t>
  </si>
  <si>
    <t>Uploads\6644a6e0-44ab-4c75-9695-5537d1910642.pdf</t>
  </si>
  <si>
    <t>2A4EE8AF-116F-4E5A-B60C-0AB785A134E7</t>
  </si>
  <si>
    <t>06CEB6DB-C557-4F67-97AE-49C189C712ED</t>
  </si>
  <si>
    <t>4C2E043B-27EA-4A15-B74E-DDD18EC50E00</t>
  </si>
  <si>
    <t>NOOP D35B-214 (RESUBMISSION).pdf</t>
  </si>
  <si>
    <t>Uploads\4c2e043b-27ea-4a15-b74e-ddd18ec50e00.pdf</t>
  </si>
  <si>
    <t>A5CA26CA-EF0A-4CEC-A41B-D2681802A0FD</t>
  </si>
  <si>
    <t>86AEACB6-1913-48CC-9BA0-EC777CFC54D1</t>
  </si>
  <si>
    <t>D35DPB-214ST1 End Of Well Report.pdf</t>
  </si>
  <si>
    <t>Uploads\86aeacb6-1913-48cc-9ba0-ec777cfc54d1.pdf</t>
  </si>
  <si>
    <t>44EB4320-2628-450D-AEBD-CAC7C58A24FA</t>
  </si>
  <si>
    <t>99A4AC81-3D2E-43BB-8AAB-4A4B43885893</t>
  </si>
  <si>
    <t>2A2DF451-5E1C-42CD-9E2B-F1BB20103343</t>
  </si>
  <si>
    <t>BAKAU-A10 NOOP.pdf</t>
  </si>
  <si>
    <t>Uploads\2a2df451-5e1c-42cd-9e2b-f1bb20103343.pdf</t>
  </si>
  <si>
    <t>DD9531D4-ADFB-4888-8A55-D5690AF8764D</t>
  </si>
  <si>
    <t>C7AF3FF4-E7CC-4D0E-96A3-83DE957318B4</t>
  </si>
  <si>
    <t>BAKAU-A10 FWR.pdf</t>
  </si>
  <si>
    <t>Uploads\c7af3ff4-e7cc-4d0e-96a3-83de957318b4.pdf</t>
  </si>
  <si>
    <t>4284F629-0320-49C8-B2FC-4FCF65A6B6AD</t>
  </si>
  <si>
    <t>7A4A3B84-DA6F-4AE3-9F43-4A6960979D6A</t>
  </si>
  <si>
    <t>083FAAED-DA46-45A7-84E7-0685251BB013</t>
  </si>
  <si>
    <t>KASAWARI-A5 Petronas FWR - FINAL.pdf</t>
  </si>
  <si>
    <t>Uploads\083faaed-da46-45a7-84e7-0685251bb013.pdf</t>
  </si>
  <si>
    <t>F46E2A40-FBA1-4795-92D1-8681BE5A50A5</t>
  </si>
  <si>
    <t>E88AD9CB-3BD1-481F-8FA9-3A0A24C68C0E</t>
  </si>
  <si>
    <t>DWP NOOP KASAWARI-A5_Final.pdf</t>
  </si>
  <si>
    <t>Uploads\e88ad9cb-3bd1-481f-8fa9-3a0a24c68c0e.pdf</t>
  </si>
  <si>
    <t>132DDFA1-9F4F-4A4B-A724-C5BC342837BB</t>
  </si>
  <si>
    <t>8A6B8136-D5F7-4DCB-B1CE-4AA138AC496D</t>
  </si>
  <si>
    <t>4F4EDF22-63AC-4DCF-8884-E2CF512CE321</t>
  </si>
  <si>
    <t>NOOP F12-A1 FINAL.pdf</t>
  </si>
  <si>
    <t>Uploads\4f4edf22-63ac-4dcf-8884-e2cf512ce321.pdf</t>
  </si>
  <si>
    <t>EC3D6A41-9BE1-496C-9372-C199196C1A2F</t>
  </si>
  <si>
    <t>17443F25-1181-4734-B5AF-83C7E7C72783</t>
  </si>
  <si>
    <t>SKO3F12-WS10_F12_A1.pdf</t>
  </si>
  <si>
    <t>Uploads\17443f25-1181-4734-b5af-83c7e7c72783.pdf</t>
  </si>
  <si>
    <t>22C29AF2-EB2F-4862-8F00-602D91E9CA77</t>
  </si>
  <si>
    <t>FB272D91-FBC6-4508-92D6-4B1E594AE8DD</t>
  </si>
  <si>
    <t>D3470DAB-C511-47C3-A9BA-ADBB68D91560</t>
  </si>
  <si>
    <t>Ledang-4 SS ST3 Final Well Report (circulate for signature).pdf</t>
  </si>
  <si>
    <t>Uploads\d3470dab-c511-47c3-a9ba-adbb68d91560.pdf</t>
  </si>
  <si>
    <t>82EA4BAE-3489-4431-9E00-54C22AC26808</t>
  </si>
  <si>
    <t>140F42A6-04A8-4E42-A166-9DD0400EF43A</t>
  </si>
  <si>
    <t>NOOP Ledang-4SS Signed.pdf</t>
  </si>
  <si>
    <t>Uploads\140f42a6-04a8-4e42-a166-9dd0400ef43a.pdf</t>
  </si>
  <si>
    <t>754CDF36-FAC8-48D9-8F49-BD1E6B3BF39E</t>
  </si>
  <si>
    <t>A25C4BD2-C404-4DF4-8261-4B28868E771B</t>
  </si>
  <si>
    <t>7D2E7F60-E5A0-4917-AD13-8BA2D86F8277</t>
  </si>
  <si>
    <t>BOC-25 (DD) NOOP.pdf</t>
  </si>
  <si>
    <t>Uploads\7d2e7f60-e5a0-4917-ad13-8ba2d86f8277.pdf</t>
  </si>
  <si>
    <t>1B9EB207-F30A-46A3-B3AE-CC8E8F21C5CB</t>
  </si>
  <si>
    <t>D602C0AF-7CB4-43AF-9089-512B2848411A</t>
  </si>
  <si>
    <t>EOWR BOC-25 (DD).pdf</t>
  </si>
  <si>
    <t>Uploads\d602c0af-7cb4-43af-9089-512b2848411a.pdf</t>
  </si>
  <si>
    <t>EACE47D4-6534-4BFE-967D-3BF8451A2776</t>
  </si>
  <si>
    <t>3CED81CA-1D77-444B-AFE0-4B509A57C416</t>
  </si>
  <si>
    <t>1871A034-3D2B-4852-A7B0-F98109CB6C6F</t>
  </si>
  <si>
    <t>PMO3BKWIWS11_BUNGA_BAKAWALI_2.pdf</t>
  </si>
  <si>
    <t>Uploads\1871a034-3d2b-4852-a7b0-f98109cb6c6f.pdf</t>
  </si>
  <si>
    <t>5F42C114-7850-4B73-BA32-723A0E558986</t>
  </si>
  <si>
    <t>C6B28FA6-D80E-46EF-AC16-E58EE289ABC0</t>
  </si>
  <si>
    <t>PMO3BKWIWS15_BUNGA_BAKAWALI_2.pdf</t>
  </si>
  <si>
    <t>Uploads\c6b28fa6-d80e-46ef-ac16-e58ee289abc0.pdf</t>
  </si>
  <si>
    <t>97361840-C647-4F0D-981B-590985C1B33E</t>
  </si>
  <si>
    <t>BB1C78F9-32D9-4B61-AFF4-4B704352C9CD</t>
  </si>
  <si>
    <t>C9EE4BBC-FB13-493C-A8A5-DABC9FEA3624</t>
  </si>
  <si>
    <t>Uploads\c9ee4bbc-fb13-493c-a8a5-dabc9fea3624.pdf</t>
  </si>
  <si>
    <t>CFAFEDA4-C35A-4FDC-9742-18BF70FC574D</t>
  </si>
  <si>
    <t>D615D9F1-D629-4B49-A810-6825B42AACEF</t>
  </si>
  <si>
    <t>SAPA-20 EOWR.pdf</t>
  </si>
  <si>
    <t>Uploads\d615d9f1-d629-4b49-a810-6825b42aacef.pdf</t>
  </si>
  <si>
    <t>5AA9BEB2-FDD8-4F3B-B3F8-0DEE980C7574</t>
  </si>
  <si>
    <t>7CB35667-EC81-491B-9206-4BCD1DE5B600</t>
  </si>
  <si>
    <t>4E22E181-A83C-46E0-BC19-510244357BCA</t>
  </si>
  <si>
    <t>FWR Besah1 and Besah1ST1 w Attachments Signed.pdf</t>
  </si>
  <si>
    <t>Uploads\4e22e181-a83c-46e0-bc19-510244357bca.pdf</t>
  </si>
  <si>
    <t>9891B292-06E5-4438-93EC-5F5FD97ABA89</t>
  </si>
  <si>
    <t>1E482425-9D80-43CF-BCCD-1421E21AC7AD</t>
  </si>
  <si>
    <t>Besah-1 NOOP 2.pdf</t>
  </si>
  <si>
    <t>Uploads\1e482425-9d80-43cf-bccd-1421e21ac7ad.pdf</t>
  </si>
  <si>
    <t>4EBB88EE-7E09-4DF9-BA22-449C8011FF77</t>
  </si>
  <si>
    <t>6885C496-346A-4EC6-98B1-4CBDD2083A41</t>
  </si>
  <si>
    <t>9DC40CC2-7BEE-4499-9F02-F23C9F2B64E1</t>
  </si>
  <si>
    <t>PMO3BANGWS09_BANANG_B4.pdf</t>
  </si>
  <si>
    <t>Uploads\9dc40cc2-7bee-4499-9f02-f23c9f2b64e1.pdf</t>
  </si>
  <si>
    <t>666442BC-26B2-4DD9-8511-E74C1EB9A05F</t>
  </si>
  <si>
    <t>7B09787C-9ADD-43CB-8A2C-002F5D96FC27</t>
  </si>
  <si>
    <t>PMO3BANGWS13_BANANG_B4.pdf</t>
  </si>
  <si>
    <t>Uploads\7b09787c-9add-43cb-8a2c-002f5d96fc27.pdf</t>
  </si>
  <si>
    <t>38B473AE-1283-47A7-B097-5365042D7C01</t>
  </si>
  <si>
    <t>FA13D90F-F07F-45E9-9B24-4D5DC2CD0208</t>
  </si>
  <si>
    <t>1140108A-EE5F-4CA1-B83F-8F72182BD9D9</t>
  </si>
  <si>
    <t>MOM-SK309-72-DNC-RP-0012-00_SNPA-06 EOWR.pdf</t>
  </si>
  <si>
    <t>Uploads\1140108a-ee5f-4ca1-b83f-8f72182bd9d9.pdf</t>
  </si>
  <si>
    <t>7AD2E618-E035-45BB-BA3A-50DD0D23B316</t>
  </si>
  <si>
    <t>233CA198-2B4A-46B0-948A-76234380A7F0</t>
  </si>
  <si>
    <t>Uploads\233ca198-2b4a-46b0-948a-76234380a7f0.pdf</t>
  </si>
  <si>
    <t>7F77E529-8998-47F4-B1BD-7F859FDA48A2</t>
  </si>
  <si>
    <t>8212B893-E2E1-487F-9463-4DBA1D7C527E</t>
  </si>
  <si>
    <t>D762D39D-1CC2-4F84-BA26-50D902A58FC8</t>
  </si>
  <si>
    <t>NC3-A1 NOOP.pdf</t>
  </si>
  <si>
    <t>Uploads\d762d39d-1cc2-4f84-ba26-50d902a58fc8.pdf</t>
  </si>
  <si>
    <t>736529DB-0ED7-4F04-91FB-7BDDD9495404</t>
  </si>
  <si>
    <t>8C8E0DAD-CFFB-4FE2-89BB-DFF898453FE5</t>
  </si>
  <si>
    <t>NC3-A1 FWR.pdf</t>
  </si>
  <si>
    <t>Uploads\8c8e0dad-cffb-4fe2-89bb-dff898453fe5.pdf</t>
  </si>
  <si>
    <t>6336EE62-FE58-4760-BEC9-8ABE83037426</t>
  </si>
  <si>
    <t>EB36A7E8-8EFC-43DC-85DF-4E09EA116D6A</t>
  </si>
  <si>
    <t>C8485CB1-3540-4AF4-926B-1C8FB1105B63</t>
  </si>
  <si>
    <t>Guntong C-11.pdf</t>
  </si>
  <si>
    <t>Uploads\c8485cb1-3540-4af4-926b-1c8fb1105b63.pdf</t>
  </si>
  <si>
    <t>779F4F5D-8653-49A1-8A2D-E680D2A961AB</t>
  </si>
  <si>
    <t>EC64F027-DA1B-4FA5-A468-186CBF167C3D</t>
  </si>
  <si>
    <t>GuC11ST1 (35) NOOP - MPM.pdf</t>
  </si>
  <si>
    <t>Uploads\ec64f027-da1b-4fa5-a468-186cbf167c3d.pdf</t>
  </si>
  <si>
    <t>664F371C-9A1E-4E74-9083-BF909FD5BED1</t>
  </si>
  <si>
    <t>54166B8C-15D9-49FC-B159-4E1EC569204D</t>
  </si>
  <si>
    <t>7F536C27-FE83-4B78-9FFC-810535DC30F6</t>
  </si>
  <si>
    <t>PGA-07 EOWR (1).pdf</t>
  </si>
  <si>
    <t>Uploads\7f536c27-fe83-4b78-9ffc-810535dc30f6.pdf</t>
  </si>
  <si>
    <t>2C28247C-FE88-4B70-8DCB-AB36F1DD36B5</t>
  </si>
  <si>
    <t>33843284-35A3-4BB5-8F30-081E95FD0587</t>
  </si>
  <si>
    <t>PGA-07_NOOP 20th Apr 2020.pdf</t>
  </si>
  <si>
    <t>Uploads\33843284-35a3-4bb5-8f30-081e95fd0587.pdf</t>
  </si>
  <si>
    <t>78D76B67-F011-49F4-B8D8-86A48604EE36</t>
  </si>
  <si>
    <t>76E85A5C-B547-401F-893C-4EDF9F3B3D57</t>
  </si>
  <si>
    <t>MLK-107</t>
  </si>
  <si>
    <t>67AFFEF9-30D2-4DBA-9D7F-B8C6ED5F8EFF</t>
  </si>
  <si>
    <t>SBO3MKAIGL19_MLK-107_SHELL-NOOP.pdf</t>
  </si>
  <si>
    <t>Uploads\67affef9-30d2-4dba-9d7f-b8c6ed5f8eff.pdf</t>
  </si>
  <si>
    <t>F6656837-9001-46C1-A286-B4553B73A7E2</t>
  </si>
  <si>
    <t>14113BCF-4799-49F1-BEE1-FC55407E0A63</t>
  </si>
  <si>
    <t>MLK-107 EOWR v1 Final.pdf</t>
  </si>
  <si>
    <t>Uploads\14113bcf-4799-49f1-bee1-fc55407e0a63.pdf</t>
  </si>
  <si>
    <t>55152544-D09B-4E3F-8586-CEF2BFA546D2</t>
  </si>
  <si>
    <t>80BF7F90-CBE5-472E-A9E9-4EFBF9978942</t>
  </si>
  <si>
    <t>DE3A730B-5713-44E4-9AB8-10C6843CC945</t>
  </si>
  <si>
    <t>PMO3BKMJWS04_1_BUNGA_KAMANJU_1.pdf</t>
  </si>
  <si>
    <t>Uploads\de3a730b-5713-44e4-9ab8-10c6843cc945.pdf</t>
  </si>
  <si>
    <t>AB81BA32-5F88-4703-B010-6A78FB5C9B1F</t>
  </si>
  <si>
    <t>6009911F-BB2F-4E3E-A7DB-492A6829D772</t>
  </si>
  <si>
    <t>Bunga Kamanju-1_EOWR.pdf</t>
  </si>
  <si>
    <t>Uploads\6009911f-bb2f-4e3e-a7db-492a6829d772.pdf</t>
  </si>
  <si>
    <t>BF743E8A-08E6-4F30-8DA4-070E013CAF9D</t>
  </si>
  <si>
    <t>FC802CBD-FA47-4744-9F7B-4F40B71118DA</t>
  </si>
  <si>
    <t>2CEBBE63-FC91-4BD9-87AE-CA26321D5B26</t>
  </si>
  <si>
    <t>Bunga Teratai 4_Final.pdf</t>
  </si>
  <si>
    <t>Uploads\2cebbe63-fc91-4bd9-87ae-ca26321d5b26.pdf</t>
  </si>
  <si>
    <t>C32302D5-8E0B-4A3C-9233-2043F0C3E9C9</t>
  </si>
  <si>
    <t>D3156EBC-9B13-40F3-B38B-317B0C026460</t>
  </si>
  <si>
    <t>NOOP - BT4(NE) signed.pdf</t>
  </si>
  <si>
    <t>Uploads\d3156ebc-9b13-40f3-b38b-317b0c026460.pdf</t>
  </si>
  <si>
    <t>7BD0BAE2-FDF7-4BF3-B7B8-56D9CC744AA0</t>
  </si>
  <si>
    <t>03D5780E-3206-411B-B60E-4F9FF9580A73</t>
  </si>
  <si>
    <t>9A007CB2-E46E-4EC6-8BC7-4E18AD3D7F0B</t>
  </si>
  <si>
    <t>KNDW D-11 NOOP.pdf</t>
  </si>
  <si>
    <t>Uploads\9a007cb2-e46e-4ec6-8bc7-4e18ad3d7f0b.pdf</t>
  </si>
  <si>
    <t>028CC082-594B-4EF6-8EF1-AE8595177C39</t>
  </si>
  <si>
    <t>72F8E011-ABB5-46AE-ADE2-42AA8E8E7770</t>
  </si>
  <si>
    <t>KNDW-D11 EOWR.pdf</t>
  </si>
  <si>
    <t>Uploads\72f8e011-abb5-46ae-ade2-42aa8e8e7770.pdf</t>
  </si>
  <si>
    <t>7BF36AD3-F299-41D6-9FE0-82AD03CF9F3E</t>
  </si>
  <si>
    <t>CBD28A78-0B8B-4FC1-9A90-4FE55489CA9F</t>
  </si>
  <si>
    <t>3832760B-8066-4B64-A79A-0F2DE2B6AA9D</t>
  </si>
  <si>
    <t>PMO3MRBTWS05_MERAWAN BATU-1_IPC_FWR.pdf</t>
  </si>
  <si>
    <t>Uploads\3832760b-8066-4b64-a79a-0f2de2b6aa9d.pdf</t>
  </si>
  <si>
    <t>4C32275F-E62E-43B5-A2FE-3CB55F6644AB</t>
  </si>
  <si>
    <t>4F75BDA1-097D-4240-BE9C-3104AB0D6E45</t>
  </si>
  <si>
    <t>NOOP Marwan Batu-1.pdf</t>
  </si>
  <si>
    <t>Uploads\4f75bda1-097d-4240-be9c-3104ab0d6e45.pdf</t>
  </si>
  <si>
    <t>C8E53919-EE29-45D9-875E-AF286FF03929</t>
  </si>
  <si>
    <t>B8474252-4143-491A-B2F0-50251B625F4B</t>
  </si>
  <si>
    <t>70BF69E1-1E59-4C78-B0E3-F3F94AA44598</t>
  </si>
  <si>
    <t>LARUT A-24ST1 (OP7) Final Well Report.pdf</t>
  </si>
  <si>
    <t>Uploads\70bf69e1-1e59-4c78-b0e3-f3f94aa44598.pdf</t>
  </si>
  <si>
    <t>F31793CA-4512-4A92-B877-CF079FED133C</t>
  </si>
  <si>
    <t>1F7F4EFC-8418-4F11-BFA3-2882063F5874</t>
  </si>
  <si>
    <t>LARUT A-24ST1 (OP7_NOOP) rev.2.pdf</t>
  </si>
  <si>
    <t>Uploads\1f7f4efc-8418-4f11-bfa3-2882063f5874.pdf</t>
  </si>
  <si>
    <t>98656D9F-2B87-40D0-84C5-5AA5D5EF6FBA</t>
  </si>
  <si>
    <t>36E03D06-4A19-43B6-B14D-50AA37C3E8FA</t>
  </si>
  <si>
    <t>95AD5744-DD33-4276-8742-0F6C5C6E0801</t>
  </si>
  <si>
    <t>WD-A18 NOOP.pdf</t>
  </si>
  <si>
    <t>Uploads\95ad5744-dd33-4276-8742-0f6c5c6e0801.pdf</t>
  </si>
  <si>
    <t>EE008946-D121-49E5-893F-05B361214242</t>
  </si>
  <si>
    <t>D9E2E28D-684A-4200-8710-C5969C22F5BA</t>
  </si>
  <si>
    <t>WD-A18 Final Well Report.pdf</t>
  </si>
  <si>
    <t>Uploads\d9e2e28d-684a-4200-8710-c5969c22f5ba.pdf</t>
  </si>
  <si>
    <t>369B17DB-EA00-4A7F-80BE-0288C45F932E</t>
  </si>
  <si>
    <t>B2F9DB37-49BF-4B5D-8EDD-516BD6F1FBB1</t>
  </si>
  <si>
    <t>E5BF109D-967D-4BC9-9A53-A306C0EDAB9B</t>
  </si>
  <si>
    <t>EOWR Malikai-108 FINAL.pdf</t>
  </si>
  <si>
    <t>Uploads\e5bf109d-967d-4bc9-9a53-a306c0edab9b.pdf</t>
  </si>
  <si>
    <t>13A9C44B-6934-44AF-A2EB-E39BBDAE11BD</t>
  </si>
  <si>
    <t>28A88B4F-CCCB-4D74-8A4D-02EC4ED8380D</t>
  </si>
  <si>
    <t>MLK-108 KMU2 South WI - NOOP v2.pdf</t>
  </si>
  <si>
    <t>Uploads\28a88b4f-cccb-4d74-8a4d-02ec4ed8380d.pdf</t>
  </si>
  <si>
    <t>8EB4B481-61AA-41CC-8DD8-F723CF8CF041</t>
  </si>
  <si>
    <t>9293A259-E791-4E62-9AF8-5172D06C924A</t>
  </si>
  <si>
    <t>4DC7B1C3-825E-4E76-A7A6-657BA318B0BF</t>
  </si>
  <si>
    <t>Bentara A1.pdf</t>
  </si>
  <si>
    <t>Uploads\4dc7b1c3-825e-4e76-a7a6-657ba318b0bf.pdf</t>
  </si>
  <si>
    <t>07AC054B-4EEA-4552-B161-969343109897</t>
  </si>
  <si>
    <t>258B0741-BC06-4CED-A2DD-CA73EADF876C</t>
  </si>
  <si>
    <t>Bentara-A1 Final Well Report-Final Signed Copy.pdf</t>
  </si>
  <si>
    <t>Uploads\258b0741-bc06-4ced-a2dd-ca73eadf876c.pdf</t>
  </si>
  <si>
    <t>B0D33D8C-767B-409E-93CA-8FC55F25273B</t>
  </si>
  <si>
    <t>70A88FA4-EF13-4282-9DCF-51A08C88A794</t>
  </si>
  <si>
    <t>BUNGA-SAFFRON-1</t>
  </si>
  <si>
    <t>EAB06E7F-0E5B-4919-B64E-9A6DF5EA6613</t>
  </si>
  <si>
    <t>Bunga Saffron-1  ST1 NOOP.pdf</t>
  </si>
  <si>
    <t>Uploads\eab06e7f-0e5b-4919-b64e-9a6df5ea6613.pdf</t>
  </si>
  <si>
    <t>Exist</t>
  </si>
  <si>
    <t>B6D6C491-F4AF-45E5-B028-1A1BC1B90ECA</t>
  </si>
  <si>
    <t>EC2C6094-22E9-459F-82FA-A91D92A5C8A7</t>
  </si>
  <si>
    <t>BS-1ST1_FINAL _signed_BUNGA-SAFFRON-1_REPSOL.pdf</t>
  </si>
  <si>
    <t>Uploads\ec2c6094-22e9-459f-82fa-a91d92a5c8a7.pdf</t>
  </si>
  <si>
    <t>F5D021F2-F7DA-4A8D-8523-01BB36822F7B</t>
  </si>
  <si>
    <t>DFE7B19F-7981-4156-A468-51DA63424B62</t>
  </si>
  <si>
    <t>F8BD6707-D469-4127-9B8D-39F3C826508F</t>
  </si>
  <si>
    <t>FWR SM120 SM-EFAD-PCLO-DRL-JE-DRL-16-2018 .pdf</t>
  </si>
  <si>
    <t>Uploads\f8bd6707-d469-4127-9b8d-39f3c826508f.pdf</t>
  </si>
  <si>
    <t>311B9FCA-340C-4CA9-B517-13185D9A59C1</t>
  </si>
  <si>
    <t>DDB067DE-00AE-49CF-ABD3-2A922BEF9AB5</t>
  </si>
  <si>
    <t>SM120 w Signature (1).pdf</t>
  </si>
  <si>
    <t>Uploads\ddb067de-00ae-49cf-abd3-2a922bef9ab5.pdf</t>
  </si>
  <si>
    <t>F1CDF665-917F-44BC-A37E-2F38018DD391</t>
  </si>
  <si>
    <t>14301809-3EA7-4F89-82BD-51DFF2B6FA6D</t>
  </si>
  <si>
    <t>099894B4-F4B6-4319-8FB8-68539F192807</t>
  </si>
  <si>
    <t>Babadon-1 NOOP (R1).pdf</t>
  </si>
  <si>
    <t>Uploads\099894b4-f4b6-4319-8fb8-68539f192807.pdf</t>
  </si>
  <si>
    <t>1E22E886-F3C2-4F8C-89B1-95D60C72A18D</t>
  </si>
  <si>
    <t>74F58D29-DC56-4A48-81C8-81EB80B22511</t>
  </si>
  <si>
    <t>SKO3BDONDR6781_BABADON-1_PTTEP_FWR.pdf</t>
  </si>
  <si>
    <t>Uploads\74f58d29-dc56-4a48-81c8-81eb80b22511.pdf</t>
  </si>
  <si>
    <t>BE4400C7-7052-4AA3-920A-89A20FAABFFB</t>
  </si>
  <si>
    <t>253183ED-32BE-481C-BEAE-51F284F57D46</t>
  </si>
  <si>
    <t>A0140DA4-4EA8-49C0-9932-643D1576D4CA</t>
  </si>
  <si>
    <t>NOOP BN-86-FINAL.pdf</t>
  </si>
  <si>
    <t>Uploads\a0140da4-4ea8-49c0-9932-643d1576d4ca.pdf</t>
  </si>
  <si>
    <t>CCAFA602-34D0-4AD6-A97B-5A796A10E686</t>
  </si>
  <si>
    <t>1B454148-2B56-4D1E-B3B6-537301C401CE</t>
  </si>
  <si>
    <t>BN-86 Petronas Final Well Report TR.pdf</t>
  </si>
  <si>
    <t>Uploads\1b454148-2b56-4d1e-b3b6-537301c401ce.pdf</t>
  </si>
  <si>
    <t>6CED5B7B-26A7-4B41-9FBA-52D2FEF77266</t>
  </si>
  <si>
    <t>28B4B03B-EE31-46B9-8837-526F8C0200FE</t>
  </si>
  <si>
    <t>D5CF0076-C8E7-40A6-BFA1-8D88FD5A7949</t>
  </si>
  <si>
    <t>PMO3DULGWSXQ_DULANG_D24ST2.pdf</t>
  </si>
  <si>
    <t>Uploads\d5cf0076-c8e7-40a6-bfa1-8d88fd5a7949.pdf</t>
  </si>
  <si>
    <t>35205A31-ADAD-4703-A38F-DADD386914C4</t>
  </si>
  <si>
    <t>2CC966AD-2E73-4AD3-80FC-2CCDD241F556</t>
  </si>
  <si>
    <t>PMO3DULGWSXM_DULANG_D24ST2.pdf</t>
  </si>
  <si>
    <t>Uploads\2cc966ad-2e73-4ad3-80fc-2ccdd241f556.pdf</t>
  </si>
  <si>
    <t>019C1D7B-D7AC-4495-B711-C0FD16E06A39</t>
  </si>
  <si>
    <t>34E7E58A-A448-4F33-8709-5295C0665FAD</t>
  </si>
  <si>
    <t>9B3C9E11-D398-4952-BE8D-3720DE9A999C</t>
  </si>
  <si>
    <t>NOOP Berantai East-2 and Sidetrack-2 .pdf</t>
  </si>
  <si>
    <t>Uploads\9b3c9e11-d398-4952-be8d-3720de9a999c.pdf</t>
  </si>
  <si>
    <t>B85559F0-F444-415E-A55C-9E8D41957543</t>
  </si>
  <si>
    <t>D8AAE7AC-F9D5-489C-AC7A-612981B75ED9</t>
  </si>
  <si>
    <t>BRE-2 Final Well Report Rev 1.pdf</t>
  </si>
  <si>
    <t>Uploads\d8aae7ac-f9d5-489c-ac7a-612981b75ed9.pdf</t>
  </si>
  <si>
    <t>0531A1B7-EE17-4D03-A10B-A26F8ABB1DCE</t>
  </si>
  <si>
    <t>F94AC7BE-7C7D-4C0D-B8E2-531984B4962C</t>
  </si>
  <si>
    <t>61A5BB15-A95E-40D3-9535-B5F658E8F84F</t>
  </si>
  <si>
    <t>Maligan-1 EOWR_FINAL w Appendix_P2.pdf</t>
  </si>
  <si>
    <t>Uploads\61a5bb15-a95e-40d3-9535-b5f658e8f84f.pdf</t>
  </si>
  <si>
    <t>367B6E8E-8CF3-49E4-8728-A63F13E94D85</t>
  </si>
  <si>
    <t>7D8A9313-88CA-4BC2-BB0F-39985C8DCEC3</t>
  </si>
  <si>
    <t>Maligan-1 NOOP_FINAL signed.pdf</t>
  </si>
  <si>
    <t>Uploads\7d8a9313-88ca-4bc2-bb0f-39985c8dcec3.pdf</t>
  </si>
  <si>
    <t>F54BF9EF-E4D0-4EA0-8ED3-76E97740D71A</t>
  </si>
  <si>
    <t>B8D35E42-AFEF-4A83-B413-532A48D91DC4</t>
  </si>
  <si>
    <t>1FCCE193-90D5-4C7E-A21A-6D5B217AFD73</t>
  </si>
  <si>
    <t>Besar- A1_FINAL.pdf</t>
  </si>
  <si>
    <t>Besar- A1_FINAL.PDF</t>
  </si>
  <si>
    <t>Uploads\1fcce193-90d5-4c7e-a21a-6d5b217afd73.pdf</t>
  </si>
  <si>
    <t>23EFA327-2468-4AA7-B6B8-CBAA43051F64</t>
  </si>
  <si>
    <t>019AC713-B1E4-4F97-88B1-E27307833B49</t>
  </si>
  <si>
    <t>FWR Besar-A1.pdf</t>
  </si>
  <si>
    <t>Uploads\019ac713-b1e4-4f97-88b1-e27307833b49.pdf</t>
  </si>
  <si>
    <t>3776CA92-2EAF-498A-8A0B-F43F5AE3A4EA</t>
  </si>
  <si>
    <t>86B0ED6E-92EC-4CF6-A1D5-53C37882E311</t>
  </si>
  <si>
    <t>E65EE17D-9D62-4F20-825E-8370118E116F</t>
  </si>
  <si>
    <t>GK P718AR2 EOWR.pdf</t>
  </si>
  <si>
    <t>Uploads\e65ee17d-9d62-4f20-825e-8370118e116f.pdf</t>
  </si>
  <si>
    <t>CE27C063-5C29-458B-B272-260A260F90D7</t>
  </si>
  <si>
    <t>CED91E00-6DE2-4582-9AAF-C37522F37714</t>
  </si>
  <si>
    <t>GK-P718A NOOP Rev2.pdf</t>
  </si>
  <si>
    <t>Uploads\ced91e00-6de2-4582-9aaf-c37522f37714.pdf</t>
  </si>
  <si>
    <t>359E06B1-A372-46A1-A82D-894DFF7CC50A</t>
  </si>
  <si>
    <t>0CEAB225-9F03-4F33-8FEE-53E88E269CF7</t>
  </si>
  <si>
    <t>92577BB7-D6A3-486D-9DDD-0350E88B2B9A</t>
  </si>
  <si>
    <t>EOWR KNWD-D09 Rev.01.pdf</t>
  </si>
  <si>
    <t>Uploads\92577bb7-d6a3-486d-9ddd-0350e88b2b9a.pdf</t>
  </si>
  <si>
    <t>15B6C0C8-6224-4BAB-80E0-8B3378382630</t>
  </si>
  <si>
    <t>9246B0E8-D21F-42DA-82A0-9ABE39C75BE7</t>
  </si>
  <si>
    <t>KNDW-D09_NOOP_signed.pdf</t>
  </si>
  <si>
    <t>Uploads\9246b0e8-d21f-42da-82a0-9abe39c75be7.pdf</t>
  </si>
  <si>
    <t>CC30B4A6-6353-4C09-B768-72727B6BE3F6</t>
  </si>
  <si>
    <t>80843FBD-9077-42C2-B040-54ABE2A5DDB4</t>
  </si>
  <si>
    <t>E1AEEA38-A00D-48D1-9ADC-573E9058B4D6</t>
  </si>
  <si>
    <t>NOOP Besar-A7 (Internal Copy).pdf</t>
  </si>
  <si>
    <t>Uploads\e1aeea38-a00d-48d1-9adc-573e9058b4d6.pdf</t>
  </si>
  <si>
    <t>CD51CB57-B06F-4E73-A053-645EE6D88DF1</t>
  </si>
  <si>
    <t>2B8216D8-A51F-44C6-9D12-11258E79E441</t>
  </si>
  <si>
    <t>Besar A7 FWR Final.pdf</t>
  </si>
  <si>
    <t>Uploads\2b8216d8-a51f-44c6-9d12-11258e79e441.pdf</t>
  </si>
  <si>
    <t>0E6118F2-582F-4F71-A9BE-8625B337FD64</t>
  </si>
  <si>
    <t>4E965EDB-F116-46B6-AA09-54B6F2C438D3</t>
  </si>
  <si>
    <t>0A72D3E5-F8A1-4D80-8527-23EA56D8AAC6</t>
  </si>
  <si>
    <t>Uploads\0a72d3e5-f8a1-4d80-8527-23ea56d8aac6.pdf</t>
  </si>
  <si>
    <t>6AD75621-CCDC-466D-9218-1F350492BE20</t>
  </si>
  <si>
    <t>A1601922-DA40-424C-99A2-D1E59A1D505B</t>
  </si>
  <si>
    <t>MOM-SK309-72-DNC-RP-0011-00_SNPA-05ST1 EOWR.pdf</t>
  </si>
  <si>
    <t>Uploads\a1601922-da40-424c-99a2-d1e59a1d505b.pdf</t>
  </si>
  <si>
    <t>D882B1B6-98AF-45AE-ADE9-537F7EA843FA</t>
  </si>
  <si>
    <t>003B6CA2-2104-4737-BE40-55ACDCFBBEC0</t>
  </si>
  <si>
    <t>4FF8D4FC-B585-40A1-88DD-1D24A24BE394</t>
  </si>
  <si>
    <t>SKO3TMNAGL25_TEMANA_T76.pdf</t>
  </si>
  <si>
    <t>Uploads\4ff8d4fc-b585-40a1-88dd-1d24a24be394.pdf</t>
  </si>
  <si>
    <t>F7DB203F-247D-4BE8-9546-F316D6F463F0</t>
  </si>
  <si>
    <t>7E6B7B06-B2AD-4777-911C-EA5DCF2ADD67</t>
  </si>
  <si>
    <t>SKO3TMNAWS94_TEMANA_T76.pdf</t>
  </si>
  <si>
    <t>Uploads\7e6b7b06-b2ad-4777-911c-ea5dcf2add67.pdf</t>
  </si>
  <si>
    <t>A351991B-D777-44BD-9D64-CBC93C1FBFD9</t>
  </si>
  <si>
    <t>093AFE49-8D9B-4396-922F-565DD3586818</t>
  </si>
  <si>
    <t>F6E027C4-AD0D-4CCB-9AF5-BE6F6D11D962</t>
  </si>
  <si>
    <t>Tepat-1_NOOP_v171117.pdf</t>
  </si>
  <si>
    <t>Uploads\f6e027c4-ad0d-4ccb-9af5-be6f6d11d962.pdf</t>
  </si>
  <si>
    <t>0EA4D918-5983-477D-9BC2-100080C6A1AF</t>
  </si>
  <si>
    <t>95EFF5D8-16BD-471B-96D2-4DC5607AC8E7</t>
  </si>
  <si>
    <t>TEPAT-1 - FDCR - FINAL V0 - ALL.pdf</t>
  </si>
  <si>
    <t>Uploads\95eff5d8-16bd-471b-96d2-4dc5607ac8e7.pdf</t>
  </si>
  <si>
    <t>3AEFF6F9-F428-4171-B277-424B3EE535DC</t>
  </si>
  <si>
    <t>AAB307D8-6615-4794-A600-56BCB53A15F4</t>
  </si>
  <si>
    <t>E1AC34D3-0BCD-4DCE-B060-4E25E2392B88</t>
  </si>
  <si>
    <t>Dulang EMUP Addendum D12ST1 - OP2 Final Submission to MPM.pdf</t>
  </si>
  <si>
    <t>Uploads\e1ac34d3-0bcd-4dce-b060-4e25e2392b88.pdf</t>
  </si>
  <si>
    <t>DC2E2D02-90EA-4BD1-934B-EC5690DBE97B</t>
  </si>
  <si>
    <t>B6E8BD28-5992-45CB-BA53-00C2B8E2CD80</t>
  </si>
  <si>
    <t>Dulang D12ST1 OP2 FWR Complete Attachment.pdf</t>
  </si>
  <si>
    <t>Uploads\b6e8bd28-5992-45cb-ba53-00c2b8e2cd80.pdf</t>
  </si>
  <si>
    <t>66569BA4-0378-426C-BEDD-B7D71881296A</t>
  </si>
  <si>
    <t>05D5CF1A-30E7-494B-B9E8-56DAB27EDB81</t>
  </si>
  <si>
    <t>25C40CAA-D783-464C-887C-EC5D9163B439</t>
  </si>
  <si>
    <t>F19 Shallow-1 FWR.pdf</t>
  </si>
  <si>
    <t>Uploads\25c40caa-d783-464c-887c-ec5d9163b439.pdf</t>
  </si>
  <si>
    <t>84DEDBF9-C34F-4CB4-A6C4-6A52D5DAB878</t>
  </si>
  <si>
    <t>5EA1BA56-5AA0-4102-BD12-07367E9FBEE5</t>
  </si>
  <si>
    <t>SKO3F19HWS01_F19 SHALLOW-1_PCSB_NOOP.pdf</t>
  </si>
  <si>
    <t>Uploads\5ea1ba56-5aa0-4102-bd12-07367e9fbee5.pdf</t>
  </si>
  <si>
    <t>06F396DE-360D-4659-BDC4-649CECD894C5</t>
  </si>
  <si>
    <t>01ED95BC-E79B-486F-B85B-577683AE5B0B</t>
  </si>
  <si>
    <t>A7189AAB-0591-40CB-9F46-BB503E3CD57E</t>
  </si>
  <si>
    <t>CD-B17 NOOP.pdf</t>
  </si>
  <si>
    <t>Uploads\a7189aab-0591-40cb-9f46-bb503e3cd57e.pdf</t>
  </si>
  <si>
    <t>67CE8A67-8C5C-4BA3-B85E-CE0F5A1EE7DB</t>
  </si>
  <si>
    <t>3709B239-B6C9-4D87-9B2C-874EF792BBEA</t>
  </si>
  <si>
    <t>CD B17 Final Well Report PMY REP D 0005.pdf</t>
  </si>
  <si>
    <t>Uploads\3709b239-b6c9-4d87-9b2c-874ef792bbea.pdf</t>
  </si>
  <si>
    <t>0A4F3FF6-B3DA-4088-A0C6-9C8CC97D7CE9</t>
  </si>
  <si>
    <t>02D4AAEB-E256-4029-976D-57A10D6FCD6F</t>
  </si>
  <si>
    <t>D6A1CE1A-D06F-4137-B2BB-0F3C5B0C33AC</t>
  </si>
  <si>
    <t>TT-A7 Petronas Final Well Report_A7-signed.pdf</t>
  </si>
  <si>
    <t>Uploads\d6a1ce1a-d06f-4137-b2bb-0f3c5b0c33ac.pdf</t>
  </si>
  <si>
    <t>A54A29FC-C2AF-4D22-8745-54E2FF368A8E</t>
  </si>
  <si>
    <t>29AEA295-023D-4B62-8A9E-B0AEF1981B27</t>
  </si>
  <si>
    <t>NOOP TT-A7.pdf</t>
  </si>
  <si>
    <t>Uploads\29aea295-023d-4b62-8a9e-b0aef1981b27.pdf</t>
  </si>
  <si>
    <t>9CE46649-3B61-4E98-8A49-737A8F36E858</t>
  </si>
  <si>
    <t>F2D05074-C8F4-484F-8E7F-57F2A6C84D0B</t>
  </si>
  <si>
    <t>23686F62-A564-400C-BBC6-84AE591941D5</t>
  </si>
  <si>
    <t>BRG A-8(K).pdf</t>
  </si>
  <si>
    <t>Uploads\23686f62-a564-400c-bbc6-84ae591941d5.pdf</t>
  </si>
  <si>
    <t>6D4B1139-610F-4198-881C-B99B3A262F6C</t>
  </si>
  <si>
    <t>0778A47D-9964-45F6-8DB9-B00F283DBB10</t>
  </si>
  <si>
    <t>Bergading A-8.pdf</t>
  </si>
  <si>
    <t>Uploads\0778a47d-9964-45f6-8db9-b00f283dbb10.pdf</t>
  </si>
  <si>
    <t>FCA1627B-0B01-4B9C-B917-635EA03FD3D5</t>
  </si>
  <si>
    <t>2C087354-5F64-463B-A594-58606516F126</t>
  </si>
  <si>
    <t>7211604A-FD0A-48DB-8222-F864F7FE83FF</t>
  </si>
  <si>
    <t>PMO3BKWAGL67_BKC-8ST1€.pdf</t>
  </si>
  <si>
    <t>Uploads\7211604a-fd0a-48db-8222-f864f7fe83ff.pdf</t>
  </si>
  <si>
    <t>580B22A2-D07E-47D5-AD03-2B2D738F8845</t>
  </si>
  <si>
    <t>B3E45C4D-2295-46DD-9D5F-A5E6031ABC42</t>
  </si>
  <si>
    <t>BKC-8ST1_EOWR Updated.pdf</t>
  </si>
  <si>
    <t>Uploads\b3e45c4d-2295-46dd-9d5f-a5e6031abc42.pdf</t>
  </si>
  <si>
    <t>305ABCB7-AD2A-422F-BC07-2F9895BE1ABE</t>
  </si>
  <si>
    <t>0C454A3E-9CE3-4847-A48F-58929448F25C</t>
  </si>
  <si>
    <t>4F92946D-B864-408B-9468-B22492657B9A</t>
  </si>
  <si>
    <t>SM-37ST EOWR_FINAL_signed.pdf</t>
  </si>
  <si>
    <t>Uploads\4f92946d-b864-408b-9468-b22492657b9a.pdf</t>
  </si>
  <si>
    <t>BC347BAD-C212-4D65-BF68-E2E4B44C34A7</t>
  </si>
  <si>
    <t>D1D4893A-A734-4327-9FF1-5BD1CA83F795</t>
  </si>
  <si>
    <t>SM37ST NOOP SM - 2EOR - DD - DRL - DB - DRL -  - 26 - 2018.pdf</t>
  </si>
  <si>
    <t>Uploads\d1d4893a-a734-4327-9ff1-5bd1ca83f795.pdf</t>
  </si>
  <si>
    <t>C5ADC2AE-7625-42E4-8AE9-E5CDBA6FE8F6</t>
  </si>
  <si>
    <t>8BDAACAB-B8C0-40C6-AD01-58C0C82624CC</t>
  </si>
  <si>
    <t>E40BF9B6-F26D-4E1B-8CA6-840F66E8545A</t>
  </si>
  <si>
    <t>AJK-A1 ST1.pdf</t>
  </si>
  <si>
    <t>Uploads\e40bf9b6-f26d-4e1b-8ca6-840f66e8545a.pdf</t>
  </si>
  <si>
    <t>D6D3C83D-2F0B-4F70-98AB-2F954C32FEB2</t>
  </si>
  <si>
    <t>AC4A1527-7F2F-42E7-B10F-B45808DC0068</t>
  </si>
  <si>
    <t>AJK-A1 ST1 and ST2 Final Well Report.pdf</t>
  </si>
  <si>
    <t>Uploads\ac4a1527-7f2f-42e7-b10f-b45808dc0068.pdf</t>
  </si>
  <si>
    <t>851DF544-02AB-44FC-A8A4-9E467241DF76</t>
  </si>
  <si>
    <t>B4F698D0-89B7-4119-B093-58FACA57D315</t>
  </si>
  <si>
    <t>DCDCACA9-DF22-4A29-8BC7-E3B21C6BC07A</t>
  </si>
  <si>
    <t>D35A-108ST6 NOOP Final.pdf</t>
  </si>
  <si>
    <t>Uploads\dcdcaca9-df22-4a29-8bc7-e3b21c6bc07a.pdf</t>
  </si>
  <si>
    <t>D3C76A7A-CC78-4760-AEAB-CAB0AAF30EEF</t>
  </si>
  <si>
    <t>7E85BFAC-E6BA-41F9-83A2-18C519B881E6</t>
  </si>
  <si>
    <t>D35DPA-108ST5 End Of Well Report - Signed1.pdf</t>
  </si>
  <si>
    <t>Uploads\7e85bfac-e6ba-41f9-83a2-18c519b881e6.pdf</t>
  </si>
  <si>
    <t>9EBCBDD9-2643-42DE-9B42-A271FA533458</t>
  </si>
  <si>
    <t>A7E2822A-DA28-4BCB-B36B-59348A1F2CD8</t>
  </si>
  <si>
    <t>0CEA3F99-49C4-4C39-A725-9280E67D9F89</t>
  </si>
  <si>
    <t>Bergading D-1 (C) R0_FINAL_NOOP.pdf</t>
  </si>
  <si>
    <t>Bergading D-1 (C) R0_FINAL.pdf</t>
  </si>
  <si>
    <t>Uploads\0cea3f99-49c4-4c39-a725-9280e67d9f89.pdf</t>
  </si>
  <si>
    <t>3756670F-1D8F-45FD-8638-965068F3E1C6</t>
  </si>
  <si>
    <t>44A57FA3-727E-4888-93B5-E3345212F03C</t>
  </si>
  <si>
    <t>EOWR_Bergading D-1_ Rev0_21062017 - PETRONAS SUBMISSION_FINAL.pdf</t>
  </si>
  <si>
    <t>Uploads\44a57fa3-727e-4888-93b5-e3345212f03c.pdf</t>
  </si>
  <si>
    <t>1A57ABCA-8472-489F-A2DD-AB1D717A80CB</t>
  </si>
  <si>
    <t>FEFC0A6C-D14F-4C49-8220-59448EDEF4C1</t>
  </si>
  <si>
    <t>SNPA-23</t>
  </si>
  <si>
    <t>C6AFC9D0-0E89-46BA-A8CE-D17139371CE6</t>
  </si>
  <si>
    <t>SKO3SRDHWS1C_SNPA-23_PTTEP_FWR.pdf</t>
  </si>
  <si>
    <t>MOM-SK309-72-DNC-RP-0020-00_SNPA-23 EOWR.pdf</t>
  </si>
  <si>
    <t>Uploads\c6afc9d0-0e89-46ba-a8ce-d17139371ce6.pdf</t>
  </si>
  <si>
    <t>09A294A3-BBC8-4DF6-8F4D-C4C30DF255D0</t>
  </si>
  <si>
    <t>6A53927D-7CE0-4CC8-BFB2-1240E8EF1278</t>
  </si>
  <si>
    <t>MOM-SK309-72-DR-TN-0002-00_1_SNPA 23_24_Revisit 2 Phase 3_Rev 1.pdf</t>
  </si>
  <si>
    <t>Uploads\6a53927d-7ce0-4cc8-bfb2-1240e8ef1278.pdf</t>
  </si>
  <si>
    <t>CE748A72-6CD6-4189-B53B-752F7BD7CFD7</t>
  </si>
  <si>
    <t>A0E78DE6-936D-4882-93C0-5969795E7780</t>
  </si>
  <si>
    <t>0D75EB7F-436B-43F5-9F00-243276539554</t>
  </si>
  <si>
    <t>BOC-3B (SWI) NOOP_signed copy_BOC-26 (36)_HML.pdf</t>
  </si>
  <si>
    <t>Uploads\0d75eb7f-436b-43f5-9f00-243276539554.pdf</t>
  </si>
  <si>
    <t>A249E1A5-365A-4C33-89B0-82827C84EC78</t>
  </si>
  <si>
    <t>C34CACAD-49DB-4E35-B2BF-0323512D619F</t>
  </si>
  <si>
    <t>EOWR BOC-26 (3B)_Final Signed.pdf</t>
  </si>
  <si>
    <t>Uploads\c34cacad-49db-4e35-b2bf-0323512d619f.pdf</t>
  </si>
  <si>
    <t>A51C74E2-DD12-4A0E-AEEF-93AE52B38EDD</t>
  </si>
  <si>
    <t>376FCE23-13F0-4F8C-B7F6-5AC0EEA348EA</t>
  </si>
  <si>
    <t>909F7A9B-F10D-4703-A5DE-5AA962B00C0B</t>
  </si>
  <si>
    <t>E06-108 (N1) NOOP R2 Final - signed.pdf</t>
  </si>
  <si>
    <t>Uploads\909f7a9b-f10d-4703-a5de-5aa962b00c0b.pdf</t>
  </si>
  <si>
    <t>AF57D632-62A7-473A-976D-3541BE62ABF6</t>
  </si>
  <si>
    <t>AD2ACCA4-DFED-4157-978B-4D443919E15A</t>
  </si>
  <si>
    <t>E06-108 End of Well Report.pdf</t>
  </si>
  <si>
    <t>Uploads\ad2acca4-dfed-4157-978b-4d443919e15a.pdf</t>
  </si>
  <si>
    <t>700D5C05-6F3C-4B25-953D-410BF2BB08F4</t>
  </si>
  <si>
    <t>B3DA8456-474E-431D-8A33-5B0DD59DC1F2</t>
  </si>
  <si>
    <t>EF44C726-8D7B-4964-B19A-2C4B44B783A2</t>
  </si>
  <si>
    <t>Mong-01 End of Well Report.pdf</t>
  </si>
  <si>
    <t>Uploads\ef44c726-8d7b-4964-b19a-2c4b44b783a2.pdf</t>
  </si>
  <si>
    <t>448719AA-796A-452F-824A-7D6159484502</t>
  </si>
  <si>
    <t>CFBC4395-737F-4C5E-A808-8EB55E679716</t>
  </si>
  <si>
    <t>Mong-1 NOOPs (Signed).pdf</t>
  </si>
  <si>
    <t>Uploads\cfbc4395-737f-4c5e-a808-8eb55e679716.pdf</t>
  </si>
  <si>
    <t>77322D0F-880C-487F-B60B-75F7FA2AB6E1</t>
  </si>
  <si>
    <t>2466B1F0-0CFC-4FA4-98AA-5B99252AE6BC</t>
  </si>
  <si>
    <t>A87B14ED-0175-48F2-A577-6227C4A9C15E</t>
  </si>
  <si>
    <t>FWR BN-84 FINAL - for submission.pdf</t>
  </si>
  <si>
    <t>Uploads\a87b14ed-0175-48f2-a577-6227c4a9c15e.pdf</t>
  </si>
  <si>
    <t>4CFB7859-4867-4472-8167-1D3471B3176A</t>
  </si>
  <si>
    <t>9C809EE4-232E-4300-B25B-E3A88AB1F839</t>
  </si>
  <si>
    <t>NOOP BN-84 Final Signed.pdf</t>
  </si>
  <si>
    <t>Uploads\9c809ee4-232e-4300-b25b-e3a88ab1f839.pdf</t>
  </si>
  <si>
    <t>58EC40C5-DE2F-4499-A2F7-058385BE386D</t>
  </si>
  <si>
    <t>7B642852-6A2A-4826-9161-5C75572EF513</t>
  </si>
  <si>
    <t>589485FA-5283-4798-9B9A-7E316ED6E907</t>
  </si>
  <si>
    <t>SKO3D35EWS03_D35 EAST-1_PCSB_FWR.pdf</t>
  </si>
  <si>
    <t>Uploads\589485fa-5283-4798-9b9a-7e316ed6e907.pdf</t>
  </si>
  <si>
    <t>9712605F-AF82-47BD-975F-BE71AA368210</t>
  </si>
  <si>
    <t>4E63377B-A43B-498F-A8D5-5BABF1B2535D</t>
  </si>
  <si>
    <t>SKO3D35EWS02_D35 EAST-1_PCSB_NOOP.pdf</t>
  </si>
  <si>
    <t>Uploads\4e63377b-a43b-498f-a8d5-5babf1b2535d.pdf</t>
  </si>
  <si>
    <t>00D750D9-5078-4FEA-A743-F0D7FE22A283</t>
  </si>
  <si>
    <t>46DD044D-A3D0-456A-B5A8-5D7F6A6722C6</t>
  </si>
  <si>
    <t>E9FB5BE5-38C6-4938-B938-32F816306EB7</t>
  </si>
  <si>
    <t>Cenmumur-1_Final NOOP_MLNG Ph1 Expl_.pdf</t>
  </si>
  <si>
    <t>Uploads\e9fb5be5-38c6-4938-b938-32f816306eb7.pdf</t>
  </si>
  <si>
    <t>5515E07D-F037-498C-8DF5-6F081149C89F</t>
  </si>
  <si>
    <t>F990C4E2-7ECF-4D59-A1D7-AA4D48A383BE</t>
  </si>
  <si>
    <t>Cenmumur-1 EOWR.pdf</t>
  </si>
  <si>
    <t>Uploads\f990c4e2-7ecf-4d59-a1d7-aa4d48a383be.pdf</t>
  </si>
  <si>
    <t>773098F6-1103-4071-BB89-ADD0896D3914</t>
  </si>
  <si>
    <t>0F9E6AFD-2B59-4A38-B596-5DCDC6E00FE4</t>
  </si>
  <si>
    <t>DD3F2CCC-04D0-459E-B249-4B5608136348</t>
  </si>
  <si>
    <t>WB A05-signed.pdf</t>
  </si>
  <si>
    <t>Uploads\dd3f2ccc-04d0-459e-b249-4b5608136348.pdf</t>
  </si>
  <si>
    <t>E047FA21-E10C-4191-BDCE-E060CCAB9EEC</t>
  </si>
  <si>
    <t>55D8AC7B-1E27-4F94-8D06-AD379FD0CE51</t>
  </si>
  <si>
    <t>WBA-05 FWR.pdf</t>
  </si>
  <si>
    <t>Uploads\55d8ac7b-1e27-4f94-8d06-ad379fd0ce51.pdf</t>
  </si>
  <si>
    <t>C7224323-9DE3-4BD3-A287-B8B086F965EE</t>
  </si>
  <si>
    <t>BC148C77-24B2-4256-8E3E-5E43DC211695</t>
  </si>
  <si>
    <t>C7ABFE09-39D1-4AC0-A617-2C9641E49922</t>
  </si>
  <si>
    <t>BY-313 Loc P Notice of Operations_APPROVED.pdf</t>
  </si>
  <si>
    <t>Uploads\c7abfe09-39d1-4ac0-a617-2c9641e49922.pdf</t>
  </si>
  <si>
    <t>147C2917-ADBA-4897-A871-B8F16904CA7A</t>
  </si>
  <si>
    <t>30413643-C61D-486C-BDF8-9C559A5DFF8D</t>
  </si>
  <si>
    <t>BY-313 ST1 Final Well Report - Signed.pdf</t>
  </si>
  <si>
    <t>Uploads\30413643-c61d-486c-bdf8-9c559a5dff8d.pdf</t>
  </si>
  <si>
    <t>15A9C7CA-348E-44D2-B3C9-FB2A78A6472A</t>
  </si>
  <si>
    <t>0CBD6EB2-F060-4D5D-B7E8-5EC1C331F8FC</t>
  </si>
  <si>
    <t>6BC24789-978A-465B-A474-C9552F473277</t>
  </si>
  <si>
    <t>Marjoram-2 Appraisal NOP.pdf</t>
  </si>
  <si>
    <t>Uploads\6bc24789-978a-465b-a474-c9552f473277.pdf</t>
  </si>
  <si>
    <t>789B05B5-EC30-4760-B42E-4231ED46EED1</t>
  </si>
  <si>
    <t>228F58D9-1018-4D1C-B5A6-E7649ADBB26D</t>
  </si>
  <si>
    <t>Marjoram-2 FWR.pdf</t>
  </si>
  <si>
    <t>Uploads\228f58d9-1018-4d1c-b5a6-e7649adbb26d.pdf</t>
  </si>
  <si>
    <t>D8480056-0361-4C0F-A1D2-17A2974DA1B8</t>
  </si>
  <si>
    <t>B498C70A-F204-4865-AD6A-5ED9E64E2F33</t>
  </si>
  <si>
    <t>C4516E23-E19E-42B2-8AA4-5F53F9DF1220</t>
  </si>
  <si>
    <t>Mak_Yong-1_NOOP.docx.pdf</t>
  </si>
  <si>
    <t>Uploads\c4516e23-e19e-42b2-8aa4-5f53f9df1220.pdf</t>
  </si>
  <si>
    <t>BBA2185D-5AA3-4434-B760-716FB40F677A</t>
  </si>
  <si>
    <t>2D171B09-3853-4A44-9108-35B457A49ADD</t>
  </si>
  <si>
    <t>Mak_Yong-1_Final_Well_Report_Official.pdf</t>
  </si>
  <si>
    <t>Uploads\2d171b09-3853-4a44-9108-35b457a49add.pdf</t>
  </si>
  <si>
    <t>5F4B82A3-624A-437F-897E-ABA72BDA3656</t>
  </si>
  <si>
    <t>13EC4008-DEEE-41E8-B575-5F050145BAFE</t>
  </si>
  <si>
    <t>CCE11B8C-DB33-464F-9E83-F93153F32ADF</t>
  </si>
  <si>
    <t>SKO3BOKRWS1A_BOKOR DEEP WESTERN FLANK-1.pdf</t>
  </si>
  <si>
    <t>Uploads\cce11b8c-db33-464f-9e83-f93153f32adf.pdf</t>
  </si>
  <si>
    <t>CFD231ED-39F6-4BE7-BE2D-59A9A6A4318E</t>
  </si>
  <si>
    <t>B6951599-3042-45F1-AE66-0BE86BC8A11D</t>
  </si>
  <si>
    <t>SKO3BOKRWS2X_BOKOR DEEP WESTERN FLANK-1.pdf</t>
  </si>
  <si>
    <t>Uploads\b6951599-3042-45f1-ae66-0be86bc8a11d.pdf</t>
  </si>
  <si>
    <t>0112E9B0-D5CA-45D9-918A-2011AB83CF50</t>
  </si>
  <si>
    <t>62B875DB-FBBF-4D61-A0F7-5F5607EB954E</t>
  </si>
  <si>
    <t>1E26F66B-CC41-429A-85E5-E006634B0161</t>
  </si>
  <si>
    <t>Gorek-101 FDCR_EOWR_Final_Rev0.0_S.pdf</t>
  </si>
  <si>
    <t>Uploads\1e26f66b-cc41-429a-85e5-e006634b0161.pdf</t>
  </si>
  <si>
    <t>BEEBC936-7F82-4621-8D4C-6A2BE08F215A</t>
  </si>
  <si>
    <t>364B5162-96FB-4F1A-A89D-4B8F4833F858</t>
  </si>
  <si>
    <t>Gorek-101 (SW) NOOP_Final_Rev2.pdf</t>
  </si>
  <si>
    <t>Uploads\364b5162-96fb-4f1a-a89d-4b8f4833f858.pdf</t>
  </si>
  <si>
    <t>31F0C0DA-B404-46AE-8CCE-8C95D94EC3A2</t>
  </si>
  <si>
    <t>FFA51F27-1563-49BB-AC0B-5F73DDD4D3E5</t>
  </si>
  <si>
    <t>059211CC-A2C4-40F4-80A4-48228EACE94F</t>
  </si>
  <si>
    <t>ANGSI-B19ST1 FWR.pdf</t>
  </si>
  <si>
    <t>Uploads\059211cc-a2c4-40f4-80a4-48228eace94f.pdf</t>
  </si>
  <si>
    <t>542712E1-FC03-4674-8713-EFC258F40FB0</t>
  </si>
  <si>
    <t>3290295D-E582-4384-B47D-E5E76EF0A816</t>
  </si>
  <si>
    <t>ANGSI-B19ST1 NOOP.pdf</t>
  </si>
  <si>
    <t>Uploads\3290295d-e582-4384-b47d-e5e76ef0a816.pdf</t>
  </si>
  <si>
    <t>977CD560-8203-420D-8D0F-A45F40A7453E</t>
  </si>
  <si>
    <t>29044E73-834E-4E1E-A8BA-602BA019FAAA</t>
  </si>
  <si>
    <t>AFE98A9E-B8C1-43A2-A79E-8DC499E12A60</t>
  </si>
  <si>
    <t>EB A-29ST1 EOWR.pdf</t>
  </si>
  <si>
    <t>Uploads\afe98a9e-b8c1-43a2-a79e-8dc499e12a60.pdf</t>
  </si>
  <si>
    <t>1E2CED76-4EB5-43A2-A4A5-89E4DE91BBD6</t>
  </si>
  <si>
    <t>8B5F66D2-6222-419C-953C-849ABBDF2A11</t>
  </si>
  <si>
    <t>EB A-29ST1.pdf</t>
  </si>
  <si>
    <t>Uploads\8b5f66d2-6222-419c-953c-849abbdf2a11.pdf</t>
  </si>
  <si>
    <t>6C7EBC75-1113-48B8-95E8-8C7DBDA1123B</t>
  </si>
  <si>
    <t>838C5203-2623-40DF-B590-60E9C61C7473</t>
  </si>
  <si>
    <t>3A868ED7-AF49-4C40-8FD4-50B179EBB06B</t>
  </si>
  <si>
    <t>PMO3TELOWS57_TELOK-B4_EMEPMI_NOOP.pdf</t>
  </si>
  <si>
    <t>Uploads\3a868ed7-af49-4c40-8fd4-50b179ebb06b.pdf</t>
  </si>
  <si>
    <t>0D6E2C5E-C0F1-4899-8264-45A0AC1262A8</t>
  </si>
  <si>
    <t>CE4ECDC9-4A12-4C63-8DD4-7EB5D8E6C4F7</t>
  </si>
  <si>
    <t>Telok B4 Final Well Report (MPM Submission).pdf</t>
  </si>
  <si>
    <t>Uploads\ce4ecdc9-4a12-4c63-8dd4-7eb5d8e6c4f7.pdf</t>
  </si>
  <si>
    <t>671AE308-506A-476B-861F-F3931C73D716</t>
  </si>
  <si>
    <t>CC56CA6C-D87E-4305-B808-61A45E053A96</t>
  </si>
  <si>
    <t>5502894F-BB40-4D54-AE7B-FDDBC3E62E3D</t>
  </si>
  <si>
    <t>Sumandak Selatan  _B01_ST 2 FWR.pdf</t>
  </si>
  <si>
    <t>Uploads\5502894f-bb40-4d54-ae7b-fddbc3e62e3d.pdf</t>
  </si>
  <si>
    <t>DCD3953A-2903-47D1-92F6-EFE60EDBF6D6</t>
  </si>
  <si>
    <t>84B651BF-CD26-4176-B129-9F5C6573B797</t>
  </si>
  <si>
    <t>Sumandak Selatan B01 ST1 NOOP (Final).pdf</t>
  </si>
  <si>
    <t>Uploads\84b651bf-cd26-4176-b129-9f5c6573b797.pdf</t>
  </si>
  <si>
    <t>7FA58665-CB4C-4EFA-A6D9-F69BE4B81ECE</t>
  </si>
  <si>
    <t>820C2F21-6291-48F4-BBB2-61A4757ABCE0</t>
  </si>
  <si>
    <t>70786F3A-FC7D-47EB-9984-C23EF88C29D7</t>
  </si>
  <si>
    <t>Tabu A11ST1 Slot 1 NOOP.pdf</t>
  </si>
  <si>
    <t>Uploads\70786f3a-fc7d-47eb-9984-c23ef88c29d7.pdf</t>
  </si>
  <si>
    <t>5E460D0B-FD3C-4702-8EA2-64A6B28C9DA2</t>
  </si>
  <si>
    <t>61D6F491-B2FD-483F-8355-A5F616260493</t>
  </si>
  <si>
    <t>TuA11ST1 Final Well Report.pdf</t>
  </si>
  <si>
    <t>Uploads\61d6f491-b2fd-483f-8355-a5f616260493.pdf</t>
  </si>
  <si>
    <t>9963C408-537C-4DDF-81C7-C6964DD3E011</t>
  </si>
  <si>
    <t>89C7126D-7B05-4F78-AC76-61AC5B74A124</t>
  </si>
  <si>
    <t>89D8A8ED-770F-47A1-B1C0-C5B69B35F239</t>
  </si>
  <si>
    <t>WB A-02ST3 Final.pdf</t>
  </si>
  <si>
    <t>Uploads\89d8a8ed-770f-47a1-b1c0-c5b69b35f239.pdf</t>
  </si>
  <si>
    <t>AE2C6DCE-2ABA-4E07-8D5B-D0939ECE631E</t>
  </si>
  <si>
    <t>D2CFE363-8B55-4469-9BB0-8C7ED9823795</t>
  </si>
  <si>
    <t>WB A-02ST3 EOWR.pdf</t>
  </si>
  <si>
    <t>Uploads\d2cfe363-8b55-4469-9bb0-8c7ed9823795.pdf</t>
  </si>
  <si>
    <t>F6C78EFB-FD6F-4FC8-AE1E-FFF447DB1781</t>
  </si>
  <si>
    <t>B01722BE-A584-423D-BF62-61C43B395427</t>
  </si>
  <si>
    <t>18E89F28-9568-4DA1-B3B3-9A8FF863C026</t>
  </si>
  <si>
    <t>Bunga Tasbih-1 NOOP Final Rev03 Naga 8 Name.pdf</t>
  </si>
  <si>
    <t>Uploads\18e89f28-9568-4da1-b3b3-9a8ff863c026.pdf</t>
  </si>
  <si>
    <t>D875BE71-EB5E-4CB8-A6B7-057A829ED51A</t>
  </si>
  <si>
    <t>D970337F-D4BC-4B2E-83E4-0CA06F64A0A9</t>
  </si>
  <si>
    <t>Bunga Tasbeh-1 Approved FWR.pdf</t>
  </si>
  <si>
    <t>Uploads\d970337f-d4bc-4b2e-83e4-0ca06f64a0a9.pdf</t>
  </si>
  <si>
    <t>3405E5C1-28EA-45A7-B61C-6AB9E0DE9FAB</t>
  </si>
  <si>
    <t>894E2281-50A3-4C5C-86F4-6269D4B6AA5E</t>
  </si>
  <si>
    <t>4B942967-362D-4CBA-BB57-5A7BCFBA4CA8</t>
  </si>
  <si>
    <t>SBO3KNBLWS3X_KN_B4.pdf</t>
  </si>
  <si>
    <t>Uploads\4b942967-362d-4cba-bb57-5a7bcfba4ca8.pdf</t>
  </si>
  <si>
    <t>027D49F2-FF2B-4B3A-AA36-749DCC08C943</t>
  </si>
  <si>
    <t>AEA4DFC5-766F-4E5A-874F-161E47BA7B0A</t>
  </si>
  <si>
    <t>SBO3KNBLGL65_KN_B4.pdf</t>
  </si>
  <si>
    <t>Uploads\aea4dfc5-766f-4e5a-874f-161e47ba7b0a.pdf</t>
  </si>
  <si>
    <t>BC87E3FE-BC81-4D6A-8D38-64B09B602AF2</t>
  </si>
  <si>
    <t>412D7E7C-A850-4647-96E3-62E3139577A4</t>
  </si>
  <si>
    <t>65479C31-8F42-41E5-A538-CB18C36724B3</t>
  </si>
  <si>
    <t>NOOP Bekok AA14 Approved [Internal]2.pdf</t>
  </si>
  <si>
    <t>Uploads\65479c31-8f42-41e5-a538-cb18c36724b3.pdf</t>
  </si>
  <si>
    <t>AA7AE8F2-D5CB-4A29-81B8-9D54E9D61AF4</t>
  </si>
  <si>
    <t>F179100F-92C5-4FAC-8A93-338F09F75808</t>
  </si>
  <si>
    <t>Bekok-AA14ST1 FWR.pdf</t>
  </si>
  <si>
    <t>Uploads\f179100f-92c5-4fac-8a93-338f09f75808.pdf</t>
  </si>
  <si>
    <t>7C5CE6EB-C80D-44A4-9EF3-8E6C775DA6C6</t>
  </si>
  <si>
    <t>0E890AA4-00B6-41FF-B426-62FBCC4D63A6</t>
  </si>
  <si>
    <t>78CD1EF2-8191-4B08-84CE-A8A863C2492D</t>
  </si>
  <si>
    <t>PMO3SPATGL31_SEPAT-A9.pdf</t>
  </si>
  <si>
    <t>Uploads\78cd1ef2-8191-4b08-84ce-a8a863c2492d.pdf</t>
  </si>
  <si>
    <t>8119A690-954D-4A33-B3B0-3E0D93013EBC</t>
  </si>
  <si>
    <t>FDD27786-F08A-41F9-B0FB-55E890519571</t>
  </si>
  <si>
    <t>PMO3SPATWS69_SEPAT-A9.pdf</t>
  </si>
  <si>
    <t>Uploads\fdd27786-f08a-41f9-b0fb-55e890519571.pdf</t>
  </si>
  <si>
    <t>5E32C5A2-4B44-4992-A0BE-181A1DF3EBCA</t>
  </si>
  <si>
    <t>A7E25A29-A854-401F-A781-6304B56218DD</t>
  </si>
  <si>
    <t>E3F459D8-FB7C-4831-86B6-A9DFDBE7B59C</t>
  </si>
  <si>
    <t>EW-119 ST2_Rev3 Final Well Report.pdf</t>
  </si>
  <si>
    <t>Uploads\e3f459d8-fb7c-4831-86b6-a9dfdbe7b59c.pdf</t>
  </si>
  <si>
    <t>A9B20D6F-A596-4FC6-B3A5-A89B5138E487</t>
  </si>
  <si>
    <t>CBBA1B6F-D1B3-4C61-9F89-8DFE1C4E6B09</t>
  </si>
  <si>
    <t>20190515_Erb West EW119 ST2 NOOP.pdf</t>
  </si>
  <si>
    <t>Uploads\cbba1b6f-d1b3-4c61-9f89-8dfe1c4e6b09.pdf</t>
  </si>
  <si>
    <t>720ADAFB-D6DF-4082-9A2D-016913D48FF5</t>
  </si>
  <si>
    <t>E126E423-32C9-4F06-8D04-6319CD601299</t>
  </si>
  <si>
    <t>21B564F0-20A4-4522-BFCA-1F38F2AAAD77</t>
  </si>
  <si>
    <t>SKO3TUKTGL10_TT-A3_NOOP_PCSB.pdf</t>
  </si>
  <si>
    <t>Uploads\21b564f0-20a4-4522-bfca-1f38f2aaad77.pdf</t>
  </si>
  <si>
    <t>67CA040C-A9A8-4A83-809A-B3FCC148F38E</t>
  </si>
  <si>
    <t>410F1A60-B660-42AB-80C8-2AC3089F7603</t>
  </si>
  <si>
    <t>SKO3TUKTWS21_TT-A3_PCSB_FWR.pdf</t>
  </si>
  <si>
    <t>FWR TT-A3 -Final to MPM.pdf</t>
  </si>
  <si>
    <t>Uploads\410f1a60-b660-42ab-80c8-2ac3089f7603.pdf</t>
  </si>
  <si>
    <t>81823E36-6455-4BE3-816F-BB0BB635ED44</t>
  </si>
  <si>
    <t>E26D4F48-E345-4334-9EEB-63245038564C</t>
  </si>
  <si>
    <t>3579C443-E3C7-4DDB-BA6C-C866FADA661D</t>
  </si>
  <si>
    <t>Block H Exploration Hikmat-1 End Of Well Report_(MY-H-10-DR-PR-0002-00).pdf</t>
  </si>
  <si>
    <t>Uploads\3579c443-e3c7-4ddb-ba6c-c866fada661d.pdf</t>
  </si>
  <si>
    <t>6E44F1C3-1EA7-421E-9A3A-F2D317D0059C</t>
  </si>
  <si>
    <t>4722A2E9-27DA-4BA7-A51C-5747D382DC07</t>
  </si>
  <si>
    <t>Hikmat -1 SB Block H NOOP (2023).pdf</t>
  </si>
  <si>
    <t>Uploads\4722a2e9-27da-4ba7-a51c-5747d382dc07.pdf</t>
  </si>
  <si>
    <t>F5D4DECE-E7D5-4CEB-95B3-FFA182FA43B1</t>
  </si>
  <si>
    <t>FD8DE6F4-7B8B-41FB-A963-634A7303A12E</t>
  </si>
  <si>
    <t>DD82E4B2-D561-41F2-94F1-D00B6A7A089F</t>
  </si>
  <si>
    <t>PGA-04 End of Well Report.pdf</t>
  </si>
  <si>
    <t>Uploads\dd82e4b2-d561-41f2-94f1-d00b6a7a089f.pdf</t>
  </si>
  <si>
    <t>65E11F31-CF97-4424-AE09-36982F85CB41</t>
  </si>
  <si>
    <t>23955425-DE3E-47C1-9048-F0C08CCB5297</t>
  </si>
  <si>
    <t>PGA-04_NOOP 20th Apr 2020.pdf</t>
  </si>
  <si>
    <t>Uploads\23955425-de3e-47c1-9048-f0c08ccb5297.pdf</t>
  </si>
  <si>
    <t>5C8FF211-176B-4786-B7C5-AB7483F722AC</t>
  </si>
  <si>
    <t>7F3C8901-78F9-4D12-B43F-63613C3253C8</t>
  </si>
  <si>
    <t>AFB3DFEA-9FBD-4D9F-B601-A4ABE51AA7B0</t>
  </si>
  <si>
    <t>TT-A4 NOOP.pdf</t>
  </si>
  <si>
    <t>Uploads\afb3dfea-9fbd-4d9f-b601-a4abe51aa7b0.pdf</t>
  </si>
  <si>
    <t>7D0F6ED0-E470-4A98-8F8A-6AEA02A539A5</t>
  </si>
  <si>
    <t>6D296727-A1B0-4D05-A268-A2C25FAE7FD7</t>
  </si>
  <si>
    <t>TT A4 Petronas Final Well Report_A4-signed.pdf</t>
  </si>
  <si>
    <t>Uploads\6d296727-a1b0-4d05-a268-a2c25fae7fd7.pdf</t>
  </si>
  <si>
    <t>BC5A9D8C-1FCF-40D4-A1E3-34C11E1CDC3A</t>
  </si>
  <si>
    <t>1CF0B821-8B13-49B8-8691-6375C4FA42EA</t>
  </si>
  <si>
    <t>6272536B-CCD2-43DA-A027-D874B18F25E7</t>
  </si>
  <si>
    <t>PCSB FWR D02ST1 OP4 Complete Attachment (1).pdf</t>
  </si>
  <si>
    <t>Uploads\6272536b-ccd2-43da-a027-d874b18f25e7.pdf</t>
  </si>
  <si>
    <t>3C7A34CD-EA8A-4A1E-B67D-E37D14C68A34</t>
  </si>
  <si>
    <t>75470F24-3C1E-47E9-817E-C3993731EA77</t>
  </si>
  <si>
    <t>Dulang D2ST1 OP4  - FINAL INTERNAL MPM.pdf</t>
  </si>
  <si>
    <t>Uploads\75470f24-3c1e-47e9-817e-c3993731ea77.pdf</t>
  </si>
  <si>
    <t>853E8FBB-9774-48E3-9454-377A9F351C6E</t>
  </si>
  <si>
    <t>A87B18C9-231D-4574-9902-642B62F44969</t>
  </si>
  <si>
    <t>E328C562-69F5-47EE-ADC3-7C249FAAD7AE</t>
  </si>
  <si>
    <t>Kulintang-1_Notice_of_Operations_(NOOP).pdf</t>
  </si>
  <si>
    <t>Uploads\e328c562-69f5-47ee-adc3-7c249faad7ae.pdf</t>
  </si>
  <si>
    <t>F9BC1AA0-6884-40BA-A6F1-2CFE16FF2689</t>
  </si>
  <si>
    <t>0E103F6C-B430-4226-A274-BED39E0F94A3</t>
  </si>
  <si>
    <t>Kulintang-1  ST1 Final Well Report_Official_Revision.docx.pdf</t>
  </si>
  <si>
    <t>Uploads\0e103f6c-b430-4226-a274-bed39e0f94a3.pdf</t>
  </si>
  <si>
    <t>2C7F9B08-03EF-4DC1-ABD8-5FCBF4C101C7</t>
  </si>
  <si>
    <t>90059BB6-CEF0-44B8-8DE9-643026D3108D</t>
  </si>
  <si>
    <t>709E7F81-2F1A-4BB9-B672-37C981569067</t>
  </si>
  <si>
    <t>SBO3SMRGGL47_SM_115.pdf</t>
  </si>
  <si>
    <t>Uploads\709e7f81-2f1a-4bb9-b672-37c981569067.pdf</t>
  </si>
  <si>
    <t>741218D7-B2BA-4ED3-9CB9-F69BC9F213FE</t>
  </si>
  <si>
    <t>0BDC5A90-F268-4D2C-B83E-09D7E5D7F51D</t>
  </si>
  <si>
    <t>SBO3SMRGWSEY_SM_115.pdf</t>
  </si>
  <si>
    <t>Uploads\0bdc5a90-f268-4d2c-b83e-09d7e5d7f51d.pdf</t>
  </si>
  <si>
    <t>2C885B4B-DE70-4570-AAF5-ED54B103DF10</t>
  </si>
  <si>
    <t>117FF868-FA15-4F39-AABB-64394930A29B</t>
  </si>
  <si>
    <t>83884BEB-03AF-4A34-9767-9DF14D6BC124</t>
  </si>
  <si>
    <t>BO-502 SIGNED NOOP.pdf</t>
  </si>
  <si>
    <t>Uploads\83884beb-03af-4a34-9767-9df14d6bc124.pdf</t>
  </si>
  <si>
    <t>FC0AC419-D4DA-4566-BB79-5F1B3C08667E</t>
  </si>
  <si>
    <t>9D2C4F05-47D7-4CA1-AF38-2EBD8121A5E8</t>
  </si>
  <si>
    <t>FWR BOKOR-E502.pdf</t>
  </si>
  <si>
    <t>Uploads\9d2c4f05-47d7-4ca1-af38-2ebd8121a5e8.pdf</t>
  </si>
  <si>
    <t>3A10E0FE-C453-4603-B12C-0A35A7B0C6AC</t>
  </si>
  <si>
    <t>22CB559B-B0EB-40D7-B6F3-645A102314A7</t>
  </si>
  <si>
    <t>E06-109</t>
  </si>
  <si>
    <t>E1D78A8F-53AC-4476-93E7-11D2C23AD39A</t>
  </si>
  <si>
    <t>E06-109 End of Well Report.pdf</t>
  </si>
  <si>
    <t>Uploads\e1d78a8f-53ac-4476-93e7-11d2c23ad39a.pdf</t>
  </si>
  <si>
    <t>AEF8192A-B930-44CF-BD42-34E562062F8B</t>
  </si>
  <si>
    <t>8F4A8294-C589-4EE6-B7D1-7D0A74F42929</t>
  </si>
  <si>
    <t>E06-109 (N3) NOOP R2 Final - signed.pdf</t>
  </si>
  <si>
    <t>Uploads\8f4a8294-c589-4ee6-b7d1-7d0a74f42929.pdf</t>
  </si>
  <si>
    <t>5EBF6ED1-E8D0-42CC-8E3B-5EBE7805E923</t>
  </si>
  <si>
    <t>764529C0-DA76-44AE-BA77-64705109B605</t>
  </si>
  <si>
    <t>A528B406-FE69-4BE6-87A1-C1C80556C7A9</t>
  </si>
  <si>
    <t>SKO3AMRAWS01_AMRA_1.pdf</t>
  </si>
  <si>
    <t>Uploads\a528b406-fe69-4be6-87a1-c1c80556c7a9.pdf</t>
  </si>
  <si>
    <t>6365300D-7CD1-4196-A2AC-D348334FBF1F</t>
  </si>
  <si>
    <t>1D9DB6E8-2CCD-45B3-9509-0A946EDADC05</t>
  </si>
  <si>
    <t>SKO3AMRAWS07_AMRA_1.pdf</t>
  </si>
  <si>
    <t>Uploads\1d9db6e8-2ccd-45b3-9509-0a946edadc05.pdf</t>
  </si>
  <si>
    <t>6412A000-10FF-439A-B2D3-5944FFF5DB66</t>
  </si>
  <si>
    <t>83B9CC23-3643-4BF7-959C-649F294BBBC2</t>
  </si>
  <si>
    <t>76B52613-5989-4AA5-9997-79E51CA7373C</t>
  </si>
  <si>
    <t>KNDW-D10 NOOP_Signed.pdf</t>
  </si>
  <si>
    <t>Uploads\76b52613-5989-4aa5-9997-79e51ca7373c.pdf</t>
  </si>
  <si>
    <t>63E99FC3-131A-478A-AE14-181659C540E1</t>
  </si>
  <si>
    <t>C5BD66FE-1554-4908-A533-E4D59C772401</t>
  </si>
  <si>
    <t>EOWR KNDW-D10.pdf</t>
  </si>
  <si>
    <t>Uploads\c5bd66fe-1554-4908-a533-e4d59c772401.pdf</t>
  </si>
  <si>
    <t>984C4EFB-8D39-4E95-BB32-07A428B3D530</t>
  </si>
  <si>
    <t>1CBF238E-077D-4E55-BFED-663BAADABBEA</t>
  </si>
  <si>
    <t>9A3B078D-377C-4E52-A381-CF35FB6B2BCB</t>
  </si>
  <si>
    <t>SM-C110 FWR.pdf</t>
  </si>
  <si>
    <t>Uploads\9a3b078d-377c-4e52-a381-cf35fb6b2bcb.pdf</t>
  </si>
  <si>
    <t>EEF765D1-F946-412C-9D0E-B539D37363B2</t>
  </si>
  <si>
    <t>51DFC938-D568-4723-839B-0D1DEDE52F8D</t>
  </si>
  <si>
    <t>SM-C110 NOOP_FINAL.pdf</t>
  </si>
  <si>
    <t>Uploads\51dfc938-d568-4723-839b-0d1dede52f8d.pdf</t>
  </si>
  <si>
    <t>68DAE644-E89A-431B-939F-D5BEDBABDC93</t>
  </si>
  <si>
    <t>C5A933CB-0553-4057-8811-66D1FFCE62C2</t>
  </si>
  <si>
    <t>8576E0F8-3BBF-44E3-B71C-1487B256E6BF</t>
  </si>
  <si>
    <t>PMO3ANSIWS8X_ANGSI-D17_FWR.pdf</t>
  </si>
  <si>
    <t>Uploads\8576e0f8-3bbf-44e3-b71c-1487b256e6bf.pdf</t>
  </si>
  <si>
    <t>1970CA03-A74E-429B-822B-6A56B4EA9719</t>
  </si>
  <si>
    <t>FCD09FD6-1B5D-492C-BF98-A1DFB685F892</t>
  </si>
  <si>
    <t>PMO3ANSIWS9P_ANGSI-D17_PCSB_NOOP.pdf</t>
  </si>
  <si>
    <t>Uploads\fcd09fd6-1b5d-492c-bf98-a1dfb685f892.pdf</t>
  </si>
  <si>
    <t>57E7260F-C487-44DB-AA9F-8903A9B6D6F7</t>
  </si>
  <si>
    <t>3653CDD3-6956-444B-B64F-670AA51C7C57</t>
  </si>
  <si>
    <t>90306071-92AB-4997-9625-EAE355682F0E</t>
  </si>
  <si>
    <t>SKO3ACISWS1N_SAPA-15_PTTEP_NOOP.pdf</t>
  </si>
  <si>
    <t>Uploads\90306071-92ab-4997-9625-eae355682f0e.pdf</t>
  </si>
  <si>
    <t>BBDE0148-9225-440B-A817-2695346DD838</t>
  </si>
  <si>
    <t>F5ED95C4-E233-4937-A2A9-8C2F28E170C0</t>
  </si>
  <si>
    <t>SKO3ACISWS87_SAPA-15_PTTEP_FWR.pdf</t>
  </si>
  <si>
    <t>SKO3ACISWS86_SAPA-5,SAPA-13,SAPA-15,PCSB__FWR.pdf</t>
  </si>
  <si>
    <t>Uploads\f5ed95c4-e233-4937-a2a9-8c2f28e170c0.pdf</t>
  </si>
  <si>
    <t>9C51E119-63FD-4232-AF27-3C029A45AAEA</t>
  </si>
  <si>
    <t>058D5D90-642D-425C-8CED-670B3C1DD8B4</t>
  </si>
  <si>
    <t>1E69E4CB-0DF2-4045-816B-3B0141518EA5</t>
  </si>
  <si>
    <t>Final Well Report BO-401ST.pdf</t>
  </si>
  <si>
    <t>Uploads\1e69e4cb-0df2-4045-816b-3b0141518ea5.pdf</t>
  </si>
  <si>
    <t>9178049B-AD71-40E2-B75D-63A171085F52</t>
  </si>
  <si>
    <t>32715BF4-3EC3-45EF-AED1-893E05987DEA</t>
  </si>
  <si>
    <t>BO-401 NOOP  SIGNED.pdf</t>
  </si>
  <si>
    <t>Uploads\32715bf4-3ec3-45ef-aed1-893e05987dea.pdf</t>
  </si>
  <si>
    <t>17F33251-3429-4897-A0BA-5D2BC45E2B06</t>
  </si>
  <si>
    <t>8114ABD4-862D-44D0-A8D6-6761315E74C6</t>
  </si>
  <si>
    <t>MEPA-11</t>
  </si>
  <si>
    <t>C0B5B8ED-00E9-47D2-90AA-9BA55C22B383</t>
  </si>
  <si>
    <t>MEPA-11 EOWR.pdf</t>
  </si>
  <si>
    <t>Uploads\c0b5b8ed-00e9-47d2-90aa-9ba55c22b383.pdf</t>
  </si>
  <si>
    <t>001AE46C-EAE8-41B0-83D2-24346C1DA756</t>
  </si>
  <si>
    <t>CFCC7FA0-6B48-4166-92FC-37C48138E9F3</t>
  </si>
  <si>
    <t>MEPA-09 ST1and MEPA11 NOOP.pdf</t>
  </si>
  <si>
    <t>Uploads\cfcc7fa0-6b48-4166-92fc-37c48138e9f3.pdf</t>
  </si>
  <si>
    <t>8CB9E002-C5FC-4C6F-B5E4-66EC5F44222C</t>
  </si>
  <si>
    <t>38A1B8E1-E3A0-44E9-9E34-67E30CAD76A3</t>
  </si>
  <si>
    <t>84A802FE-FC77-4A9F-AD16-63B780B67BC2</t>
  </si>
  <si>
    <t>NMB-DRI-RPT-01173 BAA-3(E).pdf</t>
  </si>
  <si>
    <t>Uploads\84a802fe-fc77-4a9f-ad16-63b780b67bc2.pdf</t>
  </si>
  <si>
    <t>BBF16F5D-FA17-4779-9A2D-F76877B2F2DA</t>
  </si>
  <si>
    <t>7F25A82D-78ED-464F-BE25-A46D206A9C3D</t>
  </si>
  <si>
    <t>Uploads\7f25a82d-78ed-464f-be25-a46d206a9c3d.pdf</t>
  </si>
  <si>
    <t>54AA22F2-3C43-453A-8C83-9B09BE6B03A3</t>
  </si>
  <si>
    <t>A64ACF0B-A062-46CC-B24A-685D177C5FEF</t>
  </si>
  <si>
    <t>E815C9F9-30AA-4535-B80D-EFB5C9DDE6E8</t>
  </si>
  <si>
    <t>PMO3BOKDWS1O_BOD-25.pdf</t>
  </si>
  <si>
    <t>BOD-25 and ST1 (1)EOWR .pdf</t>
  </si>
  <si>
    <t>Uploads\e815c9f9-30aa-4535-b80d-efb5c9dde6e8.pdf</t>
  </si>
  <si>
    <t>662216A4-EB05-40EB-8BB8-57FA8985F7C6</t>
  </si>
  <si>
    <t>F515EFC9-B7DA-4750-A7C7-C0D3E6F99A03</t>
  </si>
  <si>
    <t>PMO3BOKDGL73_BOD-25.pdf</t>
  </si>
  <si>
    <t>Uploads\f515efc9-b7da-4750-a7c7-c0d3e6f99a03.pdf</t>
  </si>
  <si>
    <t>A4AC3009-61ED-43B0-831B-44204760E5F7</t>
  </si>
  <si>
    <t>D01D20A9-1949-4561-AB5D-688934EEA870</t>
  </si>
  <si>
    <t>105C9C3B-4EA2-441E-A1C3-CCEA3BAB7308</t>
  </si>
  <si>
    <t>PMO3RJSHGL01_RAJAH SHALLOW-1_noop.pdf</t>
  </si>
  <si>
    <t>Uploads\105c9c3b-4ea2-441e-a1c3-ccea3bab7308.pdf</t>
  </si>
  <si>
    <t>21476401-E2E6-4C07-872A-33BCD79D540A</t>
  </si>
  <si>
    <t>DD614408-7C48-47F2-9CDD-83A1AE860CB7</t>
  </si>
  <si>
    <t>PMO3RJSHWS02_RAJAH_SHALLOW-1_fwr.pdf</t>
  </si>
  <si>
    <t>Uploads\dd614408-7c48-47f2-9cdd-83a1ae860cb7.pdf</t>
  </si>
  <si>
    <t>31639A46-A09A-4461-B7ED-71AE6079B91A</t>
  </si>
  <si>
    <t>86AEC735-015E-4CBA-9C02-6A5A3931049D</t>
  </si>
  <si>
    <t>E8DB5FE5-2320-4A26-A8A0-A8D36FD72E04</t>
  </si>
  <si>
    <t>Besar-A6 FWR.pdf</t>
  </si>
  <si>
    <t>Uploads\e8db5fe5-2320-4a26-a8a0-a8d36fd72e04.pdf</t>
  </si>
  <si>
    <t>B7AD2824-BA13-4CC6-9E86-70BC60E784A5</t>
  </si>
  <si>
    <t>3DBEB58D-8614-4C87-A1A7-50527154A4EF</t>
  </si>
  <si>
    <t>NOOP Besar A6 (Internal Copy).pdf</t>
  </si>
  <si>
    <t>Uploads\3dbeb58d-8614-4c87-a1a7-50527154a4ef.pdf</t>
  </si>
  <si>
    <t>4622BE08-F23D-423B-A5D9-E3DE546CB8E2</t>
  </si>
  <si>
    <t>165C0FD6-F6A2-4552-AFD0-6A90AD490C3D</t>
  </si>
  <si>
    <t>890E70BC-7147-4E7F-A025-9588E20EA498</t>
  </si>
  <si>
    <t>SBO3SBO-DR22_S-NE1-P8.pdf</t>
  </si>
  <si>
    <t>Uploads\890e70bc-7147-4e7f-a025-9588e20ea498.pdf</t>
  </si>
  <si>
    <t>33D4E597-184F-4697-B767-F9C680264E46</t>
  </si>
  <si>
    <t>B1F33BDF-2C8E-4390-952C-44BDC6B69A4D</t>
  </si>
  <si>
    <t>SBO3SKNPDR15_S-NE1-P8.pdf</t>
  </si>
  <si>
    <t>Uploads\b1f33bdf-2c8e-4390-952c-44bdc6b69a4d.pdf</t>
  </si>
  <si>
    <t>8BF0C664-02B4-4757-8CD0-C0C15D02AC4F</t>
  </si>
  <si>
    <t>7DDF0CFF-8BA3-4CD3-BAD0-6B242470AFE2</t>
  </si>
  <si>
    <t>CF23A361-33EF-4E0A-8888-8718821ABC75</t>
  </si>
  <si>
    <t>Uploads\cf23a361-33ef-4e0a-8888-8718821abc75.pdf</t>
  </si>
  <si>
    <t>811DB2AF-1C2B-4CFB-A7EE-8FA9BC0B1981</t>
  </si>
  <si>
    <t>223B6E62-CF79-4870-82B7-9ECAFB45AA75</t>
  </si>
  <si>
    <t>Uploads\223b6e62-cf79-4870-82b7-9ecafb45aa75.pdf</t>
  </si>
  <si>
    <t>9517F554-B0CD-4001-995A-532AC7AAF645</t>
  </si>
  <si>
    <t>6C6BBCC1-A419-4BFD-8CE9-6B3F468F0EED</t>
  </si>
  <si>
    <t>260EDF01-0B99-42B8-A504-4BC3047980D3</t>
  </si>
  <si>
    <t>SKO3ACISWS2M_SASA-14_PTTEP_FWR.pdf</t>
  </si>
  <si>
    <t>SASA-14_14ST1 EOWR.pdf</t>
  </si>
  <si>
    <t>Uploads\260edf01-0b99-42b8-a504-4bc3047980d3.pdf</t>
  </si>
  <si>
    <t>2EDF1513-DE83-47DE-B858-E21D1EEAFF44</t>
  </si>
  <si>
    <t>2B6F9BA2-5560-49F3-AFB3-1AECCA02EEEF</t>
  </si>
  <si>
    <t>Uploads\2b6f9ba2-5560-49f3-afb3-1aecca02eeef.pdf</t>
  </si>
  <si>
    <t>A7A8C658-FFB3-4B2D-B1DD-2EA235BF6954</t>
  </si>
  <si>
    <t>E8A41F63-9ACC-4C6E-AFB2-6BC0370CDA90</t>
  </si>
  <si>
    <t>48C2C8A3-070E-4AC1-AA44-935CD3FC098F</t>
  </si>
  <si>
    <t>NOOP WL6ST1 Final_signed.pdf</t>
  </si>
  <si>
    <t>Uploads\48c2c8a3-070e-4ac1-aa44-935cd3fc098f.pdf</t>
  </si>
  <si>
    <t>20EE9D77-4C8F-4224-9FAB-7DB9668E618E</t>
  </si>
  <si>
    <t>EE16D181-7B1B-4A8B-A426-5E2D5EF25A68</t>
  </si>
  <si>
    <t>Petronas Final Well Report WL6ST1 - FINAL.pdf</t>
  </si>
  <si>
    <t>Uploads\ee16d181-7b1b-4a8b-a426-5e2d5ef25a68.pdf</t>
  </si>
  <si>
    <t>D0E4B4C1-662E-4C3A-9C08-6F40759451ED</t>
  </si>
  <si>
    <t>D5C9BCA1-80C4-4D41-A79E-6BE4355DB724</t>
  </si>
  <si>
    <t>5597F079-8F1E-4C15-B669-7C1B3406FAC5</t>
  </si>
  <si>
    <t>ECN-GEN-D-0003_Rev.00 NOOP WELL EC-A05 (Slot 3B ECW-A Platform) Rev 00_DS.pdf</t>
  </si>
  <si>
    <t>Uploads\5597f079-8f1e-4c15-b669-7c1b3406fac5.pdf</t>
  </si>
  <si>
    <t>921D6DD0-187D-4D9E-83FD-F5E150BAF183</t>
  </si>
  <si>
    <t>EE24ED00-FD65-4A12-A29B-BA4FB4CE52D2</t>
  </si>
  <si>
    <t>EC-A05 Final Well Report (Final).pdf</t>
  </si>
  <si>
    <t>Uploads\ee24ed00-fd65-4a12-a29b-ba4fb4ce52d2.pdf</t>
  </si>
  <si>
    <t>EF1B13BD-8E79-4A95-80F6-6A04FA3774B0</t>
  </si>
  <si>
    <t>579299B9-681A-4026-B2D7-6C8DB1E5AF6C</t>
  </si>
  <si>
    <t>DBE1D91D-408B-44E2-AA41-C56967B1508A</t>
  </si>
  <si>
    <t>NOOP WL15ST1 Final-Signed.pdf</t>
  </si>
  <si>
    <t>Uploads\dbe1d91d-408b-44e2-aa41-c56967b1508a.pdf</t>
  </si>
  <si>
    <t>6AF61E08-17D2-4E16-96C6-4EA336D248D3</t>
  </si>
  <si>
    <t>63F2123B-C42E-4B85-B58F-9AC9E72FCAD5</t>
  </si>
  <si>
    <t>WL15ST1 Final Well Report (FWR)_signed.pdf</t>
  </si>
  <si>
    <t>Uploads\63f2123b-c42e-4b85-b58f-9ac9e72fcad5.pdf</t>
  </si>
  <si>
    <t>1EA857F7-633E-4BE4-B841-1A8827B63C62</t>
  </si>
  <si>
    <t>A37AA0B3-497A-4530-9E0F-6CF9FE2EEC32</t>
  </si>
  <si>
    <t>D935173B-74CB-4710-87CF-70B278E70244</t>
  </si>
  <si>
    <t>SKO3PMNTWS01_PIMENTO-1_PCSB_NOOP.pdf</t>
  </si>
  <si>
    <t>Uploads\d935173b-74cb-4710-87cf-70b278e70244.pdf</t>
  </si>
  <si>
    <t>3F1DA686-3FD6-4A61-8BB4-9F7025EE423A</t>
  </si>
  <si>
    <t>F46B8FE7-06D5-4839-BCB9-184CFDE646FE</t>
  </si>
  <si>
    <t>Pimento-1 2013 FWR.pdf</t>
  </si>
  <si>
    <t>Uploads\f46b8fe7-06d5-4839-bcb9-184cfde646fe.pdf</t>
  </si>
  <si>
    <t>246A1164-EB70-483B-A4E9-A3F30E7755FA</t>
  </si>
  <si>
    <t>26CF4EE5-A532-4DC4-8876-6D879F36E121</t>
  </si>
  <si>
    <t>88D169A8-0AD2-4583-BB8F-D70EF15E55B8</t>
  </si>
  <si>
    <t>KNDW-D17 NOOP_signed.pdf</t>
  </si>
  <si>
    <t>Uploads\88d169a8-0ad2-4583-bb8f-d70ef15e55b8.pdf</t>
  </si>
  <si>
    <t>A3780816-67FD-4FB1-AC7F-55EFC3686B28</t>
  </si>
  <si>
    <t>CC81B2EB-73E3-4455-A71C-4EE76BD8924A</t>
  </si>
  <si>
    <t>KNDW-D17  ST1 EOWR 20 Feb 2020.pdf</t>
  </si>
  <si>
    <t>Uploads\cc81b2eb-73e3-4455-a71c-4ee76bd8924a.pdf</t>
  </si>
  <si>
    <t>F831BD82-C2A6-4D29-9852-3A09645114E2</t>
  </si>
  <si>
    <t>03B0B5A8-3A65-414D-B76A-6F29671025A5</t>
  </si>
  <si>
    <t>05996AC6-5E65-410B-BD5C-F8AF6826F5DB</t>
  </si>
  <si>
    <t>ANGSI E-15 NOOP Final Signed.pdf</t>
  </si>
  <si>
    <t>Uploads\05996ac6-5e65-410b-bd5c-f8af6826f5db.pdf</t>
  </si>
  <si>
    <t>E5FF58E2-6E32-4565-8DC3-1E79EF999EBA</t>
  </si>
  <si>
    <t>05277C55-75A8-42FB-AA61-FFDD4CD4234A</t>
  </si>
  <si>
    <t>Final Well Report ANGSI E-15 Complete Signed.pdf</t>
  </si>
  <si>
    <t>Uploads\05277c55-75a8-42fb-aa61-ffdd4cd4234a.pdf</t>
  </si>
  <si>
    <t>5F8C1EFF-F4BA-4532-934D-13D4E99172C3</t>
  </si>
  <si>
    <t>EE346195-3DA8-4516-82AA-6F8AA9F53A61</t>
  </si>
  <si>
    <t>D43AB4E1-3236-402D-9F48-9CE21F25F79A</t>
  </si>
  <si>
    <t>Uploads\d43ab4e1-3236-402d-9f48-9ce21f25f79a.pdf</t>
  </si>
  <si>
    <t>53F7AB57-53BF-441E-90DB-3E98744C3814</t>
  </si>
  <si>
    <t>19034768-7FC9-4607-9709-A03854840973</t>
  </si>
  <si>
    <t>Uploads\19034768-7fc9-4607-9709-a03854840973.pdf</t>
  </si>
  <si>
    <t>2485CCAC-0CA3-477D-B1CF-43EBC27DA3C2</t>
  </si>
  <si>
    <t>E59D61D3-AC0A-426A-B3E0-7000752E0E0B</t>
  </si>
  <si>
    <t>DF35B3FB-40D9-4628-B01A-EE77D194A606</t>
  </si>
  <si>
    <t>Baram-H15 Final Well Report_Approved.pdf</t>
  </si>
  <si>
    <t>Uploads\df35b3fb-40d9-4628-b01a-ee77d194a606.pdf</t>
  </si>
  <si>
    <t>B3A157B6-4318-4FF7-A537-B48C88ACDE02</t>
  </si>
  <si>
    <t>661D6528-C51A-4D1D-A5B0-16C67DC89D8D</t>
  </si>
  <si>
    <t>Baram South BARAM-H15 NOOP (Approved).pdf</t>
  </si>
  <si>
    <t>Uploads\661d6528-c51a-4d1d-a5b0-16c67dc89d8d.pdf</t>
  </si>
  <si>
    <t>2D6ACC80-FEFF-45EE-94ED-B5D3D8E4E912</t>
  </si>
  <si>
    <t>03C26C8F-78E2-452B-899D-70420248ECD5</t>
  </si>
  <si>
    <t>98261076-77BA-44BB-987D-FC1640F6C6F5</t>
  </si>
  <si>
    <t>SBO3MKAIGL28_MLK-124_NOOP_SHELL.pdf</t>
  </si>
  <si>
    <t>Malikai MLK-124 W405 NOOP_Final.pdf</t>
  </si>
  <si>
    <t>Uploads\98261076-77ba-44bb-987d-fc1640f6c6f5.pdf</t>
  </si>
  <si>
    <t>9C27263D-3961-4C18-9EB5-2F96A956B282</t>
  </si>
  <si>
    <t>3E07A9D7-3392-48E5-8DB6-059AA67C60F4</t>
  </si>
  <si>
    <t>MLK-124.pdf</t>
  </si>
  <si>
    <t>Uploads\3e07a9d7-3392-48e5-8db6-059aa67c60f4.pdf</t>
  </si>
  <si>
    <t>55269237-C14C-4B3E-9662-B9EA4667100E</t>
  </si>
  <si>
    <t>B2A8D8F1-5D8F-42B9-80D1-714B7ADEEBD3</t>
  </si>
  <si>
    <t>BAE7FAC4-ED41-453A-9D69-F79F97CB4FFC</t>
  </si>
  <si>
    <t>D18-402 NOOP.pdf</t>
  </si>
  <si>
    <t>Uploads\bae7fac4-ed41-453a-9d69-f79f97cb4ffc.pdf</t>
  </si>
  <si>
    <t>7F97D11F-665F-4866-A135-DC3478F588B6</t>
  </si>
  <si>
    <t>B6BE78CF-62DA-4BAC-A37E-9DA76A155A15</t>
  </si>
  <si>
    <t>D18 402 FWR-signed.pdf</t>
  </si>
  <si>
    <t>Uploads\b6be78cf-62da-4bac-a37e-9da76a155a15.pdf</t>
  </si>
  <si>
    <t>1907178E-B28C-439D-ACB9-A26E151769E5</t>
  </si>
  <si>
    <t>5FE9DBC0-55A3-41DD-9242-7236FD8CC3B5</t>
  </si>
  <si>
    <t>BEA71BD7-3625-435F-BD7D-BCF75A490C8B</t>
  </si>
  <si>
    <t>SBO3KNBLWS4G_KNDW_D08.pdf</t>
  </si>
  <si>
    <t>KNDW-D08 EOWR.pdf</t>
  </si>
  <si>
    <t>Uploads\bea71bd7-3625-435f-bd7d-bcf75a490c8b.pdf</t>
  </si>
  <si>
    <t>792A70DC-5E9B-445B-9B16-8BCD41B6F2B3</t>
  </si>
  <si>
    <t>AACA42DE-1DA4-49B8-A724-308321F9CFEF</t>
  </si>
  <si>
    <t>SBO3KNBLGL61_KNDW_D08.pdf</t>
  </si>
  <si>
    <t>Uploads\aaca42de-1da4-49b8-a724-308321f9cfef.pdf</t>
  </si>
  <si>
    <t>18205A12-BF89-4BAC-8D9D-81665C2F7B0E</t>
  </si>
  <si>
    <t>C24271A7-5922-4F8E-BD07-725E9506D344</t>
  </si>
  <si>
    <t>BD264A4D-0D49-4CDF-851D-5B7BC56856B7</t>
  </si>
  <si>
    <t>PMO3TNGBWS1E_1_TNGB_A12.pdf</t>
  </si>
  <si>
    <t>Uploads\bd264a4d-0d49-4cdf-851d-5b7bc56856b7.pdf</t>
  </si>
  <si>
    <t>2A2DADC7-3B30-40B3-9D00-578AEE223227</t>
  </si>
  <si>
    <t>CDD16A9F-78A7-4ADC-BD98-57B9050B4320</t>
  </si>
  <si>
    <t>PMO3TNGBWS43_TNGB_A12.pdf</t>
  </si>
  <si>
    <t>Uploads\cdd16a9f-78a7-4adc-bd98-57b9050b4320.pdf</t>
  </si>
  <si>
    <t>F027709F-5259-4868-BDAF-60612E3E80CE</t>
  </si>
  <si>
    <t>4BCD97FC-D2FE-40BC-95B9-729D0DA80147</t>
  </si>
  <si>
    <t>FB58EA2B-81F3-4083-82CC-7398D61F6324</t>
  </si>
  <si>
    <t>TT-A2 FWR 2016 FINAL - for MPM.pdf</t>
  </si>
  <si>
    <t>Uploads\fb58ea2b-81f3-4083-82cc-7398d61f6324.pdf</t>
  </si>
  <si>
    <t>84E85242-26D5-4363-9E7C-F86FECC1E128</t>
  </si>
  <si>
    <t>FF50E208-5046-4061-888F-5557B1A03CFA</t>
  </si>
  <si>
    <t>TT-A2 Final_Internal Distribution.pdf</t>
  </si>
  <si>
    <t>Uploads\ff50e208-5046-4061-888f-5557b1a03cfa.pdf</t>
  </si>
  <si>
    <t>34146C1B-078B-48FA-A1E8-53C0356DE15B</t>
  </si>
  <si>
    <t>AA621514-94DB-4374-AE08-72A626B9D361</t>
  </si>
  <si>
    <t>22FB13A9-38B3-4310-8234-9209D8006007</t>
  </si>
  <si>
    <t>BARAM-B43 FWR (WITH ATTACHMENTS).pdf</t>
  </si>
  <si>
    <t>Uploads\22fb13a9-38b3-4310-8234-9209d8006007.pdf</t>
  </si>
  <si>
    <t>B3C9E607-69FC-410C-888E-44ADA376F302</t>
  </si>
  <si>
    <t>DB23E3A1-AE19-49C4-A5DE-ED93FA369484</t>
  </si>
  <si>
    <t>BARAM-B43 NOOP.pdf</t>
  </si>
  <si>
    <t>Uploads\db23e3a1-ae19-49c4-a5de-ed93fa369484.pdf</t>
  </si>
  <si>
    <t>3F33185D-7929-4AAC-9A54-3B0F0BC8C65D</t>
  </si>
  <si>
    <t>87B79576-3E97-4588-B06D-72A910140A4F</t>
  </si>
  <si>
    <t>EBAC6822-74F1-4B10-A960-520FD7A18F8B</t>
  </si>
  <si>
    <t>BKG-A2 EOWR.pdf</t>
  </si>
  <si>
    <t>Uploads\ebac6822-74f1-4b10-a960-520fd7a18f8b.pdf</t>
  </si>
  <si>
    <t>9E9266C9-DD2C-4D82-958F-DA68A9CEE025</t>
  </si>
  <si>
    <t>4F56C859-132A-4E74-9199-1A2ECD6AB72E</t>
  </si>
  <si>
    <t>BKG-A2 NOOP - signed-off_signed.pdf</t>
  </si>
  <si>
    <t>Uploads\4f56c859-132a-4e74-9199-1a2ecd6ab72e.pdf</t>
  </si>
  <si>
    <t>8F826A0D-49F2-40AA-8DB6-BF9BEEA3E0AF</t>
  </si>
  <si>
    <t>8677A3F0-C2CA-45FF-92E4-7318C6D9B395</t>
  </si>
  <si>
    <t>5BD45BCA-7736-4594-9F94-85CA08968060</t>
  </si>
  <si>
    <t>SAPA-06 EOWR.pdf</t>
  </si>
  <si>
    <t>Uploads\5bd45bca-7736-4594-9f94-85ca08968060.pdf</t>
  </si>
  <si>
    <t>F3F6C9DF-379C-427C-AF80-FB539CF22D72</t>
  </si>
  <si>
    <t>612921E9-3DAB-443A-A357-1CCC3FADD23D</t>
  </si>
  <si>
    <t>NOOP SK311 South Acis Revisit I Phase III.pdf</t>
  </si>
  <si>
    <t>Uploads\612921e9-3dab-443a-a357-1ccc3fadd23d.pdf</t>
  </si>
  <si>
    <t>4A70399F-0E74-4C1F-967F-DE3112E594BD</t>
  </si>
  <si>
    <t>CA64B3AB-3E4A-4B38-A226-736359C7FA1A</t>
  </si>
  <si>
    <t>8ED93829-FF09-48A5-AE33-77C500A66995</t>
  </si>
  <si>
    <t>Bunga Aster-1 NOOP_signed.pdf</t>
  </si>
  <si>
    <t>Uploads\8ed93829-ff09-48a5-ae33-77c500a66995.pdf</t>
  </si>
  <si>
    <t>E8509381-211B-4E64-A476-2F894AC866A6</t>
  </si>
  <si>
    <t>BD3D5F5D-6BD9-4D4B-AEC8-F48BAD71178A</t>
  </si>
  <si>
    <t>Bunga Aster-1 EOWR_ June 2024.pdf</t>
  </si>
  <si>
    <t>Uploads\bd3d5f5d-6bd9-4d4b-aec8-f48bad71178a.pdf</t>
  </si>
  <si>
    <t>DF1FCB93-D335-40FB-9DBC-15A28A3D45CD</t>
  </si>
  <si>
    <t>31639B19-17C3-4064-A09A-737101A2D231</t>
  </si>
  <si>
    <t>45C71C2D-F5E9-4332-80E3-427DF618169C</t>
  </si>
  <si>
    <t>BY-221-ST2 Final Well Report_Bayan Redevelopment Project.pdf</t>
  </si>
  <si>
    <t>Uploads\45c71c2d-f5e9-4332-80e3-427df618169c.pdf</t>
  </si>
  <si>
    <t>8A5B4352-6E49-4CB1-A405-467897111AF7</t>
  </si>
  <si>
    <t>BEAFF3CC-D4A1-48BC-B874-AF0D22C3AD00</t>
  </si>
  <si>
    <t>BY-221 ST2 NOOP_PCSB.pdf</t>
  </si>
  <si>
    <t>Uploads\beaff3cc-d4a1-48bc-b874-af0d22c3ad00.pdf</t>
  </si>
  <si>
    <t>2C78F470-80E7-4829-951A-246DD8FB2A7E</t>
  </si>
  <si>
    <t>EA553245-B66C-40F4-B39F-73719C6311B9</t>
  </si>
  <si>
    <t>AC0966E4-1F09-4A4D-80B6-C20EE28711F9</t>
  </si>
  <si>
    <t>SKO3K5--WS25_K5_4.pdf</t>
  </si>
  <si>
    <t>Uploads\ac0966e4-1f09-4a4d-80b6-c20ee28711f9.pdf</t>
  </si>
  <si>
    <t>BB52EC91-7D4D-4446-BFBA-EA523A356D86</t>
  </si>
  <si>
    <t>1E1D21E1-0CAC-41FE-A9DB-C5F23D88D568</t>
  </si>
  <si>
    <t>SKO3K5--WS29_K5_4.pdf</t>
  </si>
  <si>
    <t>Uploads\1e1d21e1-0cac-41fe-a9db-c5f23d88d568.pdf</t>
  </si>
  <si>
    <t>72844A94-10CF-45FF-BCA3-8DAAD45DCB8D</t>
  </si>
  <si>
    <t>8F60923F-0F73-4A40-8886-73BE9EED23DD</t>
  </si>
  <si>
    <t>070E97BF-B3C6-4924-9009-3ABB6C308E5E</t>
  </si>
  <si>
    <t>SKO3BLUMWS16_BESA-01, BESA-02, BESA-03, BESA-11, BESA-12_PTTEP_NOOP.pdf</t>
  </si>
  <si>
    <t>SKO3BLUMWS16_BESA-01_BESA-02_BESA-03_BESA-11_BESA-12.pdf</t>
  </si>
  <si>
    <t>Uploads\070e97bf-b3c6-4924-9009-3abb6c308e5e.pdf</t>
  </si>
  <si>
    <t>3146FF56-2277-4139-8F4A-8DBEB56D90B1</t>
  </si>
  <si>
    <t>2124C412-5AFD-419D-A499-6ED6FC7E6C8F</t>
  </si>
  <si>
    <t>MOM-SK309-69-DNC-RP-0001-00_BESA-01 EOWR.pdf</t>
  </si>
  <si>
    <t>Uploads\2124c412-5afd-419d-a499-6ed6fc7e6c8f.pdf</t>
  </si>
  <si>
    <t>582E259C-35E2-4794-9ED2-7142BD2D9DE2</t>
  </si>
  <si>
    <t>C3B2B961-EEF8-4380-B993-7427CFBD5B46</t>
  </si>
  <si>
    <t>A6847095-65CE-467D-B7CF-4B102CCEB924</t>
  </si>
  <si>
    <t>LARUT A-1ST1 (OP10_NOOP) rev.2.pdf</t>
  </si>
  <si>
    <t>Uploads\a6847095-65ce-467d-b7cf-4b102cceb924.pdf</t>
  </si>
  <si>
    <t>BCAA1B96-DA39-46AF-AE31-303C58A75E4B</t>
  </si>
  <si>
    <t>7F6D1993-B541-4756-81D2-6246B5269EDB</t>
  </si>
  <si>
    <t>LARUT A-01ST1 (OP10) Final Well Report_Rev0.pdf</t>
  </si>
  <si>
    <t>Uploads\7f6d1993-b541-4756-81d2-6246b5269edb.pdf</t>
  </si>
  <si>
    <t>D5FF33AB-C2F2-4795-AC7B-6494BDA61070</t>
  </si>
  <si>
    <t>5E822AB5-CA0D-4812-83D0-74D27F64C2FA</t>
  </si>
  <si>
    <t>CA641889-CB91-4D77-89E3-7F4B7A58F6F1</t>
  </si>
  <si>
    <t>MLK-120 EOWR_Final.pdf</t>
  </si>
  <si>
    <t>Uploads\ca641889-cb91-4d77-89e3-7f4b7a58f6f1.pdf</t>
  </si>
  <si>
    <t>28C9934A-301B-4F60-B83B-C4364E7EBE14</t>
  </si>
  <si>
    <t>6FB0E80C-3C6A-42C8-9701-3090E5F2063C</t>
  </si>
  <si>
    <t>SBO3MKAIGL23_MLK-120_SHELL.pdf</t>
  </si>
  <si>
    <t>Uploads\6fb0e80c-3c6a-42c8-9701-3090e5f2063c.pdf</t>
  </si>
  <si>
    <t>2CB25D82-6EF6-4B5D-BCE5-879DB54DC61C</t>
  </si>
  <si>
    <t>5C8CA992-A773-429B-BC03-74DBF053758F</t>
  </si>
  <si>
    <t>22D1B04B-DBA2-4535-B2D7-AEBEFD1D6683</t>
  </si>
  <si>
    <t>LARUT A-09ST1 (OP4_NOOP) rev.2.pdf</t>
  </si>
  <si>
    <t>Uploads\22d1b04b-dba2-4535-b2d7-aebefd1d6683.pdf</t>
  </si>
  <si>
    <t>0394A946-0369-47C4-9D53-206EF81C61A9</t>
  </si>
  <si>
    <t>96001163-DAA0-4565-932C-3D8801474C36</t>
  </si>
  <si>
    <t>LARUT A-09ST1 (OP4) Final Well Report_Rev0.pdf</t>
  </si>
  <si>
    <t>Uploads\96001163-daa0-4565-932c-3d8801474c36.pdf</t>
  </si>
  <si>
    <t>328EA574-EAD9-4329-942A-970B090C0170</t>
  </si>
  <si>
    <t>66895556-9AF5-49F8-AC19-74E1A0CDA23D</t>
  </si>
  <si>
    <t>7D868546-AE95-429C-8F8F-EB9963E9B4F5</t>
  </si>
  <si>
    <t>EOWR BOC-27 (3C) Final_240622_Signed.pdf</t>
  </si>
  <si>
    <t>Uploads\7d868546-ae95-429c-8f8f-eb9963e9b4f5.pdf</t>
  </si>
  <si>
    <t>91C58681-9C3B-4653-B81C-BB5653A6BBA6</t>
  </si>
  <si>
    <t>979A7E68-D82D-4F34-A97B-D0CEA0E88164</t>
  </si>
  <si>
    <t>BOC-27 (3C) NOOP-signed.pdf</t>
  </si>
  <si>
    <t>Uploads\979a7e68-d82d-4f34-a97b-d0cea0e88164.pdf</t>
  </si>
  <si>
    <t>B70D2FDC-EB72-499B-9746-0BCE3C8DB46F</t>
  </si>
  <si>
    <t>A937C8B3-65CA-4657-A4BD-75816A3903A3</t>
  </si>
  <si>
    <t>E0661217-BB07-4204-9120-152C660596D9</t>
  </si>
  <si>
    <t>SBO3KIKHWS1J_KIKEH_PX03.pdf</t>
  </si>
  <si>
    <t>Uploads\e0661217-bb07-4204-9120-152c660596d9.pdf</t>
  </si>
  <si>
    <t>C32DF420-72B0-4C9F-8C95-4023D337E3B6</t>
  </si>
  <si>
    <t>A271919E-F110-4564-83D4-4FEB0D5042EF</t>
  </si>
  <si>
    <t>SBO3KIKHDR1B_KIKEH_PX03.pdf</t>
  </si>
  <si>
    <t>Uploads\a271919e-f110-4564-83d4-4feb0d5042ef.pdf</t>
  </si>
  <si>
    <t>1E90955D-578C-4675-ACCB-27A56FA7F40D</t>
  </si>
  <si>
    <t>2462E1B8-F1B6-4388-B02F-7585A44E66AA</t>
  </si>
  <si>
    <t>7710B559-19DF-43C8-9C3E-AEEBB95C3B7B</t>
  </si>
  <si>
    <t>EOWR_LANG LEBAH-1RDL2 RDR2 ST1 Main Body.pdf</t>
  </si>
  <si>
    <t>Uploads\7710b559-19df-43c8-9c3e-aeebb95c3b7b.pdf</t>
  </si>
  <si>
    <t>0D5BDBE1-9F8A-4725-9CE1-FE49A6D5836A</t>
  </si>
  <si>
    <t>90F6A4C9-9241-4E11-8A5A-237C456C0DE6</t>
  </si>
  <si>
    <t>LLB1 RDL2 NOOP Final.pdf</t>
  </si>
  <si>
    <t>Uploads\90f6a4c9-9241-4e11-8a5a-237c456c0de6.pdf</t>
  </si>
  <si>
    <t>2E1E2434-25A8-4B72-A544-C38AD44DCF92</t>
  </si>
  <si>
    <t>BB62C63D-A164-431A-8658-758D45E35E4B</t>
  </si>
  <si>
    <t>171AA64D-F2E3-4C05-83B7-64D832841DA6</t>
  </si>
  <si>
    <t>Besar-A2_Final.pdf</t>
  </si>
  <si>
    <t>Uploads\171aa64d-f2e3-4c05-83b7-64d832841da6.pdf</t>
  </si>
  <si>
    <t>282E23A8-575D-4EEE-B963-1229F0EE42C3</t>
  </si>
  <si>
    <t>B68A4B62-1B4A-43B3-B830-6DFB7293284D</t>
  </si>
  <si>
    <t>FWR Besar-A2.pdf</t>
  </si>
  <si>
    <t>Uploads\b68a4b62-1b4a-43b3-b830-6dfb7293284d.pdf</t>
  </si>
  <si>
    <t>4AE52EEE-94EE-4DF0-AD12-86CA4C8884C2</t>
  </si>
  <si>
    <t>02064B50-5AEE-48AD-AA04-75ACC8D9BB9E</t>
  </si>
  <si>
    <t>17190C98-DE1C-4882-9292-CF5F10DCB740</t>
  </si>
  <si>
    <t>EOWR TIMI103.pdf</t>
  </si>
  <si>
    <t>Uploads\17190c98-de1c-4882-9292-cf5f10dcb740.pdf</t>
  </si>
  <si>
    <t>F1B89ABB-CCB0-433F-8DA2-C5B2A20024D5</t>
  </si>
  <si>
    <t>064E480F-37E3-4DCB-915C-BDF62A76B748</t>
  </si>
  <si>
    <t>Timi-103 NOOP_Rev1_Signed.pdf</t>
  </si>
  <si>
    <t>Uploads\064e480f-37e3-4dcb-915c-bdf62a76b748.pdf</t>
  </si>
  <si>
    <t>2A98FB02-599F-498B-B945-E2C508A16BF8</t>
  </si>
  <si>
    <t>8857EB5C-5F68-44CA-8BBE-75C1FD63238B</t>
  </si>
  <si>
    <t>C700C4D2-1938-4BF2-B4C6-37AE990661B6</t>
  </si>
  <si>
    <t>BN-80 FWR Final.pdf</t>
  </si>
  <si>
    <t>Uploads\c700c4d2-1938-4bf2-b4c6-37ae990661b6.pdf</t>
  </si>
  <si>
    <t>150BB11F-10B7-4828-8582-04BA6025AA6F</t>
  </si>
  <si>
    <t>A26F4270-CCD4-43B5-820B-CA4AEBD76C87</t>
  </si>
  <si>
    <t>NOOP BN-80 Final (Internal) (1).pdf</t>
  </si>
  <si>
    <t>Uploads\a26f4270-ccd4-43b5-820b-ca4aebd76c87.pdf</t>
  </si>
  <si>
    <t>77FEF01D-2CDD-45B9-86C5-46CF75909833</t>
  </si>
  <si>
    <t>056DF1F9-F6F0-4669-BAA2-75D179FEC940</t>
  </si>
  <si>
    <t>BA66952F-597D-4FB8-A622-35EC44558D67</t>
  </si>
  <si>
    <t>NOOP JTG-A2.pdf</t>
  </si>
  <si>
    <t>Uploads\ba66952f-597d-4fb8-a622-35ec44558d67.pdf</t>
  </si>
  <si>
    <t>D9216577-3651-41B1-ABC4-FD0BE96CEBED</t>
  </si>
  <si>
    <t>4A455B3C-972D-4AB3-86B9-7809179B2851</t>
  </si>
  <si>
    <t>JTG-A2 Final Well Report_2020_01_23.pdf</t>
  </si>
  <si>
    <t>Uploads\4a455b3c-972d-4ab3-86b9-7809179b2851.pdf</t>
  </si>
  <si>
    <t>78E2C4D9-1C09-44C1-8259-FC6A326E3E44</t>
  </si>
  <si>
    <t>005F0B50-E0AC-493A-8DDF-760DEEDE3E1D</t>
  </si>
  <si>
    <t>8FF15FC1-E308-4D69-AF64-7DEBAD8BFE43</t>
  </si>
  <si>
    <t>Salam-2_NOOP.pdf</t>
  </si>
  <si>
    <t>Uploads\8ff15fc1-e308-4d69-af64-7debad8bfe43.pdf</t>
  </si>
  <si>
    <t>D1A5EBAB-D765-4041-8C86-A000A39D95D6</t>
  </si>
  <si>
    <t>8D639F64-71A8-4814-819E-7AF2842139E3</t>
  </si>
  <si>
    <t>Salam-2 End of Well Report Drilling.pdf</t>
  </si>
  <si>
    <t>Uploads\8d639f64-71a8-4814-819e-7af2842139e3.pdf</t>
  </si>
  <si>
    <t>99589CE7-9818-4B6B-A3F4-30330440980B</t>
  </si>
  <si>
    <t>20EE3377-77E4-40CA-B3F5-76368AD18E85</t>
  </si>
  <si>
    <t>8A8B3CCD-35DC-4FA6-9589-79B5050C276D</t>
  </si>
  <si>
    <t>SKO3BRNAWS5B_BARONIA-75.pdf</t>
  </si>
  <si>
    <t>Uploads\8a8b3ccd-35dc-4fa6-9589-79b5050c276d.pdf</t>
  </si>
  <si>
    <t>B3CEB553-23B1-45EA-BB26-13BD2A03865A</t>
  </si>
  <si>
    <t>161350E3-90EC-484B-8D5F-B6E1B350B3F6</t>
  </si>
  <si>
    <t>BN-75_signed.pdf</t>
  </si>
  <si>
    <t>Uploads\161350e3-90ec-484b-8d5f-b6e1b350b3f6.pdf</t>
  </si>
  <si>
    <t>C47112D7-CB40-464F-A560-7376224D3C11</t>
  </si>
  <si>
    <t>90163AE5-AF2F-4CB4-ABA6-76B32B922CD4</t>
  </si>
  <si>
    <t>D380C728-EF92-4F90-ACE3-048DA3E580AC</t>
  </si>
  <si>
    <t>LARUT A-29ST2 (OP9) Final Well Report_Rev0.pdf</t>
  </si>
  <si>
    <t>Uploads\d380c728-ef92-4f90-ace3-048da3e580ac.pdf</t>
  </si>
  <si>
    <t>79D7E4BF-3A03-45CB-A840-C7FBBDF12042</t>
  </si>
  <si>
    <t>B527C4CA-893A-4BAB-BFBD-11F654154808</t>
  </si>
  <si>
    <t>LARUT A-29ST2 (OP9_NOOP) rev.2.pdf</t>
  </si>
  <si>
    <t>Uploads\b527c4ca-893a-4bab-bfbd-11f654154808.pdf</t>
  </si>
  <si>
    <t>F1C81771-95E4-4256-8ABF-2ED7797A4324</t>
  </si>
  <si>
    <t>5FE67FA2-BB2A-4CE7-B2A2-76E536FAEFB2</t>
  </si>
  <si>
    <t>1C4AF6E8-46DD-44AD-8166-4B29F47425DC</t>
  </si>
  <si>
    <t>KNDW-D16 EOWR.pdf</t>
  </si>
  <si>
    <t>Uploads\1c4af6e8-46dd-44ad-8166-4b29f47425dc.pdf</t>
  </si>
  <si>
    <t>2C0F7C19-720E-4770-B7A4-3D86CB03BD92</t>
  </si>
  <si>
    <t>E128974F-64F9-4C0B-B7E9-B179BE23AC09</t>
  </si>
  <si>
    <t>KNDW D-16 NOOP.pdf</t>
  </si>
  <si>
    <t>Uploads\e128974f-64f9-4c0b-b7e9-b179be23ac09.pdf</t>
  </si>
  <si>
    <t>1DF62BA4-7849-4AC6-B8C3-0CBFF69F274B</t>
  </si>
  <si>
    <t>D221210E-24AB-4D66-B16A-77C728CECAD3</t>
  </si>
  <si>
    <t>3478767A-B01D-48A4-92FC-378B678BBFE6</t>
  </si>
  <si>
    <t>F9 Redev 2.0 A7 NOOP Final Addendum signed.pdf</t>
  </si>
  <si>
    <t>Uploads\3478767a-b01d-48a4-92fc-378b678bbfe6.pdf</t>
  </si>
  <si>
    <t>E79B160D-F7C1-441F-924F-F88BAF8DC0C1</t>
  </si>
  <si>
    <t>A6D7058F-DC84-4E06-86A1-16A9B16A78D1</t>
  </si>
  <si>
    <t>F9-A7 Final Well Report signed.pdf</t>
  </si>
  <si>
    <t>Uploads\a6d7058f-dc84-4e06-86a1-16a9b16a78d1.pdf</t>
  </si>
  <si>
    <t>62FCD80B-B259-4FBF-8916-4333BABDC8A8</t>
  </si>
  <si>
    <t>CAA357F6-B747-4E5A-B4F3-7807BD6C3956</t>
  </si>
  <si>
    <t>3133AF7E-1BF3-46B4-8137-399573A6659A</t>
  </si>
  <si>
    <t>EOWR TIMI101.pdf</t>
  </si>
  <si>
    <t>Uploads\3133af7e-1bf3-46b4-8137-399573a6659a.pdf</t>
  </si>
  <si>
    <t>8A8A840C-6C6F-4A15-BDA3-A423EBE630DC</t>
  </si>
  <si>
    <t>5BFF0227-4001-472A-8D4C-1D9B1D49B66E</t>
  </si>
  <si>
    <t>Timi-101 NOOP_Rev1_Signed.pdf</t>
  </si>
  <si>
    <t>Uploads\5bff0227-4001-472a-8d4c-1d9b1d49b66e.pdf</t>
  </si>
  <si>
    <t>8D6F2446-DDF5-4AEE-BDAA-70EF668F0476</t>
  </si>
  <si>
    <t>C201BAAF-596E-4EA7-8635-784103C728A3</t>
  </si>
  <si>
    <t>46506ECF-B9D6-4378-AFF9-2B62AC4D3A6C</t>
  </si>
  <si>
    <t>KNDW D-07 NOOP.pdf</t>
  </si>
  <si>
    <t>Uploads\46506ecf-b9d6-4378-aff9-2b62ac4d3a6c.pdf</t>
  </si>
  <si>
    <t>52E7606A-151E-43F0-9B9D-C9171DDFD96A</t>
  </si>
  <si>
    <t>0853FDDD-1315-4714-9CE3-A98F815D0F78</t>
  </si>
  <si>
    <t>KNDW-D07 EOWR.pdf</t>
  </si>
  <si>
    <t>Uploads\0853fddd-1315-4714-9ce3-a98f815d0f78.pdf</t>
  </si>
  <si>
    <t>AAF22F98-4BED-40AF-BE81-AACCE17CF420</t>
  </si>
  <si>
    <t>0EBFB842-FBE9-49A3-81AB-78561F33577E</t>
  </si>
  <si>
    <t>1FE1C66A-A41F-460D-8E32-CB412E0D762F</t>
  </si>
  <si>
    <t>Puding Emas-1 FWR.pdf</t>
  </si>
  <si>
    <t>Uploads\1fe1c66a-a41f-460d-8e32-cb412e0d762f.pdf</t>
  </si>
  <si>
    <t>3294B2FF-8F98-4853-9441-32C8D0B801CA</t>
  </si>
  <si>
    <t>4BB18D88-2046-41F1-AD15-4405BF02C01A</t>
  </si>
  <si>
    <t>NOOP Puding Emas rev.01.pdf</t>
  </si>
  <si>
    <t>Uploads\4bb18d88-2046-41f1-ad15-4405bf02c01a.pdf</t>
  </si>
  <si>
    <t>EE6F81D2-F0AF-4042-AA7A-3C8E0BE3281B</t>
  </si>
  <si>
    <t>9241B7C7-155B-4B5D-BC3F-7860C2570E4B</t>
  </si>
  <si>
    <t>6F1284B2-C6F0-460F-B010-CCE66A15F476</t>
  </si>
  <si>
    <t>Final Well Report BO-404.pdf</t>
  </si>
  <si>
    <t>Uploads\6f1284b2-c6f0-460f-b010-cce66a15f476.pdf</t>
  </si>
  <si>
    <t>522946A4-70A6-4AF7-B889-278BBA4B1C0F</t>
  </si>
  <si>
    <t>F24A920B-7E13-4F34-A75F-7E4BD094C064</t>
  </si>
  <si>
    <t>BO-404 NOOP  SIGNED.pdf</t>
  </si>
  <si>
    <t>Uploads\f24a920b-7e13-4f34-a75f-7e4bd094c064.pdf</t>
  </si>
  <si>
    <t>EF26121B-8018-4535-A360-8CCAF9F21605</t>
  </si>
  <si>
    <t>70B46DF2-B86A-467C-A045-78648177133E</t>
  </si>
  <si>
    <t>B1BAE3BC-128C-4109-A0BA-0EAC6CEC2D6D</t>
  </si>
  <si>
    <t>PMO3DULGWSXK_DULANG-C29.pdf</t>
  </si>
  <si>
    <t>Uploads\b1bae3bc-128c-4109-a0ba-0eac6cec2d6d.pdf</t>
  </si>
  <si>
    <t>8119E9D8-FE20-447C-B0C6-EEFF053C258C</t>
  </si>
  <si>
    <t>B43E5270-01A8-45E4-872C-40781E1DFBA6</t>
  </si>
  <si>
    <t>PMO3DULGWSYC_DULANG-C29.pdf</t>
  </si>
  <si>
    <t>Uploads\b43e5270-01a8-45e4-872c-40781e1dfba6.pdf</t>
  </si>
  <si>
    <t>D4CA4B78-70CA-48C7-9FD6-FB52CC4A5D8F</t>
  </si>
  <si>
    <t>A4CB7D52-71FD-4B7D-9FF1-78889655B16A</t>
  </si>
  <si>
    <t>DB3707D5-7B85-4DE3-B0B1-D8D8F7511056</t>
  </si>
  <si>
    <t>PMO3ENAUWS07_ENAU_1.pdf</t>
  </si>
  <si>
    <t>Uploads\db3707d5-7b85-4de3-b0b1-d8d8f7511056.pdf</t>
  </si>
  <si>
    <t>C4B5A999-4390-42B9-BF0D-4ABEBAAD0DF4</t>
  </si>
  <si>
    <t>DC5D63A4-EA43-4268-A0F2-75EC9B31DA67</t>
  </si>
  <si>
    <t>PMO3ENAUGL01_ENAU_1.pdf</t>
  </si>
  <si>
    <t>Uploads\dc5d63a4-ea43-4268-a0f2-75ec9b31da67.pdf</t>
  </si>
  <si>
    <t>1D507AEB-320A-4198-BC09-F5AEBA1DE737</t>
  </si>
  <si>
    <t>CE4249C5-F049-4375-ACF8-790478E7C6CB</t>
  </si>
  <si>
    <t>0FC583F6-5DAF-4C78-9EED-CAD92C1CD93F</t>
  </si>
  <si>
    <t>Chenda-1_SK405B_NOOP (2023).pdf</t>
  </si>
  <si>
    <t>Uploads\0fc583f6-5daf-4c78-9eed-cad92c1cd93f.pdf</t>
  </si>
  <si>
    <t>7D91D814-2DE3-4E17-9465-CA7A3BAF884C</t>
  </si>
  <si>
    <t>08A8AA24-6553-49CA-971F-BDEE03770B10</t>
  </si>
  <si>
    <t>SKO3CNDAGL6526_CHENDA-1_PTTEP_FWR.pdf</t>
  </si>
  <si>
    <t>Uploads\08a8aa24-6553-49ca-971f-bdee03770b10.pdf</t>
  </si>
  <si>
    <t>E797F6F8-5A29-4E97-AC89-2AD870735067</t>
  </si>
  <si>
    <t>017548A9-4B36-44FD-B21E-79084A5CB1E0</t>
  </si>
  <si>
    <t>7F064B6C-7626-497D-B337-0CD0C7C3D61A</t>
  </si>
  <si>
    <t>SBO3DNUMWS11_DANUM-2.pdf</t>
  </si>
  <si>
    <t>Uploads\7f064b6c-7626-497d-b337-0cd0c7c3d61a.pdf</t>
  </si>
  <si>
    <t>6D5AA6EC-46A6-432C-95F7-AC704DF7CA76</t>
  </si>
  <si>
    <t>D40C7C24-1B88-4059-8394-DD6A309AFFF3</t>
  </si>
  <si>
    <t>SBO3DNUMWS05_DANUM-2.pdf</t>
  </si>
  <si>
    <t>Uploads\d40c7c24-1b88-4059-8394-dd6a309afff3.pdf</t>
  </si>
  <si>
    <t>9E39E54B-EE8F-48DA-9E6E-04F4F7525B09</t>
  </si>
  <si>
    <t>A2EF61B9-5D70-4E3B-A327-7911C325FE84</t>
  </si>
  <si>
    <t>BA42D68E-1B63-450B-80D1-0BD597711455</t>
  </si>
  <si>
    <t>FWR BOKOR-E501.pdf</t>
  </si>
  <si>
    <t>Uploads\ba42d68e-1b63-450b-80d1-0bd597711455.pdf</t>
  </si>
  <si>
    <t>4CE5EFDB-4BA2-476E-9ACB-FFA0DE0C7742</t>
  </si>
  <si>
    <t>8FC3076F-8810-4EA9-8173-3D38C69CB165</t>
  </si>
  <si>
    <t>NOOP BO-501 FINAL.pdf</t>
  </si>
  <si>
    <t>Uploads\8fc3076f-8810-4ea9-8173-3d38c69cb165.pdf</t>
  </si>
  <si>
    <t>57501A83-982A-4C08-B90C-F2FF0AFD625E</t>
  </si>
  <si>
    <t>0EBD6665-F428-422D-A37C-7A5B8DCC6005</t>
  </si>
  <si>
    <t>179F9DDD-1DD7-4FF4-AD81-FDABB02A8229</t>
  </si>
  <si>
    <t>D18 404 FWR-signed.pdf</t>
  </si>
  <si>
    <t>Uploads\179f9ddd-1dd7-4ff4-ad81-fdabb02a8229.pdf</t>
  </si>
  <si>
    <t>4EA77F4C-D53F-4161-AE36-8F0138C6368B</t>
  </si>
  <si>
    <t>A909BD73-E79E-478E-8F86-7CC4F64A0D47</t>
  </si>
  <si>
    <t>D18-404 NOOP.pdf</t>
  </si>
  <si>
    <t>Uploads\a909bd73-e79e-478e-8f86-7cc4f64a0d47.pdf</t>
  </si>
  <si>
    <t>047F09E1-38CC-4776-B2F3-0B1E65B2C892</t>
  </si>
  <si>
    <t>6BF4D919-A247-48BF-8734-7A83535DC7C1</t>
  </si>
  <si>
    <t>C94794A1-0FBB-42AF-BD3F-376F95C04FD8</t>
  </si>
  <si>
    <t>Lakum-1 NOOP Final 14.06.2016.pdf</t>
  </si>
  <si>
    <t>Uploads\c94794a1-0fbb-42af-bd3f-376f95c04fd8.pdf</t>
  </si>
  <si>
    <t>1C995820-24DF-452D-B3A7-2DD950A7C662</t>
  </si>
  <si>
    <t>9E9EB890-150A-46E2-A91D-620B1A6326BC</t>
  </si>
  <si>
    <t>LAKUM-1 FWR.pdf</t>
  </si>
  <si>
    <t>Uploads\9e9eb890-150a-46e2-a91d-620b1a6326bc.pdf</t>
  </si>
  <si>
    <t>E53CB5CC-CBDA-4E1A-B1D1-5B4CE90E83AA</t>
  </si>
  <si>
    <t>357D87E8-0EAB-4EC1-97AA-7B6550791328</t>
  </si>
  <si>
    <t>CF969A6A-4709-4970-9226-9C94755970CA</t>
  </si>
  <si>
    <t>D21-A11 End of Well Report Final.pdf</t>
  </si>
  <si>
    <t>Uploads\cf969a6a-4709-4970-9226-9c94755970ca.pdf</t>
  </si>
  <si>
    <t>DA816EB0-CEB7-4740-9007-31383948B9B1</t>
  </si>
  <si>
    <t>8A6589BA-5897-4F31-BC8C-09D2C8B81FB0</t>
  </si>
  <si>
    <t>D21-A11 NOOP_FINAL.pdf</t>
  </si>
  <si>
    <t>Uploads\8a6589ba-5897-4f31-bc8c-09d2c8b81fb0.pdf</t>
  </si>
  <si>
    <t>65D43374-8A2A-4B71-B006-235EC2467C52</t>
  </si>
  <si>
    <t>E3693002-1483-4062-9B8F-7B7BF2C6627E</t>
  </si>
  <si>
    <t>8CD341A3-8850-483C-8559-4EAF04912512</t>
  </si>
  <si>
    <t>DAMAR-A5 EOWR.pdf</t>
  </si>
  <si>
    <t>Uploads\8cd341a3-8850-483c-8559-4eaf04912512.pdf</t>
  </si>
  <si>
    <t>53D3E196-4095-48F9-BD25-7E4E7C4CFE44</t>
  </si>
  <si>
    <t>312155AC-D05D-4B8D-A54E-081C41CB3409</t>
  </si>
  <si>
    <t>PMO3DMARWS30_DAMAR-A05_JULY_2014.pdf</t>
  </si>
  <si>
    <t>Uploads\312155ac-d05d-4b8d-a54e-081c41cb3409.pdf</t>
  </si>
  <si>
    <t>F4930544-16A4-4E95-B3DC-5D22EB7F46C9</t>
  </si>
  <si>
    <t>F6EB7456-A450-4115-AE43-7BA785FA71B4</t>
  </si>
  <si>
    <t>9E015E74-677A-424F-A7AA-A0844F88F7B2</t>
  </si>
  <si>
    <t>8 WAKID-3_FWR.pdf</t>
  </si>
  <si>
    <t>Uploads\9e015e74-677a-424f-a7aa-a0844f88f7b2.pdf</t>
  </si>
  <si>
    <t>D293C1E7-62EE-4B5C-9F2F-B45C4D47E3ED</t>
  </si>
  <si>
    <t>D4761FC0-EF2C-4A81-B5B9-260CD65CE17C</t>
  </si>
  <si>
    <t>3 WAKID-3 NOOP.pdf</t>
  </si>
  <si>
    <t>Uploads\d4761fc0-ef2c-4a81-b5b9-260cd65ce17c.pdf</t>
  </si>
  <si>
    <t>3F77D7EC-FB49-4D40-9406-A628B084CD9C</t>
  </si>
  <si>
    <t>CE64DF8F-C4B8-492D-AE9F-7BD2867272E4</t>
  </si>
  <si>
    <t>C1B5B6C7-CE32-474A-A223-AFBED7767D15</t>
  </si>
  <si>
    <t>DULANG A-26 ST1 EOWR.pdf</t>
  </si>
  <si>
    <t>Uploads\c1b5b6c7-ce32-474a-a223-afbed7767d15.pdf</t>
  </si>
  <si>
    <t>603C2142-E6FB-4171-BB8C-27463304A75F</t>
  </si>
  <si>
    <t>0952CB6A-7067-4D0B-BB61-4B584C61AA6C</t>
  </si>
  <si>
    <t>DULANG-A26ST1 NOOP.pdf</t>
  </si>
  <si>
    <t>Uploads\0952cb6a-7067-4d0b-bb61-4b584c61aa6c.pdf</t>
  </si>
  <si>
    <t>9ED4BCBE-9B63-4038-896D-47CA486EC6FA</t>
  </si>
  <si>
    <t>4147A7ED-4187-442C-B79E-7BEDAA6CB77F</t>
  </si>
  <si>
    <t>AF227D11-B943-4EAF-91BC-F7B7A8756C1A</t>
  </si>
  <si>
    <t>EC-A03 Final Well Report (Final).pdf</t>
  </si>
  <si>
    <t>Uploads\af227d11-b943-4eaf-91bc-f7b7a8756c1a.pdf</t>
  </si>
  <si>
    <t>2DBB12E2-FB0E-4A09-81E8-6BFF30FDBBE7</t>
  </si>
  <si>
    <t>9028D4F6-92D3-4540-855D-54CA41C0D362</t>
  </si>
  <si>
    <t>ECN-GEN-D-0001_Rev.00 NOOP WELL EC-A03 (Slot 2A ECW-A Platform)_DS.pdf</t>
  </si>
  <si>
    <t>Uploads\9028d4f6-92d3-4540-855d-54ca41c0d362.pdf</t>
  </si>
  <si>
    <t>13E7C182-B5EB-4524-A561-6CF790591D47</t>
  </si>
  <si>
    <t>289A6112-0B98-4190-876B-7C8718B7B785</t>
  </si>
  <si>
    <t>8ADEC0D6-E5A3-4B75-B275-AE7681E3720F</t>
  </si>
  <si>
    <t>Besar A9 FWR.pdf</t>
  </si>
  <si>
    <t>Uploads\8adec0d6-e5a3-4b75-b275-ae7681e3720f.pdf</t>
  </si>
  <si>
    <t>9A2F24BD-8FD3-41E1-92F6-2183F22E1EB6</t>
  </si>
  <si>
    <t>853C2D7D-9D01-4AD3-AE06-41BE6E682A3A</t>
  </si>
  <si>
    <t>Besar A9 NOOP Internal.pdf</t>
  </si>
  <si>
    <t>Uploads\853c2d7d-9d01-4ad3-ae06-41be6e682a3a.pdf</t>
  </si>
  <si>
    <t>E8C2DDC2-CC5B-4630-BF1A-879A754B56CE</t>
  </si>
  <si>
    <t>1328370F-8982-48F9-97BA-7D40891EA536</t>
  </si>
  <si>
    <t>03052592-7648-4673-A6A1-3CECB0F1B6C1</t>
  </si>
  <si>
    <t>Bertam A-18 NOOP.pdf</t>
  </si>
  <si>
    <t>Uploads\03052592-7648-4673-a6a1-3cecb0f1b6c1.pdf</t>
  </si>
  <si>
    <t>9BB77A98-73D6-44DD-B6D8-E78E4BDC325B</t>
  </si>
  <si>
    <t>157174B2-7DE0-4958-B863-B6AF5C839D71</t>
  </si>
  <si>
    <t>Bertam A-18 EOWR.pdf</t>
  </si>
  <si>
    <t>Uploads\157174b2-7de0-4958-b863-b6af5c839d71.pdf</t>
  </si>
  <si>
    <t>81915025-095E-4FE1-9163-CE781BEEAC55</t>
  </si>
  <si>
    <t>B1F5BCE7-F56F-4848-93D6-7E2ADFC27E84</t>
  </si>
  <si>
    <t>23CA1A3E-64E0-4376-8D2D-5583DA16EBAA</t>
  </si>
  <si>
    <t>F14-108 End of Well Report - Final.pdf</t>
  </si>
  <si>
    <t>Uploads\23ca1a3e-64e0-4376-8d2d-5583da16ebaa.pdf</t>
  </si>
  <si>
    <t>1B0F450F-AAB3-47CC-B9FE-3FC942774401</t>
  </si>
  <si>
    <t>186A85E6-B0DB-41E2-AF0A-282AD01C9B82</t>
  </si>
  <si>
    <t>F14-108 NOOP - Final - Signed.pdf</t>
  </si>
  <si>
    <t>Uploads\186a85e6-b0db-41e2-af0a-282ad01c9b82.pdf</t>
  </si>
  <si>
    <t>3C6A4EC4-DB16-4929-9279-28CE2C83D64B</t>
  </si>
  <si>
    <t>7B2437EE-EF3F-4053-A0AC-7E4A9F25562D</t>
  </si>
  <si>
    <t>2970E66E-A9A3-49A4-9C1E-5756D9BF8482</t>
  </si>
  <si>
    <t>SKO3LAILWS18_LA-103_SHELL FWR.pdf</t>
  </si>
  <si>
    <t>Uploads\2970e66e-a9a3-49a4-9c1e-5756d9bf8482.pdf</t>
  </si>
  <si>
    <t>97718631-B3A4-4042-88F1-BE1CDAA99256</t>
  </si>
  <si>
    <t>62C524D2-D7C4-4B54-B28A-6A220396F09D</t>
  </si>
  <si>
    <t>SKO3LAILWS11_LA-103_SHELL_NOOP.pdf</t>
  </si>
  <si>
    <t>Uploads\62c524d2-d7c4-4b54-b28a-6a220396f09d.pdf</t>
  </si>
  <si>
    <t>DE77BDA0-F68A-4DA0-8FCF-492DA542A44D</t>
  </si>
  <si>
    <t>8C726572-51ED-41FB-A468-7ED1069CA69F</t>
  </si>
  <si>
    <t>835B3CEA-9487-4CA2-A94D-3E61C3639DF4</t>
  </si>
  <si>
    <t>Tabu A5ST1 Slot 3 NOOP.pdf</t>
  </si>
  <si>
    <t>Uploads\835b3cea-9487-4ca2-a94d-3e61c3639df4.pdf</t>
  </si>
  <si>
    <t>4C5E1A5A-52ED-45CD-B623-73AAFFD7277F</t>
  </si>
  <si>
    <t>65EA4261-793D-47DA-940F-80C32D0320D1</t>
  </si>
  <si>
    <t>Tabu A5ST1 Final Well Report.pdf</t>
  </si>
  <si>
    <t>Uploads\65ea4261-793d-47da-940f-80c32d0320d1.pdf</t>
  </si>
  <si>
    <t>B9669448-D659-4064-91FB-9C1DF8932DD6</t>
  </si>
  <si>
    <t>E9800FB4-6A47-4D28-8BA1-7F1724256B77</t>
  </si>
  <si>
    <t>7D7F5FF0-19E4-440A-8189-67AD0594C8E9</t>
  </si>
  <si>
    <t>SM-C23S2 NOOP.pdf</t>
  </si>
  <si>
    <t>Uploads\7d7f5ff0-19e4-440a-8189-67ad0594c8e9.pdf</t>
  </si>
  <si>
    <t>CB2EEB4D-A400-4597-A59B-0E95F53AE936</t>
  </si>
  <si>
    <t>E8A3C40E-DA44-433A-B233-D45E06148921</t>
  </si>
  <si>
    <t>SM-C23S2 FWR.pdf</t>
  </si>
  <si>
    <t>Uploads\e8a3c40e-da44-433a-b233-d45e06148921.pdf</t>
  </si>
  <si>
    <t>7B3565CC-9DEF-422E-AD50-4DD3DD42B894</t>
  </si>
  <si>
    <t>2F9C7963-F704-4372-BCD2-7F1B2C10F774</t>
  </si>
  <si>
    <t>6D406448-1FA8-4B6A-ADF3-5940B95CA0D5</t>
  </si>
  <si>
    <t>Telok B3 - FWR.pdf</t>
  </si>
  <si>
    <t>Uploads\6d406448-1fa8-4b6a-adf3-5940b95ca0d5.pdf</t>
  </si>
  <si>
    <t>B16CF0EA-CB67-44D4-8760-AB1E057C27D3</t>
  </si>
  <si>
    <t>C7812049-988F-4E7D-B7B2-4FD9E535A0A4</t>
  </si>
  <si>
    <t>PMO3TELOWS41_TELOK-B3_EMEPMI_NOOP.pdf</t>
  </si>
  <si>
    <t>Uploads\c7812049-988f-4e7d-b7b2-4fd9e535a0a4.pdf</t>
  </si>
  <si>
    <t>93398F16-9314-41E0-A1C1-7CA886972A02</t>
  </si>
  <si>
    <t>81CA614D-51B0-40AD-9086-7F1DB98FBB86</t>
  </si>
  <si>
    <t>57EE7E0A-7A08-41D2-AC08-DDB9646214C6</t>
  </si>
  <si>
    <t>NC3-A4 NOOP for PMU.pdf</t>
  </si>
  <si>
    <t>Uploads\57ee7e0a-7a08-41d2-ac08-ddb9646214c6.pdf</t>
  </si>
  <si>
    <t>27D4E60F-B644-403D-8036-149650B9484C</t>
  </si>
  <si>
    <t>63ADD7CB-96F5-4E7E-BA0E-7268CFBC54C9</t>
  </si>
  <si>
    <t>NC3-A4 FWR.pdf</t>
  </si>
  <si>
    <t>Uploads\63add7cb-96f5-4e7e-ba0e-7268cfbc54c9.pdf</t>
  </si>
  <si>
    <t>83B9D976-5180-4C20-9881-4AEBBED10FB5</t>
  </si>
  <si>
    <t>3B977326-B096-4A3E-A6F8-7F2E083E9F70</t>
  </si>
  <si>
    <t>7974C7CE-513A-4D53-BA58-52496177DA4C</t>
  </si>
  <si>
    <t>SKO3NAIMGL02_NAIM-1.pdf</t>
  </si>
  <si>
    <t>Uploads\7974c7ce-513a-4d53-ba58-52496177da4c.pdf</t>
  </si>
  <si>
    <t>5712412F-C88B-4C27-BD0F-A9C4D3DE95D5</t>
  </si>
  <si>
    <t>3879CE67-71B9-465A-9EB9-8F4F3D75F81B</t>
  </si>
  <si>
    <t>SKO3NAIMWS03_NAIM-1_FWR.pdf</t>
  </si>
  <si>
    <t>Uploads\3879ce67-71b9-465a-9eb9-8f4f3d75f81b.pdf</t>
  </si>
  <si>
    <t>80271092-C85F-45C8-AD94-4EA32BAB6839</t>
  </si>
  <si>
    <t>BBF8F1F7-9A0D-4E3C-AAAC-7F82BB45AF89</t>
  </si>
  <si>
    <t>EADB8D68-8150-4D41-99AC-8510A87B3840</t>
  </si>
  <si>
    <t>Cengkih-1 MP_EOWR_FINAL_Rev5_30 September 2022.pdf</t>
  </si>
  <si>
    <t>Uploads\eadb8d68-8150-4d41-99ac-8510a87b3840.pdf</t>
  </si>
  <si>
    <t>0E621B33-0CF0-49DA-9FFE-EC0B951FEF2A</t>
  </si>
  <si>
    <t>58082420-FCC5-43F0-8B18-4725F15BA866</t>
  </si>
  <si>
    <t>CENGKIH-1 NOOP Final Version 1.pdf</t>
  </si>
  <si>
    <t>Uploads\58082420-fcc5-43f0-8b18-4725f15ba866.pdf</t>
  </si>
  <si>
    <t>9A5A7765-E8E7-41C6-87F9-FF97B226ABEE</t>
  </si>
  <si>
    <t>B434A350-AB25-4832-A216-802D0533E483</t>
  </si>
  <si>
    <t>EFF3F225-6F88-44C5-8E4B-0DDC514C780A</t>
  </si>
  <si>
    <t>Bestari-2_FWR.pdf</t>
  </si>
  <si>
    <t>Uploads\eff3f225-6f88-44c5-8e4b-0ddc514c780a.pdf</t>
  </si>
  <si>
    <t>0EE8DAF5-42C1-4F1E-8583-DB2011CFAF93</t>
  </si>
  <si>
    <t>AAC4DEB9-DBBF-45D1-9CFE-A7C76CA02A38</t>
  </si>
  <si>
    <t>Bestari-2 NOOP_Signed.pdf</t>
  </si>
  <si>
    <t>Bestari-2 NOOP_Signed</t>
  </si>
  <si>
    <t>Uploads\aac4deb9-dbbf-45d1-9cfe-a7c76ca02a38.pdf</t>
  </si>
  <si>
    <t>9C9ED6D3-76EB-4C54-861A-DD096C13FEB6</t>
  </si>
  <si>
    <t>925FE9B5-7FEC-4E16-B9D7-8048CAC5BB1C</t>
  </si>
  <si>
    <t>15249486-00F5-4B5B-8393-079A0B48CD51</t>
  </si>
  <si>
    <t>PMO3BUJGWS53_BUJANG_6.pdf</t>
  </si>
  <si>
    <t>Uploads\15249486-00f5-4b5b-8393-079a0b48cd51.pdf</t>
  </si>
  <si>
    <t>FA2FB30C-4560-4C05-B8FD-CCE1D4552C1C</t>
  </si>
  <si>
    <t>C084BC36-F0A8-4D20-A47F-1A6F1F9FE592</t>
  </si>
  <si>
    <t>PMO3BUJGGL06_BUJANG_6.pdf</t>
  </si>
  <si>
    <t>Uploads\c084bc36-f0a8-4d20-a47f-1a6f1f9fe592.pdf</t>
  </si>
  <si>
    <t>DBB4737C-3ACE-474C-AD3E-365826BEE346</t>
  </si>
  <si>
    <t>FAD7B2D4-98FE-48C9-9D93-807485EA20F9</t>
  </si>
  <si>
    <t>B56B66C2-2E7B-4320-867B-F160D29F27B2</t>
  </si>
  <si>
    <t>BOB-9J NOOP.pdf</t>
  </si>
  <si>
    <t>Uploads\b56b66c2-2e7b-4320-867b-f160d29f27b2.pdf</t>
  </si>
  <si>
    <t>B73793D6-0022-4CE2-A51B-02FCB1BC66A7</t>
  </si>
  <si>
    <t>E75F6685-0A1A-4EDB-A7DB-0478969B1BD1</t>
  </si>
  <si>
    <t>BOB-9J EOWR.pdf</t>
  </si>
  <si>
    <t>Uploads\e75f6685-0a1a-4edb-a7db-0478969b1bd1.pdf</t>
  </si>
  <si>
    <t>6CDFED80-E53C-43A0-8490-1F597C3C827F</t>
  </si>
  <si>
    <t>230F1AB1-1E91-4A23-B6C1-811ADA0290A3</t>
  </si>
  <si>
    <t>064B6238-D904-4543-B7E5-FF2FB6AF8505</t>
  </si>
  <si>
    <t>NOOP Bekok AA13 Approved.pdf</t>
  </si>
  <si>
    <t>Uploads\064b6238-d904-4543-b7e5-ff2fb6af8505.pdf</t>
  </si>
  <si>
    <t>C585147E-4845-4179-8319-D845A4F29DCF</t>
  </si>
  <si>
    <t>E7541021-D7E2-4D58-BC38-C61219E1F918</t>
  </si>
  <si>
    <t>Final Well Report_Bekok-AA13ST1_FINAL.pdf</t>
  </si>
  <si>
    <t>Uploads\e7541021-d7e2-4d58-bc38-c61219e1f918.pdf</t>
  </si>
  <si>
    <t>7CEAB5DE-CFF6-4216-966C-88E9E62CC630</t>
  </si>
  <si>
    <t>B3D29AAB-67BD-4923-9BB7-813315648317</t>
  </si>
  <si>
    <t>988A7262-3F39-45F1-99C7-02EDCB976A1E</t>
  </si>
  <si>
    <t>Tawakal-1 MPM.pdf</t>
  </si>
  <si>
    <t>Uploads\988a7262-3f39-45f1-99c7-02edcb976a1e.pdf</t>
  </si>
  <si>
    <t>C5BE15BA-D515-4976-953F-642C15FDB25F</t>
  </si>
  <si>
    <t>7E90EE28-1CDF-488E-9CE0-1D65D68DFB59</t>
  </si>
  <si>
    <t>Tawakal-1 Final Well Report with Attachment.pdf</t>
  </si>
  <si>
    <t>Uploads\7e90ee28-1cdf-488e-9ce0-1d65d68dfb59.pdf</t>
  </si>
  <si>
    <t>491431F5-23F0-4A70-A99C-17956BF4B441</t>
  </si>
  <si>
    <t>E926986E-9E22-4137-BA8F-81726890F4CB</t>
  </si>
  <si>
    <t>528CC9B0-5739-4A3B-A58C-808A2E6046CF</t>
  </si>
  <si>
    <t>SBO3SKNPWS20_S-SW1-P2_PTTEP_NOOP.pdf</t>
  </si>
  <si>
    <t>Uploads\528cc9b0-5739-4a3b-a58c-808a2e6046cf.pdf</t>
  </si>
  <si>
    <t>100A702E-9A0F-49BE-8B56-CC8FDCF93D28</t>
  </si>
  <si>
    <t>C41BE8F2-C8B3-4187-99DB-549A8505D9A7</t>
  </si>
  <si>
    <t>SBO3SKNPDR11_S-SW1-P2_PTTEP_FWR.pdf</t>
  </si>
  <si>
    <t>Uploads\c41be8f2-c8b3-4187-99db-549a8505d9a7.pdf</t>
  </si>
  <si>
    <t>045B39CA-E6DB-42C0-92E0-DC04829A2138</t>
  </si>
  <si>
    <t>F223D67A-87AC-49AA-9465-8190A85785AD</t>
  </si>
  <si>
    <t>72464EF7-AC37-40B6-9808-373E606987EC</t>
  </si>
  <si>
    <t>Tabu B23ST1 Final Well Report.pdf</t>
  </si>
  <si>
    <t>Uploads\72464ef7-ac37-40b6-9808-373e606987ec.pdf</t>
  </si>
  <si>
    <t>D0DACBCB-94C5-4D6A-A904-EBF1DE13B370</t>
  </si>
  <si>
    <t>C87521C7-629F-4D86-A569-CDD489B51467</t>
  </si>
  <si>
    <t>Tabu B23ST1 Slot 5 NOOP v0.pdf</t>
  </si>
  <si>
    <t>Uploads\c87521c7-629f-4d86-a569-cdd489b51467.pdf</t>
  </si>
  <si>
    <t>E0EFA394-9E57-4219-B283-DA10D0DE4FE5</t>
  </si>
  <si>
    <t>2AD68670-B408-4DEE-B140-81ABA06F2A4E</t>
  </si>
  <si>
    <t>B2D9F0B7-BE42-4357-A220-90FEB01A4A2B</t>
  </si>
  <si>
    <t>KMSE-A03 Final Well Report.pdf</t>
  </si>
  <si>
    <t>Uploads\b2d9f0b7-be42-4357-a220-90feb01a4a2b.pdf</t>
  </si>
  <si>
    <t>D3FEBFD2-0A46-4D9B-9349-71200B0E1918</t>
  </si>
  <si>
    <t>BB6C8194-AA2A-4622-B3EF-66A1E6B7E9F7</t>
  </si>
  <si>
    <t>KMSE-A03 (NOOP) Rev.0.pdf</t>
  </si>
  <si>
    <t>Uploads\bb6c8194-aa2a-4622-b3ef-66a1e6b7e9f7.pdf</t>
  </si>
  <si>
    <t>D2966566-4EA7-4472-B9B2-9A1B27F323AA</t>
  </si>
  <si>
    <t>FBAB7659-907F-4E45-87A2-81C085726D40</t>
  </si>
  <si>
    <t>216B1D51-B823-4112-96F2-625734AA56F9</t>
  </si>
  <si>
    <t>BY-415 Notice of Operations APPROVED_INTERNAL CIRCULATION.pdf</t>
  </si>
  <si>
    <t>Uploads\216b1d51-b823-4112-96f2-625734aa56f9.pdf</t>
  </si>
  <si>
    <t>1A63C583-5DC8-4D12-B02A-456CABC35D67</t>
  </si>
  <si>
    <t>4C9476C0-5CCC-49B5-A4F4-ACBE836C2EDB</t>
  </si>
  <si>
    <t>BY-415 Final Well Report_Bayan Redevelopment Project.pdf</t>
  </si>
  <si>
    <t>Uploads\4c9476c0-5ccc-49b5-a4f4-acbe836c2edb.pdf</t>
  </si>
  <si>
    <t>E4A287B7-4383-4086-946F-9F0B2F976D66</t>
  </si>
  <si>
    <t>7DB9804A-559C-4B93-BA2B-820252A41818</t>
  </si>
  <si>
    <t>9FC4A617-FE38-430B-A8CE-8D783A96FD0F</t>
  </si>
  <si>
    <t>J4 A02ST2 (WI-1) EOWR_Rev6.pdf</t>
  </si>
  <si>
    <t>Uploads\9fc4a617-fe38-430b-a8ce-8d783a96fd0f.pdf</t>
  </si>
  <si>
    <t>E0DB9E99-7B4B-4AB5-B4F6-666A484C9814</t>
  </si>
  <si>
    <t>129C7125-5AC3-434C-865B-CA06528A1E77</t>
  </si>
  <si>
    <t>J4-A02ST1 (WI-1) Well.pdf</t>
  </si>
  <si>
    <t>Uploads\129c7125-5ac3-434c-865b-ca06528a1e77.pdf</t>
  </si>
  <si>
    <t>2A7D7986-F55A-4481-A3A0-6FF3F78FED3C</t>
  </si>
  <si>
    <t>92681605-BBC7-4B7E-8521-8233625DA013</t>
  </si>
  <si>
    <t>48972337-23BD-4F73-9B6F-F62289492555</t>
  </si>
  <si>
    <t>Umbai-1 NOOP Final Signed.pdf</t>
  </si>
  <si>
    <t>Uploads\48972337-23bd-4f73-9b6f-f62289492555.pdf</t>
  </si>
  <si>
    <t>70B42FBE-987E-40FE-924A-0B188DA34002</t>
  </si>
  <si>
    <t>7B412BE9-F623-4DBD-BFA3-1350CA055866</t>
  </si>
  <si>
    <t>Umbai-1 Final Well Report Rev.1.pdf</t>
  </si>
  <si>
    <t>Uploads\7b412be9-f623-4dbd-bfa3-1350ca055866.pdf</t>
  </si>
  <si>
    <t>8A550E34-9487-4B81-9918-613C3D3D7D31</t>
  </si>
  <si>
    <t>2841AA89-F59C-4F3F-B727-82993513C8FB</t>
  </si>
  <si>
    <t>5338EBD5-B050-4043-8001-1CDDB6D79973</t>
  </si>
  <si>
    <t>D21-A12 NOOP_signed.pdf</t>
  </si>
  <si>
    <t>Uploads\5338ebd5-b050-4043-8001-1cddb6d79973.pdf</t>
  </si>
  <si>
    <t>6FE0232A-43D5-4F12-A99E-DDBB59F4467F</t>
  </si>
  <si>
    <t>43157C69-D26D-4506-9796-DD105272A7D1</t>
  </si>
  <si>
    <t>D21-A12 and A12ST1 End of Well Report.pdf</t>
  </si>
  <si>
    <t>Uploads\43157c69-d26d-4506-9796-dd105272a7d1.pdf</t>
  </si>
  <si>
    <t>DD36518B-3E94-41D1-9D49-A2E229C8D6B6</t>
  </si>
  <si>
    <t>54F0EA5E-2EE5-4656-AC18-82DA178CDB17</t>
  </si>
  <si>
    <t>8A74F908-7782-4ED2-83EC-398309F93CE4</t>
  </si>
  <si>
    <t>SKO3SRMNWS04_SRI AMAN-1 RDR-1.pdf</t>
  </si>
  <si>
    <t>Uploads\8a74f908-7782-4ed2-83ec-398309f93ce4.pdf</t>
  </si>
  <si>
    <t>0490ADFB-4D08-448B-8227-3C22ED560756</t>
  </si>
  <si>
    <t>95DAA37E-2906-40BA-A791-EC07DE56B379</t>
  </si>
  <si>
    <t>SKO3SRMNWS09_SRI AMAN-1 RDR-1.pdf</t>
  </si>
  <si>
    <t>Uploads\95daa37e-2906-40ba-a791-ec07de56b379.pdf</t>
  </si>
  <si>
    <t>5E645CEC-2FCC-483D-A0DE-1A34168A7B2E</t>
  </si>
  <si>
    <t>8BA9223F-986D-4D1A-A0C0-82E8E6D88AA9</t>
  </si>
  <si>
    <t>6142C9BB-CD61-4A81-80DF-E149329E58BA</t>
  </si>
  <si>
    <t>D35C-301ST1 Well NOOP_Final.pdf</t>
  </si>
  <si>
    <t>Uploads\6142c9bb-cd61-4a81-80df-e149329e58ba.pdf</t>
  </si>
  <si>
    <t>70FD3C22-D27F-4BB6-8C5D-A68E9F88637C</t>
  </si>
  <si>
    <t>A22E64C4-AC68-4548-A814-0D2BAE271A1E</t>
  </si>
  <si>
    <t>D35C-301ST1 End Of Well Report.pdf</t>
  </si>
  <si>
    <t>Uploads\a22e64c4-ac68-4548-a814-0d2bae271a1e.pdf</t>
  </si>
  <si>
    <t>E18294FF-B9AD-443B-ABDA-8A052F59A4A9</t>
  </si>
  <si>
    <t>791C9D9F-CC29-4BF3-A214-832545F0FE36</t>
  </si>
  <si>
    <t>7EE9EE57-06F3-4FB5-A655-C5C56529A462</t>
  </si>
  <si>
    <t>Tabu A17ST1 Final Well Report.pdf</t>
  </si>
  <si>
    <t>Uploads\7ee9ee57-06f3-4fb5-a655-c5c56529a462.pdf</t>
  </si>
  <si>
    <t>3E20079D-548A-4C0E-B1FB-7EF4385FB7EC</t>
  </si>
  <si>
    <t>FD59788A-9BB2-4060-B847-2D30C2573277</t>
  </si>
  <si>
    <t>Tabu A17ST1 Slot 4 NOOP.pdf</t>
  </si>
  <si>
    <t>Uploads\fd59788a-9bb2-4060-b847-2d30c2573277.pdf</t>
  </si>
  <si>
    <t>D03D9FEE-845F-4F09-A676-7FE6BB5F8FA6</t>
  </si>
  <si>
    <t>E614CF30-94FD-4EA3-ADF8-8355B9CC2118</t>
  </si>
  <si>
    <t>71B102D5-F364-46A4-A8E4-9956DC2FE01D</t>
  </si>
  <si>
    <t>Sumandak Selatan B04 ST2 FWR 7 Nov 2018.pdf</t>
  </si>
  <si>
    <t>Uploads\71b102d5-f364-46a4-a8e4-9956dc2fe01d.pdf</t>
  </si>
  <si>
    <t>621C9A12-4E72-49E0-9F27-4EDFD596F885</t>
  </si>
  <si>
    <t>4594D944-1C19-4C5C-8102-7A9E1B11ED90</t>
  </si>
  <si>
    <t>Sumandak Selatan B04ST1 NOOP (Final).pdf</t>
  </si>
  <si>
    <t>Uploads\4594d944-1c19-4c5c-8102-7a9e1b11ed90.pdf</t>
  </si>
  <si>
    <t>8D74098B-9E0C-4ED4-A8C9-7E9123C0656C</t>
  </si>
  <si>
    <t>ABE2D23E-64E1-4EC4-B301-8355EE1DEB14</t>
  </si>
  <si>
    <t>2CF75481-271B-4C56-B24F-7DAB5F19D07E</t>
  </si>
  <si>
    <t>PMO3BKWAGL72_REPSOL_BKC-03ST2_NOOP.pdf</t>
  </si>
  <si>
    <t>Uploads\2cf75481-271b-4c56-b24f-7dab5f19d07e.pdf</t>
  </si>
  <si>
    <t>1A2C0242-6DCF-41A4-8E40-BB2CD889958C</t>
  </si>
  <si>
    <t>6237CA1B-3819-4418-8496-E770758B3626</t>
  </si>
  <si>
    <t>BKC-3ST2 (D) EOWR.pdf</t>
  </si>
  <si>
    <t>Uploads\6237ca1b-3819-4418-8496-e770758b3626.pdf</t>
  </si>
  <si>
    <t>D97A88FE-686C-4C05-9447-E5B852DBD81C</t>
  </si>
  <si>
    <t>CD3A5F6E-E8EB-47DB-92AB-8365CE81B175</t>
  </si>
  <si>
    <t>F2F90E2A-C611-4AFC-B438-4F208CA668C5</t>
  </si>
  <si>
    <t>PMO3BANGWS05_BANANG-B1.pdf</t>
  </si>
  <si>
    <t>Uploads\f2f90e2a-c611-4afc-b438-4f208ca668c5.pdf</t>
  </si>
  <si>
    <t>E6C2C002-207E-4AC2-B7F8-471DBC4528F9</t>
  </si>
  <si>
    <t>428C8961-12E1-47A0-B419-BBC375E9AA47</t>
  </si>
  <si>
    <t>PMO3BANGWS07_BANANG_B1.pdf</t>
  </si>
  <si>
    <t>Uploads\428c8961-12e1-47a0-b419-bbc375e9aa47.pdf</t>
  </si>
  <si>
    <t>13B6819F-F409-4674-B21B-09A31B2A62D2</t>
  </si>
  <si>
    <t>D2F3DE86-AE2E-421F-94A5-83CA69C03D90</t>
  </si>
  <si>
    <t>E39AA16A-EB31-4096-8E5A-8787C5B5F346</t>
  </si>
  <si>
    <t>Uploads\e39aa16a-eb31-4096-8e5a-8787c5b5f346.pdf</t>
  </si>
  <si>
    <t>C0CC67B9-4E30-4CD5-B643-0F23481BE2AB</t>
  </si>
  <si>
    <t>BA790C0E-6F70-4CED-A887-CC342CC02704</t>
  </si>
  <si>
    <t>SapuraOMV SK408 Jerun-A5 Final Well Report.pdf</t>
  </si>
  <si>
    <t>Uploads\ba790c0e-6f70-4ced-a887-cc342cc02704.pdf</t>
  </si>
  <si>
    <t>7FCBDA93-4C8D-4687-B242-3A71DF377636</t>
  </si>
  <si>
    <t>30929C62-26F4-46B1-9CD4-83E0828CDE13</t>
  </si>
  <si>
    <t>D040D16A-9EF1-4521-AA54-EF1EB1BA1073</t>
  </si>
  <si>
    <t>BTR-C3 NOOP (DWP).pdf</t>
  </si>
  <si>
    <t>Uploads\d040d16a-9ef1-4521-aa54-ef1eb1ba1073.pdf</t>
  </si>
  <si>
    <t>D4642E6D-6730-4EAE-8C85-FDB668B2D775</t>
  </si>
  <si>
    <t>AEA278FD-E306-47F9-BA5D-7182249FAEB6</t>
  </si>
  <si>
    <t>EOWR_BTR-C3_29_July_2024.pdf</t>
  </si>
  <si>
    <t>Uploads\aea278fd-e306-47f9-ba5d-7182249faeb6.pdf</t>
  </si>
  <si>
    <t>4D291124-4DF0-40A6-8F98-F7BD05683D2A</t>
  </si>
  <si>
    <t>D00567E0-F467-4915-AAC4-83EF045A986B</t>
  </si>
  <si>
    <t>E32ABEA0-5402-439A-87DF-8C95E6BC54E6</t>
  </si>
  <si>
    <t>SAMARANG-B122 NOOP.pdf</t>
  </si>
  <si>
    <t>Uploads\e32abea0-5402-439a-87df-8c95e6bc54e6.pdf</t>
  </si>
  <si>
    <t>3BD13518-09A2-4DC5-914E-0BF5638F93BF</t>
  </si>
  <si>
    <t>9C249552-9E3B-4089-BEBC-AB2B5D127CAF</t>
  </si>
  <si>
    <t>SAMARANG-B122 FWR.pdf</t>
  </si>
  <si>
    <t>Uploads\9c249552-9e3b-4089-bebc-ab2b5d127caf.pdf</t>
  </si>
  <si>
    <t>9F6ECAD5-69D7-4D29-8071-F0D0B76F3A29</t>
  </si>
  <si>
    <t>141B73DF-EC78-40D5-B0DF-842862D6594E</t>
  </si>
  <si>
    <t>3626B618-E48D-4D6D-8975-F18052CC7E91</t>
  </si>
  <si>
    <t>BAKAU-A08 NOOP.pdf</t>
  </si>
  <si>
    <t>Uploads\3626b618-e48d-4d6d-8975-f18052cc7e91.pdf</t>
  </si>
  <si>
    <t>1B6BE4F3-E100-40E4-B215-C37FF570C89D</t>
  </si>
  <si>
    <t>5224FF07-8224-4E74-ABB5-AB3A708CCB92</t>
  </si>
  <si>
    <t>BK-A08 FWR Final V1.pdf</t>
  </si>
  <si>
    <t>Uploads\5224ff07-8224-4e74-abb5-ab3a708ccb92.pdf</t>
  </si>
  <si>
    <t>99B45B56-DC32-451E-A18E-B9F686A64E66</t>
  </si>
  <si>
    <t>0D0D3337-D543-4333-A338-8474D276B4D2</t>
  </si>
  <si>
    <t>49D1B87A-ADD2-4848-9A3C-BC0081358753</t>
  </si>
  <si>
    <t>J4 A06ST1 (U) EOWR_Rev6.pdf</t>
  </si>
  <si>
    <t>Uploads\49d1b87a-add2-4848-9a3c-bc0081358753.pdf</t>
  </si>
  <si>
    <t>BC21FF75-91B4-44DC-8258-2B0B712BAD83</t>
  </si>
  <si>
    <t>9D91B514-9EB5-49F9-87BB-DEB4503967D2</t>
  </si>
  <si>
    <t>J4-A06ST1 (U) Well.pdf</t>
  </si>
  <si>
    <t>Uploads\9d91b514-9eb5-49f9-87bb-deb4503967d2.pdf</t>
  </si>
  <si>
    <t>Atikah</t>
  </si>
  <si>
    <t>0DEA1C76-6564-49EE-B428-30178729959F</t>
  </si>
  <si>
    <t>B0F8F05E-2CAF-4E66-8CF0-847C8833512E</t>
  </si>
  <si>
    <t>9619F9FE-676E-4E7D-8030-2D01744A07C2</t>
  </si>
  <si>
    <t>SeD-03ST1 Notice of Operation (NOOP) C1 Signed.pdf</t>
  </si>
  <si>
    <t>Uploads\9619f9fe-676e-4e7d-8030-2d01744a07c2.pdf</t>
  </si>
  <si>
    <t>5C77A251-1F30-4222-AA06-C814C5F7F759</t>
  </si>
  <si>
    <t>7B8D49B1-E8FA-4299-9B21-F25F0E886948</t>
  </si>
  <si>
    <t>Final Well Report SeD-03ST_1_2_3 Development Well Final (1).pdf</t>
  </si>
  <si>
    <t>Uploads\7b8d49b1-e8fa-4299-9b21-f25f0e886948.pdf</t>
  </si>
  <si>
    <t>02566EA0-EF8F-4860-B5AE-3CDA17A3AD95</t>
  </si>
  <si>
    <t>2DEA387B-F291-44FA-BBCC-850BFEE48CC8</t>
  </si>
  <si>
    <t>GK-P516A</t>
  </si>
  <si>
    <t>E0E93FA6-26CC-4E6C-8E27-74955D450C3B</t>
  </si>
  <si>
    <t>GK P516A EOWR rev1.pdf</t>
  </si>
  <si>
    <t>Uploads\e0e93fa6-26cc-4e6c-8e27-74955d450c3b.pdf</t>
  </si>
  <si>
    <t>10AD0A37-DAD4-4A5E-895E-8F81CDDC5565</t>
  </si>
  <si>
    <t>4571B383-0F8A-4A7E-9BEF-AC329B3548AA</t>
  </si>
  <si>
    <t>GK-P516A NOOP.pdf</t>
  </si>
  <si>
    <t>Uploads\4571b383-0f8a-4a7e-9bef-ac329b3548aa.pdf</t>
  </si>
  <si>
    <t>2C5112DA-61CC-4368-89A1-9AA2E3BCB6C4</t>
  </si>
  <si>
    <t>2399ACD5-908C-40A6-BC43-852E8445E651</t>
  </si>
  <si>
    <t>EBC5C3F3-12EE-4BB2-B594-F512CF39FC58</t>
  </si>
  <si>
    <t>Dulang C03 ST1 FWR.pdf</t>
  </si>
  <si>
    <t>Uploads\ebc5c3f3-12ee-4bb2-b594-f512cf39fc58.pdf</t>
  </si>
  <si>
    <t>B1FF9FA5-F902-4BA3-B7C8-2F01F4ED62AD</t>
  </si>
  <si>
    <t>B6C876AD-4385-446D-AC0E-BEF10828306F</t>
  </si>
  <si>
    <t>PMO3DULGGL81_DULANG_C03.pdf</t>
  </si>
  <si>
    <t>Uploads\b6c876ad-4385-446d-ac0e-bef10828306f.pdf</t>
  </si>
  <si>
    <t>502D60C4-166D-4E0A-9A7B-1E32287C0890</t>
  </si>
  <si>
    <t>A1B852F1-E069-411A-A488-8618A31BC6AB</t>
  </si>
  <si>
    <t>185920F9-5E99-4EA5-9D3A-1B4CDEDD65EF</t>
  </si>
  <si>
    <t>BKG-A1 EOWR.pdf</t>
  </si>
  <si>
    <t>Uploads\185920f9-5e99-4ea5-9d3a-1b4cdedd65ef.pdf</t>
  </si>
  <si>
    <t>5DF9F214-0A1C-4F64-8B72-0E9D2621C77D</t>
  </si>
  <si>
    <t>476E4A0C-F36A-496A-9543-CB925DDB603F</t>
  </si>
  <si>
    <t>BKG-A1 NOOP.pdf</t>
  </si>
  <si>
    <t>Uploads\476e4a0c-f36a-496a-9543-cb925ddb603f.pdf</t>
  </si>
  <si>
    <t>06DED216-B6BB-4447-88A4-88E9AE1FA9D3</t>
  </si>
  <si>
    <t>197FFF5B-4F99-43B7-97E9-8645BD0A70B4</t>
  </si>
  <si>
    <t>ED78D0D9-7785-4100-9FD2-4D611041BBD9</t>
  </si>
  <si>
    <t>BRWA-19 (NOOP) _final_to MPM.pdf</t>
  </si>
  <si>
    <t>Uploads\ed78d0d9-7785-4100-9fd2-4d611041bbd9.pdf</t>
  </si>
  <si>
    <t>4E8DC3C0-9028-4A92-B347-F4BA3B28620E</t>
  </si>
  <si>
    <t>0290BBDC-563D-4F41-B5FA-700F91742E24</t>
  </si>
  <si>
    <t>BRWA-19 End of Well Report_RevB signed by FA.pdf</t>
  </si>
  <si>
    <t>Uploads\0290bbdc-563d-4f41-b5fa-700f91742e24.pdf</t>
  </si>
  <si>
    <t>7DD768AD-7881-4086-8B81-72B3BC9D3EC1</t>
  </si>
  <si>
    <t>4F9E2A11-9A48-435E-9A82-8688AA6E0AD5</t>
  </si>
  <si>
    <t>0F28A0DA-E3DF-4AFB-8A02-142FBA74F9CB</t>
  </si>
  <si>
    <t>[INTERNAL] Notice of Operations (NOOP)_Shallow Clastics E11SC-5ST1.pdf</t>
  </si>
  <si>
    <t>Uploads\0f28a0da-e3df-4afb-8a02-142fba74f9cb.pdf</t>
  </si>
  <si>
    <t>07739407-853A-4C55-AE86-8C2348AECEC7</t>
  </si>
  <si>
    <t>2349E127-E9A1-4C62-9955-F2EC0CBDF6A9</t>
  </si>
  <si>
    <t>FWR E11SC-5ST1 (MAIN BODY).pdf</t>
  </si>
  <si>
    <t>Uploads\2349e127-e9a1-4c62-9955-f2ec0cbdf6a9.pdf</t>
  </si>
  <si>
    <t>20FCFF81-3646-4FE5-80ED-A5F6FCB2D292</t>
  </si>
  <si>
    <t>0ABE868B-262F-4FF4-8159-86EAFDC05A31</t>
  </si>
  <si>
    <t>C7ED9A16-1648-4280-A4F2-918C4DD7ADB6</t>
  </si>
  <si>
    <t>Bunga Kamanju-1RDR1_NOOP_Rev2.pdf</t>
  </si>
  <si>
    <t>Uploads\c7ed9a16-1648-4280-a4f2-918c4dd7adb6.pdf</t>
  </si>
  <si>
    <t>808208C5-BADA-45C2-9B33-D430B41D3EA5</t>
  </si>
  <si>
    <t>5FA5AFD2-444C-421E-A084-41C211634DB8</t>
  </si>
  <si>
    <t>PMO3BKMJDR04_BUNGA_KAMANJU_1_RDR1.pdf</t>
  </si>
  <si>
    <t>Uploads\5fa5afd2-444c-421e-a084-41c211634db8.pdf</t>
  </si>
  <si>
    <t>35A22AF6-ECBC-4BA6-9CAB-BFAA477D2517</t>
  </si>
  <si>
    <t>9AFA6546-492F-4AFA-90EF-874D545E4786</t>
  </si>
  <si>
    <t>CB945502-80C6-4F2D-9EED-314A9220D57A</t>
  </si>
  <si>
    <t>BO-402 NOOP  SIGNED (1).pdf</t>
  </si>
  <si>
    <t>Uploads\cb945502-80c6-4f2d-9eed-314a9220d57a.pdf</t>
  </si>
  <si>
    <t>C0C858B7-B737-4D76-937C-7E9B78C15B53</t>
  </si>
  <si>
    <t>06DBD3C6-BBD4-4F2A-ADAC-33CC07255656</t>
  </si>
  <si>
    <t>Final Well Report BO-402.pdf</t>
  </si>
  <si>
    <t>Uploads\06dbd3c6-bbd4-4f2a-adac-33cc07255656.pdf</t>
  </si>
  <si>
    <t>78765E4A-982D-48BD-8D00-F0E99B02A18B</t>
  </si>
  <si>
    <t>C14648FF-A417-415A-8364-879A33190C9C</t>
  </si>
  <si>
    <t>ADE2146D-D62D-4565-90AD-6F7A3D476778</t>
  </si>
  <si>
    <t>MLK-118 Pink East OP - NOOP v2.pdf</t>
  </si>
  <si>
    <t>Uploads\ade2146d-d62d-4565-90ad-6f7a3d476778.pdf</t>
  </si>
  <si>
    <t>6E9C409E-69F4-4A4D-93E7-EE21F9938924</t>
  </si>
  <si>
    <t>8CD9A5C3-21FD-4683-A7FB-1AC92C6390B6</t>
  </si>
  <si>
    <t>EOWR Malikai-118 FINAL.pdf</t>
  </si>
  <si>
    <t>Uploads\8cd9a5c3-21fd-4683-a7fb-1ac92c6390b6.pdf</t>
  </si>
  <si>
    <t>46EA4FB5-0C5C-4B8C-BB38-B95EE8F9ECB2</t>
  </si>
  <si>
    <t>8AD6428C-B59C-4989-BA66-87AD503205DC</t>
  </si>
  <si>
    <t>B70510C3-5E83-46A7-9D45-F5966AB6DDFA</t>
  </si>
  <si>
    <t>WD1-REP-D-0003_WD-A09ST1 Final Well Report.pdf</t>
  </si>
  <si>
    <t>Uploads\b70510c3-5e83-46a7-9d45-f5966ab6ddfa.pdf</t>
  </si>
  <si>
    <t>B35D0967-1F94-470F-B629-0EA09176A94F</t>
  </si>
  <si>
    <t>7222E56C-0549-4863-9CEB-039757EF9C40</t>
  </si>
  <si>
    <t>211127_WD1-GEN-D-0012 NOOP WELL WD-A09ST1_rev00-SFR-Signed_DS.pdf</t>
  </si>
  <si>
    <t>Uploads\7222e56c-0549-4863-9ceb-039757ef9c40.pdf</t>
  </si>
  <si>
    <t>3DFBDF81-C423-4097-AC9F-8C88197DB853</t>
  </si>
  <si>
    <t>B2C180B9-31FB-4931-8020-88AB333A57C8</t>
  </si>
  <si>
    <t>C8551F40-094B-4C44-A631-019E4C27E88A</t>
  </si>
  <si>
    <t>SBO3KNBLGL64_KN_B3.pdf</t>
  </si>
  <si>
    <t>Uploads\c8551f40-094b-4c44-a631-019e4c27e88a.pdf</t>
  </si>
  <si>
    <t>0F81990A-8BE5-4C05-821E-9242F33A384F</t>
  </si>
  <si>
    <t>D8FA1946-2D79-44CA-A44E-179FFD1B0102</t>
  </si>
  <si>
    <t>SBO3KNBLWS3W_KN_B3.pdf</t>
  </si>
  <si>
    <t>Uploads\d8fa1946-2d79-44ca-a44e-179ffd1b0102.pdf</t>
  </si>
  <si>
    <t>2E3EF6E2-DE70-430F-B55E-79810F538E6D</t>
  </si>
  <si>
    <t>CC942116-E8F1-43AE-A8DD-895CB63D4E38</t>
  </si>
  <si>
    <t>75C7505A-AB45-4D48-9FD2-FCDDD9F7176F</t>
  </si>
  <si>
    <t>BEKOK A-01 ST2 EOWR.pdf</t>
  </si>
  <si>
    <t>Uploads\75c7505a-ab45-4d48-9fd2-fcddd9f7176f.pdf</t>
  </si>
  <si>
    <t>1CD14CA0-DCB6-44CB-9A67-6C014C485CD6</t>
  </si>
  <si>
    <t>FC58ED80-81EA-44BD-8DDC-0C3998722F83</t>
  </si>
  <si>
    <t>BEKOK-A01ST2 NOOP.pdf</t>
  </si>
  <si>
    <t>Uploads\fc58ed80-81ea-44bd-8ddc-0c3998722f83.pdf</t>
  </si>
  <si>
    <t>5B52EC13-A474-414D-B60B-6A8E6DD7C316</t>
  </si>
  <si>
    <t>5F99113F-DD29-40C4-A750-8990C590D1B2</t>
  </si>
  <si>
    <t>6298578F-2A4F-4F2B-B445-DC2BD72E675F</t>
  </si>
  <si>
    <t>PMO3TNGBGL13_TNGB-A4_PCSB_NOOP.pdf</t>
  </si>
  <si>
    <t>Uploads\6298578f-2a4f-4f2b-b445-dc2bd72e675f.pdf</t>
  </si>
  <si>
    <t>E2500904-9045-4655-85EB-196DB7D330D8</t>
  </si>
  <si>
    <t>F3F9E098-6D35-49B8-9E77-6F547A9D1EBF</t>
  </si>
  <si>
    <t>TANGGA BARAT-A04ST1 FWR.pdf</t>
  </si>
  <si>
    <t>Uploads\f3f9e098-6d35-49b8-9e77-6f547a9d1ebf.pdf</t>
  </si>
  <si>
    <t>B72241C6-2B15-479B-94B2-91C135EAF06D</t>
  </si>
  <si>
    <t>934A2765-3A3B-42A8-BB00-899C6A714D05</t>
  </si>
  <si>
    <t>10046216-7D58-43BE-A6C8-C1FDCDBF9061</t>
  </si>
  <si>
    <t>SKO3CERIWS02_CERI_1.pdf</t>
  </si>
  <si>
    <t>Uploads\10046216-7d58-43be-a6c8-c1fdcdbf9061.pdf</t>
  </si>
  <si>
    <t>FDAF9640-AC0C-4468-BF5C-B396AFF808EB</t>
  </si>
  <si>
    <t>2E7D60B8-E51B-47B2-BCA8-9E8ED85E48E9</t>
  </si>
  <si>
    <t>CERI-1 FWR-rev 1.0e.pdf</t>
  </si>
  <si>
    <t>Uploads\2e7d60b8-e51b-47b2-bca8-9e8ed85e48e9.pdf</t>
  </si>
  <si>
    <t>29B3D807-B5DF-48E9-AB98-6F75B4E6D754</t>
  </si>
  <si>
    <t>424BAD9F-1FE9-4669-BAB3-89C9D3FDA034</t>
  </si>
  <si>
    <t>4AFDED44-E757-4F45-AC10-808C934367F7</t>
  </si>
  <si>
    <t>Pepulut-1_NOOP FINAL.pdf</t>
  </si>
  <si>
    <t>Uploads\4afded44-e757-4f45-ac10-808c934367f7.pdf</t>
  </si>
  <si>
    <t>D5D2B689-6962-4C06-A03F-3354DF6A9C3E</t>
  </si>
  <si>
    <t>E10F46B6-59BE-4F03-BB1D-84EF92D8D114</t>
  </si>
  <si>
    <t>Pepulut 1 End of Well Report.pdf</t>
  </si>
  <si>
    <t>Uploads\e10f46b6-59be-4f03-bb1d-84ef92d8d114.pdf</t>
  </si>
  <si>
    <t>7D30EF25-D336-4060-9056-6D429AB7A54E</t>
  </si>
  <si>
    <t>A4126F47-96E4-4A4F-BE47-89DB2E41F32B</t>
  </si>
  <si>
    <t>2C6134ED-EB6A-4E3A-BB3B-5738537CA8DD</t>
  </si>
  <si>
    <t>PRPA 1,2,3,4,5 PERMAS REVISIT 1 PHASE 2 NOOP_Rev 0.pdf</t>
  </si>
  <si>
    <t>Uploads\2c6134ed-eb6a-4e3a-bb3b-5738537ca8dd.pdf</t>
  </si>
  <si>
    <t>C92CC3AD-83E6-4AD3-9F7F-C891A8E53C22</t>
  </si>
  <si>
    <t>D87E6D62-3D9E-43A6-887E-43F493543FE6</t>
  </si>
  <si>
    <t>PRPA-03 EOWR.pdf</t>
  </si>
  <si>
    <t>Uploads\d87e6d62-3d9e-43a6-887e-43f493543fe6.pdf</t>
  </si>
  <si>
    <t>D4D0D806-5FD2-4415-AA53-A54BE8148D64</t>
  </si>
  <si>
    <t>A0261E31-EB1E-4E75-945D-8A1CD64A5CB9</t>
  </si>
  <si>
    <t>267AD0BA-F0D0-4351-8E1F-D8767561A67D</t>
  </si>
  <si>
    <t>BOKOR-F605 FINAL rev2.0 SIGNED NOOP.pdf</t>
  </si>
  <si>
    <t>Uploads\267ad0ba-f0d0-4351-8e1f-d8767561a67d.pdf</t>
  </si>
  <si>
    <t>A44D1372-D77C-491A-A740-22DB489CD106</t>
  </si>
  <si>
    <t>DFDE8CA7-7EA4-4472-AC90-C149FF837F75</t>
  </si>
  <si>
    <t>Final Well Report (FWR) BOKOR-F605ST1 FINAL APPROVED.pdf</t>
  </si>
  <si>
    <t>Uploads\dfde8ca7-7ea4-4472-ac90-c149ff837f75.pdf</t>
  </si>
  <si>
    <t>4E8DB63C-C6A4-47A0-9FEF-8F0A830315E6</t>
  </si>
  <si>
    <t>994CF932-A135-4751-9CF7-8AB3E4B6A570</t>
  </si>
  <si>
    <t>2A2B5F84-CE14-4A26-922D-6093C44A5E0F</t>
  </si>
  <si>
    <t>Bunga Andong-1 NOOP.pdf</t>
  </si>
  <si>
    <t>Uploads\2a2b5f84-ce14-4a26-922d-6093c44a5e0f.pdf</t>
  </si>
  <si>
    <t>374EA8AA-DAD4-4947-988F-FC009DB4685F</t>
  </si>
  <si>
    <t>9DBAEA26-7B05-4003-8574-A2C97F0C1D27</t>
  </si>
  <si>
    <t>Bunga Andong-1 n ST1 EoWR.pdf</t>
  </si>
  <si>
    <t>Uploads\9dbaea26-7b05-4003-8574-a2c97f0c1d27.pdf</t>
  </si>
  <si>
    <t>5EDF19FA-F420-4A3F-BF1C-B7FF416CF198</t>
  </si>
  <si>
    <t>F67379D4-8F74-44B2-9456-8BA46FC49F73</t>
  </si>
  <si>
    <t>BB2E4629-ED70-4B8F-B2A5-58606E451219</t>
  </si>
  <si>
    <t>BY-414 Final Well Report_Bayan Redevelopment Project.pdf</t>
  </si>
  <si>
    <t>Uploads\bb2e4629-ed70-4b8f-b2a5-58606e451219.pdf</t>
  </si>
  <si>
    <t>FC3CBDB0-FA50-4839-97DC-A795B204D44C</t>
  </si>
  <si>
    <t>8722C501-593F-47A4-8259-2D2FC1875563</t>
  </si>
  <si>
    <t>BY-414 Notice of Operations APPROVED_INTERNAL COPY.pdf</t>
  </si>
  <si>
    <t>Uploads\8722c501-593f-47a4-8259-2d2fc1875563.pdf</t>
  </si>
  <si>
    <t>5CCAC90F-0807-4F59-AAC5-B298493ACB87</t>
  </si>
  <si>
    <t>5F76C581-8DD3-4AEA-B931-8BE3065D2DA3</t>
  </si>
  <si>
    <t>022CD0BD-AB7D-43F7-B786-F39160B4A712</t>
  </si>
  <si>
    <t>WD-A17ST1 - PML-PR-D-0002 NOOP.pdf</t>
  </si>
  <si>
    <t>Uploads\022cd0bd-ab7d-43f7-b786-f39160b4a712.pdf</t>
  </si>
  <si>
    <t>C06F713D-58BF-4BA2-9DA5-B913B3DC2B57</t>
  </si>
  <si>
    <t>69F3CD60-D2D1-4B0C-B540-861DAA402183</t>
  </si>
  <si>
    <t>WD-A17ST1 Final Well Report.pdf</t>
  </si>
  <si>
    <t>Uploads\69f3cd60-d2d1-4b0c-b540-861daa402183.pdf</t>
  </si>
  <si>
    <t>C5EF6262-310B-4626-A9B2-6DF67B75F491</t>
  </si>
  <si>
    <t>6F0A97BB-690A-4D90-A1D9-8C4109A0E5C3</t>
  </si>
  <si>
    <t>B3E48504-0A1E-4952-9E95-A995972EFBE7</t>
  </si>
  <si>
    <t>BEKOK A10SR1 EOWR Signed.pdf</t>
  </si>
  <si>
    <t>Uploads\b3e48504-0a1e-4952-9e95-a995972efbe7.pdf</t>
  </si>
  <si>
    <t>93C21189-335B-4D61-BD6F-39111DE5362F</t>
  </si>
  <si>
    <t>214E2FAF-B13E-4197-976C-A8F337451CB7</t>
  </si>
  <si>
    <t>BEKOK-A10SR1 NOOP.pdf</t>
  </si>
  <si>
    <t>Uploads\214e2faf-b13e-4197-976c-a8f337451cb7.pdf</t>
  </si>
  <si>
    <t>F3B2FE73-2AC4-4648-B603-20E0B02B2E2A</t>
  </si>
  <si>
    <t>CB8BB571-BC29-460D-998F-8D003909A3C4</t>
  </si>
  <si>
    <t>C553FB2C-258A-415F-B703-7B54040B4E4A</t>
  </si>
  <si>
    <t>Zoisit-1 End of Well Report.pdf</t>
  </si>
  <si>
    <t>Uploads\c553fb2c-258a-415f-b703-7b54040b4e4a.pdf</t>
  </si>
  <si>
    <t>3BB14718-7F3C-48F1-963F-8DE68F8C4954</t>
  </si>
  <si>
    <t>F278BB32-5BDE-472B-BD4C-FC42CB798214</t>
  </si>
  <si>
    <t>ZOISIT-1 NOOP rev 0.0.pdf</t>
  </si>
  <si>
    <t>Uploads\f278bb32-5bde-472b-bd4c-fc42cb798214.pdf</t>
  </si>
  <si>
    <t>8C142B3C-A8CC-4147-A30A-3260A76CB836</t>
  </si>
  <si>
    <t>A570A8A1-A852-4A6B-8DC6-8D0B918E713D</t>
  </si>
  <si>
    <t>F0C95A14-686B-4407-890E-03F5E0B8E298</t>
  </si>
  <si>
    <t>SBO3TMPRWS06_TAMPARULI_1.pdf</t>
  </si>
  <si>
    <t>Uploads\f0c95a14-686b-4407-890e-03f5e0b8e298.pdf</t>
  </si>
  <si>
    <t>E7EF539F-3716-4D15-86C6-46DDB52062E3</t>
  </si>
  <si>
    <t>5309EEA4-6279-4F7A-8E5F-40B5A65694D6</t>
  </si>
  <si>
    <t>SBO3TMPRWS04_TAMPARULI_1.pdf</t>
  </si>
  <si>
    <t>Uploads\5309eea4-6279-4f7a-8e5f-40b5a65694d6.pdf</t>
  </si>
  <si>
    <t>AC820C42-B3AC-4480-B669-12FA60F4105D</t>
  </si>
  <si>
    <t>6AED283B-835B-4A6E-8ED4-8E103B48B4E9</t>
  </si>
  <si>
    <t>CF3F5364-D5EA-4C1B-B3A8-76A4961D5FDB</t>
  </si>
  <si>
    <t>SBO3AZITWS01_AZURIT-1_COP_NOOP.pdf</t>
  </si>
  <si>
    <t>Uploads\cf3f5364-d5ea-4c1b-b3a8-76a4961d5fdb.pdf</t>
  </si>
  <si>
    <t>D60A2F9A-66EC-439F-9FAC-0400FDF20301</t>
  </si>
  <si>
    <t>29B4E11C-4D14-4B8D-94EA-AEDEEF70037E</t>
  </si>
  <si>
    <t>SBO3AZITWS03_AZURIT-1_COP.pdf</t>
  </si>
  <si>
    <t>Uploads\29b4e11c-4d14-4b8d-94ea-aedeef70037e.pdf</t>
  </si>
  <si>
    <t>60D50F94-F3CC-45A9-810F-0B0D42945D17</t>
  </si>
  <si>
    <t>EE37C929-38A0-4208-AFE2-8E65B50456F1</t>
  </si>
  <si>
    <t>88B2173A-68CD-4493-A9E6-D3BBB0F4B451</t>
  </si>
  <si>
    <t>PMO3WDESWS45_WD-A12.pdf</t>
  </si>
  <si>
    <t>Uploads\88b2173a-68cd-4493-a9e6-d3bbb0f4b451.pdf</t>
  </si>
  <si>
    <t>059BC72F-6CD9-437C-AD95-544BD5AC258D</t>
  </si>
  <si>
    <t>492F0A59-B135-447E-A9FD-8ABAEABC6353</t>
  </si>
  <si>
    <t>3. WD-A12 NOOP.pdf</t>
  </si>
  <si>
    <t>Uploads\492f0a59-b135-447e-a9fd-8abaeabc6353.pdf</t>
  </si>
  <si>
    <t>EE0BA6A6-C881-4585-A09C-099F48C782AE</t>
  </si>
  <si>
    <t>33F7CF62-4DE0-4C70-9740-8ED197254823</t>
  </si>
  <si>
    <t>27DC28A4-C79A-479E-AEE8-B9FFCC2CD137</t>
  </si>
  <si>
    <t>OPHIR-A2 EOWR [FINAL].pdf</t>
  </si>
  <si>
    <t>Uploads\27dc28a4-c79a-479e-aee8-b9ffcc2cd137.pdf</t>
  </si>
  <si>
    <t>F5DB94D3-67CC-4A58-9043-1DBE056776F2</t>
  </si>
  <si>
    <t>576FD841-A8B2-40A7-9737-DE9B7C5BAF5D</t>
  </si>
  <si>
    <t>NOOP Ophir-A2 well.pdf</t>
  </si>
  <si>
    <t>Uploads\576fd841-a8b2-40a7-9737-de9b7c5baf5d.pdf</t>
  </si>
  <si>
    <t>AD49411C-BDBB-4339-BC3B-03756064C082</t>
  </si>
  <si>
    <t>DD41D6B0-347E-4520-B415-8ED200BD2F78</t>
  </si>
  <si>
    <t>53264BB0-99F2-4BC4-AEFA-CC49F3BFF962</t>
  </si>
  <si>
    <t>SBO3KNDWWS6073_KNDW_D08ST1.pdf</t>
  </si>
  <si>
    <t>Uploads\53264bb0-99f2-4bc4-aefa-cc49f3bff962.pdf</t>
  </si>
  <si>
    <t>BCE6BA40-442E-469D-BFDA-84D51EB084AD</t>
  </si>
  <si>
    <t>FEDAD9CC-27A4-47B9-9D01-BD3B20F1E473</t>
  </si>
  <si>
    <t>EOWR D08ST1_Final.pdf</t>
  </si>
  <si>
    <t>Uploads\fedad9cc-27a4-47b9-9d01-bd3b20f1e473.pdf</t>
  </si>
  <si>
    <t>20000A64-0B4D-4593-B9F8-5010FD5F0DDD</t>
  </si>
  <si>
    <t>8337AC09-A7E6-4353-A0DB-8F1CFCEBB9B7</t>
  </si>
  <si>
    <t>24969DB0-4198-43B5-BCAE-D1B8AF3FA27F</t>
  </si>
  <si>
    <t>Final Well Report SeD-22ST_1 Development Well Final_Signed (1).pdf</t>
  </si>
  <si>
    <t>Uploads\24969db0-4198-43b5-bcae-d1b8af3fa27f.pdf</t>
  </si>
  <si>
    <t>26FEB1FF-B453-4196-9BAC-C4A58DCCE865</t>
  </si>
  <si>
    <t>3964C79A-4961-401E-A579-44A945B13434</t>
  </si>
  <si>
    <t>SeD-22ST1&amp;2 Notice of Operation (NOOP) C1 Signed.pdf</t>
  </si>
  <si>
    <t>Uploads\3964c79a-4961-401e-a579-44a945b13434.pdf</t>
  </si>
  <si>
    <t>9ED94ADC-01D2-40E6-9FD6-EF211B19CCA7</t>
  </si>
  <si>
    <t>E4F3091D-B498-4676-A486-8FB06721810E</t>
  </si>
  <si>
    <t>0A3E2618-C148-46C1-94B4-06231327009F</t>
  </si>
  <si>
    <t>Memali-1_Final_NOOP_MLNG Ph1 Expl_.pdf</t>
  </si>
  <si>
    <t>Uploads\0a3e2618-c148-46c1-94b4-06231327009f.pdf</t>
  </si>
  <si>
    <t>216EB0DD-527E-4C09-A8C4-8F836468F9C8</t>
  </si>
  <si>
    <t>1F3D7795-1918-40C6-A7A0-1D616C907FDB</t>
  </si>
  <si>
    <t>Memali-1-Shell MLNG Exploration_EOWR.pdf</t>
  </si>
  <si>
    <t>Uploads\1f3d7795-1918-40c6-a7a0-1d616c907fdb.pdf</t>
  </si>
  <si>
    <t>F838EE55-D98E-414D-A994-8D93454442DF</t>
  </si>
  <si>
    <t>FB7D8E0F-C0DA-4E1A-AA64-9008ACB27CA2</t>
  </si>
  <si>
    <t>5B54D29C-9142-4F82-8E48-762EFB7FC66D</t>
  </si>
  <si>
    <t>BY-312 Notice of Operations_APPROVED.pdf</t>
  </si>
  <si>
    <t>Uploads\5b54d29c-9142-4f82-8e48-762efb7fc66d.pdf</t>
  </si>
  <si>
    <t>968B8197-3AB7-4D23-8FBE-A1A4CCFC25F4</t>
  </si>
  <si>
    <t>1F968833-0982-4E56-8DA2-7BE21E15AF26</t>
  </si>
  <si>
    <t>BY-312 Final Well Report - Signed.pdf</t>
  </si>
  <si>
    <t>Uploads\1f968833-0982-4e56-8da2-7be21e15af26.pdf</t>
  </si>
  <si>
    <t>9A3FA029-0206-48FC-8A13-7AC06CDF8428</t>
  </si>
  <si>
    <t>1AC4FFB4-A3C7-4756-9190-9017D33CE30D</t>
  </si>
  <si>
    <t>70089811-7D1E-4268-BAF0-53972302DB2E</t>
  </si>
  <si>
    <t>Uploads\70089811-7d1e-4268-baf0-53972302db2e.pdf</t>
  </si>
  <si>
    <t>3DE0C39D-18DE-4E31-96CD-591FB0A6F620</t>
  </si>
  <si>
    <t>A34875AC-FBE9-446D-9607-FA5CC61A5E4B</t>
  </si>
  <si>
    <t>Uploads\a34875ac-fbe9-446d-9607-fa5cc61a5e4b.pdf</t>
  </si>
  <si>
    <t>57DA2471-4782-459D-8B34-779E1E0DBE68</t>
  </si>
  <si>
    <t>AD674FF7-D260-46E1-9F8C-902F251D21D6</t>
  </si>
  <si>
    <t>561F8ECF-6A4A-4EDB-BC37-AFAC999F5590</t>
  </si>
  <si>
    <t>SK410B_Lang_Lebah-3_EOWR (2 May 2024).pdf</t>
  </si>
  <si>
    <t>Uploads\561f8ecf-6a4a-4edb-bc37-afac999f5590.pdf</t>
  </si>
  <si>
    <t>30240E11-8C74-43EB-AB68-D5BAF3497F9B</t>
  </si>
  <si>
    <t>65F05B8D-F245-447E-A125-8C00A1EBE521</t>
  </si>
  <si>
    <t>Lang Lebah-3 NOOP (FINAL Rev)_21Aug23.pdf</t>
  </si>
  <si>
    <t>Uploads\65f05b8d-f245-447e-a125-8c00a1ebe521.pdf</t>
  </si>
  <si>
    <t>FF7AEB2B-867D-47DF-BFA4-278AD8EF7356</t>
  </si>
  <si>
    <t>B3A213C2-7B96-446B-B3E8-90606ECBB497</t>
  </si>
  <si>
    <t>CF29365B-5A10-4EB9-9136-F53B17871D7B</t>
  </si>
  <si>
    <t>MLK-122.pdf</t>
  </si>
  <si>
    <t>Uploads\cf29365b-5a10-4eb9-9136-f53b17871d7b.pdf</t>
  </si>
  <si>
    <t>A33794F3-CD72-49B6-B25B-2FBD0C817FB9</t>
  </si>
  <si>
    <t>71E6679F-5A22-497A-B860-F79B541A0BC6</t>
  </si>
  <si>
    <t>MLK-122 P414 NOOP_Rev2.pdf</t>
  </si>
  <si>
    <t>Uploads\71e6679f-5a22-497a-b860-f79b541a0bc6.pdf</t>
  </si>
  <si>
    <t>D7C4137D-0339-48A4-8883-7CFF3A7119A5</t>
  </si>
  <si>
    <t>A857C69D-809A-448B-B75D-91DF12B2D86C</t>
  </si>
  <si>
    <t>717E3FC1-D78B-4041-91C7-3F54F929007F</t>
  </si>
  <si>
    <t>PMO3SROKWS29_SEROK_7.pdf</t>
  </si>
  <si>
    <t>Uploads\717e3fc1-d78b-4041-91c7-3f54f929007f.pdf</t>
  </si>
  <si>
    <t>2373B4AB-E32B-4601-9719-EC151C1563F1</t>
  </si>
  <si>
    <t>207742E1-3FDC-484A-98D1-EECD9A70BD19</t>
  </si>
  <si>
    <t>Serok-7 NOOP final.pdf</t>
  </si>
  <si>
    <t>Uploads\207742e1-3fdc-484a-98d1-eecd9a70bd19.pdf</t>
  </si>
  <si>
    <t>AC738824-5728-4AE5-B31B-954281753B48</t>
  </si>
  <si>
    <t>65FB0E8A-53F0-4D08-A38D-91EE6E0280A0</t>
  </si>
  <si>
    <t>62DCDA09-629F-4FFB-8183-53B76ADC0C19</t>
  </si>
  <si>
    <t>SKO3RMYGGL02_REMAYONG_1.pdf</t>
  </si>
  <si>
    <t>Uploads\62dcda09-629f-4ffb-8183-53b76adc0c19.pdf</t>
  </si>
  <si>
    <t>44CE22CF-7D6C-40CB-BDD9-48DD860E448C</t>
  </si>
  <si>
    <t>1542E162-66ED-47A1-B7CD-F454AFB1C753</t>
  </si>
  <si>
    <t>SK408 REMAYONG-1 FINAL WELL REPORT FINAL.pdf</t>
  </si>
  <si>
    <t>Uploads\1542e162-66ed-47a1-b7cd-f454afb1c753.pdf</t>
  </si>
  <si>
    <t>E778D488-D19D-46CA-B582-1BD71EDCE12B</t>
  </si>
  <si>
    <t>97C443C8-C959-481D-B66D-92211C740406</t>
  </si>
  <si>
    <t>AA1CC689-BF31-4410-B063-3778772AC1CE</t>
  </si>
  <si>
    <t>DULANG-C22ST2 NOOP.pdf</t>
  </si>
  <si>
    <t>Uploads\aa1cc689-bf31-4410-b063-3778772ac1ce.pdf</t>
  </si>
  <si>
    <t>606E17D2-197C-47A0-929F-FEE1B923CA55</t>
  </si>
  <si>
    <t>D46A240A-8928-4812-A079-6CF9068AE0A4</t>
  </si>
  <si>
    <t>Dulang C22 FWR.pdf</t>
  </si>
  <si>
    <t>Uploads\d46a240a-8928-4812-a079-6cf9068ae0a4.pdf</t>
  </si>
  <si>
    <t>E1EEB8D8-37A5-4484-B51C-957A76980FBC</t>
  </si>
  <si>
    <t>256118F1-14EF-4399-AB12-92580FCC1FC8</t>
  </si>
  <si>
    <t>E570EA25-6350-40CE-9060-181F3BDC922C</t>
  </si>
  <si>
    <t>PMO3GNSRGL03_GANSAR-2_PCSB_NOOP.pdf</t>
  </si>
  <si>
    <t>Uploads\e570ea25-6350-40ce-9060-181f3bdc922c.pdf</t>
  </si>
  <si>
    <t>F92FA06B-4D78-4819-B8BA-9C06F44DFABE</t>
  </si>
  <si>
    <t>5F340BFC-820B-46BF-B2CD-92834ACEB66C</t>
  </si>
  <si>
    <t>Gansar-2 FWR (Signed with attachments).pdf</t>
  </si>
  <si>
    <t>Uploads\5f340bfc-820b-46bf-b2cd-92834aceb66c.pdf</t>
  </si>
  <si>
    <t>5C6F458D-437D-43CB-AD5F-722050707AF9</t>
  </si>
  <si>
    <t>D955FC45-8AF1-4D0C-A121-9282E4959D91</t>
  </si>
  <si>
    <t>CD7F2824-B3D3-4ABB-BBCB-B5652DFB9AE7</t>
  </si>
  <si>
    <t>PMO3BOKDGL79_BOD-26.pdf</t>
  </si>
  <si>
    <t>Uploads\cd7f2824-b3d3-4abb-bbcb-b5652dfb9ae7.pdf</t>
  </si>
  <si>
    <t>0CA61980-D80A-4E5B-A450-0F2DBCDBBCB3</t>
  </si>
  <si>
    <t>A7B1E058-2CE2-45CB-A09E-EA5F75768390</t>
  </si>
  <si>
    <t>PMO3BOKDWS1N_BOD-26.pdf</t>
  </si>
  <si>
    <t>Uploads\a7b1e058-2ce2-45cb-a09e-ea5f75768390.pdf</t>
  </si>
  <si>
    <t>33157E4D-0810-4244-A714-4FF49DC42E79</t>
  </si>
  <si>
    <t>EACFF3C9-6481-408D-907C-928CC7702A11</t>
  </si>
  <si>
    <t>6F039B5D-1FC6-4D88-AE1C-155D260FEE56</t>
  </si>
  <si>
    <t>PMO3ARGAWS04_ARENGA-1.pdf</t>
  </si>
  <si>
    <t>Uploads\6f039b5d-1fc6-4d88-ae1c-155d260fee56.pdf</t>
  </si>
  <si>
    <t>617F046D-B8BC-4228-BA8C-CE1C41750DC7</t>
  </si>
  <si>
    <t>E39398DB-DB36-4A9A-93CC-FAF37B0E7ADB</t>
  </si>
  <si>
    <t>PMO3ARGAGL03_ARENGA-1.pdf</t>
  </si>
  <si>
    <t>Uploads\e39398db-db36-4a9a-93cc-faf37b0e7adb.pdf</t>
  </si>
  <si>
    <t>AB46B689-D32C-4520-BF9C-58E43F34661C</t>
  </si>
  <si>
    <t>63968968-46C8-4FCE-955E-92F51946FE9E</t>
  </si>
  <si>
    <t>09D73BFA-4169-4152-B1CA-1E7C7FAE15FF</t>
  </si>
  <si>
    <t>PMO3ANSIWS8W_ANGSI-D16.pdf</t>
  </si>
  <si>
    <t>Uploads\09d73bfa-4169-4152-b1ca-1e7c7fae15ff.pdf</t>
  </si>
  <si>
    <t>BC732704-DD2D-4B62-8AE2-679295710A0E</t>
  </si>
  <si>
    <t>5F84826B-A2FF-468B-BA40-FAF582950C77</t>
  </si>
  <si>
    <t>PMO3ANSIWS9O_ANGSI-D16.pdf</t>
  </si>
  <si>
    <t>Uploads\5f84826b-a2ff-468b-ba40-faf582950c77.pdf</t>
  </si>
  <si>
    <t>C11C4DB2-8C91-44AF-A566-92DACC5B7855</t>
  </si>
  <si>
    <t>89209E7E-223E-472D-ADCD-93773A033805</t>
  </si>
  <si>
    <t>D97CB91A-DDED-42A2-941C-35D0246947E3</t>
  </si>
  <si>
    <t>Tabu B8ST2 Final Well Report Part 1.pdf</t>
  </si>
  <si>
    <t>Uploads\d97cb91a-dded-42a2-941c-35d0246947e3.pdf</t>
  </si>
  <si>
    <t>B6BFA427-9B8C-4D5B-98AE-B7901D368D7D</t>
  </si>
  <si>
    <t>11137A0B-40F2-492A-A414-81698BE32B50</t>
  </si>
  <si>
    <t>Tabu B8ST2 Slot 6 NOOP v0.pdf</t>
  </si>
  <si>
    <t>Uploads\11137a0b-40f2-492a-a414-81698be32b50.pdf</t>
  </si>
  <si>
    <t>670EBBBF-E7A4-4D4C-88CB-98C41AA4DF83</t>
  </si>
  <si>
    <t>4928164D-2BB0-406E-B95E-938148B5F259</t>
  </si>
  <si>
    <t>61D6F5C1-8753-4A0F-A4F4-9CA841299427</t>
  </si>
  <si>
    <t>BD2-1 FWR with Attachment_SIGNED.pdf</t>
  </si>
  <si>
    <t>Uploads\61d6f5c1-8753-4a0f-a4f4-9ca841299427.pdf</t>
  </si>
  <si>
    <t>EF8B3BA6-F0A3-4DE2-80D7-8293870D1CED</t>
  </si>
  <si>
    <t>C0BE5579-A121-4202-862A-80BF6DB05226</t>
  </si>
  <si>
    <t>Baram D2-1_INTERNAL.pdf</t>
  </si>
  <si>
    <t>Uploads\c0be5579-a121-4202-862a-80bf6db05226.pdf</t>
  </si>
  <si>
    <t>8EC666DE-175E-4773-A108-406F7F4A2D3E</t>
  </si>
  <si>
    <t>BD6AEB07-CC46-4D25-A0BA-93ADDDB6A5D9</t>
  </si>
  <si>
    <t>6422BC6E-05E3-4329-972F-BC3727F54CDC</t>
  </si>
  <si>
    <t>BN87 Petronas Final Well Report.pdf</t>
  </si>
  <si>
    <t>Uploads\6422bc6e-05e3-4329-972f-bc3727f54cdc.pdf</t>
  </si>
  <si>
    <t>2C15D839-787F-4F36-89D1-414D9D4BAE69</t>
  </si>
  <si>
    <t>76226A34-466C-461D-B0B4-80C3DE9171AF</t>
  </si>
  <si>
    <t>NOOP BN-87-FINAL.pdf</t>
  </si>
  <si>
    <t>Uploads\76226a34-466c-461d-b0b4-80c3de9171af.pdf</t>
  </si>
  <si>
    <t>DE3D7407-9ADA-4B16-BD1D-B6D262DA7B53</t>
  </si>
  <si>
    <t>31C7645D-65F8-4145-A386-93F2ECD606C8</t>
  </si>
  <si>
    <t>PESA-03</t>
  </si>
  <si>
    <t>97560BCB-4CD3-4084-936E-1F5D0B8C4437</t>
  </si>
  <si>
    <t>PESA-3 EOWR FINAL (APPROVED).pdf</t>
  </si>
  <si>
    <t>Uploads\97560bcb-4cd3-4084-936e-1f5d0b8c4437.pdf</t>
  </si>
  <si>
    <t>1BF34DD6-1C86-46AE-971B-DFF87C111B86</t>
  </si>
  <si>
    <t>BCA11C8A-8989-461E-B238-C9E96E439C90</t>
  </si>
  <si>
    <t>Pemanis PESA-1, PESA-2, PESA-3 and PESA-4 NOOP.pdf</t>
  </si>
  <si>
    <t>Uploads\bca11c8a-8989-461e-b238-c9e96e439c90.pdf</t>
  </si>
  <si>
    <t>5D8AD1A6-FD3E-4AB5-80A1-FA87BEA6E5DD</t>
  </si>
  <si>
    <t>950253F9-0CC2-4C1E-B49D-9404523730CE</t>
  </si>
  <si>
    <t>4A35B19D-9BBA-4432-8FE9-B558AA43B893</t>
  </si>
  <si>
    <t>EMPURAU-1 FWR FINAL.pdf</t>
  </si>
  <si>
    <t>Uploads\4a35b19d-9bba-4432-8fe9-b558aa43b893.pdf</t>
  </si>
  <si>
    <t>507472D7-DFA1-4824-A60E-44D1BB3CC84E</t>
  </si>
  <si>
    <t>7E4BF2EA-A30F-4B22-B38E-5D7712217902</t>
  </si>
  <si>
    <t>EMPURAU-1 NOOP Final doc.pdf</t>
  </si>
  <si>
    <t>Uploads\7e4bf2ea-a30f-4b22-b38e-5d7712217902.pdf</t>
  </si>
  <si>
    <t>9AAD7767-DD26-4741-84E2-686F17EF8C35</t>
  </si>
  <si>
    <t>0A69FDDA-64A2-4460-B736-94E36BABE479</t>
  </si>
  <si>
    <t>A9E83A08-A607-4270-AF8D-85F20EA0ADE4</t>
  </si>
  <si>
    <t>SKO3BYANWS2T_BAYAN-220_FWR_PCSB.pdf</t>
  </si>
  <si>
    <t>Uploads\a9e83a08-a607-4270-af8d-85f20ea0ade4.pdf</t>
  </si>
  <si>
    <t>FF932EA3-ACBC-47CC-8C4E-68F4C919EBE9</t>
  </si>
  <si>
    <t>2A578FAA-DDB7-4FCF-BEA6-6D468979C04F</t>
  </si>
  <si>
    <t>SKO3BYANGL10_BAYAN-220_PCSB_NOOP.pdf</t>
  </si>
  <si>
    <t>Uploads\2a578faa-ddb7-4fcf-bea6-6d468979c04f.pdf</t>
  </si>
  <si>
    <t>2099C817-B7D4-4E1A-B701-05293A27E9C0</t>
  </si>
  <si>
    <t>B8277C3E-3ED6-4BD1-9A4F-951615FB08A2</t>
  </si>
  <si>
    <t>25A89CF8-D04C-42DF-A904-FFE3C8A78119</t>
  </si>
  <si>
    <t>Lala-1RDR2 Final Well Report (without attachment).pdf</t>
  </si>
  <si>
    <t>Uploads\25a89cf8-d04c-42df-a904-ffe3c8a78119.pdf</t>
  </si>
  <si>
    <t>4D0631A1-9AA9-4241-A37F-B6E8D4C2BC4D</t>
  </si>
  <si>
    <t>3DFB3737-5D36-45E7-8570-B81E472094C7</t>
  </si>
  <si>
    <t>Lala-1RDR2 Internal_MPM.pdf</t>
  </si>
  <si>
    <t>Uploads\3dfb3737-5d36-45e7-8570-b81e472094c7.pdf</t>
  </si>
  <si>
    <t>A36BF5C2-3296-4A3D-BD6B-C622225C781B</t>
  </si>
  <si>
    <t>9F34DB30-751E-4EFA-9512-954639286F44</t>
  </si>
  <si>
    <t>E8814CD5-5F3B-4CAE-A02F-669195D4441B</t>
  </si>
  <si>
    <t>PGA-03_NOOP 20th Apr 2020.pdf</t>
  </si>
  <si>
    <t>Uploads\e8814cd5-5f3b-4cae-a02f-669195d4441b.pdf</t>
  </si>
  <si>
    <t>5FBA45D2-A8CC-4FF3-8C99-3028EF75D9C3</t>
  </si>
  <si>
    <t>58D4F4B8-0ADE-46A1-9C08-6F56BAAB774F</t>
  </si>
  <si>
    <t>PGA-03ST1 End of Well Report_signed.pdf</t>
  </si>
  <si>
    <t>Uploads\58d4f4b8-0ade-46a1-9c08-6f56baab774f.pdf</t>
  </si>
  <si>
    <t>AB158373-CE8B-4E2F-AF48-149B3D56F692</t>
  </si>
  <si>
    <t>6EF0BEEB-6920-4E31-BB39-95518A36459A</t>
  </si>
  <si>
    <t>2D499FB2-8B31-476F-980A-7CBB69B74320</t>
  </si>
  <si>
    <t>TK-41 ST2 FWR.pdf</t>
  </si>
  <si>
    <t>Uploads\2d499fb2-8b31-476f-980a-7cbb69b74320.pdf</t>
  </si>
  <si>
    <t>7C4FBCB0-6DB0-4C11-941E-8F45A03A6E47</t>
  </si>
  <si>
    <t>B49D8E39-44AD-4C87-9B8C-9AF5F743C99C</t>
  </si>
  <si>
    <t>NOOP TK41ST1 (Rev1).pdf</t>
  </si>
  <si>
    <t>NOOP TK41ST1 (Rev1)_Approved1.pdf</t>
  </si>
  <si>
    <t>Uploads\b49d8e39-44ad-4c87-9b8c-9af5f743c99c.pdf</t>
  </si>
  <si>
    <t>62CCBCD7-5896-4A36-9E56-690348BB8E9D</t>
  </si>
  <si>
    <t>A60345B7-7D78-46E5-B344-9561AB38743C</t>
  </si>
  <si>
    <t>E094B53F-679E-4D8F-9869-CC36082990F3</t>
  </si>
  <si>
    <t>FWR BOKOR_E504.pdf</t>
  </si>
  <si>
    <t>Uploads\e094b53f-679e-4d8f-9869-cc36082990f3.pdf</t>
  </si>
  <si>
    <t>E0CB1455-6B22-4B8E-86B7-62C61EC02F9F</t>
  </si>
  <si>
    <t>D9D509D2-5F4D-476E-A4E4-D127B6A102BA</t>
  </si>
  <si>
    <t>NOOP BOKOR-E504 signed MSD (1).pdf</t>
  </si>
  <si>
    <t>Uploads\d9d509d2-5f4d-476e-a4e4-d127b6a102ba.pdf</t>
  </si>
  <si>
    <t>1424BC3F-A5A1-4792-AE7F-74A3028BE2B1</t>
  </si>
  <si>
    <t>08EC62EA-B101-4D68-A101-95DA8C39ADD7</t>
  </si>
  <si>
    <t>1A5C6930-8FBB-47CB-874B-ED90C62688E5</t>
  </si>
  <si>
    <t>Approved NOOP Sepat A08ST.pdf</t>
  </si>
  <si>
    <t>Uploads\1a5c6930-8fbb-47cb-874b-ed90c62688e5.pdf</t>
  </si>
  <si>
    <t>23A6C7DF-F861-4622-8D6D-CD57919B64BF</t>
  </si>
  <si>
    <t>F69D27F2-AAB6-4423-8185-9C96DB35477B</t>
  </si>
  <si>
    <t>FWR A08ST1 2020 June 20-signed-signed.pdf</t>
  </si>
  <si>
    <t>Uploads\f69d27f2-aab6-4423-8185-9c96db35477b.pdf</t>
  </si>
  <si>
    <t>1A0D95C9-2768-48BA-8265-8408A0EA2F22</t>
  </si>
  <si>
    <t>6F8EAB12-FD8B-4944-8DFE-9623E1A21017</t>
  </si>
  <si>
    <t>FB6BDF93-32F3-482A-8F9F-65208A8070C6</t>
  </si>
  <si>
    <t>Helang Deep D1-1 ST1 EOWR_Rev0.1.pdf</t>
  </si>
  <si>
    <t>Uploads\fb6bdf93-32f3-482a-8f9f-65208a8070c6.pdf</t>
  </si>
  <si>
    <t>393835D7-A529-4319-80DE-2C645C72EE44</t>
  </si>
  <si>
    <t>38FDEC82-E1AD-469E-BF6C-AD149FD5AAB1</t>
  </si>
  <si>
    <t>20210301 Supplementary of NOOP HELANG D1-1 R0.0.pdf</t>
  </si>
  <si>
    <t>Uploads\38fdec82-e1ad-469e-bf6c-ad149fd5aab1.pdf</t>
  </si>
  <si>
    <t>8F30C366-4B92-4DAF-99D6-67FCB5A95DEB</t>
  </si>
  <si>
    <t>2A2EDCD8-61E2-4C96-9455-9628C6942407</t>
  </si>
  <si>
    <t>99507A86-CA5C-4C60-A2D5-A4558AD47A76</t>
  </si>
  <si>
    <t>Uploads\99507a86-ca5c-4c60-a2d5-a4558ad47a76.pdf</t>
  </si>
  <si>
    <t>F4E09F69-D4EB-4BC1-87D4-AA1AED716767</t>
  </si>
  <si>
    <t>EEF74ACC-EF04-4579-9CE0-5D4FF0AE0AAD</t>
  </si>
  <si>
    <t>Uploads\eef74acc-ef04-4579-9ce0-5d4ff0ae0aad.pdf</t>
  </si>
  <si>
    <t>00AAD50A-D570-4097-899D-B452AAD901B5</t>
  </si>
  <si>
    <t>C447CC56-2DB4-44BA-8783-969D62BA1555</t>
  </si>
  <si>
    <t>921DE3BF-7FE0-421A-98D9-0C66ACE357BF</t>
  </si>
  <si>
    <t>PMO3DULGGL85_DULANG_D32.pdf</t>
  </si>
  <si>
    <t>Uploads\921de3bf-7fe0-421a-98d9-0c66ace357bf.pdf</t>
  </si>
  <si>
    <t>8F44D585-4113-4E14-AA36-EC318E21176F</t>
  </si>
  <si>
    <t>6A34AB0E-2A1D-456B-A0A7-0AB920BDBE08</t>
  </si>
  <si>
    <t>PMO3DULGWSYJ_DULANG_D32.pdf</t>
  </si>
  <si>
    <t>Uploads\6a34ab0e-2a1d-456b-a0a7-0ab920bdbe08.pdf</t>
  </si>
  <si>
    <t>C7AE8206-AE07-4793-909D-8B4F923586BD</t>
  </si>
  <si>
    <t>4B56642E-3D74-4285-AE0D-9772FF7AF7B7</t>
  </si>
  <si>
    <t>21AB8E14-B159-4B88-9963-EE5ED56995B5</t>
  </si>
  <si>
    <t>Uploads\21ab8e14-b159-4b88-9963-ee5ed56995b5.pdf</t>
  </si>
  <si>
    <t>AE3A1F6E-194E-4689-A22B-335F88616AB0</t>
  </si>
  <si>
    <t>CC97FB5E-409D-4D61-88E4-E709C7A0EE5F</t>
  </si>
  <si>
    <t>PRPA-05 EOWR.pdf</t>
  </si>
  <si>
    <t>Uploads\cc97fb5e-409d-4d61-88e4-e709c7a0ee5f.pdf</t>
  </si>
  <si>
    <t>165BB5E7-8B00-4D52-B29B-0C57FF6E4F17</t>
  </si>
  <si>
    <t>21D9D1A7-E98D-4FE6-BFAC-97B6B9EC6C97</t>
  </si>
  <si>
    <t>39A1A704-9657-45D1-9484-35334F59C6B8</t>
  </si>
  <si>
    <t>JANGAS-3 FWR without attachment.pdf</t>
  </si>
  <si>
    <t>Uploads\39a1a704-9657-45d1-9484-35334f59c6b8.pdf</t>
  </si>
  <si>
    <t>4CB5C63C-EBEC-42C2-93D7-613A85AFF19E</t>
  </si>
  <si>
    <t>BBA6D64F-F1C9-486D-B9A1-3FE04747B6EC</t>
  </si>
  <si>
    <t>NOOP - JANGAS-3_Internal.pdf</t>
  </si>
  <si>
    <t>Uploads\bba6d64f-f1c9-486d-b9a1-3fe04747b6ec.pdf</t>
  </si>
  <si>
    <t>BC70C864-4077-40DE-B96E-8D639C1F4591</t>
  </si>
  <si>
    <t>79D09570-D77F-4BAB-B080-97F197697E08</t>
  </si>
  <si>
    <t>16F4EE38-AC18-4519-A8F9-306E5E529755</t>
  </si>
  <si>
    <t>BRG A-9(M).pdf</t>
  </si>
  <si>
    <t>Uploads\16f4ee38-ac18-4519-a8f9-306e5e529755.pdf</t>
  </si>
  <si>
    <t>2002EFC1-02D6-474C-B0F2-D04BB612B476</t>
  </si>
  <si>
    <t>69A49996-7A85-46ED-B915-7D42ECD54BD8</t>
  </si>
  <si>
    <t>EOWR_Bergading A-9_ Rev0.pdf</t>
  </si>
  <si>
    <t>Uploads\69a49996-7a85-46ed-b915-7d42ecd54bd8.pdf</t>
  </si>
  <si>
    <t>41936909-DF23-47E7-809C-AABF066B659C</t>
  </si>
  <si>
    <t>4568FFCD-280E-4226-BC2C-97F2D1E3DD08</t>
  </si>
  <si>
    <t>B1386E92-A040-4D80-8F64-2046458D1684</t>
  </si>
  <si>
    <t>CD-C11 CP2-GEN-D-0003_Rev.01 NOTICE OF OPERATIONS - WELL  (Slot 9b, CDW-C Platform).pdf</t>
  </si>
  <si>
    <t>Uploads\b1386e92-a040-4d80-8f64-2046458d1684.pdf</t>
  </si>
  <si>
    <t>0A42534F-E272-4404-9F49-73A2575B2593</t>
  </si>
  <si>
    <t>3D4B43F0-B8C6-4CB4-86AD-9017C24D68DD</t>
  </si>
  <si>
    <t>CD-C11 Final Well  Report.pdf</t>
  </si>
  <si>
    <t>Uploads\3d4b43f0-b8c6-4cb4-86ad-9017c24d68dd.pdf</t>
  </si>
  <si>
    <t>F7E8D098-FDA9-4C0E-BD44-9047DCC13225</t>
  </si>
  <si>
    <t>168441E4-CBA2-4DDD-B26B-980845AEB5A3</t>
  </si>
  <si>
    <t>7E29DFA2-6AF8-44B0-BB80-946D3F15CDDD</t>
  </si>
  <si>
    <t>BAMBAZON SH1-1 EOWR.pdf</t>
  </si>
  <si>
    <t>Uploads\7e29dfa2-6af8-44b0-bb80-946d3f15cddd.pdf</t>
  </si>
  <si>
    <t>D8A7CF43-3114-4A26-B2B7-B3EC194E38E6</t>
  </si>
  <si>
    <t>CF41F760-C3B4-4F6C-BA2B-B03B990C387B</t>
  </si>
  <si>
    <t>Bambazon SH1-1 NOOP.pdf</t>
  </si>
  <si>
    <t>Uploads\cf41f760-c3b4-4f6c-ba2b-b03b990c387b.pdf</t>
  </si>
  <si>
    <t>A054B45D-C16F-437B-8079-CDBCF4A166E7</t>
  </si>
  <si>
    <t>99C24B06-AB30-4F10-A726-982748AD020D</t>
  </si>
  <si>
    <t>C89E96AC-8F91-4ACB-86FA-28DAFA266C2C</t>
  </si>
  <si>
    <t>kelapa Bali-1_fwr.pdf</t>
  </si>
  <si>
    <t>Uploads\c89e96ac-8f91-4acb-86fa-28dafa266c2c.pdf</t>
  </si>
  <si>
    <t>8869CBC3-760F-4940-8EB1-E34CBCBF30A0</t>
  </si>
  <si>
    <t>B1AF29AB-69BC-42B0-8626-F747EC975FA0</t>
  </si>
  <si>
    <t>Kelapa Bali-1 NOOP MPM Submission.pdf</t>
  </si>
  <si>
    <t>Uploads\b1af29ab-69bc-42b0-8626-f747ec975fa0.pdf</t>
  </si>
  <si>
    <t>4546E91A-0E10-4516-B607-B12D56957688</t>
  </si>
  <si>
    <t>ED44A4AB-67D8-4A13-85DA-9845D9A18A15</t>
  </si>
  <si>
    <t>20C2D149-1EEE-46E3-81F8-D4F56B84FDB4</t>
  </si>
  <si>
    <t>PMO3TELOWS40_TELOK-B2_EMEPMI_NOOP.pdf</t>
  </si>
  <si>
    <t>Uploads\20c2d149-1eee-46e3-81f8-d4f56b84fdb4.pdf</t>
  </si>
  <si>
    <t>696F7266-F54A-44A3-A836-B0E6A1612298</t>
  </si>
  <si>
    <t>CF9B71DC-AFE0-4D39-96EC-1CB0E7D6A6EC</t>
  </si>
  <si>
    <t>Telok B2 - FWR.pdf</t>
  </si>
  <si>
    <t>Uploads\cf9b71dc-afe0-4d39-96ec-1cb0e7d6a6ec.pdf</t>
  </si>
  <si>
    <t>24AAEEBE-FCED-453E-A83B-751C47E6AADC</t>
  </si>
  <si>
    <t>E1597A63-361A-405C-9CB4-99BEB5F00E73</t>
  </si>
  <si>
    <t>25D6AA92-B713-4FD6-B8A8-FE6D29768D00</t>
  </si>
  <si>
    <t>EC-A08 Final Well ReportDS.pdf</t>
  </si>
  <si>
    <t>Uploads\25d6aa92-b713-4fd6-b8a8-fe6d29768d00.pdf</t>
  </si>
  <si>
    <t>7097EFF6-722A-4AD2-9651-15A902529390</t>
  </si>
  <si>
    <t>30897D8E-3AFD-42CF-9D11-95563F202AB7</t>
  </si>
  <si>
    <t>ECN-GEN-D-0006_Rev.00 NOTICE OF OPERATIONS - WELL EC-A08 (Slot 4B ECW-A Platform) signed AAMZY_SFR_DS.pdf</t>
  </si>
  <si>
    <t>Uploads\30897d8e-3afd-42cf-9d11-95563f202ab7.pdf</t>
  </si>
  <si>
    <t>3B454087-EC8F-4173-8E3F-73D21F109641</t>
  </si>
  <si>
    <t>1AA1C9B0-6846-44F0-A1FE-99D95A3A5F22</t>
  </si>
  <si>
    <t>25FEEC2F-984F-4130-B5F5-8BC471F04ED8</t>
  </si>
  <si>
    <t>NOOP_A17ST2(OP5) Signed_Internal Copy.pdf</t>
  </si>
  <si>
    <t>Uploads\25feec2f-984f-4130-b5f5-8bc471f04ed8.pdf</t>
  </si>
  <si>
    <t>CC6D544D-7D8E-4C3F-AD59-C2F7F72B42DD</t>
  </si>
  <si>
    <t>8D3C4BB5-CBEE-477B-9499-40ECD3861505</t>
  </si>
  <si>
    <t>FWR Dulang A17ST2_Submission to MPM.pdf</t>
  </si>
  <si>
    <t>Uploads\8d3c4bb5-cbee-477b-9499-40ecd3861505.pdf</t>
  </si>
  <si>
    <t>26EA77FC-71E3-4EB6-BC8E-10FF42A26AD8</t>
  </si>
  <si>
    <t>62A3CDDD-910F-4AF6-814E-99E47970AF0F</t>
  </si>
  <si>
    <t>MLK-112</t>
  </si>
  <si>
    <t>DA116386-4481-4655-9E58-AEDD195C4839</t>
  </si>
  <si>
    <t>MLK-112 EOWR (2 Nov) for Petronas (Final).pdf</t>
  </si>
  <si>
    <t>Uploads\da116386-4481-4655-9e58-aedd195c4839.pdf</t>
  </si>
  <si>
    <t>083B5C11-8CB7-487A-9E85-50A785F4BEF6</t>
  </si>
  <si>
    <t>D1515778-50B0-41AA-91CB-F782DBB0748B</t>
  </si>
  <si>
    <t>SBO3MKAIGL20_MLK_112.pdf</t>
  </si>
  <si>
    <t>Uploads\d1515778-50b0-41aa-91cb-f782dbb0748b.pdf</t>
  </si>
  <si>
    <t>05BB5C31-F8D2-4C5D-AB3B-75A6310585D4</t>
  </si>
  <si>
    <t>0B1D4FEE-744F-4419-A027-99FFD20FB7B2</t>
  </si>
  <si>
    <t>1592552C-11C0-460F-9E01-81F1747BE741</t>
  </si>
  <si>
    <t>Rerama-1 End of Well Report (FINAL).pdf</t>
  </si>
  <si>
    <t>Uploads\1592552c-11c0-460f-9e01-81f1747be741.pdf</t>
  </si>
  <si>
    <t>54F148A2-3001-4B4F-A03B-EBBD1E20DCF8</t>
  </si>
  <si>
    <t>034E72FB-2F07-4EAA-9676-DA9DBE4AD904</t>
  </si>
  <si>
    <t>Rerama-1 NOOP rev1.pdf</t>
  </si>
  <si>
    <t>Uploads\034e72fb-2f07-4eaa-9676-da9dbe4ad904.pdf</t>
  </si>
  <si>
    <t>8B1E99DF-A2EE-4464-82B9-CFE27B07C43B</t>
  </si>
  <si>
    <t>EB8BD2E4-4E51-4A64-B2B1-9A27F62B46FB</t>
  </si>
  <si>
    <t>0D2126AA-ABFF-4F10-A5FA-72734552F871</t>
  </si>
  <si>
    <t>SKO3D18-WS73_D18-108_PCSB.pdf</t>
  </si>
  <si>
    <t>Uploads\0d2126aa-abff-4f10-a5fa-72734552f871.pdf</t>
  </si>
  <si>
    <t>06F08F16-2778-4E8C-99BA-6FFF6BDE087F</t>
  </si>
  <si>
    <t>543DB4E1-04B1-4521-9CB9-21ABDE6E92CA</t>
  </si>
  <si>
    <t>SKO3D18-WS2I_D18-108_PCSB.pdf</t>
  </si>
  <si>
    <t>Uploads\543db4e1-04b1-4521-9cb9-21abde6e92ca.pdf</t>
  </si>
  <si>
    <t>4962DAD0-EF28-4B1A-8068-1AEE7DFBF523</t>
  </si>
  <si>
    <t>6D342B18-73AD-4A21-8CD9-9A5C913CFF90</t>
  </si>
  <si>
    <t>A446AA6A-063F-4E50-B6A6-E8F54D03747C</t>
  </si>
  <si>
    <t>BERGADING-A1 NOOP - FINAL_Signed.pdf</t>
  </si>
  <si>
    <t>Uploads\a446aa6a-063f-4e50-b6a6-e8f54d03747c.pdf</t>
  </si>
  <si>
    <t>4DDBA557-EE08-46F1-AF59-F7D37FC70452</t>
  </si>
  <si>
    <t>67EB6874-73CA-4A7E-A8BD-CDBC81B45408</t>
  </si>
  <si>
    <t>PMO3BGDGWS38_BERGADING-A1.pdf</t>
  </si>
  <si>
    <t>PMO3BGDGWS38_BERGADING-A1.PDF</t>
  </si>
  <si>
    <t>Uploads\67eb6874-73ca-4a7e-a8bd-cdbc81b45408.pdf</t>
  </si>
  <si>
    <t>1A61AD0F-08F8-4AA1-8F8E-36778FB5F03A</t>
  </si>
  <si>
    <t>4B678E01-461C-4C44-826F-9A63D2AD6B5B</t>
  </si>
  <si>
    <t>3197DDD4-B2A0-4283-A00E-03AECE10CBEE</t>
  </si>
  <si>
    <t>Bolai-1 End of Well Report_Finalsdpdf.pdf</t>
  </si>
  <si>
    <t>Uploads\3197ddd4-b2a0-4283-a00e-03aece10cbee.pdf</t>
  </si>
  <si>
    <t>0D6DACC7-5C61-43A3-A9E3-95C0E990FCCC</t>
  </si>
  <si>
    <t>86B7332F-C945-4843-8254-69CE2AA20D34</t>
  </si>
  <si>
    <t>Bolai-1 NOOP_FINAL.pdf</t>
  </si>
  <si>
    <t>Uploads\86b7332f-c945-4843-8254-69ce2aa20d34.pdf</t>
  </si>
  <si>
    <t>C08D525D-AFE8-4EC0-9E7E-8753298400B9</t>
  </si>
  <si>
    <t>8903431B-DDEE-4B18-B0A4-9A8EB9068D34</t>
  </si>
  <si>
    <t>F6A1AB4C-FCE9-4131-AA55-A19803F9C3E2</t>
  </si>
  <si>
    <t>SBO3SBO-WS6S_S_SW1_P1.pdf</t>
  </si>
  <si>
    <t>Uploads\f6a1ab4c-fce9-4131-aa55-a19803f9c3e2.pdf</t>
  </si>
  <si>
    <t>8B7E374A-50C7-488F-9FC0-4F8B85219677</t>
  </si>
  <si>
    <t>2AF4217D-D566-4A64-B6EC-A5742230030E</t>
  </si>
  <si>
    <t>SBO3SKNPDR06_S_SW1_P1.pdf</t>
  </si>
  <si>
    <t>Uploads\2af4217d-d566-4a64-b6ec-a5742230030e.pdf</t>
  </si>
  <si>
    <t>8AC70A56-B86B-4116-917C-747DA4DB6BDE</t>
  </si>
  <si>
    <t>B2F45F7B-A055-46CA-AD4A-9B00573AA8D5</t>
  </si>
  <si>
    <t>743756AC-EE40-456B-B4AB-85E0A618929A</t>
  </si>
  <si>
    <t>SOUTH FURIOUS UNGU-1 and ST1 NOOP_FINAL - Rev.11.pdf</t>
  </si>
  <si>
    <t>Uploads\743756ac-ee40-456b-b4ab-85e0a618929a.pdf</t>
  </si>
  <si>
    <t>4D1AF285-D46B-485E-BC8B-DA646C9109AF</t>
  </si>
  <si>
    <t>F2CB2114-1720-490B-94AC-282555970493</t>
  </si>
  <si>
    <t>SEAH_EOWR_SF Ungu-1 and S1 (MPM - Well Management).pdf</t>
  </si>
  <si>
    <t>Uploads\f2cb2114-1720-490b-94ac-282555970493.pdf</t>
  </si>
  <si>
    <t>EACA8A70-FB69-4CBD-8617-F8A19EEA297D</t>
  </si>
  <si>
    <t>8EE43412-31BE-4C7B-86FC-9B8CE55D1FCA</t>
  </si>
  <si>
    <t>7F9008DC-E739-40FB-B18B-5392FC68301A</t>
  </si>
  <si>
    <t>Benum-2_May2022_signed.pdf</t>
  </si>
  <si>
    <t>Uploads\7f9008dc-e739-40fb-b18b-5392fc68301a.pdf</t>
  </si>
  <si>
    <t>688AC8DD-ACBD-4008-8073-9D9C4A6DE52B</t>
  </si>
  <si>
    <t>E7BC78CD-C67B-4586-9071-BE1535B4AFBC</t>
  </si>
  <si>
    <t>Benum-2ST1_End of Well_Report.pdf</t>
  </si>
  <si>
    <t>Uploads\e7bc78cd-c67b-4586-9071-be1535b4afbc.pdf</t>
  </si>
  <si>
    <t>40247B3D-3CBC-4BEA-91C7-25E0BB7170A1</t>
  </si>
  <si>
    <t>47358100-3D16-4190-8A22-9BDB0D836E73</t>
  </si>
  <si>
    <t>A5287523-13EE-4F7C-8ACE-55056BF49DA4</t>
  </si>
  <si>
    <t>FWR TT-A6 Final to MPM.pdf</t>
  </si>
  <si>
    <t>Uploads\a5287523-13ee-4f7c-8ace-55056bf49da4.pdf</t>
  </si>
  <si>
    <t>37D8AF2F-0116-439A-9AEA-BB571C2723F6</t>
  </si>
  <si>
    <t>165194DD-3901-40FC-8766-4A2689FC4685</t>
  </si>
  <si>
    <t>TT-A6 Final Internal Distribution.pdf</t>
  </si>
  <si>
    <t>Uploads\165194dd-3901-40fc-8766-4a2689fc4685.pdf</t>
  </si>
  <si>
    <t>01F87ED4-E7B1-4D62-ABF0-7207946A7846</t>
  </si>
  <si>
    <t>9CB3D687-03DF-41E7-94E6-9BEB7BB6282F</t>
  </si>
  <si>
    <t>BEF3A0A9-DF1C-4FC7-BAB6-9401DAF9667F</t>
  </si>
  <si>
    <t>PMO3MRNTWS17_MERANTI M1_M2_M3.pdf</t>
  </si>
  <si>
    <t>Uploads\bef3a0a9-df1c-4fc7-bab6-9401daf9667f.pdf</t>
  </si>
  <si>
    <t>E1B34C7B-DFCB-49F4-97AB-88A061DE4677</t>
  </si>
  <si>
    <t>A445A6EE-36ED-45C2-9F79-E8099ECFFAD2</t>
  </si>
  <si>
    <t>PMO3MRNTWS12_MERANTI M1.pdf</t>
  </si>
  <si>
    <t>Uploads\a445a6ee-36ed-45c2-9f79-e8099ecffad2.pdf</t>
  </si>
  <si>
    <t>8993E4FC-DFC6-4846-99EC-91EBDD592EE9</t>
  </si>
  <si>
    <t>C91838B9-CE9B-451C-A3A0-9C769280EB80</t>
  </si>
  <si>
    <t>0A13F9EC-E816-4AC7-8429-634BA2C5600D</t>
  </si>
  <si>
    <t>MLK-119 KNR South WI - NOOP v2.pdf</t>
  </si>
  <si>
    <t>Uploads\0a13f9ec-e816-4ac7-8429-634ba2c5600d.pdf</t>
  </si>
  <si>
    <t>7FA282C0-D8BD-4175-A59E-0AF2D4421DBA</t>
  </si>
  <si>
    <t>C482EDE0-D7C5-4A8F-88C4-09B6270AB856</t>
  </si>
  <si>
    <t>20210712 - EOWR Malikai-119S1 FINAL.pdf</t>
  </si>
  <si>
    <t>Uploads\c482ede0-d7c5-4a8f-88c4-09b6270ab856.pdf</t>
  </si>
  <si>
    <t>FA00D18C-2AD0-45FF-A7D2-4063EF265F3C</t>
  </si>
  <si>
    <t>BBFAD6CB-DB51-454C-8A31-9E0F24353A1D</t>
  </si>
  <si>
    <t>190A7BB0-BDFC-49CB-959D-BE5AC42748D8</t>
  </si>
  <si>
    <t>SBO3LAWAWS06_LAWA-1.pdf</t>
  </si>
  <si>
    <t>Uploads\190a7bb0-bdfc-49cb-959d-be5ac42748d8.pdf</t>
  </si>
  <si>
    <t>7C573873-20BD-4ABA-AAED-DA7B7FB95301</t>
  </si>
  <si>
    <t>C43E4F76-2DF6-4531-A914-D5BA6B4A9C94</t>
  </si>
  <si>
    <t>SBO3LAWAWS01_LAWA-1.pdf</t>
  </si>
  <si>
    <t>Uploads\c43e4f76-2df6-4531-a914-d5ba6b4a9c94.pdf</t>
  </si>
  <si>
    <t>434C4631-405E-48AE-B007-CAC21D789D33</t>
  </si>
  <si>
    <t>359DC7E7-991D-4E39-B20C-9E81E9E7CB40</t>
  </si>
  <si>
    <t>0DE11EE9-20B4-4AE2-90AD-473E7DD8F37F</t>
  </si>
  <si>
    <t>MY-K-56-DNC-RP-0002-00_S-CNI-P11 EOWR.pdf</t>
  </si>
  <si>
    <t>Uploads\0de11ee9-20b4-4ae2-90ad-473e7dd8f37f.pdf</t>
  </si>
  <si>
    <t>658D1AEF-7098-4DF8-A69E-217D3A2A5D24</t>
  </si>
  <si>
    <t>08BF25C5-2F4B-4D96-BBB7-88046362124B</t>
  </si>
  <si>
    <t>MY-H-10-DR-RP-0001-00_SNP Phase 2 Dev_NOOP.pdf</t>
  </si>
  <si>
    <t>Uploads\08bf25c5-2f4b-4d96-bbb7-88046362124b.pdf</t>
  </si>
  <si>
    <t>8C31A32D-F091-4EFF-A387-B07B191A36C1</t>
  </si>
  <si>
    <t>C8EC4463-E6A7-42A3-AB65-9EA8F40F0ECA</t>
  </si>
  <si>
    <t>8980DC6D-7882-4AF2-91BA-01C88BCBBC2C</t>
  </si>
  <si>
    <t>FWR BN83 Suspended for Re-Entry.pdf</t>
  </si>
  <si>
    <t>Uploads\8980dc6d-7882-4af2-91ba-01c88bcbbc2c.pdf</t>
  </si>
  <si>
    <t>DFA8EB96-C0B6-4B90-868C-E802479E70C7</t>
  </si>
  <si>
    <t>3F7B7EC5-CFDE-45F1-81E3-E8BB6B920BE7</t>
  </si>
  <si>
    <t>NOOP BN-83_Internal- New revisedf.pdf</t>
  </si>
  <si>
    <t>Uploads\3f7b7ec5-cfde-45f1-81e3-e8bb6b920be7.pdf</t>
  </si>
  <si>
    <t>67E925D1-D715-4EB0-947A-CFABF3D953D4</t>
  </si>
  <si>
    <t>F48CDBC8-5E99-46AA-A0C3-9ED5835273BC</t>
  </si>
  <si>
    <t>0686AB94-B02A-4212-8931-83CB1185F94B</t>
  </si>
  <si>
    <t>BY-315 Final Well Report - Signed.pdf</t>
  </si>
  <si>
    <t>Uploads\0686ab94-b02a-4212-8931-83cb1185f94b.pdf</t>
  </si>
  <si>
    <t>16A3036E-02DC-46B5-925E-2F5DE39173A5</t>
  </si>
  <si>
    <t>576B1D87-D888-4DE8-AA50-D6A3F2466C2F</t>
  </si>
  <si>
    <t>BY-315 R-1 Notice of Operations_APPROVED.pdf</t>
  </si>
  <si>
    <t>Uploads\576b1d87-d888-4de8-aa50-d6a3f2466c2f.pdf</t>
  </si>
  <si>
    <t>9E5DD0DA-4475-4BAE-B8EE-937E3CB47C09</t>
  </si>
  <si>
    <t>11B7262E-0B3E-4CC6-99D3-9EFA9877E358</t>
  </si>
  <si>
    <t>838DB85D-92C8-4718-9E5B-C6FE4551CD15</t>
  </si>
  <si>
    <t>NOOP Kesumba A-3 (C)_Final.pdf</t>
  </si>
  <si>
    <t>Uploads\838db85d-92c8-4718-9e5b-c6fe4551cd15.pdf</t>
  </si>
  <si>
    <t>3BCB2376-ECBE-4BBC-A6FD-C88A4155C5CD</t>
  </si>
  <si>
    <t>DFDCB917-4016-4524-863C-D4FCA653275D</t>
  </si>
  <si>
    <t>B.Kesumba A-3_ Rev0_05072017 - PETRONAS SUBMISSION_FINAL.pdf</t>
  </si>
  <si>
    <t>Uploads\dfdcb917-4016-4524-863c-d4fca653275d.pdf</t>
  </si>
  <si>
    <t>0D102821-1524-42E1-B43C-9A3E358F5586</t>
  </si>
  <si>
    <t>D03EEDED-4346-45D2-904A-9F3D21B0ADDE</t>
  </si>
  <si>
    <t>7302DFD1-8F0D-4F53-B179-A1D5F337F870</t>
  </si>
  <si>
    <t>TE-82 FWR Compiled.pdf</t>
  </si>
  <si>
    <t>Uploads\7302dfd1-8f0d-4f53-b179-a1d5f337f870.pdf</t>
  </si>
  <si>
    <t>0D15708E-DCA7-497E-885B-281FA47D4A33</t>
  </si>
  <si>
    <t>760C7D10-A4DA-43DA-A824-5524C36BFEAB</t>
  </si>
  <si>
    <t>Temana EMP 1.0 TE-82 NOOP Final (1).pdf</t>
  </si>
  <si>
    <t>Uploads\760c7d10-a4da-43da-a824-5524c36bfeab.pdf</t>
  </si>
  <si>
    <t>F2E68BB7-34D4-4064-BDCC-42A29A7A2C5C</t>
  </si>
  <si>
    <t>94F9EA1C-3F37-48CC-A9F3-9F5CA9C58AB1</t>
  </si>
  <si>
    <t>B2E67C0B-1602-4E8C-9091-C33209F52656</t>
  </si>
  <si>
    <t>SF30-4 EOWR_FINAL - MPM Drilling.pdf</t>
  </si>
  <si>
    <t>Uploads\b2e67c0b-1602-4e8c-9091-c33209f52656.pdf</t>
  </si>
  <si>
    <t>46002732-15F5-4C09-B2A9-35980BCD3BB3</t>
  </si>
  <si>
    <t>A4BBE05D-EB05-4710-9298-4A1CE5D9CACD</t>
  </si>
  <si>
    <t>SF30-4 NOOP - MPM Well Management.pdf</t>
  </si>
  <si>
    <t>Uploads\a4bbe05d-eb05-4710-9298-4a1ce5d9cacd.pdf</t>
  </si>
  <si>
    <t>FFEEFAB0-458B-40D3-A469-AA5B805FE979</t>
  </si>
  <si>
    <t>64DE40E1-E945-4B29-A1F0-9FA16D55EEC6</t>
  </si>
  <si>
    <t>6DDEAEB5-EEBD-41C3-AA0F-24542F855B93</t>
  </si>
  <si>
    <t>PRPA-04 EOWR.pdf</t>
  </si>
  <si>
    <t>Uploads\6ddeaeb5-eebd-41c3-aa0f-24542f855b93.pdf</t>
  </si>
  <si>
    <t>5CFDC385-D702-4AF2-8A4D-FD2F4FCF6E7F</t>
  </si>
  <si>
    <t>8AE58DE7-234F-4207-B54B-3491A15342A7</t>
  </si>
  <si>
    <t>Uploads\8ae58de7-234f-4207-b54b-3491a15342a7.pdf</t>
  </si>
  <si>
    <t>99120D01-68D5-4BBE-9F3D-FDDCF9F158DC</t>
  </si>
  <si>
    <t>DF900C03-1E4F-419D-8847-9FCFF83D3EC4</t>
  </si>
  <si>
    <t>E01FC9F8-82C0-4650-9678-3D5976B21D6F</t>
  </si>
  <si>
    <t>D35DPA-107ST1 End Of Well Report Final.pdf</t>
  </si>
  <si>
    <t>Uploads\e01fc9f8-82c0-4650-9678-3d5976b21d6f.pdf</t>
  </si>
  <si>
    <t>B50FD610-AF0E-463F-9C08-D0DBBAA7E10C</t>
  </si>
  <si>
    <t>D7BE2B20-4497-4FE3-A073-801984EA24D8</t>
  </si>
  <si>
    <t>D35A-107ST1 NOOP_Rev1.pdf</t>
  </si>
  <si>
    <t>Uploads\d7be2b20-4497-4fe3-a073-801984ea24d8.pdf</t>
  </si>
  <si>
    <t>5E811928-ED5E-44AE-B9FC-71C3B7F06AE8</t>
  </si>
  <si>
    <t>6AC131B8-4FD3-4575-AFC3-9FE98FB9D617</t>
  </si>
  <si>
    <t>F2A4A06F-A77E-4A2A-B084-E1A68ADEFF04</t>
  </si>
  <si>
    <t>FWR Besar-A3.pdf</t>
  </si>
  <si>
    <t>Uploads\f2a4a06f-a77e-4a2a-b084-e1a68adeff04.pdf</t>
  </si>
  <si>
    <t>D9891721-2E21-493C-8BBF-4DFD76823A53</t>
  </si>
  <si>
    <t>A13C97C0-21ED-49CA-88B0-1E296EA15557</t>
  </si>
  <si>
    <t>NOOP Besar-A3.pdf</t>
  </si>
  <si>
    <t>Uploads\a13c97c0-21ed-49ca-88b0-1e296ea15557.pdf</t>
  </si>
  <si>
    <t>A216CE17-E3BE-44B4-987D-18A61EBD1615</t>
  </si>
  <si>
    <t>CC99ECE0-94D3-488D-B2D6-A039721490B9</t>
  </si>
  <si>
    <t>E991968C-2681-4BC1-AB14-F2A3593A221D</t>
  </si>
  <si>
    <t>PMO3SPATGL34_SEPAT A-02_PCSB_NOOP.pdf</t>
  </si>
  <si>
    <t>Uploads\e991968c-2681-4bc1-ab14-f2a3593a221d.pdf</t>
  </si>
  <si>
    <t>234CF6AA-135B-4A32-9118-B3C48799117E</t>
  </si>
  <si>
    <t>0ED54C39-8D5A-4EA3-BD01-F06DC14AF21A</t>
  </si>
  <si>
    <t>PMO3SPATWS74_SEPAT-A02_PCSB_FWR.pdf</t>
  </si>
  <si>
    <t>Uploads\0ed54c39-8d5a-4ea3-bd01-f06dc14af21a.pdf</t>
  </si>
  <si>
    <t>19A59577-CD7C-4DD9-AB39-90B5254A50B8</t>
  </si>
  <si>
    <t>C93E097E-31C2-4777-A301-A050EF021781</t>
  </si>
  <si>
    <t>3AE8EDCE-1179-46E7-9A3F-CA63AF29F872</t>
  </si>
  <si>
    <t>PERMAS Revisit 1 PHASE 1 NOOP_Rev 1 (1).pdf</t>
  </si>
  <si>
    <t>Uploads\3ae8edce-1179-46e7-9a3f-ca63af29f872.pdf</t>
  </si>
  <si>
    <t>27B22E77-C442-44EB-964C-8658006737F5</t>
  </si>
  <si>
    <t>2A64EBB6-E4AF-43C7-8297-D14BA1B84FFF</t>
  </si>
  <si>
    <t>PRPA-12 EOWR.pdf</t>
  </si>
  <si>
    <t>Uploads\2a64ebb6-e4af-43c7-8297-d14ba1b84fff.pdf</t>
  </si>
  <si>
    <t>8B7F0949-69CC-4003-93BA-7B8B0B076683</t>
  </si>
  <si>
    <t>C76F9619-41FC-4C7A-9FE2-A087E8AB9F60</t>
  </si>
  <si>
    <t>8C5BEA5F-349D-449D-A246-407DEC5691A9</t>
  </si>
  <si>
    <t>BAKAU-A09 NOOP.pdf</t>
  </si>
  <si>
    <t>Uploads\8c5bea5f-349d-449d-a246-407dec5691a9.pdf</t>
  </si>
  <si>
    <t>FC535454-47F8-49C6-8872-0CEBB57A4237</t>
  </si>
  <si>
    <t>9866B132-E61B-45A3-A637-C22B8CF41669</t>
  </si>
  <si>
    <t>BAKAU-A09 FINAL WELL REPORT (Split).pdf</t>
  </si>
  <si>
    <t>Uploads\9866b132-e61b-45a3-a637-c22b8cf41669.pdf</t>
  </si>
  <si>
    <t>BA7410BB-0D41-46D5-8F1D-4D5B561D2DFE</t>
  </si>
  <si>
    <t>7755418F-ACC3-45AD-AD8B-A0C188F2DE9A</t>
  </si>
  <si>
    <t>79065E7A-9AC9-4165-A18B-373733C6C961</t>
  </si>
  <si>
    <t>Uploads\79065e7a-9ac9-4165-a18b-373733c6c961.pdf</t>
  </si>
  <si>
    <t>F6765781-D578-473A-8DC1-AC4CED686A1E</t>
  </si>
  <si>
    <t>9F417255-B814-45DE-89C0-A6E6116D81F4</t>
  </si>
  <si>
    <t>Uploads\9f417255-b814-45de-89c0-a6e6116d81f4.pdf</t>
  </si>
  <si>
    <t>22510B12-FC74-47BB-8181-0FA16BF7C5A5</t>
  </si>
  <si>
    <t>D075466C-2F9B-45F1-920F-A0C4BF5DB1F8</t>
  </si>
  <si>
    <t>61DE8416-A5A9-4EFE-B625-822973F946BB</t>
  </si>
  <si>
    <t>BY-224 Final Well Report_Bayan Redevelopment Project.pdf</t>
  </si>
  <si>
    <t>Uploads\61de8416-a5a9-4efe-b625-822973f946bb.pdf</t>
  </si>
  <si>
    <t>AC01D799-551D-42E0-BA6B-2137F1220C73</t>
  </si>
  <si>
    <t>176F8501-CA92-4FCE-A3EE-CFB056F04DE5</t>
  </si>
  <si>
    <t>BY-224 Notice of Operations_APPROVED (controlled copy).pdf</t>
  </si>
  <si>
    <t>Uploads\176f8501-ca92-4fce-a3ee-cfb056f04de5.pdf</t>
  </si>
  <si>
    <t>CB593792-90DB-47F1-8CBE-996CE74C372A</t>
  </si>
  <si>
    <t>E4B3672E-B181-408A-B3F8-A0D36044946D</t>
  </si>
  <si>
    <t>EA17367B-B5F5-40F2-B932-A3A9B1AB7DC5</t>
  </si>
  <si>
    <t>NOOP BRWA16ST1.pdf</t>
  </si>
  <si>
    <t>Uploads\ea17367b-b5f5-40f2-b932-a3a9b1ab7dc5.pdf</t>
  </si>
  <si>
    <t>54FA8C3A-67A2-462D-AA87-E210D5F3A752</t>
  </si>
  <si>
    <t>289DA23A-B424-4DF7-AD72-12C7784EEED3</t>
  </si>
  <si>
    <t>VPSB-BEF3-DRL-WWR-0001 BRWA-16ST1 Final Well Report Rev.1.pdf</t>
  </si>
  <si>
    <t>Uploads\289da23a-b424-4df7-ad72-12c7784eeed3.pdf</t>
  </si>
  <si>
    <t>BE48070E-E6DC-4E7A-9465-F80F7F8B430A</t>
  </si>
  <si>
    <t>AC5D920A-9E8A-4AD3-A575-A0DB93D9FB5A</t>
  </si>
  <si>
    <t>66630785-BD88-4EFC-B8C8-D4B02B615496</t>
  </si>
  <si>
    <t>Tabu B11ST1 Final Well Report 1 of 2.pdf</t>
  </si>
  <si>
    <t>Uploads\66630785-bd88-4efc-b8c8-d4b02b615496.pdf</t>
  </si>
  <si>
    <t>05311DCB-6F26-488D-BA49-F58BCED58EA8</t>
  </si>
  <si>
    <t>B9CEF52F-71C7-41BD-82DF-ED885F868B51</t>
  </si>
  <si>
    <t>Tabu B11ST1 Slot 4 NOOP v0.pdf</t>
  </si>
  <si>
    <t>Uploads\b9cef52f-71c7-41bd-82df-ed885f868b51.pdf</t>
  </si>
  <si>
    <t>60DFA87B-E7B7-4CBE-897F-F5780726DC7B</t>
  </si>
  <si>
    <t>8EA0961E-2F25-4F28-B177-A12B67418237</t>
  </si>
  <si>
    <t>86524255-BBFD-448B-8CF9-8DD6C5CA4D83</t>
  </si>
  <si>
    <t>SK408 Jerun-A4 Final Well Report_Final.pdf</t>
  </si>
  <si>
    <t>Uploads\86524255-bbfd-448b-8cf9-8dd6c5ca4d83.pdf</t>
  </si>
  <si>
    <t>EEFF8588-A841-42D5-9BA1-91D52050D4FB</t>
  </si>
  <si>
    <t>3DDF4B38-1B4D-4435-A194-39E31B09E9D0</t>
  </si>
  <si>
    <t>Uploads\3ddf4b38-1b4d-4435-a194-39e31b09e9d0.pdf</t>
  </si>
  <si>
    <t>9E28ACE6-DF73-41F5-841A-A740414F0B47</t>
  </si>
  <si>
    <t>63A758C6-5695-4EE4-BD82-A1BD36B6A411</t>
  </si>
  <si>
    <t>D8BBB7F9-5326-476C-90A9-C2029DE9E0BF</t>
  </si>
  <si>
    <t>SBO3KNBLWS2X_KN-B2_PCSB_FWR.pdf</t>
  </si>
  <si>
    <t>Uploads\d8bbb7f9-5326-476c-90a9-c2029de9e0bf.pdf</t>
  </si>
  <si>
    <t>2AB94D93-4748-482E-A2FF-3A3F73CD9195</t>
  </si>
  <si>
    <t>C910BF5A-40AD-43EC-BF58-4DE834DDAF52</t>
  </si>
  <si>
    <t>SBO3KNBLGL51_KN-B2_PCSB_NOOP.pdf</t>
  </si>
  <si>
    <t>Uploads\c910bf5a-40ad-43ec-bf58-4de834ddaf52.pdf</t>
  </si>
  <si>
    <t>6D0B2520-3CFE-440C-8630-30E4EB50C063</t>
  </si>
  <si>
    <t>C98184A8-1319-4625-886D-A259B1C299E7</t>
  </si>
  <si>
    <t>2C6904B2-3F15-4029-86E3-3772F5A88D22</t>
  </si>
  <si>
    <t>NOOP - BAA5B_FINAL.pdf</t>
  </si>
  <si>
    <t>Uploads\2c6904b2-3f15-4029-86e3-3772f5a88d22.pdf</t>
  </si>
  <si>
    <t>5901713F-4867-4EF4-B77E-060AE7064DD3</t>
  </si>
  <si>
    <t>78FF02F6-2954-4B75-899D-D59A19992353</t>
  </si>
  <si>
    <t>EOWR_Bunga Anggerik A-5B.pdf</t>
  </si>
  <si>
    <t>Uploads\78ff02f6-2954-4b75-899d-d59a19992353.pdf</t>
  </si>
  <si>
    <t>64B9E74D-93B7-4F7A-B241-496F846B75BC</t>
  </si>
  <si>
    <t>6F555321-F19F-4B11-92F0-A271DC65FBC5</t>
  </si>
  <si>
    <t>MLK-111</t>
  </si>
  <si>
    <t>F6A759A0-3E52-4248-8953-2B60EF3E2EAF</t>
  </si>
  <si>
    <t>MLK-111 Pink West OP - NOOP v2.pdf</t>
  </si>
  <si>
    <t>Uploads\f6a759a0-3e52-4248-8953-2b60ef3e2eaf.pdf</t>
  </si>
  <si>
    <t>18EDCE1B-25E0-4AA0-92C9-7FEAC3E69533</t>
  </si>
  <si>
    <t>B5076675-9392-4057-985B-4C82DC509B60</t>
  </si>
  <si>
    <t>EOWR Malikai-111 FINAL.pdf</t>
  </si>
  <si>
    <t>Uploads\b5076675-9392-4057-985b-4c82dc509b60.pdf</t>
  </si>
  <si>
    <t>5CAF6DC9-364B-40FC-BB9B-4CA3F5FADA26</t>
  </si>
  <si>
    <t>A5C63C75-97B0-407F-90A7-A2830A7F5F57</t>
  </si>
  <si>
    <t>8725204A-E9D2-40F1-8CBB-57E921915D89</t>
  </si>
  <si>
    <t>EOWR Irong-7 Appraisal to MPM.pdf</t>
  </si>
  <si>
    <t>Uploads\8725204a-e9d2-40f1-8cbb-57e921915d89.pdf</t>
  </si>
  <si>
    <t>C1FD9296-FAB0-40D3-A2EC-B881CB72AB38</t>
  </si>
  <si>
    <t>AB46E887-1581-441B-ABAC-4237F549290F</t>
  </si>
  <si>
    <t>NOOP Irong-7 Appraisal.pdf</t>
  </si>
  <si>
    <t>Uploads\ab46e887-1581-441b-abac-4237f549290f.pdf</t>
  </si>
  <si>
    <t>1433E505-2203-490A-9EA6-053EA80C436D</t>
  </si>
  <si>
    <t>A0D52006-C35C-4A00-8E51-A2997253C54F</t>
  </si>
  <si>
    <t>CCC5007B-A41B-42D4-9522-E28117687671</t>
  </si>
  <si>
    <t>KN-3 NOOP INTERNAL_130115_rev1.pdf</t>
  </si>
  <si>
    <t>Uploads\ccc5007b-a41b-42d4-9522-e28117687671.pdf</t>
  </si>
  <si>
    <t>A15FD1FF-E7CD-47DB-814C-7027853984AD</t>
  </si>
  <si>
    <t>8CDF98F0-A8F4-4F01-AF92-81E46534513B</t>
  </si>
  <si>
    <t>SKO3KNGNWS18_KUANG NORTH-3_FWR_PCSB.pdf</t>
  </si>
  <si>
    <t>Uploads\8cdf98f0-a8f4-4f01-af92-81e46534513b.pdf</t>
  </si>
  <si>
    <t>30D4F5F1-6D38-49C4-BA7D-6F34C69518A5</t>
  </si>
  <si>
    <t>174B4235-EFF0-4265-A3D5-A3108CC92F65</t>
  </si>
  <si>
    <t>A18647AA-6E45-4B9D-BCE1-090202F37E57</t>
  </si>
  <si>
    <t>PMO3MKUAGL02_MENGKUANG_1_2016.pdf</t>
  </si>
  <si>
    <t>Uploads\a18647aa-6e45-4b9d-bce1-090202f37e57.pdf</t>
  </si>
  <si>
    <t>5A057F70-CA38-4A74-B903-E5C0B27FDFFD</t>
  </si>
  <si>
    <t>08FCF022-0D60-45CB-A88A-E83BD9681F7E</t>
  </si>
  <si>
    <t>Mengkuang-1_NOOP.pdf</t>
  </si>
  <si>
    <t>Uploads\08fcf022-0d60-45cb-a88a-e83bd9681f7e.pdf</t>
  </si>
  <si>
    <t>40125A67-46C3-4858-8EF7-FD87BB408AF6</t>
  </si>
  <si>
    <t>E21A796B-A0B9-4E74-8AF7-A39A739FD9F7</t>
  </si>
  <si>
    <t>FBBD737F-E12E-4528-86D8-CBA489156A4D</t>
  </si>
  <si>
    <t>Dokong-1 End of Well Report.pdf</t>
  </si>
  <si>
    <t>Uploads\fbbd737f-e12e-4528-86d8-cba489156a4d.pdf</t>
  </si>
  <si>
    <t>60BD1E9D-33BE-493C-AC8F-BBEBDAE24864</t>
  </si>
  <si>
    <t>D7ADAB6C-7953-4E5A-8B92-F741751EB4A4</t>
  </si>
  <si>
    <t>DOKONG-1_NOOP.pdf</t>
  </si>
  <si>
    <t>Uploads\d7adab6c-7953-4e5a-8b92-f741751eb4a4.pdf</t>
  </si>
  <si>
    <t>71D52B66-956B-4F97-944F-C5D0DD375DEC</t>
  </si>
  <si>
    <t>F5C90137-0E5A-4835-898C-A3C6907EFE0D</t>
  </si>
  <si>
    <t>A4B8C552-9506-4852-8282-C50617F06AEF</t>
  </si>
  <si>
    <t>Tabu B-19ST1 FWR - Final PETRONAS_opt.pdf</t>
  </si>
  <si>
    <t>Uploads\a4b8c552-9506-4852-8282-c50617f06aef.pdf</t>
  </si>
  <si>
    <t>F7B8C9FB-22D0-4367-B7BF-31BE6F157519</t>
  </si>
  <si>
    <t>9418DE7D-C70B-4DAC-B325-84622C892869</t>
  </si>
  <si>
    <t>Tabu B19ST1 Slot 27 NOOP v0.pdf</t>
  </si>
  <si>
    <t>Uploads\9418de7d-c70b-4dac-b325-84622c892869.pdf</t>
  </si>
  <si>
    <t>C567DCD1-B4D3-4518-B21D-81D96320C91D</t>
  </si>
  <si>
    <t>93CC83FF-8396-4F68-AC70-A3E6CA19C755</t>
  </si>
  <si>
    <t>7008124B-ABE0-450C-BB53-CC4212324E49</t>
  </si>
  <si>
    <t>EOWR KNDW-D03  ST1.pdf</t>
  </si>
  <si>
    <t>Uploads\7008124b-abe0-450c-bb53-cc4212324e49.pdf</t>
  </si>
  <si>
    <t>C7BD9C88-2EBD-456E-9B30-75147E33E9EA</t>
  </si>
  <si>
    <t>BDCA0379-0196-4DBE-9D36-00790A16CF74</t>
  </si>
  <si>
    <t>KNDW-D03  ST1 NOOP_REV1_Signed.pdf</t>
  </si>
  <si>
    <t>Uploads\bdca0379-0196-4dbe-9d36-00790a16cf74.pdf</t>
  </si>
  <si>
    <t>D018E44D-E3DC-43A3-84ED-7F45CE73DFD5</t>
  </si>
  <si>
    <t>CDE8F4B3-2EB9-4F3F-A262-A44B5277AB33</t>
  </si>
  <si>
    <t>AFA22D10-8DB3-426C-A73B-FA1074328C12</t>
  </si>
  <si>
    <t>SBO3SKNPDR13_S_CN1_W4.pdf</t>
  </si>
  <si>
    <t>Uploads\afa22d10-8db3-426c-a73b-fa1074328c12.pdf</t>
  </si>
  <si>
    <t>7DCECAAF-357D-4E3B-9886-64413F08722F</t>
  </si>
  <si>
    <t>1EED9F27-F755-40F9-B767-24A2F7AEA3FA</t>
  </si>
  <si>
    <t>SBO3SKNPWSA4_S_CN1_W4.pdf</t>
  </si>
  <si>
    <t>Uploads\1eed9f27-f755-40f9-b767-24a2f7aea3fa.pdf</t>
  </si>
  <si>
    <t>EDD0DAB4-5395-4DC9-A691-A101C3AED1B2</t>
  </si>
  <si>
    <t>B2F74EAA-36FF-4AD1-96EF-A4D57DB1AB1E</t>
  </si>
  <si>
    <t>3FA50EA1-BE88-4D48-91BC-DE65F9509066</t>
  </si>
  <si>
    <t>Kacak-1 Final Well Report Final.pdf</t>
  </si>
  <si>
    <t>Uploads\3fa50ea1-be88-4d48-91bc-de65f9509066.pdf</t>
  </si>
  <si>
    <t>6E9D301F-B62F-4C67-8593-5A78E5FFC1CE</t>
  </si>
  <si>
    <t>37519D98-F840-4804-9E77-5F407BB2A7A1</t>
  </si>
  <si>
    <t>NOOP - Kacak-1 Internal.pdf</t>
  </si>
  <si>
    <t>Uploads\37519d98-f840-4804-9e77-5f407bb2a7a1.pdf</t>
  </si>
  <si>
    <t>168618BC-563C-473E-B5D9-4E4127275550</t>
  </si>
  <si>
    <t>E7C4EA89-BC82-4F73-A30C-A5123D6407A9</t>
  </si>
  <si>
    <t>729C73EC-AD2F-43B4-9C02-7A43065FFBF2</t>
  </si>
  <si>
    <t>Jerangau-1 NOOP_FINAL.pdf</t>
  </si>
  <si>
    <t>Uploads\729c73ec-ad2f-43b4-9c02-7a43065ffbf2.pdf</t>
  </si>
  <si>
    <t>59D4C086-A25F-4781-B1F1-BC5F80C4C131</t>
  </si>
  <si>
    <t>1F36FB5F-393B-4010-80E8-E89D15F32930</t>
  </si>
  <si>
    <t>Jerangau-1 End of Well Report (FINAL).pdf</t>
  </si>
  <si>
    <t>Uploads\1f36fb5f-393b-4010-80e8-e89d15f32930.pdf</t>
  </si>
  <si>
    <t>5DF60444-EA59-413D-BAD9-475B373A86D0</t>
  </si>
  <si>
    <t>F735AAB8-6392-49AB-AC8B-A5181A5D9A71</t>
  </si>
  <si>
    <t>D4003DA8-5E2B-4376-9A5B-F3DD0BF3088D</t>
  </si>
  <si>
    <t>NOOP - BZA_Rev0_Final.pdf</t>
  </si>
  <si>
    <t>Uploads\d4003da8-5e2b-4376-9a5b-f3dd0bf3088d.pdf</t>
  </si>
  <si>
    <t>CB3D16C4-D22C-4522-8BC0-69FDFCF28D8C</t>
  </si>
  <si>
    <t>761DDB84-258A-4BC2-88BD-71CD73D24A25</t>
  </si>
  <si>
    <t>NMB-DRI-RPT-01167.pdf</t>
  </si>
  <si>
    <t>Uploads\761ddb84-258a-4bc2-88bd-71cd73d24a25.pdf</t>
  </si>
  <si>
    <t>154AFACE-532D-4180-A3E2-3BFD41929524</t>
  </si>
  <si>
    <t>FBBE77AF-2E0C-4109-A8A2-A53D684A6017</t>
  </si>
  <si>
    <t>D8DDF09F-A356-4715-B712-CA61CC09EE66</t>
  </si>
  <si>
    <t>LIMBAYONG 3 NOOP .pdf</t>
  </si>
  <si>
    <t>Uploads\d8ddf09f-a356-4715-b712-ca61cc09ee66.pdf</t>
  </si>
  <si>
    <t>9181B892-37E1-4E08-AE02-19995721DDC9</t>
  </si>
  <si>
    <t>47BF3CC5-E92D-4F4E-95BA-A9FC3C3445E4</t>
  </si>
  <si>
    <t>SBO3LIBYWS09_LIMBAYONG-3_PCSB_FWR.pdf</t>
  </si>
  <si>
    <t>Uploads\47bf3cc5-e92d-4f4e-95ba-a9fc3c3445e4.pdf</t>
  </si>
  <si>
    <t>C5ACE51B-0F82-4724-A22D-2A68A4A7C080</t>
  </si>
  <si>
    <t>587B2FD8-2F9E-427C-9494-A5481693811B</t>
  </si>
  <si>
    <t>E6662A4A-DEDB-49FD-9EA6-F52FBA497F0F</t>
  </si>
  <si>
    <t>Uploads\e6662a4a-dedb-49fd-9ea6-f52fba497f0f.pdf</t>
  </si>
  <si>
    <t>4933B097-7B22-40D6-B0E8-91D396627888</t>
  </si>
  <si>
    <t>747E045C-0683-46C0-9A89-C38BFDF385B7</t>
  </si>
  <si>
    <t>Uploads\747e045c-0683-46c0-9a89-c38bfdf385b7.pdf</t>
  </si>
  <si>
    <t>4E59D674-DDB1-4245-A570-2351AAE61759</t>
  </si>
  <si>
    <t>6C9C6125-E5E8-4355-9A9D-A56828AFF396</t>
  </si>
  <si>
    <t>B831EC08-BFCB-4B51-8C7C-FD3D5326A3A9</t>
  </si>
  <si>
    <t>Uploads\b831ec08-bfcb-4b51-8c7c-fd3d5326a3a9.pdf</t>
  </si>
  <si>
    <t>2409723A-BACF-484A-BCCF-3CCD6F340295</t>
  </si>
  <si>
    <t>E0B4FB7C-ED37-4A64-B383-ACE7FEA3AC1A</t>
  </si>
  <si>
    <t>MY-K-56-DNC-RP-0003-00_S-CNI-P14ST1 EOWR.pdf</t>
  </si>
  <si>
    <t>Uploads\e0b4fb7c-ed37-4a64-b383-ace7fea3ac1a.pdf</t>
  </si>
  <si>
    <t>3F212245-C153-40F4-97E8-4239C8AF2A32</t>
  </si>
  <si>
    <t>09D798EC-A3C4-462A-B22F-A5C2A6338797</t>
  </si>
  <si>
    <t>7E4DD32D-E030-4B62-A916-BC7BD6F58237</t>
  </si>
  <si>
    <t>EOWR_Bunga Anggerik A-1D FINAL.pdf</t>
  </si>
  <si>
    <t>Uploads\7e4dd32d-e030-4b62-a916-bc7bd6f58237.pdf</t>
  </si>
  <si>
    <t>E93C7913-5342-401D-8E98-9E134AB7C030</t>
  </si>
  <si>
    <t>C63EBBB0-4ADF-472F-B168-4D92CB8DFD08</t>
  </si>
  <si>
    <t>Uploads\c63ebbb0-4adf-472f-b168-4d92cb8dfd08.pdf</t>
  </si>
  <si>
    <t>8CFFC9B2-03CE-4B2B-9776-967B36B4D9C7</t>
  </si>
  <si>
    <t>5FE9C3DA-D9F0-47E6-8736-A6B61F4D641B</t>
  </si>
  <si>
    <t>A4486D27-4182-4EC3-9DAB-8A8B66A332EA</t>
  </si>
  <si>
    <t>PMO3ANSIWSA4_ANGSI-B20ST1.pdf</t>
  </si>
  <si>
    <t>Uploads\a4486d27-4182-4ec3-9dab-8a8b66a332ea.pdf</t>
  </si>
  <si>
    <t>993CB17E-DFD2-45E1-A345-BE497B329730</t>
  </si>
  <si>
    <t>4B9B11A0-D518-4529-A08C-3AA17E1A0A6B</t>
  </si>
  <si>
    <t>ANGSI-B20ST1 FWR.pdf</t>
  </si>
  <si>
    <t>Uploads\4b9b11a0-d518-4529-a08c-3aa17e1a0a6b.pdf</t>
  </si>
  <si>
    <t>8ABED109-9E1A-4CEE-99D3-F88088CF6D05</t>
  </si>
  <si>
    <t>247CB815-E3A6-44D7-80D0-A6C5B4293B21</t>
  </si>
  <si>
    <t>256D13EA-6253-40BA-94C2-FF43BED904DD</t>
  </si>
  <si>
    <t>D18 403 ST1 FWR.pdf</t>
  </si>
  <si>
    <t>Uploads\256d13ea-6253-40ba-94c2-ff43bed904dd.pdf</t>
  </si>
  <si>
    <t>A1D9F5AF-D48E-4915-A70F-0BA56FFE73CC</t>
  </si>
  <si>
    <t>FD005F2C-8010-4472-B254-C203C43220DA</t>
  </si>
  <si>
    <t>D18-403 NOOP.pdf</t>
  </si>
  <si>
    <t>Uploads\fd005f2c-8010-4472-b254-c203c43220da.pdf</t>
  </si>
  <si>
    <t>0DF08265-8FCB-4889-A389-5A9C3371798E</t>
  </si>
  <si>
    <t>D4405BE2-5C19-4C5C-89B2-A74470309E31</t>
  </si>
  <si>
    <t>5DC0FB0F-CC2E-41E2-9259-F25086274D39</t>
  </si>
  <si>
    <t>SF Merah-1 EOWR_MPM_Drilling.pdf</t>
  </si>
  <si>
    <t>Uploads\5dc0fb0f-cc2e-41e2-9259-f25086274d39.pdf</t>
  </si>
  <si>
    <t>C7DD9794-A445-492B-BBB5-F543C9BED618</t>
  </si>
  <si>
    <t>7BD1A351-BC30-4631-AFC8-3AE7D876E0C9</t>
  </si>
  <si>
    <t>SF MERAH NOOP_FINAL.pdf</t>
  </si>
  <si>
    <t>Uploads\7bd1a351-bc30-4631-afc8-3ae7d876e0c9.pdf</t>
  </si>
  <si>
    <t>64BC1B4D-8332-45FF-83A5-D680B663CB52</t>
  </si>
  <si>
    <t>1C6647FE-51C0-4947-935D-A764F1E8CDBD</t>
  </si>
  <si>
    <t>6F3588ED-3857-485F-AB27-A33D42564457</t>
  </si>
  <si>
    <t>SAPA-11 EOWR.pdf</t>
  </si>
  <si>
    <t>Uploads\6f3588ed-3857-485f-ab27-a33d42564457.pdf</t>
  </si>
  <si>
    <t>8AEFB70E-31BE-4D25-8D5E-15DA0BA8C0AF</t>
  </si>
  <si>
    <t>4DBC9459-5B9A-477D-85A6-D89448F59D89</t>
  </si>
  <si>
    <t>NOOP SK311 South Acis (SAPA) Revisit I Phase II.pdf</t>
  </si>
  <si>
    <t>Uploads\4dbc9459-5b9a-477d-85a6-d89448f59d89.pdf</t>
  </si>
  <si>
    <t>08DF3197-2B88-4FB2-94F0-1A4AEE1C82D6</t>
  </si>
  <si>
    <t>7ACBF05D-0119-404C-9653-A7F67F084246</t>
  </si>
  <si>
    <t>525BF7BA-DFFB-4D2D-97CC-3E3060B3CD3E</t>
  </si>
  <si>
    <t>FWR BOKOR-E505.pdf</t>
  </si>
  <si>
    <t>Uploads\525bf7ba-dffb-4d2d-97cc-3e3060b3cd3e.pdf</t>
  </si>
  <si>
    <t>B67E3D0F-9A4D-4BEF-8CB5-7409D0DE7EFE</t>
  </si>
  <si>
    <t>1944E624-0FDC-443F-A22F-3C64DA516380</t>
  </si>
  <si>
    <t>NOOP BO-505 FINAL_Rev_04_MSD_approved by AAR.pdf</t>
  </si>
  <si>
    <t>Uploads\1944e624-0fdc-443f-a22f-3c64da516380.pdf</t>
  </si>
  <si>
    <t>1849D3F9-D930-4491-A164-8C65CFA75693</t>
  </si>
  <si>
    <t>9B5F5311-03FC-42DF-8F68-A8116FCA616A</t>
  </si>
  <si>
    <t>1CB90EFC-213E-41F0-B30F-3B6D00C3695D</t>
  </si>
  <si>
    <t>CD-B02ST2 Final Drilling and Completion Report .pdf</t>
  </si>
  <si>
    <t>Uploads\1cb90efc-213e-41f0-b30f-3b6d00c3695d.pdf</t>
  </si>
  <si>
    <t>7DCED1FB-7D65-46ED-AAF2-AA963373F0F8</t>
  </si>
  <si>
    <t>1B1A9FA3-53B7-435C-B2EE-B67AD8A759B8</t>
  </si>
  <si>
    <t>CD-B02ST2 (Slot 8a CDW-B Platform) Rev.00 CP2-GEN-D-0003_ NOOP - WELL  rev.00.pdf</t>
  </si>
  <si>
    <t>Uploads\1b1a9fa3-53b7-435c-b2ee-b67ad8a759b8.pdf</t>
  </si>
  <si>
    <t>C9A8C732-09DB-4862-A242-A55BE999F33D</t>
  </si>
  <si>
    <t>017BAB10-0B5D-4229-B6E0-A823032231EC</t>
  </si>
  <si>
    <t>1097D068-D291-4691-8D8B-8E17EECDB452</t>
  </si>
  <si>
    <t>BAYAN-223ST1 FWR.pdf</t>
  </si>
  <si>
    <t>Uploads\1097d068-d291-4691-8d8b-8e17eecdb452.pdf</t>
  </si>
  <si>
    <t>444E0983-A214-4967-A04D-4357A00AF4E9</t>
  </si>
  <si>
    <t>DA574FB7-A9A9-4DBA-9A92-6F5F86D9363A</t>
  </si>
  <si>
    <t>SKO3BYANWSH2_BAYAN-223_PCSB_NOOP.pdf</t>
  </si>
  <si>
    <t>Uploads\da574fb7-a9a9-4dba-9a92-6f5f86d9363a.pdf</t>
  </si>
  <si>
    <t>14D2381E-B42C-40FA-84FC-9BD47EBBB102</t>
  </si>
  <si>
    <t>FA55664B-204E-4297-B3DA-A85646DCC33D</t>
  </si>
  <si>
    <t>F14-104</t>
  </si>
  <si>
    <t>D246C75C-A17A-4A76-AF11-1F5EC7A50324</t>
  </si>
  <si>
    <t>F14-104 FDCR (EOWR).pdf</t>
  </si>
  <si>
    <t>Uploads\d246c75c-a17a-4a76-af11-1f5ec7a50324.pdf</t>
  </si>
  <si>
    <t>7CB9E183-3E77-4529-A117-6B1C5B30A70A</t>
  </si>
  <si>
    <t>28A9415A-43BD-4192-87C7-3164AEE0FE23</t>
  </si>
  <si>
    <t>Uploads\28a9415a-43bd-4192-87c7-3164aee0fe23.pdf</t>
  </si>
  <si>
    <t>0B442371-736D-4694-ABC2-A827CD628416</t>
  </si>
  <si>
    <t>907B380E-A8D3-4DF8-8745-A864A79CB2EF</t>
  </si>
  <si>
    <t>E06-104</t>
  </si>
  <si>
    <t>81C7352B-8C11-40D6-9571-E5327EDD1B99</t>
  </si>
  <si>
    <t>E06-104 End of Well Report_Final.pdf</t>
  </si>
  <si>
    <t>Uploads\81c7352b-8c11-40d6-9571-e5327edd1b99.pdf</t>
  </si>
  <si>
    <t>2959588F-DFA5-4B09-86BA-F7752A33266F</t>
  </si>
  <si>
    <t>F2771EF0-2D46-4D68-9D79-11EB976C267F</t>
  </si>
  <si>
    <t>E06-104 (S7) NOOP.pdf</t>
  </si>
  <si>
    <t>Uploads\f2771ef0-2d46-4d68-9d79-11eb976c267f.pdf</t>
  </si>
  <si>
    <t>662560BB-7B0B-4CEA-B594-8F9D611F4D72</t>
  </si>
  <si>
    <t>3DE5C65B-35F0-4523-A7C3-A86A1E7AB69B</t>
  </si>
  <si>
    <t>C3C64865-96D9-4D30-8DD0-7C38116A29E6</t>
  </si>
  <si>
    <t>SKO3BDRAWS04_BIDARA_1.pdf</t>
  </si>
  <si>
    <t>Uploads\c3c64865-96d9-4d30-8dd0-7c38116a29e6.pdf</t>
  </si>
  <si>
    <t>C4E3351F-A3B7-465F-88FD-7F27FE7AF994</t>
  </si>
  <si>
    <t>E3B89CCF-AEF2-40E6-A2B4-9DB7F90B1976</t>
  </si>
  <si>
    <t>SKO3BDRAWS02_BIDARA_1.pdf</t>
  </si>
  <si>
    <t>Uploads\e3b89ccf-aef2-40e6-a2b4-9db7f90b1976.pdf</t>
  </si>
  <si>
    <t>EB67BA5B-0842-4BE4-AABD-1EA18E10681A</t>
  </si>
  <si>
    <t>455E2192-70F8-496D-BF70-A8813F9DC244</t>
  </si>
  <si>
    <t>156FBDC5-2FCF-4B56-A3C7-31ECAED9D18C</t>
  </si>
  <si>
    <t>PMO3CRMGWS26_CHRA-03 ST1_SAPURA OMV_FWR.pdf</t>
  </si>
  <si>
    <t>Uploads\156fbdc5-2fcf-4b56-a3c7-31ecaed9d18c.pdf</t>
  </si>
  <si>
    <t>9E4C286C-48CE-4D09-B685-B6581F75CD7A</t>
  </si>
  <si>
    <t>21FF7BAD-7FFE-4207-BAA6-B31EF59D37CF</t>
  </si>
  <si>
    <t>PMO3CRMGWS25_CHRA-03 ST1_SAPURA OMV_nOOP.pdf</t>
  </si>
  <si>
    <t>Uploads\21ff7bad-7ffe-4207-baa6-b31ef59d37cf.pdf</t>
  </si>
  <si>
    <t>CF59D603-4051-498D-B830-FC3B064A6891</t>
  </si>
  <si>
    <t>2D746E94-3E95-4B1E-A299-A8970F830C99</t>
  </si>
  <si>
    <t>2201AC32-D020-44DF-AE29-E16FDFD30D5F</t>
  </si>
  <si>
    <t>NOOP F12-A3 FINAL.pdf</t>
  </si>
  <si>
    <t>Uploads\2201ac32-d020-44df-ae29-e16fdfd30d5f.pdf</t>
  </si>
  <si>
    <t>8AE10D0B-E020-4765-9B7E-AC8D10D2D178</t>
  </si>
  <si>
    <t>834C622F-756B-4664-BC2C-46AF54731D88</t>
  </si>
  <si>
    <t>FWR F12-A3  (1).pdf</t>
  </si>
  <si>
    <t>Uploads\834c622f-756b-4664-bc2c-46af54731d88.pdf</t>
  </si>
  <si>
    <t>4414565C-AE34-49F7-A082-AA0909D28EB3</t>
  </si>
  <si>
    <t>42357450-FA87-4715-B0C0-A8B3FAE466F5</t>
  </si>
  <si>
    <t>21183E7C-B975-4FB8-84CC-B723B22A394F</t>
  </si>
  <si>
    <t>EOWR_BTR-C4_Final_signed.pdf</t>
  </si>
  <si>
    <t>Uploads\21183e7c-b975-4fb8-84cc-b723b22a394f.pdf</t>
  </si>
  <si>
    <t>9EB49853-A210-40CB-8960-024E64922E4B</t>
  </si>
  <si>
    <t>D926C446-2801-4FCC-A97E-081E7805AF21</t>
  </si>
  <si>
    <t>BTR-C4 NOOP (DWP).pdf</t>
  </si>
  <si>
    <t>Uploads\d926c446-2801-4fcc-a97e-081e7805af21.pdf</t>
  </si>
  <si>
    <t>67A46AD7-E625-4C72-B344-053DA5AE6A1C</t>
  </si>
  <si>
    <t>7A93F16B-83DA-4CF3-97EE-A8DE82E907C8</t>
  </si>
  <si>
    <t>6BDC2C7D-6FC3-4BDF-B764-D73E851094F5</t>
  </si>
  <si>
    <t>BU-2 DRILLING EOWR.pdf</t>
  </si>
  <si>
    <t>Uploads\6bdc2c7d-6fc3-4bdf-b764-d73e851094f5.pdf</t>
  </si>
  <si>
    <t>987318AE-0A64-4A6D-865B-8CA6F8B5AB92</t>
  </si>
  <si>
    <t>3EA52A13-9C13-44CB-8A7D-AF8A12E15E7C</t>
  </si>
  <si>
    <t>BU2 NOOPR1.0.pdf</t>
  </si>
  <si>
    <t>BU2 NOOP.pdf</t>
  </si>
  <si>
    <t>Uploads\3ea52a13-9c13-44cb-8a7d-af8a12e15e7c.pdf</t>
  </si>
  <si>
    <t>C6E95B52-358B-451B-BFB9-9AC7F6E87C6C</t>
  </si>
  <si>
    <t>7FE0C3E1-231E-4882-8FC7-A91BB365621C</t>
  </si>
  <si>
    <t>094596B4-6074-4C73-8125-584617638E23</t>
  </si>
  <si>
    <t>Beboli-1 - Shell MLNG Exploration - EOWR.pdf</t>
  </si>
  <si>
    <t>Uploads\094596b4-6074-4c73-8125-584617638e23.pdf</t>
  </si>
  <si>
    <t>B3378795-7A10-405A-84D7-16F30B0420CB</t>
  </si>
  <si>
    <t>617BCEB7-79F4-4042-9877-C4683B022265</t>
  </si>
  <si>
    <t>Beboli-1_Final MLNG Ph1 Expl NOOP.pdf</t>
  </si>
  <si>
    <t>Uploads\617bceb7-79f4-4042-9877-c4683b022265.pdf</t>
  </si>
  <si>
    <t>639BE75F-5BB7-44D9-BC8E-58AC999548AA</t>
  </si>
  <si>
    <t>9587F8C1-3856-4FF1-83C9-A99D51BACA6A</t>
  </si>
  <si>
    <t>9DB9EABA-819D-4FDE-9454-CE3073F1F82E</t>
  </si>
  <si>
    <t>SKO3KDDIWS05_KEDIDI_1.pdf</t>
  </si>
  <si>
    <t>Uploads\9db9eaba-819d-4fde-9454-ce3073f1f82e.pdf</t>
  </si>
  <si>
    <t>ED94EC5C-A241-4E87-B34A-E0BEB10883BE</t>
  </si>
  <si>
    <t>37360B54-2E0A-47E9-9D5F-77B924B4D6E3</t>
  </si>
  <si>
    <t>SKO3KDDIGL01_KEDIDI_1.pdf</t>
  </si>
  <si>
    <t>Uploads\37360b54-2e0a-47e9-9d5f-77b924b4d6e3.pdf</t>
  </si>
  <si>
    <t>1ADDFC4C-B67E-40BB-BE00-9A2B21F2C0E2</t>
  </si>
  <si>
    <t>9DBE013B-93A6-408C-BDF4-A9D2078781F4</t>
  </si>
  <si>
    <t>233E1380-0AE5-493C-813E-6136E72423CF</t>
  </si>
  <si>
    <t>SBO3SMRGGL30_SM-105.pdf</t>
  </si>
  <si>
    <t>Uploads\233e1380-0ae5-493c-813e-6136e72423cf.pdf</t>
  </si>
  <si>
    <t>CA7FF1AE-A71F-4CAB-925D-9CF5BFD97149</t>
  </si>
  <si>
    <t>7829B22D-ECDC-4FA1-943F-3928A6C4687C</t>
  </si>
  <si>
    <t>SBO3SMRGWSBR_SM-105.pdf</t>
  </si>
  <si>
    <t>Uploads\7829b22d-ecdc-4fa1-943f-3928a6c4687c.pdf</t>
  </si>
  <si>
    <t>638C9272-0AAB-4E85-B425-A5B04F1B0A52</t>
  </si>
  <si>
    <t>92E78905-AC5B-49A1-911B-A9DBA5E4D750</t>
  </si>
  <si>
    <t>3F513781-3335-410E-BE4B-49EE7AF622AF</t>
  </si>
  <si>
    <t>TE-83 Petronas Final Well Report Compiled (1).pdf</t>
  </si>
  <si>
    <t>Uploads\3f513781-3335-410e-be4b-49ee7af622af.pdf</t>
  </si>
  <si>
    <t>C49008E6-DF35-499F-858A-1C2CADBDF88A</t>
  </si>
  <si>
    <t>76E62C18-2DB6-4E50-B609-3A0110C70AC0</t>
  </si>
  <si>
    <t>Temana EMP 1.0 TE-83 NOOP Final.pdf</t>
  </si>
  <si>
    <t>Uploads\76e62c18-2db6-4e50-b609-3a0110c70ac0.pdf</t>
  </si>
  <si>
    <t>F2D70371-F8AD-40B5-AFF1-772BA5709905</t>
  </si>
  <si>
    <t>62E4F0A9-3E99-4FCB-AEE6-A9EDA44D7C63</t>
  </si>
  <si>
    <t>AC1C133B-3182-4CF9-9E0D-C1EDF2B56764</t>
  </si>
  <si>
    <t>BY-225 Final Well Report_Bayan Redevelopment Project.pdf</t>
  </si>
  <si>
    <t>Uploads\ac1c133b-3182-4cf9-9e0d-c1edf2b56764.pdf</t>
  </si>
  <si>
    <t>7315D388-B91F-4EEC-8C0B-6F897B607365</t>
  </si>
  <si>
    <t>95CA054A-5958-48C7-8BAC-76684692C362</t>
  </si>
  <si>
    <t>BY-225 Notice of Operations_APPROVED_Controlled Copy.pdf</t>
  </si>
  <si>
    <t>Uploads\95ca054a-5958-48c7-8bac-76684692c362.pdf</t>
  </si>
  <si>
    <t>F5ECB423-D9B0-48A5-98A3-6F21D5BA75CF</t>
  </si>
  <si>
    <t>8C655535-7BD8-40FF-A860-AA2B40C7ACC8</t>
  </si>
  <si>
    <t>54D20536-1143-4842-A00F-2BDA9E5CD3BC</t>
  </si>
  <si>
    <t>Machincang-1 Final Well Report rev03.pdf</t>
  </si>
  <si>
    <t>Uploads\54d20536-1143-4842-a00f-2bda9e5cd3bc.pdf</t>
  </si>
  <si>
    <t>3BB9AB58-824C-4F3E-A5F2-C9451A7F5034</t>
  </si>
  <si>
    <t>31B83607-966C-4B9E-B4A7-477A460CF1C5</t>
  </si>
  <si>
    <t>Machincang-1 NOOP (2023).pdf</t>
  </si>
  <si>
    <t>Uploads\31b83607-966c-4b9e-b4a7-477a460cf1c5.pdf</t>
  </si>
  <si>
    <t>BD169B67-55C5-402F-BF0C-EF970178A31F</t>
  </si>
  <si>
    <t>8A786E7A-C452-4D43-A957-AA5101D6082E</t>
  </si>
  <si>
    <t>F7054D76-6F30-4761-A977-5E5418CB348C</t>
  </si>
  <si>
    <t>NOOP Padang A02 Final (Internal).pdf</t>
  </si>
  <si>
    <t>Uploads\f7054d76-6f30-4761-a977-5e5418cb348c.pdf</t>
  </si>
  <si>
    <t>371D9174-EC8C-47C5-BF1D-9C30A3E6DC6E</t>
  </si>
  <si>
    <t>6151B10F-8D44-405E-9B6D-9496273945FF</t>
  </si>
  <si>
    <t>Padang A02 Final Well Report.pdf</t>
  </si>
  <si>
    <t>Uploads\6151b10f-8d44-405e-9b6d-9496273945ff.pdf</t>
  </si>
  <si>
    <t>F04DB014-7739-48B6-B520-B273F7BA907C</t>
  </si>
  <si>
    <t>E78B1943-41E5-49D8-B4AB-AA5A9D2F3136</t>
  </si>
  <si>
    <t>60DE9174-52F0-497E-850A-FD079A3D9633</t>
  </si>
  <si>
    <t>Uploads\60de9174-52f0-497e-850a-fd079a3d9633.pdf</t>
  </si>
  <si>
    <t>3B0C4140-9DDA-4FF5-A7DF-2C5111653C9F</t>
  </si>
  <si>
    <t>02FF2079-EBBA-4ACE-8B60-A5071429CD56</t>
  </si>
  <si>
    <t>Uploads\02ff2079-ebba-4ace-8b60-a5071429cd56.pdf</t>
  </si>
  <si>
    <t>9C91A675-03D7-4B05-941C-2861D1915685</t>
  </si>
  <si>
    <t>46890E33-0A54-44CC-9BE0-AA5BEB88A425</t>
  </si>
  <si>
    <t>1082CE75-624A-4F87-B897-A71B198D4446</t>
  </si>
  <si>
    <t>Kerdas-1 Final Well Report.pdf</t>
  </si>
  <si>
    <t>Uploads\1082ce75-624a-4f87-b897-a71b198d4446.pdf</t>
  </si>
  <si>
    <t>76EFD9E0-E957-4316-88AD-5CA7A06EE403</t>
  </si>
  <si>
    <t>A2021F85-7060-490A-BE82-EF671557A7B4</t>
  </si>
  <si>
    <t>NOOP - Kerdas-1.pdf</t>
  </si>
  <si>
    <t>Uploads\a2021f85-7060-490a-be82-ef671557a7b4.pdf</t>
  </si>
  <si>
    <t>03561B92-8945-4F44-8C1C-9A9B8DC04DDD</t>
  </si>
  <si>
    <t>5DD868FE-93F4-4DCF-A868-AA84115F5B51</t>
  </si>
  <si>
    <t>E49BDCD4-0B0F-4F2B-8558-2B627B9E76F9</t>
  </si>
  <si>
    <t>SBO3LLYGGL6130_LAYANG-LAYANG-1.pdf</t>
  </si>
  <si>
    <t>Uploads\e49bdcd4-0b0f-4f2b-8558-2b627b9e76f9.pdf</t>
  </si>
  <si>
    <t>CBD909F7-B519-4686-9E05-C654DDC72BA7</t>
  </si>
  <si>
    <t>2A03BF44-4AA1-474A-8F37-98D085B81183</t>
  </si>
  <si>
    <t>Layang-Layang-1 - NOOP (2023).pdf</t>
  </si>
  <si>
    <t>Uploads\2a03bf44-4aa1-474a-8f37-98d085b81183.pdf</t>
  </si>
  <si>
    <t>C7B22B26-1A18-4270-90BF-5B7C4060FE07</t>
  </si>
  <si>
    <t>FBD9BDDF-69D3-4F85-AF17-AAD8FE54E553</t>
  </si>
  <si>
    <t>3EF8B0CF-B820-42E0-B7B6-40E8E7A9C37C</t>
  </si>
  <si>
    <t>Bertam-4 NOOP.pdf</t>
  </si>
  <si>
    <t>Uploads\3ef8b0cf-b820-42e0-b7b6-40e8e7a9c37c.pdf</t>
  </si>
  <si>
    <t>5EB67C66-5136-4C63-8850-3F2D89CA1ACC</t>
  </si>
  <si>
    <t>C8FFCCF6-18BD-4C35-B093-E2961EFB606C</t>
  </si>
  <si>
    <t>Bertam-4 EOWR_Final_complete (1).pdf</t>
  </si>
  <si>
    <t>Uploads\c8ffccf6-18bd-4c35-b093-e2961efb606c.pdf</t>
  </si>
  <si>
    <t>F5D41956-C96B-4D29-A90B-D317476AB392</t>
  </si>
  <si>
    <t>7D7E6AD9-7C71-4BDF-A3BF-AAE152CEB9D0</t>
  </si>
  <si>
    <t>026ABA36-2A8A-4DEE-A7BB-787CB1517E95</t>
  </si>
  <si>
    <t>PMO3DULGWSXL_DULANG-D29_PCSB_NOOP.pdf</t>
  </si>
  <si>
    <t>Uploads\026aba36-2a8a-4dee-a7bb-787cb1517e95.pdf</t>
  </si>
  <si>
    <t>ED79F4C2-2F0E-4354-BDA7-D48E4EF02B58</t>
  </si>
  <si>
    <t>E14BA50E-C644-406A-827F-8C219941CD76</t>
  </si>
  <si>
    <t>PMO3DULGWSYG_DULANG-D29_PCSB_FWR.pdf</t>
  </si>
  <si>
    <t>Uploads\e14ba50e-c644-406a-827f-8c219941cd76.pdf</t>
  </si>
  <si>
    <t>5A484D13-F690-4F12-BEEF-DA2EC822D55F</t>
  </si>
  <si>
    <t>B621AE03-FC7A-4C5A-9011-AB5C0E0B2DFB</t>
  </si>
  <si>
    <t>BFD8AC65-8B73-48D0-BA9C-9EBB5369A577</t>
  </si>
  <si>
    <t>Bentara-A3 Final Well Report_.pdf</t>
  </si>
  <si>
    <t>Uploads\bfd8ac65-8b73-48d0-ba9c-9ebb5369a577.pdf</t>
  </si>
  <si>
    <t>E6036D9F-CE27-44CA-B072-98CBE60BA045</t>
  </si>
  <si>
    <t>B7CA5035-A868-4CE6-BB46-5BCD99CEBB00</t>
  </si>
  <si>
    <t>NOOP Bentara-A3_Signed_rev01.pdf</t>
  </si>
  <si>
    <t>Uploads\b7ca5035-a868-4ce6-bb46-5bcd99cebb00.pdf</t>
  </si>
  <si>
    <t>C6370918-500B-46EA-B97E-439FA9A2E605</t>
  </si>
  <si>
    <t>4BA5E439-F6BC-4483-AD3C-AC1AC19F9430</t>
  </si>
  <si>
    <t>C2A454E6-41DE-4AA3-8067-51A899EE32AE</t>
  </si>
  <si>
    <t>D28 OP1 FWR Signed.pdf</t>
  </si>
  <si>
    <t>Uploads\c2a454e6-41de-4aa3-8067-51a899ee32ae.pdf</t>
  </si>
  <si>
    <t>9CD2A6E9-17DB-45B6-9D50-434BE4DFCBE3</t>
  </si>
  <si>
    <t>2D4AA0A7-E019-4CA8-80DE-01FCD4EF4DC8</t>
  </si>
  <si>
    <t>D28 NOOP OP1 Final Signed.pdf</t>
  </si>
  <si>
    <t>Uploads\2d4aa0a7-e019-4ca8-80de-01fcd4ef4dc8.pdf</t>
  </si>
  <si>
    <t>06EA31E7-7A94-470F-B80D-A70230FC914E</t>
  </si>
  <si>
    <t>4E9A64F2-0F90-4B85-9A16-AC7411229A86</t>
  </si>
  <si>
    <t>8CC9320E-0E00-44EE-9149-2CA325FDFF3E</t>
  </si>
  <si>
    <t>D35B-221 NOOP_signed.pdf</t>
  </si>
  <si>
    <t>Uploads\8cc9320e-0e00-44ee-9149-2ca325fdff3e.pdf</t>
  </si>
  <si>
    <t>8E0BCEC9-FAE1-4BCF-B693-BA1E8039EA1F</t>
  </si>
  <si>
    <t>8946B500-2C31-4F68-889D-972B7371AA75</t>
  </si>
  <si>
    <t>D35B-221 EOWR (1 of 3).pdf</t>
  </si>
  <si>
    <t>Uploads\8946b500-2c31-4f68-889d-972b7371aa75.pdf</t>
  </si>
  <si>
    <t>D11A8559-B4F8-4259-8503-6634392B1C7C</t>
  </si>
  <si>
    <t>8B7D622F-7BAD-4147-891E-AC7FDE2EE376</t>
  </si>
  <si>
    <t>697ABAAE-4C5C-4643-AB80-E17FE3FEC446</t>
  </si>
  <si>
    <t>D18 301 ST1_EOWR Rev1.pdf</t>
  </si>
  <si>
    <t>Uploads\697abaae-4c5c-4643-ab80-e17fe3fec446.pdf</t>
  </si>
  <si>
    <t>D806339A-D69D-42B5-B767-1ABDF7AD888D</t>
  </si>
  <si>
    <t>5550B0A7-B6D5-490C-AF20-DBD6CD6D05DE</t>
  </si>
  <si>
    <t>D18-301 ST1 (OP-1A) NOOP.pdf</t>
  </si>
  <si>
    <t>Uploads\5550b0a7-b6d5-490c-af20-dbd6cd6d05de.pdf</t>
  </si>
  <si>
    <t>9C4D1ACE-F317-4EE5-8D96-39F2824731B4</t>
  </si>
  <si>
    <t>E8C85471-CAC2-4308-8BE3-ACE642D04327</t>
  </si>
  <si>
    <t>2F291B86-1309-463D-8211-31D275F73156</t>
  </si>
  <si>
    <t>EOWR_BRGD-5 (D_1_10).pdf</t>
  </si>
  <si>
    <t>Uploads\2f291b86-1309-463d-8211-31d275f73156.pdf</t>
  </si>
  <si>
    <t>C2760AD0-6295-4926-82F2-BFA881389E15</t>
  </si>
  <si>
    <t>A9BAF282-A39D-42BB-A215-283AEF0DCD71</t>
  </si>
  <si>
    <t>NOOP - BRGD-5(D_1_10) Rev0.pdf</t>
  </si>
  <si>
    <t>Uploads\a9baf282-a39d-42bb-a215-283aef0dcd71.pdf</t>
  </si>
  <si>
    <t>B761617D-8719-464A-8F85-F45F12BC756C</t>
  </si>
  <si>
    <t>5F61351D-B2B2-4D7E-8407-AD27B5C01E7B</t>
  </si>
  <si>
    <t>542F3C5E-F6E3-4BF7-8625-4CC58EE6E97D</t>
  </si>
  <si>
    <t>PGA-01ST-1Rev3.0_SZ Signed.pdf</t>
  </si>
  <si>
    <t>Uploads\542f3c5e-f6e3-4bf7-8625-4cc58ee6e97d.pdf</t>
  </si>
  <si>
    <t>4819C120-BCB1-4642-A7FE-9455B8F7E7D9</t>
  </si>
  <si>
    <t>E7961D9D-1AB5-4A64-8F2F-8FC21266A8B5</t>
  </si>
  <si>
    <t>PGA-01ST1 EOW_25th January 2021.pdf</t>
  </si>
  <si>
    <t>Uploads\e7961d9d-1ab5-4a64-8f2f-8fc21266a8b5.pdf</t>
  </si>
  <si>
    <t>2CA82A59-D5B6-4AA4-BE66-9176E51C8FBB</t>
  </si>
  <si>
    <t>23AB17E6-EA40-4E68-A4A1-AD3EE7D9FB7C</t>
  </si>
  <si>
    <t>410A4BC2-A01C-4598-8203-11E323C94D6C</t>
  </si>
  <si>
    <t>NOOP_DULANG-A04ST1(OP4)_Final.pdf</t>
  </si>
  <si>
    <t>Uploads\410a4bc2-a01c-4598-8203-11e323c94d6c.pdf</t>
  </si>
  <si>
    <t>5BADAB8F-ECE0-4813-A90B-FB1069AB111B</t>
  </si>
  <si>
    <t>384410A1-04A4-4B04-80F2-44EC4A5B030F</t>
  </si>
  <si>
    <t>Final Well Report_Dulang-A04ST1.pdf</t>
  </si>
  <si>
    <t>Uploads\384410a1-04a4-4b04-80f2-44ec4a5b030f.pdf</t>
  </si>
  <si>
    <t>F9260A7E-07F3-4E3F-9E7C-77C9915226AE</t>
  </si>
  <si>
    <t>89B0069F-C22E-469D-84C4-ADBFCE7C620A</t>
  </si>
  <si>
    <t>6653FB9D-1594-4777-A4C1-D19389169498</t>
  </si>
  <si>
    <t>BY-311 Notice of Operations_APPROVED.pdf</t>
  </si>
  <si>
    <t>Uploads\6653fb9d-1594-4777-a4c1-d19389169498.pdf</t>
  </si>
  <si>
    <t>B2B86A3F-CF35-4446-9349-30C74A64A6FF</t>
  </si>
  <si>
    <t>A6BD5534-3B28-4E7F-9DB6-290F1B869AF4</t>
  </si>
  <si>
    <t>BY-311 Final Well Report - Signed.pdf</t>
  </si>
  <si>
    <t>Uploads\a6bd5534-3b28-4e7f-9db6-290f1b869af4.pdf</t>
  </si>
  <si>
    <t>DCC20138-8CCA-4DBE-BD27-7ACC2EF69679</t>
  </si>
  <si>
    <t>FBC4BF25-8389-4C47-B7CD-ADF1BAE011A6</t>
  </si>
  <si>
    <t>2628A9AA-249D-48AA-A0D3-6F9C07D237DA</t>
  </si>
  <si>
    <t>Nahara-1 NOOP - signed.pdf</t>
  </si>
  <si>
    <t>Uploads\2628a9aa-249d-48aa-a0d3-6f9c07d237da.pdf</t>
  </si>
  <si>
    <t>9DE8CF97-1E51-41E4-BD16-811FB7E16C6F</t>
  </si>
  <si>
    <t>387BA852-45E1-456A-B98F-532AD82ED53E</t>
  </si>
  <si>
    <t>Nahara-1 -Approved Final Well Report (FWR) without Attachment .pdf</t>
  </si>
  <si>
    <t>Uploads\387ba852-45e1-456a-b98f-532ad82ed53e.pdf</t>
  </si>
  <si>
    <t>078D4049-F361-48D8-A7C4-2EFE0E7F7498</t>
  </si>
  <si>
    <t>FC0276FB-41E8-4264-A33E-AE0243A23989</t>
  </si>
  <si>
    <t>D1B7328F-FAC8-4AD3-98AF-157B672203A5</t>
  </si>
  <si>
    <t>TT-A8_FWR  - Final to MPM.pdf</t>
  </si>
  <si>
    <t>Uploads\d1b7328f-fac8-4ad3-98af-157b672203a5.pdf</t>
  </si>
  <si>
    <t>AA4D6635-E98B-4644-8666-DB03C63AFF10</t>
  </si>
  <si>
    <t>7CA097F7-54CD-4B09-ACD7-1F5C9B4D65B0</t>
  </si>
  <si>
    <t>TT-A8_Internal Copy.pdf</t>
  </si>
  <si>
    <t>Uploads\7ca097f7-54cd-4b09-acd7-1f5c9b4d65b0.pdf</t>
  </si>
  <si>
    <t>6825EE1B-5196-4C59-AAB2-7F5E3E41B4E9</t>
  </si>
  <si>
    <t>CCE63AE9-0DBF-451E-A1BB-AE53F1CD9133</t>
  </si>
  <si>
    <t>4DEDD076-93E3-4932-ACE3-956140BB0C60</t>
  </si>
  <si>
    <t>LARUT A-26ST2 (GP1_NOOP) rev.2.pdf</t>
  </si>
  <si>
    <t>Uploads\4dedd076-93e3-4932-ace3-956140bb0c60.pdf</t>
  </si>
  <si>
    <t>86F3B814-6999-47F1-AE13-630074E6B8F1</t>
  </si>
  <si>
    <t>2E808B84-2D0F-4E67-81AE-EA72B166369B</t>
  </si>
  <si>
    <t>LARUT A-26ST2 (GP1) Final Well Report_Rev0.pdf</t>
  </si>
  <si>
    <t>Uploads\2e808b84-2d0f-4e67-81ae-ea72b166369b.pdf</t>
  </si>
  <si>
    <t>5CFD306D-A27C-4BB7-8710-40B2C8E00605</t>
  </si>
  <si>
    <t>074566EF-7D37-46AA-9EB2-AEDB8E578AB7</t>
  </si>
  <si>
    <t>A1E1771A-B64A-4566-9054-5AC761DAD8A3</t>
  </si>
  <si>
    <t>PMO3SPATGL29_SEPAT-A05_PCSB_NOOP.pdf</t>
  </si>
  <si>
    <t>Uploads\a1e1771a-b64a-4566-9054-5ac761dad8a3.pdf</t>
  </si>
  <si>
    <t>EEF8BCC5-90D6-403F-8134-DA6FCC78092C</t>
  </si>
  <si>
    <t>AA050AF0-DC95-47BB-8530-1D25095A2FB0</t>
  </si>
  <si>
    <t>PMO3SPATWS68_SEPAT-A05_PCSB_FWR.pdf</t>
  </si>
  <si>
    <t>Uploads\aa050af0-dc95-47bb-8530-1d25095a2fb0.pdf</t>
  </si>
  <si>
    <t>88AF57E7-084A-4405-9EBB-5E1B7F4A97EB</t>
  </si>
  <si>
    <t>00FC4FD6-82DD-431A-AF3F-AEE9B45B8446</t>
  </si>
  <si>
    <t>8A54366B-287E-40D3-965C-A2CB13331F75</t>
  </si>
  <si>
    <t>GUNTONG-C14ST1 (C36) NOOP - PCSB.pdf</t>
  </si>
  <si>
    <t>Uploads\8a54366b-287e-40d3-965c-a2cb13331f75.pdf</t>
  </si>
  <si>
    <t>D4B7B61B-D4B6-44A7-952F-7DA220F91444</t>
  </si>
  <si>
    <t>069CD61E-6F6D-4414-A4FF-A8AE9056C4A2</t>
  </si>
  <si>
    <t>Guntong C-14.pdf</t>
  </si>
  <si>
    <t>Uploads\069cd61e-6f6d-4414-a4ff-a8ae9056c4a2.pdf</t>
  </si>
  <si>
    <t>F7162633-8C68-41E6-96FD-8A677D720080</t>
  </si>
  <si>
    <t>58424E94-4711-4181-8115-AF1CE05AE953</t>
  </si>
  <si>
    <t>FDDA66CF-1398-4D96-8CA6-9AF2F7CD872B</t>
  </si>
  <si>
    <t>Putat-1 Final Well Report Rev.1.pdf</t>
  </si>
  <si>
    <t>Uploads\fdda66cf-1398-4d96-8ca6-9af2f7cd872b.pdf</t>
  </si>
  <si>
    <t>5C26F8BE-26A3-4479-934F-C3B8124DD6B6</t>
  </si>
  <si>
    <t>F8AA3FE8-7765-4433-8C75-03EC27B87EF5</t>
  </si>
  <si>
    <t>Putat-1 NOOP - rev 1.1 copy.pdf</t>
  </si>
  <si>
    <t>Uploads\f8aa3fe8-7765-4433-8c75-03ec27b87ef5.pdf</t>
  </si>
  <si>
    <t>E4F1FE32-B2F5-458C-9673-C84FCF2E01F9</t>
  </si>
  <si>
    <t>705CA9A8-2E20-4AD0-9A72-AF3AF4A30036</t>
  </si>
  <si>
    <t>FA902FB0-D88E-41E9-9D16-8D26DC01F9F3</t>
  </si>
  <si>
    <t>F14-102 NOOP-160718 Final Signed.pdf</t>
  </si>
  <si>
    <t>Uploads\fa902fb0-d88e-41e9-9d16-8d26dc01f9f3.pdf</t>
  </si>
  <si>
    <t>396F992D-0C47-4702-8069-DE843141ED9C</t>
  </si>
  <si>
    <t>AEBEBB01-3830-4AF8-B007-43B0CCA3A863</t>
  </si>
  <si>
    <t>F14-102 EOWR (19 DEC)_FINAL_SIGNED.pdf</t>
  </si>
  <si>
    <t>F14-102 EOWR (19 DEC)_FINAL_SIGNED.PDF</t>
  </si>
  <si>
    <t>Uploads\aebebb01-3830-4af8-b007-43b0cca3a863.pdf</t>
  </si>
  <si>
    <t>5E1E923B-8D2C-47CD-A34A-C91BBE3F99EB</t>
  </si>
  <si>
    <t>BF27A3E2-B219-4055-B059-AF8DFB52F92D</t>
  </si>
  <si>
    <t>E0011CE8-D940-4A46-95C9-BDE482F12230</t>
  </si>
  <si>
    <t>SJ-609C EOWR_FINAL_MPM WM.pdf</t>
  </si>
  <si>
    <t>Uploads\e0011ce8-d940-4a46-95c9-bde482f12230.pdf</t>
  </si>
  <si>
    <t>680DBC42-346D-4A3A-8D10-79E55CC26A21</t>
  </si>
  <si>
    <t>28A97D9E-E2E2-4949-99FC-3EB163EE0E5C</t>
  </si>
  <si>
    <t>SJ-609C NOOP - MPM Drilling.pdf</t>
  </si>
  <si>
    <t>Uploads\28a97d9e-e2e2-4949-99fc-3eb163ee0e5c.pdf</t>
  </si>
  <si>
    <t>9F06156B-0018-42CC-A2A1-D748AEF5E1CF</t>
  </si>
  <si>
    <t>DCFBDDB8-091C-4BCB-B09E-AF8E58412A91</t>
  </si>
  <si>
    <t>DFC440AA-9FF1-4FAC-8CCF-744E3F484CF2</t>
  </si>
  <si>
    <t>NBO-4_End of Well Drilling Operation Report_FINAL.pdf</t>
  </si>
  <si>
    <t>Uploads\dfc440aa-9ff1-4fac-8ccf-744e3f484cf2.pdf</t>
  </si>
  <si>
    <t>6CFAD5FF-E359-4FA6-93EE-D461233ED348</t>
  </si>
  <si>
    <t>5B265C48-BE5B-40F5-8305-5F151B8D634B</t>
  </si>
  <si>
    <t>NBO-4 NOOP_Final_Rev0.pdf</t>
  </si>
  <si>
    <t>Uploads\5b265c48-be5b-40f5-8305-5f151b8d634b.pdf</t>
  </si>
  <si>
    <t>3CDA18D6-C3A5-40A0-A9EF-AA5C6A760D4F</t>
  </si>
  <si>
    <t>6506DCE9-C1F3-4068-80F6-B1043FFF3570</t>
  </si>
  <si>
    <t>7FCDE7C3-C6CA-4E42-AC51-6F538AB847CB</t>
  </si>
  <si>
    <t>BAIDURI-1 NOOP rev 0.0.pdf</t>
  </si>
  <si>
    <t>Uploads\7fcde7c3-c6ca-4e42-ac51-6f538ab847cb.pdf</t>
  </si>
  <si>
    <t>6DFE3D42-690F-4AAE-A5A4-201988AD029D</t>
  </si>
  <si>
    <t>EAB9DBC4-DAEC-4887-BB0E-8C29A7B679A0</t>
  </si>
  <si>
    <t>SB310 Baiduri-1 End of Well Report.pdf</t>
  </si>
  <si>
    <t>Uploads\eab9dbc4-daec-4887-bb0e-8c29a7b679a0.pdf</t>
  </si>
  <si>
    <t>4B14B886-8C2E-4AE8-836F-5BDD64827D56</t>
  </si>
  <si>
    <t>B48376DE-3BD3-49D5-8D51-B286FD55D131</t>
  </si>
  <si>
    <t>D8D95ED7-15FF-4539-8247-F21B98046D6C</t>
  </si>
  <si>
    <t>BARONIA-J72 NOOP.pdf</t>
  </si>
  <si>
    <t>Uploads\d8d95ed7-15ff-4539-8247-f21b98046d6c.pdf</t>
  </si>
  <si>
    <t>8962CD02-30D6-4229-B44A-4D58FCB5FBD9</t>
  </si>
  <si>
    <t>20D117EC-6FF1-4B1D-8F31-683CE1040885</t>
  </si>
  <si>
    <t>BARONIA-BN 72 FWR.pdf</t>
  </si>
  <si>
    <t>Uploads\20d117ec-6ff1-4b1d-8f31-683ce1040885.pdf</t>
  </si>
  <si>
    <t>8745AE0D-1656-4965-996C-15A26C3543FA</t>
  </si>
  <si>
    <t>BAAC85E2-1E34-4C26-9109-B29D524205AD</t>
  </si>
  <si>
    <t>53B1CBB5-A607-4279-A717-0DEE2F562DCF</t>
  </si>
  <si>
    <t>PMO3PRNWWS04_PENARA_NW1.pdf</t>
  </si>
  <si>
    <t>Uploads\53b1cbb5-a607-4279-a717-0dee2f562dcf.pdf</t>
  </si>
  <si>
    <t>0EBB24F6-52DA-4A72-9DB8-D9FD36E0C5A1</t>
  </si>
  <si>
    <t>74E953D3-F9DD-446A-ADA5-1212707A0D94</t>
  </si>
  <si>
    <t>PMO3PNARWS47_PENARA_NW1.pdf</t>
  </si>
  <si>
    <t>Uploads\74e953d3-f9dd-446a-ada5-1212707a0d94.pdf</t>
  </si>
  <si>
    <t>F92A7651-2259-4A48-B4FD-C970AD3C733C</t>
  </si>
  <si>
    <t>B9E936CA-BE70-4AFC-9899-B2E7962A0B0E</t>
  </si>
  <si>
    <t>5F51DE5D-4613-4AFA-AA2C-A3805CE3AC42</t>
  </si>
  <si>
    <t>Sirung-1 EOWR Rev0 (FINAL).pdf</t>
  </si>
  <si>
    <t>Uploads\5f51de5d-4613-4afa-aa2c-a3805ce3ac42.pdf</t>
  </si>
  <si>
    <t>D9F01981-FBC1-46E2-BE2D-50E06D8ABEA2</t>
  </si>
  <si>
    <t>E7C785CF-601C-42BB-AE7C-A8B46B584798</t>
  </si>
  <si>
    <t>Sirung-1 Rev1.pdf</t>
  </si>
  <si>
    <t>Uploads\e7c785cf-601c-42bb-ae7c-a8b46b584798.pdf</t>
  </si>
  <si>
    <t>E26C1AC2-E4C7-4859-A8D5-3846079068F0</t>
  </si>
  <si>
    <t>462BBEC8-853D-4E08-8CA5-B31715A6FB25</t>
  </si>
  <si>
    <t>CA627595-D5B8-467B-8A32-8D60EDFED4F6</t>
  </si>
  <si>
    <t>PETRONAS Final Well Report F13ESC-5_signed.pdf</t>
  </si>
  <si>
    <t>Uploads\ca627595-d5b8-467b-8a32-8d60edfed4f6.pdf</t>
  </si>
  <si>
    <t>0F8E7E89-6C79-4190-92E3-E1A3468EAC60</t>
  </si>
  <si>
    <t>3B65C012-152B-40BC-8285-7A43175EC6DB</t>
  </si>
  <si>
    <t>SKO3F13CWS6243_F13ESC-A5.pdf</t>
  </si>
  <si>
    <t>Uploads\3b65c012-152b-40bc-8285-7a43175ec6db.pdf</t>
  </si>
  <si>
    <t>B717B5C2-A13C-411C-8065-B2DAB2FFEC3C</t>
  </si>
  <si>
    <t>813F5BEC-CE77-496E-840C-B398FB9DDCA4</t>
  </si>
  <si>
    <t>134744FA-9D20-4B59-AD55-6BED966D7470</t>
  </si>
  <si>
    <t>PGA-06 NOOP Update Rev 1.0_8th February 2021.pdf</t>
  </si>
  <si>
    <t>Uploads\134744fa-9d20-4b59-ad55-6bed966d7470.pdf</t>
  </si>
  <si>
    <t>4D250622-697E-4108-8213-632C9703162C</t>
  </si>
  <si>
    <t>4EE60996-72A8-4F41-AA74-63EB3624A900</t>
  </si>
  <si>
    <t>PGA-06 EOWR_13Aug21.pdf</t>
  </si>
  <si>
    <t>Uploads\4ee60996-72a8-4f41-aa74-63eb3624a900.pdf</t>
  </si>
  <si>
    <t>FB3E908E-68BE-4D50-85C0-5FB09A95AE69</t>
  </si>
  <si>
    <t>52862D37-8D2C-46FD-8D0B-B3A93EA8AA79</t>
  </si>
  <si>
    <t>3A6A2332-8BD5-4885-BD78-AF3342E61669</t>
  </si>
  <si>
    <t>NOOP - BRGB-1(H), Bergading B-1(H).pdf</t>
  </si>
  <si>
    <t>Uploads\3a6a2332-8bd5-4885-bd78-af3342e61669.pdf</t>
  </si>
  <si>
    <t>CAFFE5F6-115F-448B-BA92-D0E3A4A246D6</t>
  </si>
  <si>
    <t>44AA8A32-9B68-4F2B-A606-F2909884E251</t>
  </si>
  <si>
    <t>EOWR_Bergading B-1(H).pdf</t>
  </si>
  <si>
    <t>Uploads\44aa8a32-9b68-4f2b-a606-f2909884e251.pdf</t>
  </si>
  <si>
    <t>0C1BF97A-5582-4112-93A7-72EE85D25ABA</t>
  </si>
  <si>
    <t>5A559FE7-0AF2-40F9-AA3C-B3B276AF6AB1</t>
  </si>
  <si>
    <t>4853B9C2-140E-4F68-A642-8AC20B6DAAFA</t>
  </si>
  <si>
    <t>LARUT A-30ST1 (OP3_NOOP) rev.2.pdf</t>
  </si>
  <si>
    <t>Uploads\4853b9c2-140e-4f68-a642-8ac20b6daafa.pdf</t>
  </si>
  <si>
    <t>2B858269-FCC2-4CA1-BBF7-45F3508430B4</t>
  </si>
  <si>
    <t>DC2E789C-28AE-4206-B6C5-9F3CF3FC69D5</t>
  </si>
  <si>
    <t>LARUT A-30ST1 (OP3) Final Well Report_Rev0.pdf</t>
  </si>
  <si>
    <t>Uploads\dc2e789c-28ae-4206-b6c5-9f3cf3fc69d5.pdf</t>
  </si>
  <si>
    <t>C77E3B7A-EB97-4275-9011-4EA0E18974BB</t>
  </si>
  <si>
    <t>7C623E66-A3E2-4186-A083-B3EFE7A3BA31</t>
  </si>
  <si>
    <t>B7397902-05EF-4695-86BE-7F537C9F1C4D</t>
  </si>
  <si>
    <t>PRPA-01 EOWR.pdf</t>
  </si>
  <si>
    <t>Uploads\b7397902-05ef-4695-86be-7f537c9f1c4d.pdf</t>
  </si>
  <si>
    <t>32ECC08A-BD06-47F4-A7E8-33ABD55590A3</t>
  </si>
  <si>
    <t>2F50D820-4ABF-4259-A7D9-CE861CA045E1</t>
  </si>
  <si>
    <t>Uploads\2f50d820-4abf-4259-a7d9-ce861ca045e1.pdf</t>
  </si>
  <si>
    <t>A8D344B1-289A-48CF-BC65-B15B262C3D4E</t>
  </si>
  <si>
    <t>F193F455-D23B-4FE1-A4DC-B42E50E5813C</t>
  </si>
  <si>
    <t>E1DC82E5-EAFD-4EB5-8273-C4A4497D1E22</t>
  </si>
  <si>
    <t>Bergading C-2 (B) R0_Final.pdf</t>
  </si>
  <si>
    <t>Uploads\e1dc82e5-eafd-4eb5-8273-c4a4497d1e22.pdf</t>
  </si>
  <si>
    <t>68C57A38-C631-4E1B-9F38-F975A545C636</t>
  </si>
  <si>
    <t>7DF78CEC-90A6-46D9-9798-D7263193B1E6</t>
  </si>
  <si>
    <t>EOWR_Bergading C-2_ Rev2_28082017 - PETRONAS SUBMISSION.pdf</t>
  </si>
  <si>
    <t>Uploads\7df78cec-90a6-46d9-9798-d7263193b1e6.pdf</t>
  </si>
  <si>
    <t>ED90F1A2-ADE9-4F49-9F8C-EE90151CDEBF</t>
  </si>
  <si>
    <t>94599DE7-EA76-4B1E-A98D-B46A2A8AC331</t>
  </si>
  <si>
    <t>51D14378-BEB6-4012-BE55-27898BDDDDCF</t>
  </si>
  <si>
    <t>Permai-1_EOWR.pdf</t>
  </si>
  <si>
    <t>Permai-1 Petronas and Carigali_EOWR.pdf</t>
  </si>
  <si>
    <t>Uploads\51d14378-beb6-4012-be55-27898bddddcf.pdf</t>
  </si>
  <si>
    <t>1D07AE69-94A4-4A3E-BECE-E05AB16C2804</t>
  </si>
  <si>
    <t>D3F36DE8-E2CB-4D80-9191-B6D21249CC63</t>
  </si>
  <si>
    <t>Permai-1 Petronas and Carigali_Drilling NOOP.pdf</t>
  </si>
  <si>
    <t>Uploads\d3f36de8-e2cb-4d80-9191-b6d21249cc63.pdf</t>
  </si>
  <si>
    <t>636E0AC8-A30E-458D-909E-F70FF0FD1C74</t>
  </si>
  <si>
    <t>492CF62F-1B50-470F-BFF5-B4EA4B4EDD5B</t>
  </si>
  <si>
    <t>07173F21-AC9E-4FCE-B173-161927BD05FE</t>
  </si>
  <si>
    <t>EOWR_Bunga Kesumba A-4.pdf</t>
  </si>
  <si>
    <t>Uploads\07173f21-ac9e-4fce-b173-161927bd05fe.pdf</t>
  </si>
  <si>
    <t>D2FE07B2-4AE4-4C93-AF32-26224C7ED27E</t>
  </si>
  <si>
    <t>6B13273E-22BE-4A2C-A848-4E30D867C195</t>
  </si>
  <si>
    <t>NMB-DRI-RPT-01180_BKsA-4 NOOP.pdf</t>
  </si>
  <si>
    <t>Uploads\6b13273e-22be-4a2c-a848-4e30d867c195.pdf</t>
  </si>
  <si>
    <t>7ED1F57E-CE8E-4CB7-92D1-3C553DFC3513</t>
  </si>
  <si>
    <t>401FCB52-A186-443B-9A9E-B5988CFE3C74</t>
  </si>
  <si>
    <t>8683F3A6-F6C5-4105-BBAC-85F9E899D13F</t>
  </si>
  <si>
    <t>D21-A13 End of Well Report.pdf</t>
  </si>
  <si>
    <t>Uploads\8683f3a6-f6c5-4105-bbac-85f9e899d13f.pdf</t>
  </si>
  <si>
    <t>4644DED0-C179-48B6-9227-FF742C2E3ACF</t>
  </si>
  <si>
    <t>7DF6664C-68AF-4C6F-A483-F4B882267571</t>
  </si>
  <si>
    <t>D21-A13 NOOP_FINAL_.pdf</t>
  </si>
  <si>
    <t>Uploads\7df6664c-68af-4c6f-a483-f4b882267571.pdf</t>
  </si>
  <si>
    <t>C9AD0916-4966-4B1C-ADFD-5A3F28F83520</t>
  </si>
  <si>
    <t>AA29826C-B432-4206-BB4F-B5E6DD6BF96F</t>
  </si>
  <si>
    <t>BA405AFF-E0F1-4C4F-99A6-E1CF458D81FF</t>
  </si>
  <si>
    <t>LOKIO-1 EOWR_Final.pdf</t>
  </si>
  <si>
    <t>Uploads\ba405aff-e0f1-4c4f-99a6-e1cf458d81ff.pdf</t>
  </si>
  <si>
    <t>A39A8F4A-A1D1-416F-B0B7-7B626BDCFBE5</t>
  </si>
  <si>
    <t>5574FB3D-6973-4B88-8D57-9D90BB147C0F</t>
  </si>
  <si>
    <t>Lokio-1_NOOP_Nov2017_final_signed.pdf</t>
  </si>
  <si>
    <t>Uploads\5574fb3d-6973-4b88-8d57-9d90bb147c0f.pdf</t>
  </si>
  <si>
    <t>FC6DA927-B8D6-4E56-89C4-735991EDFAA2</t>
  </si>
  <si>
    <t>A586A140-446A-4A4D-A62F-B6738FC798D4</t>
  </si>
  <si>
    <t>D6867B00-AEE6-4F6D-8378-66582EBFB73C</t>
  </si>
  <si>
    <t>PMO3BANGWS08_BANANG_B2.pdf</t>
  </si>
  <si>
    <t>Uploads\d6867b00-aee6-4f6d-8378-66582ebfb73c.pdf</t>
  </si>
  <si>
    <t>864364FE-D942-4558-9847-C6EC98156AC8</t>
  </si>
  <si>
    <t>29ADCE76-49A5-4D74-9404-199C01ADF667</t>
  </si>
  <si>
    <t>PMO3BANGWS10_BANANG_B2.pdf</t>
  </si>
  <si>
    <t>Uploads\29adce76-49a5-4d74-9404-199c01adf667.pdf</t>
  </si>
  <si>
    <t>85B5BAA6-41CC-4DA9-9F7F-A06286E107CB</t>
  </si>
  <si>
    <t>755C9F02-47D9-433C-8B44-B68E27F704AE</t>
  </si>
  <si>
    <t>799C1738-387B-48A5-85FB-D4AE89DCB54E</t>
  </si>
  <si>
    <t>SF30-2 NOOP - MPM Well Management.pdf</t>
  </si>
  <si>
    <t>Uploads\799c1738-387b-48a5-85fb-d4ae89dcb54e.pdf</t>
  </si>
  <si>
    <t>D2B2598B-50CF-4647-92A2-243BFAAE1175</t>
  </si>
  <si>
    <t>B48EBE1B-2CBD-4EBC-ACCC-2273F35F4353</t>
  </si>
  <si>
    <t>SF30-2 EOWR_FINAL - MPM Drilling.pdf</t>
  </si>
  <si>
    <t>Uploads\b48ebe1b-2cbd-4ebc-accc-2273f35f4353.pdf</t>
  </si>
  <si>
    <t>A43C398C-75A6-4C38-8F6C-51FBEB36CD8A</t>
  </si>
  <si>
    <t>0B350C2A-E5EA-4E99-8A93-B6B6A9AC4F8A</t>
  </si>
  <si>
    <t>7E18E367-7B26-4D69-9920-BAC11F3607B4</t>
  </si>
  <si>
    <t>PGA-02ST2 NOOP_12th July 21_update.pdf</t>
  </si>
  <si>
    <t>Uploads\7e18e367-7b26-4d69-9920-bac11f3607b4.pdf</t>
  </si>
  <si>
    <t>4627C20F-9FBC-49D8-B35E-8187FFE82667</t>
  </si>
  <si>
    <t>53A3BC08-D291-4553-9AC3-E6834E531230</t>
  </si>
  <si>
    <t>PGA-02ST2 EOWR (2).pdf</t>
  </si>
  <si>
    <t>Uploads\53a3bc08-d291-4553-9ac3-e6834e531230.pdf</t>
  </si>
  <si>
    <t>19A183D4-5023-435C-ABE9-605AC5EE451C</t>
  </si>
  <si>
    <t>4314EA77-9204-48DF-8ECB-B79EBC026408</t>
  </si>
  <si>
    <t>909C8C77-14FA-4F0C-ABC9-CA308184379D</t>
  </si>
  <si>
    <t>JTG-A4 Final Well Report_2020_01_23.pdf</t>
  </si>
  <si>
    <t>Uploads\909c8c77-14fa-4f0c-abc9-ca308184379d.pdf</t>
  </si>
  <si>
    <t>5C8BDBBF-F2FD-41C1-9C02-EC9E2B83DBAA</t>
  </si>
  <si>
    <t>2B833F34-C59A-4604-A01E-D2EB9769FE01</t>
  </si>
  <si>
    <t>NOOP JTG-A4.pdf</t>
  </si>
  <si>
    <t>Uploads\2b833f34-c59a-4604-a01e-d2eb9769fe01.pdf</t>
  </si>
  <si>
    <t>12902868-B6AA-4908-84D0-9F471E06CE4C</t>
  </si>
  <si>
    <t>21781E00-5F54-4CFA-8C2F-B7C950DAC242</t>
  </si>
  <si>
    <t>F567AD9F-D838-4740-9504-F2BC4195E04D</t>
  </si>
  <si>
    <t>KNDW D-14 NOOP.pdf</t>
  </si>
  <si>
    <t>Uploads\f567ad9f-d838-4740-9504-f2bc4195e04d.pdf</t>
  </si>
  <si>
    <t>C33BE285-4FD0-4DFB-B838-41D984E3D0F5</t>
  </si>
  <si>
    <t>A28B9FC4-8168-40A1-A88E-F089FC29A324</t>
  </si>
  <si>
    <t>KNDW-D14_End of Well Report Rev 2.pdf</t>
  </si>
  <si>
    <t>Uploads\a28b9fc4-8168-40a1-a88e-f089fc29a324.pdf</t>
  </si>
  <si>
    <t>B671675A-0EBF-418E-A3B4-27DDAD463D24</t>
  </si>
  <si>
    <t>89E4C9D1-2B7F-4F10-9F2F-B7E79256D738</t>
  </si>
  <si>
    <t>F0BD7DAE-E907-48DE-94A5-331D1787D43B</t>
  </si>
  <si>
    <t>Uploads\f0bd7dae-e907-48de-94a5-331d1787d43b.pdf</t>
  </si>
  <si>
    <t>8918E1CD-3DC4-4017-83D1-B3BC7FC5A6C7</t>
  </si>
  <si>
    <t>6359BEB9-6386-436B-9AB3-A16F73BD5D3C</t>
  </si>
  <si>
    <t>RT-P1 EOWR.pdf</t>
  </si>
  <si>
    <t>Uploads\6359beb9-6386-436b-9ab3-a16f73bd5d3c.pdf</t>
  </si>
  <si>
    <t>0A6436FA-8613-4A56-A15D-B54C6A70A3CE</t>
  </si>
  <si>
    <t>A3E97666-081D-4FFE-9E6B-B8126EE33096</t>
  </si>
  <si>
    <t>C8CCA07B-B417-4C02-9FBC-C26569B9C1E3</t>
  </si>
  <si>
    <t>MOM-SK309-69-DNC-RP-0003-00_BESA-03 EOWR.pdf</t>
  </si>
  <si>
    <t>Uploads\c8cca07b-b417-4c02-9fbc-c26569b9c1e3.pdf</t>
  </si>
  <si>
    <t>FC7EB25D-21AE-4E9D-82F0-98CA954CDCD1</t>
  </si>
  <si>
    <t>3C3146A1-F6A8-4D6D-806B-D62D0A5F0DD9</t>
  </si>
  <si>
    <t>Uploads\3c3146a1-f6a8-4d6d-806b-d62d0a5f0dd9.pdf</t>
  </si>
  <si>
    <t>681B9364-52F1-466A-95CB-A3C022D9BD59</t>
  </si>
  <si>
    <t>903F4E3F-7A5A-4611-A593-B91B63E8591B</t>
  </si>
  <si>
    <t>C9280A1C-6946-41BE-BF47-78B47B713C28</t>
  </si>
  <si>
    <t>Bergading C-4 (D) R0_Final.pdf</t>
  </si>
  <si>
    <t>Uploads\c9280a1c-6946-41be-bf47-78b47b713c28.pdf</t>
  </si>
  <si>
    <t>2CA1F17A-CDE2-4982-BD34-CC30DB59099D</t>
  </si>
  <si>
    <t>FD98628D-FE47-4E99-A66A-DC41A5FB298E</t>
  </si>
  <si>
    <t>PMO3BGDGWS44_BERGADING_C4.pdf</t>
  </si>
  <si>
    <t>Uploads\fd98628d-fe47-4e99-a66a-dc41a5fb298e.pdf</t>
  </si>
  <si>
    <t>789BE6B9-A0AD-4195-925A-A5E20B434EBF</t>
  </si>
  <si>
    <t>1D73CF38-8474-4B9B-A2AC-B94E6E9D3E48</t>
  </si>
  <si>
    <t>3A7CDB34-ACD1-4162-B331-2FE3076BE201</t>
  </si>
  <si>
    <t>SAMARANG-117ST1 FWR.pdf</t>
  </si>
  <si>
    <t>Uploads\3a7cdb34-acd1-4162-b331-2fe3076be201.pdf</t>
  </si>
  <si>
    <t>07DD63E4-3B05-4196-9666-3C00EB5FC073</t>
  </si>
  <si>
    <t>F0F168EE-FB23-48B7-B902-7297C362D149</t>
  </si>
  <si>
    <t>SM 117.pdf</t>
  </si>
  <si>
    <t>Uploads\f0f168ee-fb23-48b7-b902-7297c362d149.pdf</t>
  </si>
  <si>
    <t>DD749711-CD72-4813-B7A3-6F74DF528E67</t>
  </si>
  <si>
    <t>D5F89637-88D2-4A38-B540-B962C03FBC7A</t>
  </si>
  <si>
    <t>2FD01A61-EE1B-4358-A039-89C1E13C62BE</t>
  </si>
  <si>
    <t>BB18_Final Well Report_Final_021222.pdf</t>
  </si>
  <si>
    <t>Uploads\2fd01a61-ee1b-4358-a039-89c1e13c62be.pdf</t>
  </si>
  <si>
    <t>A15D47B3-76FA-4CC3-AF0B-DE7BF58DD4AE</t>
  </si>
  <si>
    <t>239E3494-46CE-4971-825D-2B7E6149F679</t>
  </si>
  <si>
    <t>1. NOOP Bekok BB18.pdf</t>
  </si>
  <si>
    <t>Uploads\239e3494-46ce-4971-825d-2b7e6149f679.pdf</t>
  </si>
  <si>
    <t>4991F4F6-CAF7-40CE-83BA-0F26563C3B7C</t>
  </si>
  <si>
    <t>3EC88A08-60E4-4533-8DEB-B97016BCCBDE</t>
  </si>
  <si>
    <t>6397170C-5458-44A1-8D68-AB9EEED04170</t>
  </si>
  <si>
    <t>D35-211 S1 NOOP_FINAL - Signed.pdf</t>
  </si>
  <si>
    <t>Uploads\6397170c-5458-44a1-8d68-ab9eeed04170.pdf</t>
  </si>
  <si>
    <t>70E4D551-E3C6-4B8E-9016-0ECDAEFD891B</t>
  </si>
  <si>
    <t>23A7AB7B-E5D6-455A-ADCC-6276BFD94F60</t>
  </si>
  <si>
    <t>D35 -211S1 Final Well Report -Final.pdf</t>
  </si>
  <si>
    <t>Uploads\23a7ab7b-e5d6-455a-adcc-6276bfd94f60.pdf</t>
  </si>
  <si>
    <t>59660520-AC6A-48C7-9593-5CD22C5E6DE0</t>
  </si>
  <si>
    <t>89959F19-098A-4061-BC4F-B99C94D256D4</t>
  </si>
  <si>
    <t>1957E5A9-8577-4162-9B8E-34CBB101CA53</t>
  </si>
  <si>
    <t>BY-416 Notice of Operations APPROVED_INTERNAL COPY.pdf</t>
  </si>
  <si>
    <t>Uploads\1957e5a9-8577-4162-9b8e-34cbb101ca53.pdf</t>
  </si>
  <si>
    <t>45AAA868-1957-4DDD-85BB-D031D7237644</t>
  </si>
  <si>
    <t>F06E70A4-F536-4467-B5F1-32B93E68CF77</t>
  </si>
  <si>
    <t>BY-416 Final Well Report_Bayan Redevelopment Project.pdf</t>
  </si>
  <si>
    <t>Uploads\f06e70a4-f536-4467-b5f1-32b93e68cf77.pdf</t>
  </si>
  <si>
    <t>5D7096C5-12D7-4953-81A2-A7A5029B6E61</t>
  </si>
  <si>
    <t>D00F90A1-CB97-4137-B55E-BA2E35C36018</t>
  </si>
  <si>
    <t>B0F7F45D-22DA-48F9-B877-D0738B10DAD4</t>
  </si>
  <si>
    <t>EBA-06ST2 FWR.pdf</t>
  </si>
  <si>
    <t>Uploads\b0f7f45d-22da-48f9-b877-d0738b10dad4.pdf</t>
  </si>
  <si>
    <t>AF98B1AB-668F-4862-946E-1755DD8D8185</t>
  </si>
  <si>
    <t>050F8AFD-D69D-473B-9D53-4BEDD61CE3CD</t>
  </si>
  <si>
    <t>EB A-06ST2 NOOP FINAL APPROVED.pdf</t>
  </si>
  <si>
    <t>Uploads\050f8afd-d69d-473b-9d53-4bedd61ce3cd.pdf</t>
  </si>
  <si>
    <t>5684C3AF-57F4-4512-9B87-A161BD2F7D4A</t>
  </si>
  <si>
    <t>411B4E79-8191-4B16-B782-BAECABB6C524</t>
  </si>
  <si>
    <t>171461C1-4FFD-41CD-8D02-21D5B71C657D</t>
  </si>
  <si>
    <t>NOOP Kesumba A-1 (A)_Final.pdf</t>
  </si>
  <si>
    <t>Uploads\171461c1-4ffd-41cd-8d02-21d5b71c657d.pdf</t>
  </si>
  <si>
    <t>44AD7CF5-73DC-48B5-BB30-E81E83C1F3A9</t>
  </si>
  <si>
    <t>FC43D161-D53A-418B-8F6B-187E75667712</t>
  </si>
  <si>
    <t>B.Kesumba A-1_ Rev0_22062017 - PETRONAS SUBMISSION_FINAL.pdf</t>
  </si>
  <si>
    <t>Uploads\fc43d161-d53a-418b-8f6b-187e75667712.pdf</t>
  </si>
  <si>
    <t>09798A97-BAEB-4A7F-B6D8-0FBEB36FE34C</t>
  </si>
  <si>
    <t>F2535EF1-E4F6-408F-9144-BAF447AED9B4</t>
  </si>
  <si>
    <t>BC7F2056-8CE7-44DE-AA7C-D0BAA70626DB</t>
  </si>
  <si>
    <t>Angsi B27ST3 Final Well Report.pdf</t>
  </si>
  <si>
    <t>Uploads\bc7f2056-8ce7-44de-aa7c-d0baa70626db.pdf</t>
  </si>
  <si>
    <t>697F13EF-6484-4591-8207-07D7962C4C4C</t>
  </si>
  <si>
    <t>13A1FD65-DA62-4B3F-A81C-E28B7DE69762</t>
  </si>
  <si>
    <t>PMO3ANSIWSA8_ANGSI-B27ST3_PCSB_NOOP.pdf</t>
  </si>
  <si>
    <t>Uploads\13a1fd65-da62-4b3f-a81c-e28b7de69762.pdf</t>
  </si>
  <si>
    <t>4BC02E19-37F6-4C32-A83D-3BDB39D34E25</t>
  </si>
  <si>
    <t>E8548F32-7BB5-4ECE-80FF-BAFC63D951F9</t>
  </si>
  <si>
    <t>BE5E83A0-FDBC-4F06-B41A-4632B1DEE42A</t>
  </si>
  <si>
    <t>Gorek-1 Final Well Report 3rd July 2014.pdf</t>
  </si>
  <si>
    <t>Uploads\be5e83a0-fdbc-4f06-b41a-4632b1dee42a.pdf</t>
  </si>
  <si>
    <t>774F0C92-B111-49E2-BBA9-875B8DC115D8</t>
  </si>
  <si>
    <t>5CA3642D-0E60-45C2-B60C-5EE5A0BC8FB6</t>
  </si>
  <si>
    <t>SKO3GREKWS04_GOREK-1.pdf</t>
  </si>
  <si>
    <t>Uploads\5ca3642d-0e60-45c2-b60c-5ee5a0bc8fb6.pdf</t>
  </si>
  <si>
    <t>CA54A476-355E-4B8A-BF56-622329BD097C</t>
  </si>
  <si>
    <t>A1583F55-2FBE-427E-A13B-BB7E891275C0</t>
  </si>
  <si>
    <t>0BD08A0E-95A7-4F09-B804-4B368881F473</t>
  </si>
  <si>
    <t>SBO3SMRGGL36_SM-103_PCSB_NOOP.pdf</t>
  </si>
  <si>
    <t>Uploads\0bd08a0e-95a7-4f09-b804-4b368881f473.pdf</t>
  </si>
  <si>
    <t>24CEE87D-AE21-4931-A026-A53A7D27AF06</t>
  </si>
  <si>
    <t>72F05EC1-A699-4926-A157-F9818F4C3160</t>
  </si>
  <si>
    <t>SBO3SMRGWSER_SM-103_PCSB_FWR.pdf</t>
  </si>
  <si>
    <t>SBO3SMRGWSDY_SM-103_PCSB_FWR.pdf</t>
  </si>
  <si>
    <t>Uploads\72f05ec1-a699-4926-a157-f9818f4c3160.pdf</t>
  </si>
  <si>
    <t>96784BBA-1DB3-4D85-B450-815CF654057B</t>
  </si>
  <si>
    <t>1CE3D497-F6DB-4FE7-85FE-BC01D550B225</t>
  </si>
  <si>
    <t>0DF0BADF-29BB-4765-B30D-42EA5C91E8CB</t>
  </si>
  <si>
    <t>SKO3ANJKWS04_AJK_A1.pdf</t>
  </si>
  <si>
    <t>Uploads\0df0badf-29bb-4765-b30d-42ea5c91e8cb.pdf</t>
  </si>
  <si>
    <t>5E9692C3-D6F8-403A-A74E-7799F618B626</t>
  </si>
  <si>
    <t>909CAD64-E0BB-4E9D-A409-290581FDBB89</t>
  </si>
  <si>
    <t>SKO3ANJKWS06_AJK_A1.pdf</t>
  </si>
  <si>
    <t>Uploads\909cad64-e0bb-4e9d-a409-290581fdbb89.pdf</t>
  </si>
  <si>
    <t>BB85BFD0-2EB7-424A-AA62-5C24B61DA4CB</t>
  </si>
  <si>
    <t>098FD75F-C1B3-48F9-9470-BC8C5BA0168F</t>
  </si>
  <si>
    <t>2F816A7A-AB8A-4472-B944-3E87BD40F642</t>
  </si>
  <si>
    <t>BN-73 BN14Z1 -  NOOP.pdf</t>
  </si>
  <si>
    <t>Uploads\2f816a7a-ab8a-4472-b944-3e87bd40f642.pdf</t>
  </si>
  <si>
    <t>BA28A39C-01A9-4589-8967-CBBC7B3779B3</t>
  </si>
  <si>
    <t>FC113794-80EF-46D7-BA9D-1010A835BB63</t>
  </si>
  <si>
    <t>BARONIA-J73 FWR.pdf</t>
  </si>
  <si>
    <t>BARONIA-BN-73 FWR.pdf</t>
  </si>
  <si>
    <t>Uploads\fc113794-80ef-46d7-ba9d-1010a835bb63.pdf</t>
  </si>
  <si>
    <t>3340EBF5-2F3C-4F98-AE5B-B6548A41C065</t>
  </si>
  <si>
    <t>180B92FB-EB71-41E9-B0A3-BCBC14E82EB9</t>
  </si>
  <si>
    <t>0349773B-6ABB-4DA2-8789-3AB3B631A1AB</t>
  </si>
  <si>
    <t>Sepat 9 FWR - finalized.pdf</t>
  </si>
  <si>
    <t>Uploads\0349773b-6abb-4da2-8789-3ab3b631a1ab.pdf</t>
  </si>
  <si>
    <t>D9888169-3ADB-4C0B-9887-0CD99D3923F2</t>
  </si>
  <si>
    <t>53A5E7BE-EC5C-484F-B4ED-2D38B25E7B9D</t>
  </si>
  <si>
    <t>NOOP Sepat-9 (approved).pdf</t>
  </si>
  <si>
    <t>Uploads\53a5e7be-ec5c-484f-b4ed-2d38b25e7b9d.pdf</t>
  </si>
  <si>
    <t>63B9B159-0609-4566-95F8-73D0190D9A77</t>
  </si>
  <si>
    <t>01E92C88-2507-48E8-8537-BD5FF4DA0AA4</t>
  </si>
  <si>
    <t>GOPA-12</t>
  </si>
  <si>
    <t>37DE5D0E-21F2-4AC4-9A40-702C2EA399CE</t>
  </si>
  <si>
    <t>GOPA-12 NOOP Rev0.pdf</t>
  </si>
  <si>
    <t>Uploads\37de5d0e-21f2-4ac4-9a40-702c2ea399ce.pdf</t>
  </si>
  <si>
    <t>8A379375-0C4C-4B72-8467-B93D551DAC90</t>
  </si>
  <si>
    <t>58DF4905-1102-434D-95A7-522A3D41188C</t>
  </si>
  <si>
    <t>GOPA-12 EOWR FINAL.pdf</t>
  </si>
  <si>
    <t>Uploads\58df4905-1102-434d-95a7-522a3d41188c.pdf</t>
  </si>
  <si>
    <t>63FC3D1F-6162-4841-AD9D-DC10C3719C0B</t>
  </si>
  <si>
    <t>26D14DBC-2740-45D2-BBBD-BD83816EEFE9</t>
  </si>
  <si>
    <t>772BF715-7C8F-4D07-A046-07C570EE6687</t>
  </si>
  <si>
    <t>BY-417 Notice of Operation APPROVED_INTERNAL CIRCULATION.pdf</t>
  </si>
  <si>
    <t>Uploads\772bf715-7c8f-4d07-a046-07c570ee6687.pdf</t>
  </si>
  <si>
    <t>AC35F687-1728-4F6C-8B03-EE290B567C30</t>
  </si>
  <si>
    <t>E3EE87D7-06C6-4220-B05A-ECB0D02D205A</t>
  </si>
  <si>
    <t>BY-417 Final Well Report_Bayan Redevelopment Project.pdf</t>
  </si>
  <si>
    <t>Uploads\e3ee87d7-06c6-4220-b05a-ecb0d02d205a.pdf</t>
  </si>
  <si>
    <t>8F81BCB3-FBFC-4EC7-9776-B31196988FB2</t>
  </si>
  <si>
    <t>CC2F2D7F-F12B-4BA0-A76E-BDF69B5A8CFC</t>
  </si>
  <si>
    <t>D4A9D14F-DED9-415F-AA75-EC5A77B7F536</t>
  </si>
  <si>
    <t>Jeremin-1 NOOP - rev 1.1 copy.pdf</t>
  </si>
  <si>
    <t>Uploads\d4a9d14f-ded9-415f-aa75-ec5a77b7f536.pdf</t>
  </si>
  <si>
    <t>8E82D669-02CA-4D4B-8C4B-104916EB5C00</t>
  </si>
  <si>
    <t>0BF1C07F-6269-4932-9207-6E0D8B525B7B</t>
  </si>
  <si>
    <t>SKO3JRMNWS02_JEREMIN_1.pdf</t>
  </si>
  <si>
    <t>Uploads\0bf1c07f-6269-4932-9207-6e0d8b525b7b.pdf</t>
  </si>
  <si>
    <t>0AD029D4-31D1-4F7C-AB03-40756014E645</t>
  </si>
  <si>
    <t>5AD3B1B7-EAFF-4781-AEF9-BE5751701C39</t>
  </si>
  <si>
    <t>09F29ABF-2C65-43F6-9989-1C6B74904BB3</t>
  </si>
  <si>
    <t>NOOP TT-A1.pdf</t>
  </si>
  <si>
    <t>Uploads\09f29abf-2c65-43f6-9989-1c6b74904bb3.pdf</t>
  </si>
  <si>
    <t>BFD29822-EDA5-4F1D-9FC0-43F4FBC82140</t>
  </si>
  <si>
    <t>D75C54DE-F2A7-4252-98CA-D8C311A80720</t>
  </si>
  <si>
    <t>TT-A1 FWR Phase 1B 2019.pdf</t>
  </si>
  <si>
    <t>Uploads\d75c54de-f2a7-4252-98ca-d8c311a80720.pdf</t>
  </si>
  <si>
    <t>49C9074F-FC91-4BBC-B2AD-49F6C4646572</t>
  </si>
  <si>
    <t>9A4F2C90-1525-478B-8B29-BE5D2CF31487</t>
  </si>
  <si>
    <t>4324E7D5-C0CA-4358-A6AF-C0362B7C3695</t>
  </si>
  <si>
    <t>NOOP BN-77 Final (Internal) Rev1.pdf</t>
  </si>
  <si>
    <t>Uploads\4324e7d5-c0ca-4358-a6af-c0362b7c3695.pdf</t>
  </si>
  <si>
    <t>2B5AFCE8-85B2-46C9-94EA-66C8C7C66178</t>
  </si>
  <si>
    <t>59DD06F1-633B-4D62-94B8-E83A6A202F98</t>
  </si>
  <si>
    <t>BARONIA-BN77 FWR.pdf</t>
  </si>
  <si>
    <t>Uploads\59dd06f1-633b-4d62-94b8-e83a6a202f98.pdf</t>
  </si>
  <si>
    <t>B0D6F99D-19A1-438E-83E6-92D39C940F55</t>
  </si>
  <si>
    <t>4B7E1080-9E04-42C8-B7C2-BE71266C7417</t>
  </si>
  <si>
    <t>FB4C469A-D1D8-4969-A1C4-949D32D7006B</t>
  </si>
  <si>
    <t>NOOP BO-506 FINAL_Rev_MSD_approved by AAR.pdf</t>
  </si>
  <si>
    <t>Uploads\fb4c469a-d1d8-4969-a1c4-949d32d7006b.pdf</t>
  </si>
  <si>
    <t>A0D3D887-571A-48EB-8347-136F2BB48336</t>
  </si>
  <si>
    <t>C93FDA5B-7F2A-4AB2-8074-DB3E706A8BDB</t>
  </si>
  <si>
    <t>FWR BOKOR-E506.pdf</t>
  </si>
  <si>
    <t>Uploads\c93fda5b-7f2a-4ab2-8074-db3e706a8bdb.pdf</t>
  </si>
  <si>
    <t>AE57929D-01FB-4CD3-B4B4-2368D7C60679</t>
  </si>
  <si>
    <t>6327AE56-3A0B-41B2-9381-BED60E78C283</t>
  </si>
  <si>
    <t>18948BF6-D842-4F32-9CC9-4400E1ED7BDC</t>
  </si>
  <si>
    <t>MY-K-56-DNC-RP-0001-00_S-CNI-P10ST1 EOWR.pdf</t>
  </si>
  <si>
    <t>Uploads\18948bf6-d842-4f32-9cc9-4400e1ed7bdc.pdf</t>
  </si>
  <si>
    <t>F0E393C3-EC38-41D8-8BD3-F813030D3CAF</t>
  </si>
  <si>
    <t>1CA772E9-918A-4D80-8B82-4E86D6FFF230</t>
  </si>
  <si>
    <t>Uploads\1ca772e9-918a-4d80-8b82-4e86d6fff230.pdf</t>
  </si>
  <si>
    <t>20231CD8-425B-4566-A0D0-CA3E70B832BD</t>
  </si>
  <si>
    <t>8AE15DE3-7D77-4CDC-9BA3-BED953DCACA8</t>
  </si>
  <si>
    <t>B84B692A-24B3-451A-A5A8-B75A15C8A9BE</t>
  </si>
  <si>
    <t>F9A6 FWR (without attachment)_Final.pdf</t>
  </si>
  <si>
    <t>Uploads\b84b692a-24b3-451a-a5a8-b75a15c8a9be.pdf</t>
  </si>
  <si>
    <t>B16D8B49-3CFC-409F-8589-B9634C74C8F6</t>
  </si>
  <si>
    <t>A008877F-059B-4D7F-91D9-612AD41EBB7B</t>
  </si>
  <si>
    <t>1. F9 Redev 2.0_A6 NOOP Signed RL TR.pdf</t>
  </si>
  <si>
    <t>Uploads\a008877f-059b-4d7f-91d9-612ad41ebb7b.pdf</t>
  </si>
  <si>
    <t>C64181CB-26DE-4BF6-9638-DC7995CE6DD7</t>
  </si>
  <si>
    <t>F3F395E0-621B-46C9-805F-BF0574D82277</t>
  </si>
  <si>
    <t>151F31A8-616C-4957-B145-79952BFAD23A</t>
  </si>
  <si>
    <t>MY-K-56-DNC-RP-0004-00_S-SW1-P17 EOWR.pdf</t>
  </si>
  <si>
    <t>Uploads\151f31a8-616c-4957-b145-79952bfad23a.pdf</t>
  </si>
  <si>
    <t>600AD254-2C6C-4C63-9E09-0D62DE53911E</t>
  </si>
  <si>
    <t>C6C06AD7-E6A6-4B84-ACC1-08545C0B09CD</t>
  </si>
  <si>
    <t>Uploads\c6c06ad7-e6a6-4b84-acc1-08545c0b09cd.pdf</t>
  </si>
  <si>
    <t>C8C7DB0E-99E8-4E10-AF6D-77AE8ED33E3B</t>
  </si>
  <si>
    <t>D3E14C0C-8124-48BD-87FE-BF88669FF287</t>
  </si>
  <si>
    <t>2564519C-6D77-4244-B560-95B811574B62</t>
  </si>
  <si>
    <t>EOWR_Bergading D-4_ Rev0_21062017 - PETRONAS SUBMISSION_FINAL.pdf</t>
  </si>
  <si>
    <t>Uploads\2564519c-6d77-4244-b560-95b811574b62.pdf</t>
  </si>
  <si>
    <t>8C8EC7AF-1221-43E3-929A-C57CFDC6A7D0</t>
  </si>
  <si>
    <t>3F4FEE1D-1053-4C97-83B5-833C7EBC1389</t>
  </si>
  <si>
    <t>Bergading D-4 (A) R0_FINAL.pdf</t>
  </si>
  <si>
    <t>Uploads\3f4fee1d-1053-4c97-83b5-833c7ebc1389.pdf</t>
  </si>
  <si>
    <t>C9FBF1AC-693F-41AA-8073-DBB342DE99F0</t>
  </si>
  <si>
    <t>D3474DDD-E303-4431-82AD-BFBF31521381</t>
  </si>
  <si>
    <t>A62E2796-BF65-4D56-B007-E35F22852901</t>
  </si>
  <si>
    <t>PMO3ANDUWS28_ANDING UTARA-3_PCSB_FWR.pdf</t>
  </si>
  <si>
    <t>Uploads\a62e2796-bf65-4d56-b007-e35f22852901.pdf</t>
  </si>
  <si>
    <t>2C692BBB-4E62-49B3-9AFD-8D281BD914CA</t>
  </si>
  <si>
    <t>822CBFBE-1DC1-4C61-A9CB-27A32F967CF9</t>
  </si>
  <si>
    <t>PMO3ANDUWS22_ANDING UTARA-3_PCSB_NOOP.pdf</t>
  </si>
  <si>
    <t>Uploads\822cbfbe-1dc1-4c61-a9cb-27a32f967cf9.pdf</t>
  </si>
  <si>
    <t>3D61E53D-4FE7-4B66-BE18-60B191DA753B</t>
  </si>
  <si>
    <t>FCB0E752-E4C3-4DC1-8834-BFD90F7C0F16</t>
  </si>
  <si>
    <t>6A44DFE6-0EC7-4B0E-90AB-D66FDF443ECF</t>
  </si>
  <si>
    <t>Tanggu-1 ST1 Final Well Report (1).pdf</t>
  </si>
  <si>
    <t>Uploads\6a44dfe6-0ec7-4b0e-90ab-d66fdf443ecf.pdf</t>
  </si>
  <si>
    <t>6647B0CD-C52F-4882-AF26-E390CD912CAB</t>
  </si>
  <si>
    <t>6AD8D893-463B-42E3-AE82-35E7FD7F7EAA</t>
  </si>
  <si>
    <t>NOOP - Tanggu-1 Final.pdf</t>
  </si>
  <si>
    <t>Uploads\6ad8d893-463b-42e3-ae82-35e7fd7f7eaa.pdf</t>
  </si>
  <si>
    <t>821DD827-7091-4A7D-A8DF-0752DE5C41F1</t>
  </si>
  <si>
    <t>17A1A48D-09ED-4BC8-A73C-BFFD43CEEBFE</t>
  </si>
  <si>
    <t>5F4A9C76-8182-410D-976C-8DE12B412AA4</t>
  </si>
  <si>
    <t>Gedombak-1 Final Well Report with attachments.pdf</t>
  </si>
  <si>
    <t>Uploads\5f4a9c76-8182-410d-976c-8de12b412aa4.pdf</t>
  </si>
  <si>
    <t>CA6594D5-C3D1-4731-BD6E-267139F3349F</t>
  </si>
  <si>
    <t>2C825E66-B75B-4AD1-88D1-5D132EDAC512</t>
  </si>
  <si>
    <t>Gedombak-1 NOOP 2022.pdf</t>
  </si>
  <si>
    <t>Uploads\2c825e66-b75b-4ad1-88d1-5d132edac512.pdf</t>
  </si>
  <si>
    <t>08B797C9-5B60-4C23-9314-6A5A56AE88E2</t>
  </si>
  <si>
    <t>10E60ECA-ED65-46DA-BC3C-C009C181D220</t>
  </si>
  <si>
    <t>0D3B79BB-7591-4D8A-9515-1385AD7B8AFA</t>
  </si>
  <si>
    <t>PMO3SPATWS76_SEPAT-A3.pdf</t>
  </si>
  <si>
    <t>Uploads\0d3b79bb-7591-4d8a-9515-1385ad7b8afa.pdf</t>
  </si>
  <si>
    <t>7D3E2455-A603-4EB6-917B-A174BE0FFDCF</t>
  </si>
  <si>
    <t>09225A47-7F97-4C33-B2DA-042E80031EA5</t>
  </si>
  <si>
    <t>PMO3SPATGL25_SEPAT-A3.pdf</t>
  </si>
  <si>
    <t>Uploads\09225a47-7f97-4c33-b2da-042e80031ea5.pdf</t>
  </si>
  <si>
    <t>4D0B6C05-1E29-4481-A4FD-6C86AAD7E115</t>
  </si>
  <si>
    <t>11FEE9FA-754C-4A67-89A4-C08BDDBB4B3B</t>
  </si>
  <si>
    <t>108CC537-601B-414F-B671-998358FEB07D</t>
  </si>
  <si>
    <t>EOWR_Bunga Zetung A-3F_Final.pdf</t>
  </si>
  <si>
    <t>Uploads\108cc537-601b-414f-b671-998358feb07d.pdf</t>
  </si>
  <si>
    <t>89C56197-9314-400C-9A09-70F80CE6ECDB</t>
  </si>
  <si>
    <t>FE003213-0EFC-4DF5-A633-0080FA9561CC</t>
  </si>
  <si>
    <t>Uploads\fe003213-0efc-4df5-a633-0080fa9561cc.pdf</t>
  </si>
  <si>
    <t>5AFC4FC7-62F7-4E26-A582-015341B6B564</t>
  </si>
  <si>
    <t>6BDB68B5-EEA3-4566-A996-C0DB281073AD</t>
  </si>
  <si>
    <t>666C11B5-1E5D-4A33-8FFD-A4794BA13078</t>
  </si>
  <si>
    <t>EB A-22ST2 End of Well Report FINAL.pdf</t>
  </si>
  <si>
    <t>Uploads\666c11b5-1e5d-4a33-8ffd-a4794ba13078.pdf</t>
  </si>
  <si>
    <t>F97C08F6-11C7-40D3-8B4C-3EB89A8E512E</t>
  </si>
  <si>
    <t>26874728-D7AD-420C-8A4D-2027D8BB69AF</t>
  </si>
  <si>
    <t>EB A-22ST2.pdf</t>
  </si>
  <si>
    <t>Uploads\26874728-d7ad-420c-8a4d-2027d8bb69af.pdf</t>
  </si>
  <si>
    <t>312050BB-867E-4271-83C7-1CF4A165CF03</t>
  </si>
  <si>
    <t>C851F993-ADFF-4BCA-BFDD-C0E4E6A7A467</t>
  </si>
  <si>
    <t>00715876-DBC0-4F59-8970-AE79D89F7746</t>
  </si>
  <si>
    <t>Uploads\00715876-dbc0-4f59-8970-ae79d89f7746.pdf</t>
  </si>
  <si>
    <t>7A23CF8F-6753-44BC-BA06-E18C5ABE0A6F</t>
  </si>
  <si>
    <t>9A284B95-ED04-4A3E-B115-A6951771420F</t>
  </si>
  <si>
    <t>Uploads\9a284b95-ed04-4a3e-b115-a6951771420f.pdf</t>
  </si>
  <si>
    <t>C06B0FA0-B1D5-4EB6-8E2D-3165397AF0BD</t>
  </si>
  <si>
    <t>4D3CBCB9-34AC-467A-BC92-C14C3A68EE25</t>
  </si>
  <si>
    <t>333720B6-9784-4915-AE90-9730A6960786</t>
  </si>
  <si>
    <t>TuA9ST1 Final Well Report.pdf</t>
  </si>
  <si>
    <t>Uploads\333720b6-9784-4915-ae90-9730a6960786.pdf</t>
  </si>
  <si>
    <t>818D368F-D014-4404-AC33-AC271A06EB39</t>
  </si>
  <si>
    <t>CC6DA60D-ED82-4DAF-BF38-C10C589F05E8</t>
  </si>
  <si>
    <t>Tabu A9ST1 Slot 24 NOOP.pdf</t>
  </si>
  <si>
    <t>Uploads\cc6da60d-ed82-4daf-bf38-c10c589f05e8.pdf</t>
  </si>
  <si>
    <t>C8F3674C-3BBE-468D-841A-2FD082EB52B3</t>
  </si>
  <si>
    <t>3A2DEB54-FF26-4795-AA6E-C18042B6D8C4</t>
  </si>
  <si>
    <t>12CB801D-3989-4560-956B-1CC5AA0E0773</t>
  </si>
  <si>
    <t>NOOP Bekok AA17 Rev 1.pdf</t>
  </si>
  <si>
    <t>NOOP Bekok AA17 Approved [Internal}.pdf</t>
  </si>
  <si>
    <t>Uploads\12cb801d-3989-4560-956b-1cc5aa0e0773.pdf</t>
  </si>
  <si>
    <t>DF054125-A4CC-4E00-8C9A-E6B7DA4D19E9</t>
  </si>
  <si>
    <t>4EBB33C0-F7CD-4D4D-9251-E243325579A7</t>
  </si>
  <si>
    <t>Petronas Final Well Report Bekok-AA17ST1_FINAL.pdf</t>
  </si>
  <si>
    <t>Uploads\4ebb33c0-f7cd-4d4d-9251-e243325579a7.pdf</t>
  </si>
  <si>
    <t>581C767E-926C-427A-BC81-0F9E0B67BAEB</t>
  </si>
  <si>
    <t>5C2DA3B9-B12D-4414-91B1-C2058115978F</t>
  </si>
  <si>
    <t>C41E35DF-CEDE-4A20-AA20-23E54C8B140B</t>
  </si>
  <si>
    <t>PMO3KBYAWS02_KEBAYA-1.pdf</t>
  </si>
  <si>
    <t>Uploads\c41e35df-cede-4a20-aa20-23e54c8b140b.pdf</t>
  </si>
  <si>
    <t>43A6C56A-77DD-4508-8593-5762C02402FD</t>
  </si>
  <si>
    <t>7C43F183-4A27-43B6-9566-7A039A693C9B</t>
  </si>
  <si>
    <t>PMO3KBYAWS04_KEBAYA-1.pdf</t>
  </si>
  <si>
    <t>Uploads\7c43f183-4a27-43b6-9566-7a039a693c9b.pdf</t>
  </si>
  <si>
    <t>F83339F6-8347-40DA-A592-9291191FBB23</t>
  </si>
  <si>
    <t>A8615D7D-0352-4259-9E62-C208E09D7E7B</t>
  </si>
  <si>
    <t>429FB99F-F0F7-47C5-A31B-33288E25C645</t>
  </si>
  <si>
    <t>NOOP - BRG A-6(G) - FINAL Signed.pdf</t>
  </si>
  <si>
    <t>Uploads\429fb99f-f0f7-47c5-a31b-33288e25c645.pdf</t>
  </si>
  <si>
    <t>72E67A80-A929-464B-991A-FBBC11482929</t>
  </si>
  <si>
    <t>0083B0D9-3CE6-414A-89FE-04A4F0DDF96D</t>
  </si>
  <si>
    <t>Bergading A-6_ EoWR Final.pdf</t>
  </si>
  <si>
    <t>Uploads\0083b0d9-3ce6-414a-89fe-04a4f0ddf96d.pdf</t>
  </si>
  <si>
    <t>37BA1603-48A1-4BDA-8ABE-FED933C7F82C</t>
  </si>
  <si>
    <t>6630C0BB-55F0-4C64-99AF-C242A3916A9B</t>
  </si>
  <si>
    <t>2D373F92-217C-44E3-B036-D977965AF783</t>
  </si>
  <si>
    <t>BU-3 EOWR Final.pdf</t>
  </si>
  <si>
    <t>Uploads\2d373f92-217c-44e3-b036-d977965af783.pdf</t>
  </si>
  <si>
    <t>52275E43-865F-4A47-BD29-7A893CB555F6</t>
  </si>
  <si>
    <t>4ED79A4B-AB3C-45B6-A4F1-6859FB8E947B</t>
  </si>
  <si>
    <t>BU3 NOOP R1.0.pdf</t>
  </si>
  <si>
    <t>Uploads\4ed79a4b-ab3c-45b6-a4f1-6859fb8e947b.pdf</t>
  </si>
  <si>
    <t>11EC311B-79FD-499B-A83F-89BE697A8568</t>
  </si>
  <si>
    <t>2321E445-23A2-405F-A693-C248BEA4C4A1</t>
  </si>
  <si>
    <t>86D28974-FCB1-4B6C-BD1D-C06E4E93BF54</t>
  </si>
  <si>
    <t>PRPA-11ST1 EOWR.pdf</t>
  </si>
  <si>
    <t>Uploads\86d28974-fcb1-4b6c-bd1d-c06e4e93bf54.pdf</t>
  </si>
  <si>
    <t>E0718050-CDF9-4036-A68C-B7D16930537F</t>
  </si>
  <si>
    <t>EA0EAE45-C162-4C38-BF7B-85EB305E6F91</t>
  </si>
  <si>
    <t>Uploads\ea0eae45-c162-4c38-bf7b-85eb305e6f91.pdf</t>
  </si>
  <si>
    <t>C0C01B0B-3501-4F4B-9709-B876FB5F1FFA</t>
  </si>
  <si>
    <t>2ACB5AD1-AD5D-4BC2-AE67-C24C90D82D95</t>
  </si>
  <si>
    <t>52CE4C7B-3EAF-44B3-8F2C-9C34503D3F84</t>
  </si>
  <si>
    <t>SBO3SKNPWSA3_S_CN2_W2.pdf</t>
  </si>
  <si>
    <t>Uploads\52ce4c7b-3eaf-44b3-8f2c-9c34503d3f84.pdf</t>
  </si>
  <si>
    <t>DA956005-A56C-474E-B7D9-13B040E2D9E1</t>
  </si>
  <si>
    <t>16DCE693-368E-4D5C-A84A-5C51047ED3D2</t>
  </si>
  <si>
    <t>SBO3SKNPWS25_S_CN2_W2.pdf</t>
  </si>
  <si>
    <t>Uploads\16dce693-368e-4d5c-a84a-5c51047ed3d2.pdf</t>
  </si>
  <si>
    <t>E1620E45-18C4-473D-9C2E-C776F4A8558E</t>
  </si>
  <si>
    <t>762D6D3C-F3E6-4737-92E8-C2AEF1A5D897</t>
  </si>
  <si>
    <t>39C8C978-CCB8-4CC4-9541-5E6F37779E83</t>
  </si>
  <si>
    <t>SF30-6ST1 NOOP (MPM Drilling).pdf</t>
  </si>
  <si>
    <t>Uploads\39c8c978-ccb8-4cc4-9541-5e6f37779e83.pdf</t>
  </si>
  <si>
    <t>49EC3564-B992-4D1E-8AD1-CFFBD1C5EFC3</t>
  </si>
  <si>
    <t>28AAE4B3-A72E-46D9-92E9-2F4F7CEEEB20</t>
  </si>
  <si>
    <t>SF30-6ST EOWR (MPM Drilling).pdf</t>
  </si>
  <si>
    <t>Uploads\28aae4b3-a72e-46d9-92e9-2f4f7ceeeb20.pdf</t>
  </si>
  <si>
    <t>9BBF22C4-7E96-48C8-82E2-13CB01A3A356</t>
  </si>
  <si>
    <t>03ACC1BF-03C5-467F-B6EB-C2AF71808F7A</t>
  </si>
  <si>
    <t>B2ED1B6B-4C19-46D0-844C-015CCB53D0E8</t>
  </si>
  <si>
    <t>Mersing-1 Drilling EOWR.pdf</t>
  </si>
  <si>
    <t>Uploads\b2ed1b6b-4c19-46d0-844c-015ccb53d0e8.pdf</t>
  </si>
  <si>
    <t>7CC5D270-DE11-4F3E-BB3C-7046D199EFE4</t>
  </si>
  <si>
    <t>E50FE94F-1D9A-45AA-9904-577FD453C81B</t>
  </si>
  <si>
    <t>Mersing-1_Signed.pdf</t>
  </si>
  <si>
    <t>Uploads\e50fe94f-1d9a-45aa-9904-577fd453c81b.pdf</t>
  </si>
  <si>
    <t>E200A903-2925-49A1-A840-90522C63CB55</t>
  </si>
  <si>
    <t>98E0C4B4-C43F-47E5-85A1-C2D89C3EA723</t>
  </si>
  <si>
    <t>45012B3A-40C4-41D6-88E1-042B684F6169</t>
  </si>
  <si>
    <t>SB_Block_H_Rotan-2_NOOP_MY-H-58-DR-RP-0003-00.pdf</t>
  </si>
  <si>
    <t>Uploads\45012b3a-40c4-41d6-88e1-042b684f6169.pdf</t>
  </si>
  <si>
    <t>1EFE6056-9C43-4CD2-A947-102E72110090</t>
  </si>
  <si>
    <t>CF67EFC9-D224-486F-8DC3-3D6052BA0FD1</t>
  </si>
  <si>
    <t>Block_H_Appraisal__Rotan-2_End_Of_Well_Report_(MY-H-58-DR-RP-0005-00).pdf</t>
  </si>
  <si>
    <t>Uploads\cf67efc9-d224-486f-8dc3-3d6052ba0fd1.pdf</t>
  </si>
  <si>
    <t>794EB8BD-6442-4B02-800F-3491F1DCC094</t>
  </si>
  <si>
    <t>E4C8E368-F247-4051-94A5-C3394122BCF1</t>
  </si>
  <si>
    <t>D1981037-2B7A-42A7-941A-07807A96D0FB</t>
  </si>
  <si>
    <t>Salam-3 RevA_2022_signed.pdf</t>
  </si>
  <si>
    <t>Uploads\d1981037-2b7a-42a7-941a-07807a96d0fb.pdf</t>
  </si>
  <si>
    <t>06F9937B-5F85-4790-8A9A-665560342321</t>
  </si>
  <si>
    <t>C80CAF8A-6538-435E-A444-2D0F4C9B6BEB</t>
  </si>
  <si>
    <t>Salam-3_EndofWell_Report_FINAL.pdf</t>
  </si>
  <si>
    <t>Uploads\c80caf8a-6538-435e-a444-2d0f4c9b6beb.pdf</t>
  </si>
  <si>
    <t>6FEEF126-B2CA-47C9-9E7F-69623740B7CB</t>
  </si>
  <si>
    <t>FF1C85E5-D6A0-45D4-A251-C33FFA8B6A3A</t>
  </si>
  <si>
    <t>F3F2CAD3-BE33-44E3-8B57-95B8AFF0A88E</t>
  </si>
  <si>
    <t>ECN-GEN-D-0002_REV.00 NOOP WELL EC-A04 (Slot 1A ECW-A Platform)_DS.pdf</t>
  </si>
  <si>
    <t>Uploads\f3f2cad3-be33-44e3-8b57-95b8aff0a88e.pdf</t>
  </si>
  <si>
    <t>F8036907-2BA2-49D7-AEA0-EB6BAB0DEAC1</t>
  </si>
  <si>
    <t>67996B2F-A8DA-49A8-A62B-D80A734F45E4</t>
  </si>
  <si>
    <t>EC-A04 Final Well Report DS.pdf</t>
  </si>
  <si>
    <t>Uploads\67996b2f-a8da-49a8-a62b-d80a734f45e4.pdf</t>
  </si>
  <si>
    <t>BCDAFCCB-380D-4E61-B3A5-E417D0368176</t>
  </si>
  <si>
    <t>D89D1620-45C5-47E2-9612-C34E9B35B44A</t>
  </si>
  <si>
    <t>AF29DD66-86DC-46A0-B74C-479AFB4AD889</t>
  </si>
  <si>
    <t>Mong Merah-1 NOOP_signed 2022.pdf</t>
  </si>
  <si>
    <t>Uploads\af29dd66-86dc-46a0-b74c-479afb4ad889.pdf</t>
  </si>
  <si>
    <t>E7C12483-0DD3-4322-8362-D64AECA29963</t>
  </si>
  <si>
    <t>7EB0EC6F-BFD5-494E-912C-5B5E47F299EB</t>
  </si>
  <si>
    <t>SKO3MMRHGL6505_MONG MERAH-1_PTTEP_FWR.pdf</t>
  </si>
  <si>
    <t>Uploads\7eb0ec6f-bfd5-494e-912c-5b5e47f299eb.pdf</t>
  </si>
  <si>
    <t>AA8111DD-1ACB-4858-9375-38D88AEE07AB</t>
  </si>
  <si>
    <t>8BCB2D48-4AE7-42A4-95C5-C40CAF84AA3D</t>
  </si>
  <si>
    <t>13A58C23-D479-4288-896B-28036FC564B7</t>
  </si>
  <si>
    <t>PMO3RMNAWS06_RAMUNIA-1_PCSB_FWR.pdf</t>
  </si>
  <si>
    <t>Uploads\13a58c23-d479-4288-896b-28036fc564b7.pdf</t>
  </si>
  <si>
    <t>77F2E796-0535-44AD-800F-0CB9870CECD5</t>
  </si>
  <si>
    <t>6D90EFB2-8DED-4700-A37E-1234765EC169</t>
  </si>
  <si>
    <t>PMO3RMNAWS05_RAMUNIA-1_PCSB_NOOP.pdf</t>
  </si>
  <si>
    <t>Uploads\6d90efb2-8ded-4700-a37e-1234765ec169.pdf</t>
  </si>
  <si>
    <t>8E93665A-F846-4EEF-BF03-13CD16C36DA0</t>
  </si>
  <si>
    <t>44FF5E90-379B-430F-B0D7-C4A5C4BAEA99</t>
  </si>
  <si>
    <t>13810DD6-0C29-48BF-B71A-5F7995BA773B</t>
  </si>
  <si>
    <t>PMO3DULGWSYH_DULANG_D30.pdf</t>
  </si>
  <si>
    <t>Uploads\13810dd6-0c29-48bf-b71a-5f7995ba773b.pdf</t>
  </si>
  <si>
    <t>6BF6D567-8824-4842-8F98-57DC2CD61705</t>
  </si>
  <si>
    <t>B2988736-A896-44D7-9AD8-B9913E9277BC</t>
  </si>
  <si>
    <t>PMO3DULGGL84_DULANG_D30.pdf</t>
  </si>
  <si>
    <t>Uploads\b2988736-a896-44d7-9ad8-b9913e9277bc.pdf</t>
  </si>
  <si>
    <t>9058940B-0BDD-4031-9621-3921A033DA5F</t>
  </si>
  <si>
    <t>9AB6DF12-A9B2-4835-81AE-C4FAAB6473D1</t>
  </si>
  <si>
    <t>FC5127ED-8B6D-413B-8816-4AD20E67B146</t>
  </si>
  <si>
    <t>SKO3D18-WS77_D18-209A_PCSB_NOOP.pdf</t>
  </si>
  <si>
    <t>Uploads\fc5127ed-8b6d-413b-8816-4ad20e67b146.pdf</t>
  </si>
  <si>
    <t>2D795303-2013-48EC-BDD5-F798AE16CF35</t>
  </si>
  <si>
    <t>6E19816D-2E99-4F72-8CAB-112BF2B3D47E</t>
  </si>
  <si>
    <t>D-18 209 A Final Well Report 209A (Signed).pdf</t>
  </si>
  <si>
    <t>Uploads\6e19816d-2e99-4f72-8cab-112bf2b3d47e.pdf</t>
  </si>
  <si>
    <t>EF5B78E5-3091-44D4-8E04-85F4F05F041D</t>
  </si>
  <si>
    <t>AC4B883A-5272-43F3-A090-C50E23273A1E</t>
  </si>
  <si>
    <t>E48E3122-B65B-4799-8720-21AA01206DE5</t>
  </si>
  <si>
    <t>TBK-B4 Final Well Report.pdf</t>
  </si>
  <si>
    <t>Uploads\e48e3122-b65b-4799-8720-21aa01206de5.pdf</t>
  </si>
  <si>
    <t>1A7EB716-4582-4631-A1A2-A3302D6EDF88</t>
  </si>
  <si>
    <t>D45E5A8C-7661-4E5E-B7F3-0DE734A388A0</t>
  </si>
  <si>
    <t>TBK-B4.pdf</t>
  </si>
  <si>
    <t>Uploads\d45e5a8c-7661-4e5e-b7f3-0de734a388a0.pdf</t>
  </si>
  <si>
    <t>79DB033D-0FAD-4DC6-B955-4BDFCDCD9980</t>
  </si>
  <si>
    <t>4E35DB5F-60F8-4EC6-856D-C580D3BDEC7D</t>
  </si>
  <si>
    <t>49B18CC6-FC29-4FCE-B73B-B8DE2003B52B</t>
  </si>
  <si>
    <t>PMO3SPATGL32_SEPAT-A10_PCSB_NOOP.pdf</t>
  </si>
  <si>
    <t>Uploads\49b18cc6-fc29-4fce-b73b-b8de2003b52b.pdf</t>
  </si>
  <si>
    <t>B9DE89AA-B0B9-4A14-99B0-CB74F0B469FF</t>
  </si>
  <si>
    <t>32DBF43C-FED5-4D54-B16A-3EB4D6E507AD</t>
  </si>
  <si>
    <t>PMO3SPATWS67_SEPAT-A10_PCSB_FWR.pdf</t>
  </si>
  <si>
    <t>Uploads\32dbf43c-fed5-4d54-b16a-3eb4d6e507ad.pdf</t>
  </si>
  <si>
    <t>5BD764EA-2860-476C-B996-B462D718B50C</t>
  </si>
  <si>
    <t>73C3498B-804A-4138-A787-C5F19FD8074E</t>
  </si>
  <si>
    <t>DD515812-58E9-46D6-B9E0-2975F7B26ACB</t>
  </si>
  <si>
    <t>D21-C2A-FB5 (P2) (D-21-A6) NOOP.pdf</t>
  </si>
  <si>
    <t>Uploads\dd515812-58e9-46d6-b9e0-2975f7b26acb.pdf</t>
  </si>
  <si>
    <t>FE3DB93C-04C9-46CA-A1AB-F68C7B9AD04E</t>
  </si>
  <si>
    <t>A6FFB3B0-9821-4ABE-8C16-63B817734304</t>
  </si>
  <si>
    <t>D21 P2 (A6) EOWR .pdf</t>
  </si>
  <si>
    <t>Uploads\a6ffb3b0-9821-4abe-8c16-63b817734304.pdf</t>
  </si>
  <si>
    <t>FCD107B2-A494-4076-88B5-30E0988D1094</t>
  </si>
  <si>
    <t>AFCBE44E-A76E-41B8-AFFC-C65A9A731265</t>
  </si>
  <si>
    <t>CAE4EE94-B2DF-4C78-894E-966934AF8BFB</t>
  </si>
  <si>
    <t>D35-213-ST1 FINAL WELL REPORT.pdf</t>
  </si>
  <si>
    <t>Uploads\cae4ee94-b2df-4c78-894e-966934af8bfb.pdf</t>
  </si>
  <si>
    <t>14948053-5166-43BE-9318-97226FC5472C</t>
  </si>
  <si>
    <t>5F1AABB8-F09D-4379-B2AB-CEFDF9E706AC</t>
  </si>
  <si>
    <t>D35-213 NOOP_Rev1 (Signed).pdf</t>
  </si>
  <si>
    <t>Uploads\5f1aabb8-f09d-4379-b2ab-cefdf9e706ac.pdf</t>
  </si>
  <si>
    <t>AAE08B5C-0FF8-454A-A1B9-63C4C1C0BEDE</t>
  </si>
  <si>
    <t>FD543C65-4B3E-404D-B209-C69BDF6CBDE3</t>
  </si>
  <si>
    <t>4207AC64-CF78-47A1-9D0E-F18F5359E00F</t>
  </si>
  <si>
    <t>Final Well Report SeC-40 Appraisal cum Development Well Final.pdf</t>
  </si>
  <si>
    <t>Uploads\4207ac64-cf78-47a1-9d0e-f18f5359e00f.pdf</t>
  </si>
  <si>
    <t>1702D12F-34FD-4626-BEB9-FFEAD6148CC9</t>
  </si>
  <si>
    <t>28631FBE-D053-4DA4-A628-2C03E168517A</t>
  </si>
  <si>
    <t>SeC-40 Notice Of Operation (NOOP) Seligi Appraisal Cum Development Well _Final.pdf</t>
  </si>
  <si>
    <t>Uploads\28631fbe-d053-4da4-a628-2c03e168517a.pdf</t>
  </si>
  <si>
    <t>5CB24353-9766-4A88-9DC9-8EE5B6367F7A</t>
  </si>
  <si>
    <t>C3445C5D-B056-4DA1-B610-C73C33325176</t>
  </si>
  <si>
    <t>A374FFE2-A399-48CE-91E2-DA755C0DA19C</t>
  </si>
  <si>
    <t>Bergading C-3 (C) R0_Final.pdf</t>
  </si>
  <si>
    <t>Uploads\a374ffe2-a399-48ce-91e2-da755c0da19c.pdf</t>
  </si>
  <si>
    <t>D6588C49-3FB1-45DD-BC91-0A265BA812AA</t>
  </si>
  <si>
    <t>564D3138-0789-41AA-B447-7BFDCF40C16E</t>
  </si>
  <si>
    <t>PMO3BGDGWS43_BERGADING_C3.pdf</t>
  </si>
  <si>
    <t>Uploads\564d3138-0789-41aa-b447-7bfdcf40c16e.pdf</t>
  </si>
  <si>
    <t>871E7CBB-922F-48D2-B1DC-88531DC282A6</t>
  </si>
  <si>
    <t>259C3DE0-AC75-427F-90EE-C73C5D971A22</t>
  </si>
  <si>
    <t>34967814-CDDA-4526-853F-210FED04FE77</t>
  </si>
  <si>
    <t>BPA-5 NOOP.pdf</t>
  </si>
  <si>
    <t>Uploads\34967814-cdda-4526-853f-210fed04fe77.pdf</t>
  </si>
  <si>
    <t>763792F6-8BBA-4E19-B18B-73ED5C635CCD</t>
  </si>
  <si>
    <t>1F5DC8CF-585E-45FC-8D68-B30B706F0515</t>
  </si>
  <si>
    <t>BPA-5 EOWR.pdf</t>
  </si>
  <si>
    <t>Uploads\1f5dc8cf-585e-45fc-8d68-b30b706f0515.pdf</t>
  </si>
  <si>
    <t>A8CD040B-6810-4448-9280-0F56043615C6</t>
  </si>
  <si>
    <t>17C6E3D3-9517-4AB2-BEEF-C76FEFC789FB</t>
  </si>
  <si>
    <t>F741A4D5-2FBE-4625-9D5C-C58F31F7D31F</t>
  </si>
  <si>
    <t>D35-209S2 NOOP_Rev1.pdf</t>
  </si>
  <si>
    <t>Uploads\f741a4d5-2fbe-4625-9d5c-c58f31f7d31f.pdf</t>
  </si>
  <si>
    <t>F920012E-DA6D-4A16-938A-3526D632DAFC</t>
  </si>
  <si>
    <t>22E2A39F-7026-40D1-9089-F7B1D1F98AD1</t>
  </si>
  <si>
    <t>D35-209S2 FINAL WELL REPORT.pdf</t>
  </si>
  <si>
    <t>Uploads\22e2a39f-7026-40d1-9089-f7b1d1f98ad1.pdf</t>
  </si>
  <si>
    <t>02D10F9E-21C0-4006-B0CD-8D9F51C4117F</t>
  </si>
  <si>
    <t>F26C63F1-5C5D-4000-B861-C84D3088B6A9</t>
  </si>
  <si>
    <t>71C4B9CB-3BA5-4500-8CEF-484F9EBC4B35</t>
  </si>
  <si>
    <t>BO-F602 FWR Final.pdf</t>
  </si>
  <si>
    <t>Uploads\71c4b9cb-3ba5-4500-8cef-484f9ebc4b35.pdf</t>
  </si>
  <si>
    <t>BB637510-FE5B-4F79-BE19-E45717FD9894</t>
  </si>
  <si>
    <t>D6264BB0-EE67-47FE-B782-CF568B0960E6</t>
  </si>
  <si>
    <t>BO-602 SIGNED NOOP.pdf</t>
  </si>
  <si>
    <t>Uploads\d6264bb0-ee67-47fe-b782-cf568b0960e6.pdf</t>
  </si>
  <si>
    <t>9DA270CA-1AF4-433B-90AB-90C064FD991E</t>
  </si>
  <si>
    <t>754594EB-59E8-4D58-ABEA-C88D1A9D580C</t>
  </si>
  <si>
    <t>F6B0B75F-DE41-462A-BF9D-1DEB6DEE133D</t>
  </si>
  <si>
    <t>Sinsing-1_Internal NOOP.pdf</t>
  </si>
  <si>
    <t>Uploads\f6b0b75f-de41-462a-bf9d-1deb6dee133d.pdf</t>
  </si>
  <si>
    <t>06090B97-13A3-4AB5-994B-8164C15DE93D</t>
  </si>
  <si>
    <t>17FEBC54-B927-4C15-BC61-DACA22498AF3</t>
  </si>
  <si>
    <t>Sinsing-1 FWR_w attachment.pdf</t>
  </si>
  <si>
    <t>Uploads\17febc54-b927-4c15-bc61-daca22498af3.pdf</t>
  </si>
  <si>
    <t>2E67BD7A-47A0-4D89-9BE9-3D7F08911900</t>
  </si>
  <si>
    <t>3FAF461F-144F-4A10-95CA-C8AF87C6082A</t>
  </si>
  <si>
    <t>AE6DEA35-FA09-4B80-BC65-3F355F811268</t>
  </si>
  <si>
    <t>SAPA-13 EOWR.pdf</t>
  </si>
  <si>
    <t>Uploads\ae6dea35-fa09-4b80-bc65-3f355f811268.pdf</t>
  </si>
  <si>
    <t>5BD5A78C-9C67-44B7-8737-C6F6E9DB0423</t>
  </si>
  <si>
    <t>F7F0847B-FDC8-423F-AE57-DE03FED459D4</t>
  </si>
  <si>
    <t>SKO3ACISWS67_SAPA-5,SAPA-6,SAPA-13,SAPA-15,PCSB_NOOP.pdf</t>
  </si>
  <si>
    <t>Uploads\f7f0847b-fdc8-423f-ae57-de03fed459d4.pdf</t>
  </si>
  <si>
    <t>D89D9C47-B43E-4FA1-BCB1-C729C9311C7F</t>
  </si>
  <si>
    <t>69269D5C-5972-45B6-B462-C8BBB1EE9E9A</t>
  </si>
  <si>
    <t>FF88C567-4F46-49AA-882F-D1A746B2611B</t>
  </si>
  <si>
    <t>PMO3BTAMDR13_BERTAM-A11_IPC_FWR.pdf</t>
  </si>
  <si>
    <t>Uploads\ff88c567-4f46-49aa-882f-d1a746b2611b.pdf</t>
  </si>
  <si>
    <t>987ED5D1-5A6C-412C-8DDA-20A0AFBDB6B3</t>
  </si>
  <si>
    <t>EC55126F-FCA6-419F-B41B-1D1C5CA54091</t>
  </si>
  <si>
    <t>PMO3BTAMWS26_BERTAM-A11-A11ST1_IPC.pdf</t>
  </si>
  <si>
    <t>Uploads\ec55126f-fca6-419f-b41b-1d1c5ca54091.pdf</t>
  </si>
  <si>
    <t>13EB56F9-585D-4E29-97FB-B3FC690576CE</t>
  </si>
  <si>
    <t>953C1EA1-C02B-43EF-B728-C8C98A2EF357</t>
  </si>
  <si>
    <t>BBC76549-7DD5-4BA7-89F6-E4F70130A3C6</t>
  </si>
  <si>
    <t>Uploads\bbc76549-7dd5-4ba7-89f6-e4f70130a3c6.pdf</t>
  </si>
  <si>
    <t>3A17E78B-AA53-4671-B1D5-F7DC39925E04</t>
  </si>
  <si>
    <t>6E5FFE04-DA91-45F1-9138-2990C21B50E7</t>
  </si>
  <si>
    <t>Uploads\6e5ffe04-da91-45f1-9138-2990c21b50e7.pdf</t>
  </si>
  <si>
    <t>B0D9F11E-9465-4295-A899-FD3C5E88978F</t>
  </si>
  <si>
    <t>D8CC1ED4-B384-4CD4-BE0F-C8EC8B595DD8</t>
  </si>
  <si>
    <t>10339177-4CAC-4B41-8DD7-0F390A869811</t>
  </si>
  <si>
    <t>Uploads\10339177-4cac-4b41-8dd7-0f390a869811.pdf</t>
  </si>
  <si>
    <t>1E9DA129-D8C4-4D4C-AE7C-42D2EDBB52DB</t>
  </si>
  <si>
    <t>2F5760F7-4E38-4CE3-8B03-26079D416206</t>
  </si>
  <si>
    <t>Uploads\2f5760f7-4e38-4ce3-8b03-26079d416206.pdf</t>
  </si>
  <si>
    <t>1CC36211-B9C0-48A5-B673-2A1EBA7586D4</t>
  </si>
  <si>
    <t>FCB17AC4-3498-4605-9CFB-C9211656BD48</t>
  </si>
  <si>
    <t>8212FF9A-1458-4E1A-AA1D-EFE6241D4D54</t>
  </si>
  <si>
    <t>EOWR_BDL-A2 - signed.pdf</t>
  </si>
  <si>
    <t>Uploads\8212ff9a-1458-4e1a-aa1d-efe6241d4d54.pdf</t>
  </si>
  <si>
    <t>F31974C7-2239-4772-AD8D-8A21B9191447</t>
  </si>
  <si>
    <t>2688A917-1DD6-432C-A171-2F9F64E51A93</t>
  </si>
  <si>
    <t>NOOP_Bunga Dahlia-A2_ BDL-A2.pdf</t>
  </si>
  <si>
    <t>Uploads\2688a917-1dd6-432c-a171-2f9f64e51a93.pdf</t>
  </si>
  <si>
    <t>50CE1165-DA68-4C4F-B1AD-8B61A812F1D4</t>
  </si>
  <si>
    <t>F8DDEF00-F5EA-4962-893E-C923A1B71878</t>
  </si>
  <si>
    <t>FFA0C1A5-E166-4475-B1A5-E5EC2DF7B75F</t>
  </si>
  <si>
    <t>SBO3NILMWS08_NILAM_1.pdf</t>
  </si>
  <si>
    <t>Uploads\ffa0c1a5-e166-4475-b1a5-e5ec2df7b75f.pdf</t>
  </si>
  <si>
    <t>4172AD8D-3375-49D5-AC79-073517631BE4</t>
  </si>
  <si>
    <t>186A9947-6217-43BF-A430-168890E64C93</t>
  </si>
  <si>
    <t>SBO3NILMWS01_NILAM_1.pdf</t>
  </si>
  <si>
    <t>Uploads\186a9947-6217-43bf-a430-168890e64c93.pdf</t>
  </si>
  <si>
    <t>7CE3B8A8-8B94-4AA7-9AE3-2B1542B840D7</t>
  </si>
  <si>
    <t>74983E62-22B7-4AEC-AD39-C944E0806EC7</t>
  </si>
  <si>
    <t>D6ABEC58-C1E8-4044-BE6D-E8F67CE0C208</t>
  </si>
  <si>
    <t>SBO3SBO-WS7H_S-NE1-W5_PTTEP_NOOP.pdf</t>
  </si>
  <si>
    <t>Uploads\d6abec58-c1e8-4044-be6d-e8f67ce0c208.pdf</t>
  </si>
  <si>
    <t>11A45F35-88E4-484E-A8A4-71872DC9329A</t>
  </si>
  <si>
    <t>62316165-B845-4503-8A5A-9B21B48CB759</t>
  </si>
  <si>
    <t>SBO3SKNPDR16_S-NE1-W5_PTTEP_FWR.pdf</t>
  </si>
  <si>
    <t>Uploads\62316165-b845-4503-8a5a-9b21b48cb759.pdf</t>
  </si>
  <si>
    <t>BE0913F3-80EF-4848-B378-224091A1FE84</t>
  </si>
  <si>
    <t>4385C239-D4FF-44BF-8D4A-C950B36B5920</t>
  </si>
  <si>
    <t>7E0125CE-40AF-4152-AE23-3DA1E464C265</t>
  </si>
  <si>
    <t>SEPAT BARAT-3_NOOP_2013_PM.pdf</t>
  </si>
  <si>
    <t>Uploads\7e0125ce-40af-4152-ae23-3da1e464c265.pdf</t>
  </si>
  <si>
    <t>B9BAE849-BA75-4EEF-97AC-D41DCBFCDFC9</t>
  </si>
  <si>
    <t>1AB448A7-75CC-4641-86D0-2C49B7634A56</t>
  </si>
  <si>
    <t>SEPAT BARAT-3 FWR.pdf</t>
  </si>
  <si>
    <t>Uploads\1ab448a7-75cc-4641-86d0-2c49b7634a56.pdf</t>
  </si>
  <si>
    <t>CB2DEADB-626B-4C24-A753-C6703CEEE0EC</t>
  </si>
  <si>
    <t>1AC0FD70-83B4-4431-8362-C9D43C963E84</t>
  </si>
  <si>
    <t>FF087259-BE20-45B5-B4CA-4053FAC4345F</t>
  </si>
  <si>
    <t>DERMAWAN-1 SB Block H NOOP (2023).pdf</t>
  </si>
  <si>
    <t>Uploads\ff087259-be20-45b5-b4ca-4053fac4345f.pdf</t>
  </si>
  <si>
    <t>2A24ADAD-2966-42C4-85D0-213D0094318E</t>
  </si>
  <si>
    <t>83F23653-0C83-4646-B576-2E1EEB92AFC3</t>
  </si>
  <si>
    <t>Block H Exploration Dermawan-1 End Of Well Report (MY-H-10-DR-PR-0003-00).pdf</t>
  </si>
  <si>
    <t>Uploads\83f23653-0c83-4646-b576-2e1eeb92afc3.pdf</t>
  </si>
  <si>
    <t>89A989E6-580B-4403-BBAB-F11611527C0A</t>
  </si>
  <si>
    <t>DA5ABBE4-177D-4113-AF56-CA2A718B9AB0</t>
  </si>
  <si>
    <t>2016096B-2C94-42A1-9A1E-A87EB5B40B87</t>
  </si>
  <si>
    <t>SKO3NUANWS01_NUANG-1_PCSB_NOOP.pdf</t>
  </si>
  <si>
    <t>Uploads\2016096b-2c94-42a1-9a1e-a87eb5b40b87.pdf</t>
  </si>
  <si>
    <t>4383C575-550D-432D-8C6E-E5E3D5DC9634</t>
  </si>
  <si>
    <t>F0F7FD3B-9DFE-48B4-8240-5B9D3CCB3233</t>
  </si>
  <si>
    <t>SKO3NUANWS05_NUANG-1_PCSB_FWR.pdf</t>
  </si>
  <si>
    <t>Uploads\f0f7fd3b-9dfe-48b4-8240-5b9d3ccb3233.pdf</t>
  </si>
  <si>
    <t>DA6D7CA7-82B4-4C62-811F-F3AE771E77C9</t>
  </si>
  <si>
    <t>A53DCF80-B61C-48FB-B5D0-CA440555ACC5</t>
  </si>
  <si>
    <t>733C8B8E-9569-4DB9-8878-CCFE2F7FDB67</t>
  </si>
  <si>
    <t>Lang Lebah-2 NOOP (Final) Rev 14 Sept 2020.pdf</t>
  </si>
  <si>
    <t>Uploads\733c8b8e-9569-4db9-8878-ccfe2f7fdb67.pdf</t>
  </si>
  <si>
    <t>F12F7C4F-3543-4DBC-A923-46C6EB2D8FAE</t>
  </si>
  <si>
    <t>AC38EB6C-E164-4B90-A9DA-E516CCCEB201</t>
  </si>
  <si>
    <t>SK410B_Lang_Lebah-2_EOWR_(Final) 25 March 2021-Signed.pdf</t>
  </si>
  <si>
    <t>Uploads\ac38eb6c-e164-4b90-a9da-e516ccceb201.pdf</t>
  </si>
  <si>
    <t>6F6FCFB4-4267-4D0E-A925-7EE971D581A9</t>
  </si>
  <si>
    <t>750A0444-070D-4CC0-B01C-CA6F06F9C35C</t>
  </si>
  <si>
    <t>C444D149-4FC3-4DCD-BEA1-1488F3C36956</t>
  </si>
  <si>
    <t>EC-A01ST1 Final Well Report signedDS.pdf</t>
  </si>
  <si>
    <t>Uploads\c444d149-4fc3-4dcd-bea1-1488f3c36956.pdf</t>
  </si>
  <si>
    <t>06CA2E1C-4553-468D-9329-BAE5C17DAE2D</t>
  </si>
  <si>
    <t>921661E5-FC10-4269-9F75-B4951C3C75F0</t>
  </si>
  <si>
    <t>NOTICE OF OPERATIONS - WELL EC-A01 (Slot 1B ECW-A Platform) Signed.pdf</t>
  </si>
  <si>
    <t>Uploads\921661e5-fc10-4269-9f75-b4951c3c75f0.pdf</t>
  </si>
  <si>
    <t>576B1D8F-B07D-4581-8A8F-DF973CFD48A7</t>
  </si>
  <si>
    <t>BBC30033-5C36-4F47-AEE1-CA8AA40E0CBC</t>
  </si>
  <si>
    <t>E87C4815-239A-4586-9588-77A9ACD24DC3</t>
  </si>
  <si>
    <t>PMO3ANSIWSB3_ANGSI-B32_PCSB_NOOP.pdf</t>
  </si>
  <si>
    <t>Uploads\e87c4815-239a-4586-9588-77a9acd24dc3.pdf</t>
  </si>
  <si>
    <t>76D50A9D-A2CF-4D36-BC7B-7764A0B18644</t>
  </si>
  <si>
    <t>57DE56C5-9264-4931-8BB4-1F5401187663</t>
  </si>
  <si>
    <t>PMO3ANSIWSB2_ANGSI-B32_PCSB_FWR.pdf</t>
  </si>
  <si>
    <t>Angsi  B32 FWR.pdf</t>
  </si>
  <si>
    <t>Uploads\57de56c5-9264-4931-8bb4-1f5401187663.pdf</t>
  </si>
  <si>
    <t>5D35CBC2-B7E2-412D-81A1-966EC1ADA0F7</t>
  </si>
  <si>
    <t>7AEA341D-42E8-4BE3-A2B5-CAC477C0BBEB</t>
  </si>
  <si>
    <t>ECA3029C-2A9A-4EE4-A223-CC1B59EB7D32</t>
  </si>
  <si>
    <t>SKO3D21-WS49_D21-A2.pdf</t>
  </si>
  <si>
    <t>Uploads\eca3029c-2a9a-4ee4-a223-cc1b59eb7d32.pdf</t>
  </si>
  <si>
    <t>15B3E7D7-F24B-4466-955A-1B390F962285</t>
  </si>
  <si>
    <t>4CA0612E-29DD-4D66-90BB-312A2A6D8579</t>
  </si>
  <si>
    <t>SKO3D21-WS44_d21-a2.pdf</t>
  </si>
  <si>
    <t>Uploads\4ca0612e-29dd-4d66-90bb-312a2a6d8579.pdf</t>
  </si>
  <si>
    <t>073863D1-8280-4F78-83F2-7022CF63FB21</t>
  </si>
  <si>
    <t>05FB5405-9C1A-4601-91E7-CB32578EB25D</t>
  </si>
  <si>
    <t>12A25156-509F-4D8F-ADA7-7DBF347F6C28</t>
  </si>
  <si>
    <t>FWR BOKOR-E503 Final.pdf</t>
  </si>
  <si>
    <t>Uploads\12a25156-509f-4d8f-ada7-7dbf347f6c28.pdf</t>
  </si>
  <si>
    <t>37171BC8-2BCE-49C3-A896-BFFC8509D111</t>
  </si>
  <si>
    <t>8CA9924F-B9D1-457B-8F64-11A72F96A605</t>
  </si>
  <si>
    <t>BO-503 FINAL NOOP.pdf</t>
  </si>
  <si>
    <t>NOOP BOKOR-E503 FINAL signed by AAR.pdf</t>
  </si>
  <si>
    <t>Uploads\8ca9924f-b9d1-457b-8f64-11a72f96a605.pdf</t>
  </si>
  <si>
    <t>42B3FAB0-3EBA-400D-B11E-0F45B473A756</t>
  </si>
  <si>
    <t>40DDC904-4699-4844-B416-CB3DA0A9E147</t>
  </si>
  <si>
    <t>D1EB1F86-99ED-4936-973A-9B8F477EECEB</t>
  </si>
  <si>
    <t>ZUHAL EAST-B_NOOP_2013_SB.pdf</t>
  </si>
  <si>
    <t>Uploads\d1eb1f86-99ed-4936-973a-9b8f477eeceb.pdf</t>
  </si>
  <si>
    <t>900503F1-F923-49AA-ADA3-38FBD78422D1</t>
  </si>
  <si>
    <t>814871BC-7162-4925-9D75-65536B8FEABE</t>
  </si>
  <si>
    <t>SBO3ZUHEWS25_ZE-B.pdf</t>
  </si>
  <si>
    <t>Uploads\814871bc-7162-4925-9d75-65536b8feabe.pdf</t>
  </si>
  <si>
    <t>81330C6F-679A-4D20-B516-96482DC5D378</t>
  </si>
  <si>
    <t>9DE0DA65-6375-4296-9AFF-CC56082D01F1</t>
  </si>
  <si>
    <t>D3015887-485D-4897-B835-7BBFCFCDD4DD</t>
  </si>
  <si>
    <t>Bestari-1 NOOP.pdf</t>
  </si>
  <si>
    <t>Uploads\d3015887-485d-4897-b835-7bbfcfcdd4dd.pdf</t>
  </si>
  <si>
    <t>8021722B-86BA-4B75-B115-F5C08D027772</t>
  </si>
  <si>
    <t>0FE66C30-26F7-4000-879D-470B2C42A46B</t>
  </si>
  <si>
    <t>Bestari-1 v1_FWR.pdf</t>
  </si>
  <si>
    <t>Uploads\0fe66c30-26f7-4000-879d-470b2c42a46b.pdf</t>
  </si>
  <si>
    <t>31EC4BC9-50C4-479B-BB69-F3D57E90BA7A</t>
  </si>
  <si>
    <t>3D4EBF80-9D1F-446F-96B9-CC6B0BD6845A</t>
  </si>
  <si>
    <t>ED5501A0-B708-4670-8A6D-E87B12DD702D</t>
  </si>
  <si>
    <t>PMO3BGDGWS39_BERGADING_A2.pdf</t>
  </si>
  <si>
    <t>Uploads\ed5501a0-b708-4670-8a6d-e87b12dd702d.pdf</t>
  </si>
  <si>
    <t>1303411D-CD14-4ACA-9E03-0FB2F9F7955B</t>
  </si>
  <si>
    <t>7A9E6E29-97A8-4CE7-B11C-78179023CA5A</t>
  </si>
  <si>
    <t>Bergading A-2 (C) FINAL_SIGNED.pdf</t>
  </si>
  <si>
    <t>Uploads\7a9e6e29-97a8-4ce7-b11c-78179023ca5a.pdf</t>
  </si>
  <si>
    <t>854310EF-8771-4652-82C0-0FDC030128C3</t>
  </si>
  <si>
    <t>9FE60610-DBF2-4C34-8A75-CCB430B5B6FE</t>
  </si>
  <si>
    <t>D3BBC28A-63E1-4A45-BA97-84F9EE514002</t>
  </si>
  <si>
    <t>D18-107 ST1 FWR.pdf</t>
  </si>
  <si>
    <t>Uploads\d3bbc28a-63e1-4a45-ba97-84f9ee514002.pdf</t>
  </si>
  <si>
    <t>E800A4CD-CC28-41C4-AE94-574780E4E49D</t>
  </si>
  <si>
    <t>33A5D9E4-145F-4DAB-912B-5B35DE786174</t>
  </si>
  <si>
    <t>WI-XX_(107 ST1) NOOP.pdf</t>
  </si>
  <si>
    <t>Uploads\33a5d9e4-145f-4dab-912b-5b35de786174.pdf</t>
  </si>
  <si>
    <t>9100752F-A2C4-4E16-A6B3-434F6549D74C</t>
  </si>
  <si>
    <t>4D8C3099-B89F-43BD-A0FF-CD35F5E21368</t>
  </si>
  <si>
    <t>D43AA217-375B-487B-8E15-154C862158CA</t>
  </si>
  <si>
    <t>SJ-105A (PCSB JV) EOWR.pdf</t>
  </si>
  <si>
    <t>Uploads\d43aa217-375b-487b-8e15-154c862158ca.pdf</t>
  </si>
  <si>
    <t>39F23491-71B5-40D0-9819-E21BBC889890</t>
  </si>
  <si>
    <t>9C0199FA-79BF-4176-8603-8E6B2A5BEA01</t>
  </si>
  <si>
    <t>SJ-105A NOOP for MPM.pdf</t>
  </si>
  <si>
    <t>Uploads\9c0199fa-79bf-4176-8603-8e6b2a5bea01.pdf</t>
  </si>
  <si>
    <t>4B43E9F8-3227-46A1-9100-988FD4979D8E</t>
  </si>
  <si>
    <t>A799AE8A-50BE-4838-9CDA-CD5228BA076B</t>
  </si>
  <si>
    <t>751A6236-8A38-4CC1-A537-79E8045C43B1</t>
  </si>
  <si>
    <t>EOWR KNDW D15.pdf</t>
  </si>
  <si>
    <t>Uploads\751a6236-8a38-4cc1-a537-79e8045c43b1.pdf</t>
  </si>
  <si>
    <t>B83698FD-6785-4072-A74B-81B7B7C92A12</t>
  </si>
  <si>
    <t>F3EB5906-AA25-4774-B544-B32F87E706B7</t>
  </si>
  <si>
    <t>KNDW-D15 NOOP_Final.pdf</t>
  </si>
  <si>
    <t>Uploads\f3eb5906-aa25-4774-b544-b32f87e706b7.pdf</t>
  </si>
  <si>
    <t>B3828AE0-3214-402F-8B14-860D99B06304</t>
  </si>
  <si>
    <t>84561E2C-DE1A-4212-B6F3-CD5F7A69914E</t>
  </si>
  <si>
    <t>FC81BD4E-767F-4AA6-AF7D-34D422C25CC6</t>
  </si>
  <si>
    <t>SKO3D18-GL27_D18-207A_PCSB_NOOP.pdf</t>
  </si>
  <si>
    <t>Uploads\fc81bd4e-767f-4aa6-af7d-34d422c25cc6.pdf</t>
  </si>
  <si>
    <t>2F595A58-ED09-45D1-9EB8-CF5C29FEF60B</t>
  </si>
  <si>
    <t>0E4E0388-E6A5-4C68-8F66-EDF1A1E55EA7</t>
  </si>
  <si>
    <t>D-18 207A Final Well Report 207A-WI6 Signed.pdf</t>
  </si>
  <si>
    <t>Uploads\0e4e0388-e6a5-4c68-8f66-edf1a1e55ea7.pdf</t>
  </si>
  <si>
    <t>F89B18A4-1E13-45B5-81FF-BD4B6F1DB603</t>
  </si>
  <si>
    <t>B646107F-6683-442C-ACF8-CD847E5BAC89</t>
  </si>
  <si>
    <t>B55FC51A-F1C5-440E-92A0-280560B8C002</t>
  </si>
  <si>
    <t>SKO3ANJKWS05_AJK-A2.pdf</t>
  </si>
  <si>
    <t>Uploads\b55fc51a-f1c5-440e-92a0-280560b8c002.pdf</t>
  </si>
  <si>
    <t>57CE8F67-191F-43C4-B688-A2E576AF5B16</t>
  </si>
  <si>
    <t>24F9D5DE-891B-4203-983E-5FBDB1E9EC1F</t>
  </si>
  <si>
    <t>SKO3ANJKWS07_AJK-A2.pdf</t>
  </si>
  <si>
    <t>Uploads\24f9d5de-891b-4203-983e-5fbdb1e9ec1f.pdf</t>
  </si>
  <si>
    <t>5D3E8C6A-CB07-4D91-9CE1-CCD8E1F29476</t>
  </si>
  <si>
    <t>C87C829B-CF43-4494-BD56-CD976586C7E4</t>
  </si>
  <si>
    <t>3583F42F-414C-4C78-B1C8-A19409811E96</t>
  </si>
  <si>
    <t>Uploads\3583f42f-414c-4c78-b1c8-a19409811e96.pdf</t>
  </si>
  <si>
    <t>A4AB9A79-A927-4E46-B164-D6A9E8833FEF</t>
  </si>
  <si>
    <t>E585BFB9-41E0-4B75-A167-BBFCE8A06613</t>
  </si>
  <si>
    <t>SAPA-10ST1 EOWR Rev A.pdf</t>
  </si>
  <si>
    <t>Uploads\e585bfb9-41e0-4b75-a167-bbfce8a06613.pdf</t>
  </si>
  <si>
    <t>708C23B0-29D5-4244-BF0B-0B70F648555E</t>
  </si>
  <si>
    <t>DDF507E4-A8E1-41A8-847B-CDAACFF5E65C</t>
  </si>
  <si>
    <t>GK-P528C</t>
  </si>
  <si>
    <t>6901882A-1C55-4B88-99B9-094567582378</t>
  </si>
  <si>
    <t>EOWR - GK-P528C.pdf</t>
  </si>
  <si>
    <t>Uploads\6901882a-1c55-4b88-99b9-094567582378.pdf</t>
  </si>
  <si>
    <t>D906DE56-95BA-41F8-A309-18607996FA44</t>
  </si>
  <si>
    <t>51E23266-F585-4F28-B6E1-E30E2E388EFB</t>
  </si>
  <si>
    <t>GK-P528C NOOP.pdf</t>
  </si>
  <si>
    <t>Uploads\51e23266-f585-4f28-b6e1-e30e2e388efb.pdf</t>
  </si>
  <si>
    <t>406C9CD8-DA31-45A4-B2EC-12ABBDED9419</t>
  </si>
  <si>
    <t>DAAB29EE-4094-4DAF-BB2D-CDAF79AC60A5</t>
  </si>
  <si>
    <t>D18-207B</t>
  </si>
  <si>
    <t>CB582993-95D3-4A68-BE91-19419397E10C</t>
  </si>
  <si>
    <t>SKO3D18-GL28_D18-207B_PCSB_NOOP.pdf</t>
  </si>
  <si>
    <t>Uploads\cb582993-95d3-4a68-be91-19419397e10c.pdf</t>
  </si>
  <si>
    <t>FE4501D2-6FB4-470E-8725-A8317F4EFDE0</t>
  </si>
  <si>
    <t>4F2AF25E-19E3-4871-A5B8-48D1DF4E9B7B</t>
  </si>
  <si>
    <t>SKO3D18-WS2K_D18-207B_PCSB_FWR.pdf</t>
  </si>
  <si>
    <t>D-18 207B Final Well Report 207B-WI7 Signed.pdf</t>
  </si>
  <si>
    <t>Uploads\4f2af25e-19e3-4871-a5b8-48d1df4e9b7b.pdf</t>
  </si>
  <si>
    <t>F6334507-4B81-4E47-AB72-311E11313B3B</t>
  </si>
  <si>
    <t>DB830B84-3BD6-46B1-9B1A-CDFFDBD6DEA9</t>
  </si>
  <si>
    <t>15F44A94-F267-4D74-B6C3-ADAB21EA0C9F</t>
  </si>
  <si>
    <t>20150424 DELIMA-1 NOTICE OF OPERATIONS_CONOCOPHILLIPS_final.pdf</t>
  </si>
  <si>
    <t>Uploads\15f44a94-f267-4d74-b6c3-adab21ea0c9f.pdf</t>
  </si>
  <si>
    <t>720B937D-B02A-4FA4-8139-D4289C43CF9C</t>
  </si>
  <si>
    <t>10D684FA-CBF1-4329-9834-E8BC727C7D05</t>
  </si>
  <si>
    <t>Delima-1_EndofWellReport.pdf</t>
  </si>
  <si>
    <t>Uploads\10d684fa-cbf1-4329-9834-e8bc727c7d05.pdf</t>
  </si>
  <si>
    <t>527D79C8-EE2F-43D4-803D-10C1626527BA</t>
  </si>
  <si>
    <t>CDF1F978-F3EE-4BDE-91D6-CEA1D267A381</t>
  </si>
  <si>
    <t>CF53E468-A5CE-4280-BC50-4645322119DE</t>
  </si>
  <si>
    <t>EC-A07 Final Well Report signed.pdf</t>
  </si>
  <si>
    <t>Uploads\cf53e468-a5ce-4280-bc50-4645322119de.pdf</t>
  </si>
  <si>
    <t>0F356601-B6D2-4C35-99A8-7BFA2E606D9F</t>
  </si>
  <si>
    <t>20A75067-7FCA-4D05-9175-09912D4C0E4C</t>
  </si>
  <si>
    <t>ECN-GEN-D-0005_Rev.00 NOTICE OF OPERATIONS - WELL EC-A07 (Slot 4A ECW-A Platform) signed AAWAZ_SFR_DS (002).pdf</t>
  </si>
  <si>
    <t>Uploads\20a75067-7fca-4d05-9175-09912d4c0e4c.pdf</t>
  </si>
  <si>
    <t>B0D161C6-DD36-42F3-B16C-64DD60EF79B4</t>
  </si>
  <si>
    <t>57D4B290-A09F-474B-8C16-CEAF45B9E08E</t>
  </si>
  <si>
    <t>CFFA6FB6-C812-4018-AD0D-63E28D8F8074</t>
  </si>
  <si>
    <t>PMO3GAYDWS01_GAYONG DEEP-1_PCSB_NOOP.pdf</t>
  </si>
  <si>
    <t>Uploads\cffa6fb6-c812-4018-ad0d-63e28d8f8074.pdf</t>
  </si>
  <si>
    <t>113E39D0-5098-4C0D-AEE2-6027391F7CB3</t>
  </si>
  <si>
    <t>9E217076-C378-496F-87DF-16B9223BB9E5</t>
  </si>
  <si>
    <t>PMO3GAYDWS05_GAYONG DEEP-1_PCSB_FWR.pdf</t>
  </si>
  <si>
    <t>Uploads\9e217076-c378-496f-87df-16b9223bb9e5.pdf</t>
  </si>
  <si>
    <t>88147EAF-E41B-4FE6-AF59-3CE792BD5DAE</t>
  </si>
  <si>
    <t>98AD43CF-C826-4428-8A73-CED963DA230B</t>
  </si>
  <si>
    <t>EB391ECA-7B20-44A9-B874-2E93619E5A47</t>
  </si>
  <si>
    <t>Pangkin-1_Internal _FINAL NOOP.pdf</t>
  </si>
  <si>
    <t>Uploads\eb391eca-7b20-44a9-b874-2e93619e5a47.pdf</t>
  </si>
  <si>
    <t>FCA2D60E-937D-4976-A620-59A5B02E4F64</t>
  </si>
  <si>
    <t>59CB4B06-26A8-4149-B533-8D0886BB9B91</t>
  </si>
  <si>
    <t>SKO3PGKNGL6664_PANGKIN-1_PCSB_FWR.pdf</t>
  </si>
  <si>
    <t>Uploads\59cb4b06-26a8-4149-b533-8d0886bb9b91.pdf</t>
  </si>
  <si>
    <t>D1EBAA11-3085-416A-9317-69F5ABE0D7DF</t>
  </si>
  <si>
    <t>BA31F9B1-0F5B-493B-993C-CF54A583A66F</t>
  </si>
  <si>
    <t>451FFC23-92EB-4669-B20D-7815579CE6C8</t>
  </si>
  <si>
    <t>D21-A09  NOOP.pdf</t>
  </si>
  <si>
    <t>Uploads\451ffc23-92eb-4669-b20d-7815579ce6c8.pdf</t>
  </si>
  <si>
    <t>338623CE-3429-4E5E-98BE-A6FCB66FE0A0</t>
  </si>
  <si>
    <t>45CAFB72-9766-408E-8B68-9B2E6F9E550D</t>
  </si>
  <si>
    <t>D21-A09 EOWR.pdf</t>
  </si>
  <si>
    <t>Uploads\45cafb72-9766-408e-8b68-9b2e6f9e550d.pdf</t>
  </si>
  <si>
    <t>021E0C8D-FA2D-4DE1-A968-357F98D9F569</t>
  </si>
  <si>
    <t>5A9F8AFC-82BB-425D-9C5C-CF57AA04566C</t>
  </si>
  <si>
    <t>73B41788-5CFC-40B2-B0B5-02CA0D3140CA</t>
  </si>
  <si>
    <t>EOWR - GK-P527BS1.pdf</t>
  </si>
  <si>
    <t>Uploads\73b41788-5cfc-40b2-b0b5-02ca0d3140ca.pdf</t>
  </si>
  <si>
    <t>207F347D-78AA-47F2-8B64-D7AEA3182F9E</t>
  </si>
  <si>
    <t>8485B87B-7D3D-46DD-AACA-D912A57A88C6</t>
  </si>
  <si>
    <t>GK-P527B NOOP.pdf</t>
  </si>
  <si>
    <t>Uploads\8485b87b-7d3d-46dd-aaca-d912a57a88c6.pdf</t>
  </si>
  <si>
    <t>36EF4B2A-4106-4F75-9422-BCFAEC0A279C</t>
  </si>
  <si>
    <t>31F4E967-B7FF-4136-8695-CF57CAFCC42B</t>
  </si>
  <si>
    <t>E00646D7-089A-41CD-9E03-0641207D9038</t>
  </si>
  <si>
    <t>KMSE A2_NOOP_2013_SK.pdf</t>
  </si>
  <si>
    <t>Uploads\e00646d7-089a-41cd-9e03-0641207d9038.pdf</t>
  </si>
  <si>
    <t>E9A79EA1-7C5D-4443-A355-C650796006F8</t>
  </si>
  <si>
    <t>15BBB10A-94D1-4F85-8298-297DD1F49FEC</t>
  </si>
  <si>
    <t>FINAL WELL REPORT KMSE-A2.pdf</t>
  </si>
  <si>
    <t>Uploads\15bbb10a-94d1-4f85-8298-297dd1f49fec.pdf</t>
  </si>
  <si>
    <t>629702FE-AC70-45C4-9299-E3627EEF8B1A</t>
  </si>
  <si>
    <t>FDFE0DFB-0F9F-4701-A9EB-CFB61E24611D</t>
  </si>
  <si>
    <t>5DBAC3FA-139F-4986-99A1-D8E560EBA2B7</t>
  </si>
  <si>
    <t>NOOP BN-85-FINAL.pdf</t>
  </si>
  <si>
    <t>Uploads\5dbac3fa-139f-4986-99a1-d8e560eba2b7.pdf</t>
  </si>
  <si>
    <t>B117F520-1158-4939-A694-B0723B0F0CC6</t>
  </si>
  <si>
    <t>ACE35BE1-9357-4AEB-A3A4-B779465EC948</t>
  </si>
  <si>
    <t>BN85_Petronas Final Well Report_Signed Pack (002) TR.pdf</t>
  </si>
  <si>
    <t>Uploads\ace35be1-9357-4aeb-a3a4-b779465ec948.pdf</t>
  </si>
  <si>
    <t>61BF17C2-6470-4217-8CF2-50E04CF890FD</t>
  </si>
  <si>
    <t>EFB4314E-E60C-4E50-B165-D0473795D54F</t>
  </si>
  <si>
    <t>3E984EBA-014F-4416-8473-DF7BA2A2A152</t>
  </si>
  <si>
    <t>BY-314 Final Well Report - Signed.pdf</t>
  </si>
  <si>
    <t>Uploads\3e984eba-014f-4416-8473-df7ba2a2a152.pdf</t>
  </si>
  <si>
    <t>8EBB3B2C-8C61-4F26-89F8-2370DF1FEBFB</t>
  </si>
  <si>
    <t>48EE1797-CBFC-4143-92E5-A3482C4953A6</t>
  </si>
  <si>
    <t>BY-314 Notice of Operations_APPROVED.pdf</t>
  </si>
  <si>
    <t>Uploads\48ee1797-cbfc-4143-92e5-a3482c4953a6.pdf</t>
  </si>
  <si>
    <t>5151CE0E-BA77-4FF7-AAA6-2EB4BDE35D50</t>
  </si>
  <si>
    <t>8EEEA3AF-C907-41E9-9C87-D053367B86E0</t>
  </si>
  <si>
    <t>872CCAE7-A0A7-43E0-87FC-467D48BB8293</t>
  </si>
  <si>
    <t>NOOP - Cecil-1_Internal.pdf</t>
  </si>
  <si>
    <t>Uploads\872ccae7-a0a7-43e0-87fc-467d48bb8293.pdf</t>
  </si>
  <si>
    <t>E8D993CF-69C1-4C9C-BBFF-4045140B7E18</t>
  </si>
  <si>
    <t>C6397455-9CD7-44EC-B086-C894E5739217</t>
  </si>
  <si>
    <t>Petronas Final Well Report - Cecil-1.pdf</t>
  </si>
  <si>
    <t>Uploads\c6397455-9cd7-44ec-b086-c894e5739217.pdf</t>
  </si>
  <si>
    <t>3E59B688-F2A3-4500-B71D-4704A7D65535</t>
  </si>
  <si>
    <t>66E6CF83-E057-4133-A584-D0D1B739945B</t>
  </si>
  <si>
    <t>844AA02B-DA30-44AC-BB20-CC8B1DC7A124</t>
  </si>
  <si>
    <t>D35-216 Well NOOP_Rev0_100718 Signed (final).pdf</t>
  </si>
  <si>
    <t>Uploads\844aa02b-da30-44ac-bb20-cc8b1dc7a124.pdf</t>
  </si>
  <si>
    <t>9E54A8B5-ABB0-40B8-B7E2-8F5EBCC6D82A</t>
  </si>
  <si>
    <t>6CAB0092-0BA8-4D8A-AAFB-35D9415B7298</t>
  </si>
  <si>
    <t>D35B-216 End Of Well Report.pdf</t>
  </si>
  <si>
    <t>Uploads\6cab0092-0ba8-4d8a-aafb-35d9415b7298.pdf</t>
  </si>
  <si>
    <t>2BDD8967-6DE5-43C6-BEEF-BBC8D3373323</t>
  </si>
  <si>
    <t>D1609D53-CF80-4F9C-B5B5-D0D52DAA4453</t>
  </si>
  <si>
    <t>A78ABBF4-6673-489B-9383-9A7FEA743113</t>
  </si>
  <si>
    <t>BOC-29&amp;29ST1 6B EOWR_Final signed.pdf</t>
  </si>
  <si>
    <t>Uploads\a78abbf4-6673-489b-9383-9a7fea743113.pdf</t>
  </si>
  <si>
    <t>E7B25C77-C16D-41B6-A04F-B694CEBA19C9</t>
  </si>
  <si>
    <t>685405AB-7CEB-446A-A833-20857D4EFA9A</t>
  </si>
  <si>
    <t>BOC-29 (6B) Oil Producer NOOP_Signed.pdf</t>
  </si>
  <si>
    <t>Uploads\685405ab-7ceb-446a-a833-20857d4efa9a.pdf</t>
  </si>
  <si>
    <t>5E8C861D-8BF9-4B47-BC54-EB766184BE3D</t>
  </si>
  <si>
    <t>99AE4D1C-FF40-44D9-9F05-D16F0F21437E</t>
  </si>
  <si>
    <t>B30AAB06-3014-403D-BF00-1B36A80F9F0E</t>
  </si>
  <si>
    <t>D21-A10 NOOP.pdf</t>
  </si>
  <si>
    <t>Uploads\b30aab06-3014-403d-bf00-1b36a80f9f0e.pdf</t>
  </si>
  <si>
    <t>6D25C76E-3624-460D-B2B9-78FBFB2873E5</t>
  </si>
  <si>
    <t>91A9308A-BB75-463A-B3FE-0C0907456992</t>
  </si>
  <si>
    <t>D21-A10 End Of Well Report Final.pdf</t>
  </si>
  <si>
    <t>Uploads\91a9308a-bb75-463a-b3fe-0c0907456992.pdf</t>
  </si>
  <si>
    <t>D122AA7C-7999-4301-8F30-55A2761657A2</t>
  </si>
  <si>
    <t>60956CE0-C79D-4D3D-A505-D192B85604FF</t>
  </si>
  <si>
    <t>1B88D12D-5251-4DB8-800E-16D8280F5620</t>
  </si>
  <si>
    <t>Petronas Final Well Report Bekok AA-18_final.pdf</t>
  </si>
  <si>
    <t>Uploads\1b88d12d-5251-4db8-800e-16d8280f5620.pdf</t>
  </si>
  <si>
    <t>A01057F6-2254-4ACB-A294-3146DFD45FDD</t>
  </si>
  <si>
    <t>F4EE7189-B4AC-48D1-A577-057216FE9E27</t>
  </si>
  <si>
    <t>NOOP Bekok AA18 Approved [internal].pdf</t>
  </si>
  <si>
    <t>Uploads\f4ee7189-b4ac-48d1-a577-057216fe9e27.pdf</t>
  </si>
  <si>
    <t>6758F7B2-B4BE-45CB-A99D-42D3BF6C83CB</t>
  </si>
  <si>
    <t>F0EA80B3-CFD0-40AD-A0BB-D1E1213AB49D</t>
  </si>
  <si>
    <t>105593C0-2CDD-4EC6-927D-290C25684458</t>
  </si>
  <si>
    <t>Simpoh Beludu-1 PM407 NOOP.pdf</t>
  </si>
  <si>
    <t>Uploads\105593c0-2cdd-4ec6-927d-290c25684458.pdf</t>
  </si>
  <si>
    <t>65695616-B927-4270-8279-7DB0D03BF1D1</t>
  </si>
  <si>
    <t>FE9FF80F-8063-4F15-9811-5FDACF79FA8D</t>
  </si>
  <si>
    <t>PMO3BLDUGL6226_Pttep_Simpoh_Beludu-1.pdf</t>
  </si>
  <si>
    <t>Uploads\fe9ff80f-8063-4f15-9811-5fdacf79fa8d.pdf</t>
  </si>
  <si>
    <t>E9FE806E-2AF8-4784-9493-A7E6C8F4110E</t>
  </si>
  <si>
    <t>282777C9-BA5E-4D57-A7FC-D23875862FCD</t>
  </si>
  <si>
    <t>72DF61AB-F8B9-47C8-9FEA-5277B0A8BD6A</t>
  </si>
  <si>
    <t>S-SW1-P9 Petronas and Carigali_Drilling and Completion EOWR.pdf</t>
  </si>
  <si>
    <t>Uploads\72df61ab-f8b9-47c8-9fea-5277b0a8bd6a.pdf</t>
  </si>
  <si>
    <t>70538079-1959-4379-BF3A-B88BAEEB0680</t>
  </si>
  <si>
    <t>BC478AAE-D280-4BDF-ACC3-A29CB5DE715C</t>
  </si>
  <si>
    <t>S-SW1-P9 Petronas and Carigali_Drilling and Completions NOOP.pdf</t>
  </si>
  <si>
    <t>Uploads\bc478aae-d280-4bdf-acc3-a29cb5de715c.pdf</t>
  </si>
  <si>
    <t>8A1C8620-8D4E-4C78-8DD2-7C7B9FFF66E3</t>
  </si>
  <si>
    <t>13EEDA25-BDFE-46DE-9DB8-D2723EDE8BDC</t>
  </si>
  <si>
    <t>9BB8381D-F9B5-4ECC-B099-74391C057618</t>
  </si>
  <si>
    <t>PMO3BTAIWS17_BUNGA_TERATAI-3.pdf</t>
  </si>
  <si>
    <t>Uploads\9bb8381d-f9b5-4ecc-b099-74391c057618.pdf</t>
  </si>
  <si>
    <t>5F03386A-C989-4CFB-AE1D-205DB843023E</t>
  </si>
  <si>
    <t>0A8DA2EA-1F10-4189-8B59-5B36E2BF915A</t>
  </si>
  <si>
    <t>Uploads\0a8da2ea-1f10-4189-8b59-5b36e2bf915a.pdf</t>
  </si>
  <si>
    <t>0703066F-23BE-4E4D-93BA-7193FD1371A9</t>
  </si>
  <si>
    <t>ED112CC4-DEFF-4262-8C58-D2E952A2CA97</t>
  </si>
  <si>
    <t>FA1431B7-ABDF-4242-9A21-B0293B21F66D</t>
  </si>
  <si>
    <t>NOOP SCDR-A6.pdf</t>
  </si>
  <si>
    <t>Uploads\fa1431b7-abdf-4242-9a21-b0293b21f66d.pdf</t>
  </si>
  <si>
    <t>E8FCE3C6-38B1-4B80-8615-C7693C68FE06</t>
  </si>
  <si>
    <t>27EB3FA2-B5AA-49FF-818E-A790B534069A</t>
  </si>
  <si>
    <t>Petronas Final Well Report SCDRA6 (FINAL).pdf</t>
  </si>
  <si>
    <t>Uploads\27eb3fa2-b5aa-49ff-818e-a790b534069a.pdf</t>
  </si>
  <si>
    <t>C3D78A37-F9AF-49A4-9E93-ECDF6FF67FCA</t>
  </si>
  <si>
    <t>A86EC53E-80AD-46B9-B05E-D37F104F4DED</t>
  </si>
  <si>
    <t>56141712-D66C-42BC-B316-4CD2B160CFF7</t>
  </si>
  <si>
    <t>SADOK-1 FWR.pdf</t>
  </si>
  <si>
    <t>Uploads\56141712-d66c-42bc-b316-4cd2b160cff7.pdf</t>
  </si>
  <si>
    <t>15BDABC0-DD2C-4D80-A857-AAE7CD218946</t>
  </si>
  <si>
    <t>C2F2BDF1-9DC2-4BE7-92B1-8B6FF4FFEF96</t>
  </si>
  <si>
    <t>Sadok-1 NOOP_Rev3.pdf</t>
  </si>
  <si>
    <t>Uploads\c2f2bdf1-9dc2-4be7-92b1-8b6ff4ffef96.pdf</t>
  </si>
  <si>
    <t>B182099C-2AE3-4C08-A5A7-2D545A0D1767</t>
  </si>
  <si>
    <t>A890609B-9DA5-4E69-BAD5-D3AD0A497E53</t>
  </si>
  <si>
    <t>9376BFF7-117C-41B7-AB3C-3BE31F9779EF</t>
  </si>
  <si>
    <t>D35C-303ST1 Well NOOP Final.pdf</t>
  </si>
  <si>
    <t>Uploads\9376bff7-117c-41b7-ab3c-3be31f9779ef.pdf</t>
  </si>
  <si>
    <t>01726A95-7425-464E-9E2F-B804C16DBB57</t>
  </si>
  <si>
    <t>266105B1-AA93-4E39-BA97-675CEB4B10EE</t>
  </si>
  <si>
    <t>D35C-303ST1 End Of Well Report.pdf</t>
  </si>
  <si>
    <t>Uploads\266105b1-aa93-4e39-ba97-675ceb4b10ee.pdf</t>
  </si>
  <si>
    <t>87492DE1-B7A0-4348-A4D2-CF47FBDE2D9C</t>
  </si>
  <si>
    <t>3609F22B-DDFD-4391-9939-D3D86862823B</t>
  </si>
  <si>
    <t>8D4D9DE6-556B-499B-9D54-B30FE1248360</t>
  </si>
  <si>
    <t>KNDW-D12 EOWR Final.pdf</t>
  </si>
  <si>
    <t>Uploads\8d4d9de6-556b-499b-9d54-b30fe1248360.pdf</t>
  </si>
  <si>
    <t>A2B41DBD-E6DE-4D64-B148-B3884DA7817D</t>
  </si>
  <si>
    <t>E24F265E-5B78-457F-B1E4-257781386BB6</t>
  </si>
  <si>
    <t>KNDW D-12 NOOP .pdf</t>
  </si>
  <si>
    <t>Uploads\e24f265e-5b78-457f-b1e4-257781386bb6.pdf</t>
  </si>
  <si>
    <t>3E2EC455-8C2C-4F94-9C29-B23AA0D4AABB</t>
  </si>
  <si>
    <t>58398C6E-44A6-4972-B5F7-D3E9369CBD69</t>
  </si>
  <si>
    <t>0B6939EB-6DF0-4CEB-B7D0-C80A812EB84B</t>
  </si>
  <si>
    <t>Approved FWR BD1RDR1.pdf</t>
  </si>
  <si>
    <t>Uploads\0b6939eb-6df0-4ceb-b7d0-c80a812eb84b.pdf</t>
  </si>
  <si>
    <t>4AED1897-A9FF-487F-B8C7-CBE98578989B</t>
  </si>
  <si>
    <t>109F69D4-44A4-4EF7-9EDE-2FF3E7DE33B2</t>
  </si>
  <si>
    <t>Bekok Deep-1 - NOOP.pdf</t>
  </si>
  <si>
    <t>Uploads\109f69d4-44a4-4ef7-9ede-2ff3e7de33b2.pdf</t>
  </si>
  <si>
    <t>C2A9E3D9-7E4F-450A-BB64-917D706FE784</t>
  </si>
  <si>
    <t>2A28E6C6-E8F8-4D35-9D1C-D3EE421AE334</t>
  </si>
  <si>
    <t>41F0E5DF-7CCA-4F98-9F4D-FFEBA9AF6D1B</t>
  </si>
  <si>
    <t>CD-B16 REV.02 CP2-GEN-D-0002_NOOP WELL .pdf</t>
  </si>
  <si>
    <t>Uploads\41f0e5df-7cca-4f98-9f4d-ffeba9af6d1b.pdf</t>
  </si>
  <si>
    <t>80FB8102-5F9E-472A-A099-5C9AE41B68EC</t>
  </si>
  <si>
    <t>F98D14E7-E89D-4710-8605-9C8660EA8140</t>
  </si>
  <si>
    <t>CD-B16 Final Well Report_Signed.pdf</t>
  </si>
  <si>
    <t>Uploads\f98d14e7-e89d-4710-8605-9c8660ea8140.pdf</t>
  </si>
  <si>
    <t>055E6BF5-00A5-4EAD-9A6D-B37BC8242669</t>
  </si>
  <si>
    <t>2745EF5E-7C77-449A-A0BF-D445E24F4BDC</t>
  </si>
  <si>
    <t>E16F8045-74DF-464F-B553-A7336332E109</t>
  </si>
  <si>
    <t>Besar A4_Petronas Final Well Report.pdf</t>
  </si>
  <si>
    <t>Uploads\e16f8045-74df-464f-b553-a7336332e109.pdf</t>
  </si>
  <si>
    <t>2488ECE4-7520-4141-9590-FC0DE7F46A84</t>
  </si>
  <si>
    <t>5C5E2BFD-FF8C-423A-872C-6F7CAD57498B</t>
  </si>
  <si>
    <t>NOOP Besar A4 (submission for MPM).pdf</t>
  </si>
  <si>
    <t>Uploads\5c5e2bfd-ff8c-423a-872c-6f7cad57498b.pdf</t>
  </si>
  <si>
    <t>C857C8C7-9B4D-47A8-9074-8D689FD6218D</t>
  </si>
  <si>
    <t>32BEB894-ABF8-4195-BF7B-D45F2F29FE4D</t>
  </si>
  <si>
    <t>E57849F9-BB4F-4D52-92F2-CF777E494B98</t>
  </si>
  <si>
    <t>PRPA 6 PERMAS REVISIT 1 PHASE 3 PRPA-06 NOOP_Rev 0.pdf</t>
  </si>
  <si>
    <t>Uploads\e57849f9-bb4f-4d52-92f2-cf777e494b98.pdf</t>
  </si>
  <si>
    <t>5BEFA57C-A2D6-421D-AE47-369338934F2E</t>
  </si>
  <si>
    <t>039E89E1-BFCC-4C03-9519-9826063D5526</t>
  </si>
  <si>
    <t>PRPA-06 EOWR.pdf</t>
  </si>
  <si>
    <t>Uploads\039e89e1-bfcc-4c03-9519-9826063d5526.pdf</t>
  </si>
  <si>
    <t>FD77F437-1B31-466F-B58C-4BA7BB1A2EC6</t>
  </si>
  <si>
    <t>33CA72D3-E59A-40B6-8A34-D4787D003C1E</t>
  </si>
  <si>
    <t>51071689-660C-4AC8-BCE3-D40FAED5A24D</t>
  </si>
  <si>
    <t>SK405B_Sirung-2_End_Of_Well_Report - Approved.pdf</t>
  </si>
  <si>
    <t>Uploads\51071689-660c-4ac8-bce3-d40faed5a24d.pdf</t>
  </si>
  <si>
    <t>9F6F6CDE-B56B-4AA2-8D36-C6BEAB912370</t>
  </si>
  <si>
    <t>42DF46F9-4766-4959-B6CC-D36DA8B3DA90</t>
  </si>
  <si>
    <t>Sirung-2 Notice of Operation (NOOP) (2023).pdf</t>
  </si>
  <si>
    <t>Uploads\42df46f9-4766-4959-b6cc-d36da8b3da90.pdf</t>
  </si>
  <si>
    <t>FEEE61D0-2ECF-4284-B5DC-3B6092BC9B31</t>
  </si>
  <si>
    <t>E3943D6A-C9D2-4226-BE7D-D47E74C05CD1</t>
  </si>
  <si>
    <t>844E4871-A0D1-4DEE-AC10-579B01147C1B</t>
  </si>
  <si>
    <t>Bertam A-19 NOOP.pdf</t>
  </si>
  <si>
    <t>Uploads\844e4871-a0d1-4dee-ac10-579b01147c1b.pdf</t>
  </si>
  <si>
    <t>C3CEB38B-A471-4AB7-9F15-641F65A629BA</t>
  </si>
  <si>
    <t>C1A0669C-4B77-43DC-B994-DC253781AF78</t>
  </si>
  <si>
    <t>Bertam A-19 EOWR.pdf</t>
  </si>
  <si>
    <t>Uploads\c1a0669c-4b77-43dc-b994-dc253781af78.pdf</t>
  </si>
  <si>
    <t>06B7D0CC-07A3-4F42-828E-262887AEFB0B</t>
  </si>
  <si>
    <t>741C2229-8D33-4648-987D-D508BBF5D07B</t>
  </si>
  <si>
    <t>C2F446F3-8F9B-47C7-8934-963BBC8BE31D</t>
  </si>
  <si>
    <t>Kasawari A1 Petronas Final Well Report - For Signature PSS MM FK.pdf</t>
  </si>
  <si>
    <t>Uploads\c2f446f3-8f9b-47c7-8934-963bbc8be31d.pdf</t>
  </si>
  <si>
    <t>F01B91F5-52AD-40FC-A054-EF400A6E659D</t>
  </si>
  <si>
    <t>226B6AE5-0DA6-4122-8D6A-57BA148B48F1</t>
  </si>
  <si>
    <t>Kasawari-A1 NOOP_Final.pdf</t>
  </si>
  <si>
    <t>Uploads\226b6ae5-0da6-4122-8d6a-57ba148b48f1.pdf</t>
  </si>
  <si>
    <t>2AC2F095-871F-4A78-8B3E-DBE267293838</t>
  </si>
  <si>
    <t>4807D6C8-C8C8-436C-B4EB-D56B97FC3705</t>
  </si>
  <si>
    <t>DF98C00D-8E58-4B62-9EE0-E0BE75D446F8</t>
  </si>
  <si>
    <t>BPA-6 EOWR.pdf</t>
  </si>
  <si>
    <t>Uploads\df98c00d-8e58-4b62-9ee0-e0be75d446f8.pdf</t>
  </si>
  <si>
    <t>7B8E4978-A96D-4D18-9299-92E6AB5529A8</t>
  </si>
  <si>
    <t>5EA05AEA-CEF6-482A-80BD-F41CB67E87E9</t>
  </si>
  <si>
    <t>BPA-6 NOOP.pdf</t>
  </si>
  <si>
    <t>Uploads\5ea05aea-cef6-482a-80bd-f41cb67e87e9.pdf</t>
  </si>
  <si>
    <t>97BE8443-0D2C-4A53-8158-084B8E7C9749</t>
  </si>
  <si>
    <t>77354141-283F-4F46-822F-D56CCCF8927A</t>
  </si>
  <si>
    <t>5EFF1D74-709B-4EDC-BA10-C26AC4949439</t>
  </si>
  <si>
    <t>SK311-SASA PHASE 1 NOOP_Rev 1.pdf</t>
  </si>
  <si>
    <t>Uploads\5eff1d74-709b-4edc-ba10-c26ac4949439.pdf</t>
  </si>
  <si>
    <t>F582A1C0-7220-493F-B4AC-5CC10947D2AC</t>
  </si>
  <si>
    <t>D89D0CD7-9C6A-43C6-B6B1-296AD4ED492D</t>
  </si>
  <si>
    <t>SASA-05 EOWR.pdf</t>
  </si>
  <si>
    <t>Uploads\d89d0cd7-9c6a-43c6-b6b1-296ad4ed492d.pdf</t>
  </si>
  <si>
    <t>93C34B87-E1AC-4206-98E4-A263FAAD7F4F</t>
  </si>
  <si>
    <t>309A39BD-9772-4E04-A5BC-D5904DBE6453</t>
  </si>
  <si>
    <t>9740B910-9AC8-4AE1-B955-D17968130170</t>
  </si>
  <si>
    <t>PMO3DMARGL04_DAMAR-A4.pdf</t>
  </si>
  <si>
    <t>Uploads\9740b910-9ac8-4ae1-b955-d17968130170.pdf</t>
  </si>
  <si>
    <t>747E542F-34A1-4C28-B365-EACB45297E37</t>
  </si>
  <si>
    <t>B45B6C01-E299-4EEB-96D3-6DB337337411</t>
  </si>
  <si>
    <t>DAMAR-A4 EOWR.pdf</t>
  </si>
  <si>
    <t>Uploads\b45b6c01-e299-4eeb-96d3-6db337337411.pdf</t>
  </si>
  <si>
    <t>5EC0CA73-3199-4448-ABEB-65284AEA7A31</t>
  </si>
  <si>
    <t>4F2285A2-018A-42CD-AC45-D614E978FD94</t>
  </si>
  <si>
    <t>E1F8A58A-8D6C-4793-BB6C-AB4946DC6890</t>
  </si>
  <si>
    <t>BRB-11ST1_ST2 (LL) NOOP_FINAL_signed.pdf</t>
  </si>
  <si>
    <t>Uploads\e1f8a58a-8d6c-4793-bb6c-ab4946dc6890.pdf</t>
  </si>
  <si>
    <t>553CB9EF-8DF1-4A69-BE6C-347C5E1030A0</t>
  </si>
  <si>
    <t>C9930C74-E38E-44C1-BE68-85EC77ACC93B</t>
  </si>
  <si>
    <t>EOWR. BRB-11 ST1 ST2 (LL) Well .pdf</t>
  </si>
  <si>
    <t>Uploads\c9930c74-e38e-44c1-be68-85ec77acc93b.pdf</t>
  </si>
  <si>
    <t>48364F4D-F98C-4C11-8E98-353941BA914B</t>
  </si>
  <si>
    <t>5A83C5F6-68E2-416C-A82D-D616C1B61E99</t>
  </si>
  <si>
    <t>83FD81BE-A13D-412F-8CD5-2D07C125665F</t>
  </si>
  <si>
    <t>Temu-1 and Temu-1S1- SMEP MLNG Exploration - EOWR -.pdf</t>
  </si>
  <si>
    <t>Uploads\83fd81be-a13d-412f-8cd5-2d07c125665f.pdf</t>
  </si>
  <si>
    <t>DCFCBD73-DA2D-4892-B707-E4DF293922AA</t>
  </si>
  <si>
    <t>B6A61DA8-6585-4798-B171-3979109A5827</t>
  </si>
  <si>
    <t>Temu-1 MLNGx_NOOP.pdf</t>
  </si>
  <si>
    <t>Uploads\b6a61da8-6585-4798-b171-3979109a5827.pdf</t>
  </si>
  <si>
    <t>A592F78C-D708-4306-B15F-5D158CF7588F</t>
  </si>
  <si>
    <t>346354FF-84C4-4809-8B89-D696EE8740C2</t>
  </si>
  <si>
    <t>515B8CEB-A4F1-415A-AEBD-7F3042754298</t>
  </si>
  <si>
    <t>D18-C309 NOOP.pdf</t>
  </si>
  <si>
    <t>SKO3D18-WS75_D18-309_PCSB.pdf</t>
  </si>
  <si>
    <t>Uploads\515b8ceb-a4f1-415a-aebd-7f3042754298.pdf</t>
  </si>
  <si>
    <t>E319302E-EA20-46DF-B903-886F80D3282D</t>
  </si>
  <si>
    <t>C7A1FDE9-7BBC-42B0-98D9-462F74654010</t>
  </si>
  <si>
    <t>SKO3D18-WS2N_D18-309_PCSB.pdf</t>
  </si>
  <si>
    <t>Uploads\c7a1fde9-7bbc-42b0-98d9-462f74654010.pdf</t>
  </si>
  <si>
    <t>8905696C-9D91-493F-BD7A-70DCE2AFA152</t>
  </si>
  <si>
    <t>52A17A66-4A3E-4102-941E-D6AA0E192F0A</t>
  </si>
  <si>
    <t>7A1BA64B-BD72-49D2-9235-F71CC7A37BF0</t>
  </si>
  <si>
    <t>SKO3BARMWS6K_BA-33ST_PCSB_FWR.pdf</t>
  </si>
  <si>
    <t>Uploads\7a1ba64b-bd72-49d2-9235-f71cc7a37bf0.pdf</t>
  </si>
  <si>
    <t>530CC28D-3636-4CF5-B886-C55FA5927F8F</t>
  </si>
  <si>
    <t>A8A00BB3-9FE9-413C-AFEC-5C10CB8A3D37</t>
  </si>
  <si>
    <t>NOOP - BADP-B BA-33SR (BA39).pdf</t>
  </si>
  <si>
    <t>Uploads\a8a00bb3-9fe9-413c-afec-5c10cb8a3d37.pdf</t>
  </si>
  <si>
    <t>6733BDA3-038D-4075-AFE2-6F8CC5BDF2BD</t>
  </si>
  <si>
    <t>1003C2D3-0D36-44C7-9824-D6AF8ABE2A83</t>
  </si>
  <si>
    <t>6EEABD26-31A0-475D-89FA-0D87D6399E8C</t>
  </si>
  <si>
    <t>ANGSI E-14 NOOP  Final Signed.pdf</t>
  </si>
  <si>
    <t>Uploads\6eeabd26-31a0-475d-89fa-0d87d6399e8c.pdf</t>
  </si>
  <si>
    <t>2B041A0C-083C-4655-913E-0C9D9614518C</t>
  </si>
  <si>
    <t>DE4FE26E-0D09-4217-BC4C-A7D7A71B82B5</t>
  </si>
  <si>
    <t>Final Well Report ANGSI E-14 Complete Signed.pdf</t>
  </si>
  <si>
    <t>Uploads\de4fe26e-0d09-4217-bc4c-a7d7a71b82b5.pdf</t>
  </si>
  <si>
    <t>667CCD85-8EE3-45CA-AEC2-2955B6A6C988</t>
  </si>
  <si>
    <t>5AEE4837-1368-4676-AADB-D6C0B3EB2D1E</t>
  </si>
  <si>
    <t>EA7365A9-025E-4D1C-B0F5-7324A7C44B9A</t>
  </si>
  <si>
    <t>Bangsawan-1_Final_Well_Report_(Drilling)_Rev0.pdf</t>
  </si>
  <si>
    <t>Uploads\ea7365a9-025e-4d1c-b0f5-7324a7c44b9a.pdf</t>
  </si>
  <si>
    <t>D1FCFC64-7C00-4B2B-8E7C-D6752248EC48</t>
  </si>
  <si>
    <t>4FF7B3D3-D264-45EF-BA94-F039CAF295B2</t>
  </si>
  <si>
    <t>Bangsawan-1 NOOP.pdf</t>
  </si>
  <si>
    <t>Uploads\4ff7b3d3-d264-45ef-ba94-f039caf295b2.pdf</t>
  </si>
  <si>
    <t>C0A20009-1FBA-4798-80C6-BB23E27D50BC</t>
  </si>
  <si>
    <t>7722A2F3-7188-4653-8975-D729BBD67BDA</t>
  </si>
  <si>
    <t>21C65391-8F59-4416-BD26-0366495B436A</t>
  </si>
  <si>
    <t>Final Well Report ANGSI E-16 Complete Signed.pdf</t>
  </si>
  <si>
    <t>Uploads\21c65391-8f59-4416-bd26-0366495b436a.pdf</t>
  </si>
  <si>
    <t>3E0DAB5E-A175-4473-986A-E2263D2C5F74</t>
  </si>
  <si>
    <t>FC784E37-B9E9-4ABF-85CA-AD5A54D26DD8</t>
  </si>
  <si>
    <t>NOOP Angsi E-16 Final Signed.pdf</t>
  </si>
  <si>
    <t>Uploads\fc784e37-b9e9-4abf-85ca-ad5a54d26dd8.pdf</t>
  </si>
  <si>
    <t>42C0A987-86D7-490C-8B53-68B0CE9302AA</t>
  </si>
  <si>
    <t>F00781F4-F70C-4CB5-87D3-D7B1FDE63CF8</t>
  </si>
  <si>
    <t>9E001072-7211-4095-A663-FAACE1E492E5</t>
  </si>
  <si>
    <t>BPA-2 EOWR.pdf</t>
  </si>
  <si>
    <t>Uploads\9e001072-7211-4095-a663-faace1e492e5.pdf</t>
  </si>
  <si>
    <t>29F103D9-194B-44ED-8847-977EBCB9A0F0</t>
  </si>
  <si>
    <t>16FD759E-3618-47FA-A376-2FAF023C1607</t>
  </si>
  <si>
    <t>PMO3BPKMGL04_BPA_2.pdf</t>
  </si>
  <si>
    <t>Uploads\16fd759e-3618-47fa-a376-2faf023c1607.pdf</t>
  </si>
  <si>
    <t>6B2EF015-F7DF-4BE8-9F5F-2C7EDB3F5251</t>
  </si>
  <si>
    <t>AE431A54-67D0-455A-815F-D7F18A337044</t>
  </si>
  <si>
    <t>37A6DA1B-A32D-4054-8386-062113FBDA08</t>
  </si>
  <si>
    <t>NOOP TBK-A5.pdf</t>
  </si>
  <si>
    <t>Uploads\37a6da1b-a32d-4054-8386-062113fbda08.pdf</t>
  </si>
  <si>
    <t>7687F6C9-7CA6-4690-AD2D-36A5F958CC27</t>
  </si>
  <si>
    <t>26CBF2AF-FD45-419B-B8CA-869A6BFC38E5</t>
  </si>
  <si>
    <t>TBK-A5 Final Well Report final.pdf</t>
  </si>
  <si>
    <t>Uploads\26cbf2af-fd45-419b-b8ca-869a6bfc38e5.pdf</t>
  </si>
  <si>
    <t>D5587320-07FA-4E0E-AC35-B64E2A27CE9E</t>
  </si>
  <si>
    <t>11656015-D892-44C3-BA64-D7FDFD959B9A</t>
  </si>
  <si>
    <t>FF04976B-E9D3-4ACF-A7A7-72C8BD545A30</t>
  </si>
  <si>
    <t>MY-WL4-DRL-PROCE-051 PATAWALI-1 NOOP.pdf</t>
  </si>
  <si>
    <t>Uploads\ff04976b-e9d3-4acf-a7a7-72c8bd545a30.pdf</t>
  </si>
  <si>
    <t>FD62C32E-9A98-48AC-8C45-D7A5FF004C3B</t>
  </si>
  <si>
    <t>896918AB-A334-4E7F-BEC3-8A6478A0828F</t>
  </si>
  <si>
    <t>Patawali-1 Drilling End of Well Report.pdf</t>
  </si>
  <si>
    <t>Uploads\896918ab-a334-4e7f-bec3-8a6478a0828f.pdf</t>
  </si>
  <si>
    <t>098132C0-F182-4615-8927-B5656773B5DB</t>
  </si>
  <si>
    <t>48C04D50-5DA6-4567-B550-D80E0846B188</t>
  </si>
  <si>
    <t>0F04D3D4-9B2B-45AA-A430-DD3F702F1BE2</t>
  </si>
  <si>
    <t>Sumandak Selatan B20 NOOP (Final) 261018.pdf</t>
  </si>
  <si>
    <t>Uploads\0f04d3d4-9b2b-45aa-a430-dd3f702f1be2.pdf</t>
  </si>
  <si>
    <t>F69BC2EF-0377-41DE-A148-64A86285A805</t>
  </si>
  <si>
    <t>FF71EDA0-5F6D-46FC-B4F2-2488320AC017</t>
  </si>
  <si>
    <t>Sumandak Selatan B20 FWR 17 Jan 2019.pdf</t>
  </si>
  <si>
    <t>Uploads\ff71eda0-5f6d-46fc-b4f2-2488320ac017.pdf</t>
  </si>
  <si>
    <t>8DB2F0F3-98DC-4C3F-AECE-787EBF1EF4F5</t>
  </si>
  <si>
    <t>C4D30470-5C52-4678-B3B1-D893BC1C75EA</t>
  </si>
  <si>
    <t>CA442432-EB98-41F5-A920-BDD49C305021</t>
  </si>
  <si>
    <t>PMO3GNSRWS01_GANSAR-1.pdf</t>
  </si>
  <si>
    <t>Uploads\ca442432-eb98-41f5-a920-bdd49c305021.pdf</t>
  </si>
  <si>
    <t>D878A87A-E5A5-4529-AF68-EC18DACB37FF</t>
  </si>
  <si>
    <t>07A48C49-A42E-4BD7-81AB-F40373F37611</t>
  </si>
  <si>
    <t>PMO3GNSRWS10_GANSAR-1.pdf</t>
  </si>
  <si>
    <t>Uploads\07a48c49-a42e-4bd7-81ab-f40373f37611.pdf</t>
  </si>
  <si>
    <t>B18AEBA1-24A5-44FE-BCB4-74839F18DF34</t>
  </si>
  <si>
    <t>2F64DF72-FD4D-4F66-9015-D8A5FF6B56E9</t>
  </si>
  <si>
    <t>5AB5F57F-D2A1-473A-9FB2-1B036D96B5EF</t>
  </si>
  <si>
    <t>SBO3SMRGGL45_SM_113.pdf</t>
  </si>
  <si>
    <t>Uploads\5ab5f57f-d2a1-473a-9fb2-1b036d96b5ef.pdf</t>
  </si>
  <si>
    <t>BD25958D-356F-414E-BC5B-508F1AABEE72</t>
  </si>
  <si>
    <t>38DDC0CC-BA78-475E-8680-12E3E6F884D3</t>
  </si>
  <si>
    <t>SBO3SMRGWSEW_SM_113.pdf</t>
  </si>
  <si>
    <t>Uploads\38ddc0cc-ba78-475e-8680-12e3e6f884d3.pdf</t>
  </si>
  <si>
    <t>2B2D5D39-FEF1-497E-BA96-78A29500DA07</t>
  </si>
  <si>
    <t>7A5A14C0-176C-40E0-860D-D8BE199DA109</t>
  </si>
  <si>
    <t>B7F1ED07-AFBC-4A33-9897-A728CE59A3DB</t>
  </si>
  <si>
    <t>Buah Keras 1NOOP.pdf</t>
  </si>
  <si>
    <t>Uploads\b7f1ed07-afbc-4a33-9897-a728ce59a3db.pdf</t>
  </si>
  <si>
    <t>CD18CA9D-8BD8-4496-8D18-5DAB7E192C1D</t>
  </si>
  <si>
    <t>866A9484-7916-4400-82DC-F7DBD1F71488</t>
  </si>
  <si>
    <t>Buah Keras-1_EOWR FINAL.pdf</t>
  </si>
  <si>
    <t>Uploads\866a9484-7916-4400-82dc-f7dbd1f71488.pdf</t>
  </si>
  <si>
    <t>5EADF08E-47AD-4A63-9740-00AD85C719F8</t>
  </si>
  <si>
    <t>335BA423-AB4B-491D-A56D-D8BFB7688E06</t>
  </si>
  <si>
    <t>BD1449A4-853F-4F23-B1EE-E1A08EA5E178</t>
  </si>
  <si>
    <t>TBK-B3 Final Well Report.pdf</t>
  </si>
  <si>
    <t>Uploads\bd1449a4-853f-4f23-b1ee-e1a08ea5e178.pdf</t>
  </si>
  <si>
    <t>051021F0-1A20-4735-9195-CBFDF82B15F0</t>
  </si>
  <si>
    <t>013F0481-E16D-43AB-9451-8C4EFB000F64</t>
  </si>
  <si>
    <t>TBK-B3.pdf</t>
  </si>
  <si>
    <t>Uploads\013f0481-e16d-43ab-9451-8c4efb000f64.pdf</t>
  </si>
  <si>
    <t>AB543230-0574-4BFD-A871-372B64BD6249</t>
  </si>
  <si>
    <t>E95B6E21-BE42-4DCB-B0B9-D8F4543D35D9</t>
  </si>
  <si>
    <t>25D09A9B-0F17-4FF6-B9FD-5D15040DD87C</t>
  </si>
  <si>
    <t>D21 U2 (A8) EOWR.pdf</t>
  </si>
  <si>
    <t>Uploads\25d09a9b-0f17-4ff6-b9fd-5d15040dd87c.pdf</t>
  </si>
  <si>
    <t>C4208CEF-360D-422B-AB8D-3C71B60C6FDB</t>
  </si>
  <si>
    <t>66EDF2D0-0EB8-442E-9412-06AE58548F73</t>
  </si>
  <si>
    <t>D21-C2A-FB4b(D21-A8) NOOP.pdf</t>
  </si>
  <si>
    <t>Uploads\66edf2d0-0eb8-442e-9412-06ae58548f73.pdf</t>
  </si>
  <si>
    <t>6CC95D6B-8671-4446-B10B-835BC5CBBC42</t>
  </si>
  <si>
    <t>8A36B982-D107-4666-BA90-D999E46EBC01</t>
  </si>
  <si>
    <t>83FF14B6-7103-4263-B88C-8F7630DF4415</t>
  </si>
  <si>
    <t>SM-119-119ST EOWR.pdf</t>
  </si>
  <si>
    <t>Uploads\83ff14b6-7103-4263-b88c-8f7630df4415.pdf</t>
  </si>
  <si>
    <t>4D05E319-205B-4161-BEE6-9061C73D1A8A</t>
  </si>
  <si>
    <t>9C5986D8-3889-4CB6-9034-B456942ED818</t>
  </si>
  <si>
    <t>SM119 w Signature Rev.2 (1).pdf</t>
  </si>
  <si>
    <t>Uploads\9c5986d8-3889-4cb6-9034-b456942ed818.pdf</t>
  </si>
  <si>
    <t>3BCA7DF1-6354-4FA4-BC4F-B122279946A0</t>
  </si>
  <si>
    <t>432EF50A-45AD-4B4D-9804-D9A31EF402E2</t>
  </si>
  <si>
    <t>9BABC058-8FCD-461B-9D18-CB917BB7B231</t>
  </si>
  <si>
    <t>PMO3WDESWS47_WD-A16.pdf</t>
  </si>
  <si>
    <t>Uploads\9babc058-8fcd-461b-9d18-cb917bb7b231.pdf</t>
  </si>
  <si>
    <t>3601C53A-1A63-429C-9A05-BE0AAF1C511F</t>
  </si>
  <si>
    <t>F032BEE0-0391-4A62-9C6E-7BA5C643888A</t>
  </si>
  <si>
    <t>3. WD-A16 (WI-06) NOOP.pdf</t>
  </si>
  <si>
    <t>Uploads\f032bee0-0391-4a62-9c6e-7ba5c643888a.pdf</t>
  </si>
  <si>
    <t>93DDBE21-CD9B-4661-A0A7-A9AAF9CFB9CA</t>
  </si>
  <si>
    <t>5CFBCAC6-54E4-4B13-8621-D9D0A5C117D1</t>
  </si>
  <si>
    <t>0794F8D5-5147-4412-B1BF-AC694CF56E5A</t>
  </si>
  <si>
    <t>Gemilang-1 GMG-1 NOOP_Final.pdf</t>
  </si>
  <si>
    <t>Uploads\0794f8d5-5147-4412-b1bf-ac694cf56e5a.pdf</t>
  </si>
  <si>
    <t>1F2AF4FC-4CE0-4DDE-A24E-69FDE21785E9</t>
  </si>
  <si>
    <t>F128D3B6-FF34-4AE4-8148-E5E0EDF70DB5</t>
  </si>
  <si>
    <t>Gemilang-1_EOWR.pdf</t>
  </si>
  <si>
    <t>Uploads\f128d3b6-ff34-4ae4-8148-e5e0edf70db5.pdf</t>
  </si>
  <si>
    <t>A4563B36-01A8-4BB2-A43C-AF2BEC166A21</t>
  </si>
  <si>
    <t>9AABF721-710C-491A-BCF7-DA24688B0666</t>
  </si>
  <si>
    <t>DD84CCE2-F7FB-4D06-BA69-8B42B5AD7462</t>
  </si>
  <si>
    <t>TBK-A2 Final Well Report.pdf</t>
  </si>
  <si>
    <t>Uploads\dd84cce2-f7fb-4d06-ba69-8b42b5ad7462.pdf</t>
  </si>
  <si>
    <t>69C24B8D-E504-43C0-A575-0B36AAF325F2</t>
  </si>
  <si>
    <t>E97B8772-69A9-45A9-BA99-5FB060871613</t>
  </si>
  <si>
    <t>PMO3TMBKWS14_TBK-A2_NOOP_VESTIGO.pdf</t>
  </si>
  <si>
    <t>Uploads\e97b8772-69a9-45a9-ba99-5fb060871613.pdf</t>
  </si>
  <si>
    <t>535A28D8-C9CE-4F3A-887B-2198DA50D652</t>
  </si>
  <si>
    <t>75668F3E-28BF-438B-83A0-DA590A22A155</t>
  </si>
  <si>
    <t>0FD8A164-771A-41B4-8B80-F0B8CE026E2A</t>
  </si>
  <si>
    <t>TBK-B2 Final Well Report.pdf</t>
  </si>
  <si>
    <t>Uploads\0fd8a164-771a-41b4-8b80-f0b8ce026e2a.pdf</t>
  </si>
  <si>
    <t>61B73D65-9F44-41E5-9EF0-FE1FFDC688CB</t>
  </si>
  <si>
    <t>777FE4CD-4E40-420B-A782-F0F88BF0FDEF</t>
  </si>
  <si>
    <t>TBK-B2.pdf</t>
  </si>
  <si>
    <t>Uploads\777fe4cd-4e40-420b-a782-f0f88bf0fdef.pdf</t>
  </si>
  <si>
    <t>B9878C5F-6DD1-46A3-872D-D08FFA9DCF4E</t>
  </si>
  <si>
    <t>B43BDAF0-59CF-40AF-B993-DAAF9FC013D4</t>
  </si>
  <si>
    <t>F8D2C75A-D77C-46AF-B548-F054D8FDA54E</t>
  </si>
  <si>
    <t>BN-74 FWR.pdf</t>
  </si>
  <si>
    <t>Uploads\f8d2c75a-d77c-46af-b548-f054d8fda54e.pdf</t>
  </si>
  <si>
    <t>785D0704-4147-4073-BD4E-5A5E7CAAE3A3</t>
  </si>
  <si>
    <t>084CEC60-5431-4140-9F7B-B9F0264BF819</t>
  </si>
  <si>
    <t>BN-74 NOOP for Top Section - FINAL.pdf</t>
  </si>
  <si>
    <t>Uploads\084cec60-5431-4140-9f7b-b9f0264bf819.pdf</t>
  </si>
  <si>
    <t>E2A4668A-9B4D-439D-AFBC-B3A9E1711A7C</t>
  </si>
  <si>
    <t>82611FAF-7B97-4AD8-915E-DB540F7D1ED5</t>
  </si>
  <si>
    <t>5A2F5A0B-537A-4094-9125-CDE0BCB8B620</t>
  </si>
  <si>
    <t>Final Well Report SeC-33ST_1_1A_2 Development Well Final.pdf</t>
  </si>
  <si>
    <t>Uploads\5a2f5a0b-537a-4094-9125-cde0bcb8b620.pdf</t>
  </si>
  <si>
    <t>69DA9FAD-2871-417D-A7EE-C599747AFE13</t>
  </si>
  <si>
    <t>2952D3F9-3053-485A-85AF-0E402DA8D4BB</t>
  </si>
  <si>
    <t>SeC-33ST1 ST2 Notice of Operation (NOOP) C1.pdf</t>
  </si>
  <si>
    <t>Uploads\2952d3f9-3053-485a-85af-0e402da8d4bb.pdf</t>
  </si>
  <si>
    <t>E48E55FC-E948-45DB-89B7-F61AA49A9A92</t>
  </si>
  <si>
    <t>BA6A1797-CE97-412D-9DBE-DB74F2497832</t>
  </si>
  <si>
    <t>10F97CF3-26C0-41FB-AD4A-D3541615065A</t>
  </si>
  <si>
    <t>Danum1 Signed Version 04 April 2013.pdf</t>
  </si>
  <si>
    <t>Uploads\10f97cf3-26c0-41fb-ad4a-d3541615065a.pdf</t>
  </si>
  <si>
    <t>7D839E7D-DAAD-43EC-90C1-273C7B5FF8C0</t>
  </si>
  <si>
    <t>960B637B-B40F-4EB9-A698-237F8ED2AFC0</t>
  </si>
  <si>
    <t>SBO3DNUMWS04_DANUM-1_FWR.pdf</t>
  </si>
  <si>
    <t>Uploads\960b637b-b40f-4eb9-a698-237f8ed2afc0.pdf</t>
  </si>
  <si>
    <t>71D71835-EA50-436F-84D9-52A63FEF9F23</t>
  </si>
  <si>
    <t>D4E25A87-349A-4A7B-A374-DB7BCCE1B6D1</t>
  </si>
  <si>
    <t>02FC4C2F-3821-4091-92A2-3A892219D486</t>
  </si>
  <si>
    <t>WBA-04 EOWR FINAL.pdf</t>
  </si>
  <si>
    <t>Uploads\02fc4c2f-3821-4091-92a2-3a892219d486.pdf</t>
  </si>
  <si>
    <t>76664B5B-6FB3-4935-A84C-DD767985EA29</t>
  </si>
  <si>
    <t>00EFCB77-2873-4454-AC5D-412EA06FB064</t>
  </si>
  <si>
    <t>WB A04-signed.pdf</t>
  </si>
  <si>
    <t>Uploads\00efcb77-2873-4454-ac5d-412ea06fb064.pdf</t>
  </si>
  <si>
    <t>02F677B1-40A2-4922-BD1C-CB6A5C2EB557</t>
  </si>
  <si>
    <t>2CDDC602-67CA-47BA-ACC4-DC47808BB32D</t>
  </si>
  <si>
    <t>5227B7E9-D732-4860-A049-7C44BC511483</t>
  </si>
  <si>
    <t>Final Well Report_AJK-A2 ST1.pdf</t>
  </si>
  <si>
    <t>Uploads\5227b7e9-d732-4860-a049-7c44bc511483.pdf</t>
  </si>
  <si>
    <t>14CA8B59-00B6-4905-BD08-1665568D5314</t>
  </si>
  <si>
    <t>401FE867-AD47-44E9-A784-8B9C677202D8</t>
  </si>
  <si>
    <t>AJK-A2 ST1.pdf</t>
  </si>
  <si>
    <t>Uploads\401fe867-ad47-44e9-a784-8b9c677202d8.pdf</t>
  </si>
  <si>
    <t>2528CBE7-E1C9-4B08-B54D-D6CAA840DE37</t>
  </si>
  <si>
    <t>C9B1018D-FF29-43C9-A7CE-DCCFEB4848C7</t>
  </si>
  <si>
    <t>17D51C45-AC06-4A16-85F0-A5F12903499B</t>
  </si>
  <si>
    <t>BL-P1_EOWR.pdf</t>
  </si>
  <si>
    <t>Uploads\17d51c45-ac06-4a16-85f0-a5f12903499b.pdf</t>
  </si>
  <si>
    <t>006F6A96-5CC6-4F72-9B97-C3DADB8BCC18</t>
  </si>
  <si>
    <t>EEAE3E6A-7C2C-4B57-A364-0858180A9392</t>
  </si>
  <si>
    <t>Uploads\eeae3e6a-7c2c-4b57-a364-0858180a9392.pdf</t>
  </si>
  <si>
    <t>CFF4E94C-2817-4EC0-98C7-3CDBC206FDE5</t>
  </si>
  <si>
    <t>9C91EEFD-A36D-4889-9023-DD218325FE17</t>
  </si>
  <si>
    <t>1E53C05D-CBD1-4ADA-949E-E2FB6ECDF0E5</t>
  </si>
  <si>
    <t>RT-P2_EOWR.pdf</t>
  </si>
  <si>
    <t>Uploads\1e53c05d-cbd1-4ada-949e-e2fb6ecdf0e5.pdf</t>
  </si>
  <si>
    <t>F03AB4BD-A086-4233-B0CA-A1B1E088721F</t>
  </si>
  <si>
    <t>A1454949-9AC3-4C74-8A84-9C7EB5F8E3F3</t>
  </si>
  <si>
    <t>Uploads\a1454949-9ac3-4c74-8a84-9c7eb5f8e3f3.pdf</t>
  </si>
  <si>
    <t>ADEE0CFD-B158-44DF-9FD8-073C36F01C8B</t>
  </si>
  <si>
    <t>D82177C4-1938-4329-AC61-DD6EF1CB3D48</t>
  </si>
  <si>
    <t>0E68663B-52B9-4B9D-A074-E1A799769704</t>
  </si>
  <si>
    <t>SJ-609B EOWR_MPM.pdf</t>
  </si>
  <si>
    <t>Uploads\0e68663b-52b9-4b9d-a074-e1a799769704.pdf</t>
  </si>
  <si>
    <t>50BDF4FF-8506-4B98-A8CC-C944930F943F</t>
  </si>
  <si>
    <t>3B898071-C589-496F-ACBB-2E3A7C053B9A</t>
  </si>
  <si>
    <t>SJ-609B NOOP - MPM Drilling.pdf</t>
  </si>
  <si>
    <t>Uploads\3b898071-c589-496f-acbb-2e3a7c053b9a.pdf</t>
  </si>
  <si>
    <t>5D6FB694-81E2-463B-B078-C89BEBE5A51F</t>
  </si>
  <si>
    <t>D8257B85-2C04-44A2-95C7-DD7FCC3298B4</t>
  </si>
  <si>
    <t>4C557DD2-CDBE-434C-90FC-E32A5DBDC889</t>
  </si>
  <si>
    <t>EOWR GK-W526C.pdf</t>
  </si>
  <si>
    <t>Uploads\4c557dd2-cdbe-434c-90fc-e32a5dbdc889.pdf</t>
  </si>
  <si>
    <t>30E0888A-23D3-4BCB-92E0-230F4502033B</t>
  </si>
  <si>
    <t>EB7C37C7-F748-4049-BB5F-608AFA5E66B3</t>
  </si>
  <si>
    <t>GK-W526C NOOP.pdf</t>
  </si>
  <si>
    <t>Uploads\eb7c37c7-f748-4049-bb5f-608afa5e66b3.pdf</t>
  </si>
  <si>
    <t>20F2B637-0BC5-44F6-9CB0-2CFE4C320FBC</t>
  </si>
  <si>
    <t>B01349A9-3FE6-49E1-A2D9-DDD3BCC97C6F</t>
  </si>
  <si>
    <t>9A5C7949-B0B8-4504-910C-3878BE78B5DC</t>
  </si>
  <si>
    <t>Pekaka-1 Well_Completion Report.pdf</t>
  </si>
  <si>
    <t>Uploads\9a5c7949-b0b8-4504-910c-3878be78b5dc.pdf</t>
  </si>
  <si>
    <t>93D20514-A5C0-41EA-AC6E-9353253CE4B3</t>
  </si>
  <si>
    <t>49BD18B4-9484-43A9-94BC-10DCE5EA7CD8</t>
  </si>
  <si>
    <t>NOOP_Pekaka-1 uDW Exploration_FINAL.pdf</t>
  </si>
  <si>
    <t>Uploads\49bd18b4-9484-43a9-94bc-10dce5ea7cd8.pdf</t>
  </si>
  <si>
    <t>1FE5CAE5-6C51-42B2-85A8-0076123EED9C</t>
  </si>
  <si>
    <t>40216F1E-85FA-46D9-B1DE-DDFCD25ABA77</t>
  </si>
  <si>
    <t>0F769B76-2121-497F-9FD1-F85F54D9EC50</t>
  </si>
  <si>
    <t>EB A-19ST1 End of Well Report Final.pdf</t>
  </si>
  <si>
    <t>Uploads\0f769b76-2121-497f-9fd1-f85f54d9ec50.pdf</t>
  </si>
  <si>
    <t>809BF3F9-D0C2-4467-84C5-BEFCFFF1F3C3</t>
  </si>
  <si>
    <t>A1E173A4-73A2-4319-8CF3-0C14E66BBE54</t>
  </si>
  <si>
    <t>EB A-19ST1 Rev.pdf</t>
  </si>
  <si>
    <t>Uploads\a1e173a4-73a2-4319-8cf3-0c14e66bbe54.pdf</t>
  </si>
  <si>
    <t>DCE1E522-C747-4C17-B30C-FD3D40CD8145</t>
  </si>
  <si>
    <t>963C7B47-9960-45DF-B371-DE36E75FCF9B</t>
  </si>
  <si>
    <t>298371E9-8FB0-42A4-9C3B-046558239121</t>
  </si>
  <si>
    <t>UNGGUL-1 NOOP_INTERNAL.pdf</t>
  </si>
  <si>
    <t>UNGGUL-1 NOOP_INTERNAL.PDF</t>
  </si>
  <si>
    <t>Uploads\298371e9-8fb0-42a4-9c3b-046558239121.pdf</t>
  </si>
  <si>
    <t>C6BF58F7-CA86-4ED6-9F03-92D9D38FDE82</t>
  </si>
  <si>
    <t>1297B483-EB3E-4E7D-8D7C-C0BD4DAAB5D2</t>
  </si>
  <si>
    <t>Unggul-1 FWR.pdf</t>
  </si>
  <si>
    <t>Uploads\1297b483-eb3e-4e7d-8d7c-c0bd4daab5d2.pdf</t>
  </si>
  <si>
    <t>7F963C23-0846-41DE-867D-FA928E694514</t>
  </si>
  <si>
    <t>25E3B85B-5174-4B0A-B6E4-DE50E61B69EF</t>
  </si>
  <si>
    <t>7FBD8703-CB33-4DCE-8784-6F7678375191</t>
  </si>
  <si>
    <t>Baram-H16  H16ST1 Final Well Report Final-Approved.pdf</t>
  </si>
  <si>
    <t>Uploads\7fbd8703-cb33-4dce-8784-6f7678375191.pdf</t>
  </si>
  <si>
    <t>D93EB7CA-6A7C-4431-ADA0-D44BC162FE5E</t>
  </si>
  <si>
    <t>C346B82D-FE9D-44CB-8E7A-9B552398178D</t>
  </si>
  <si>
    <t>Baram South BARAM-H16 NOOP (Approved) Internal.pdf</t>
  </si>
  <si>
    <t>Uploads\c346b82d-fe9d-44cb-8e7a-9b552398178d.pdf</t>
  </si>
  <si>
    <t>7D77A3AE-20E7-4746-9EED-7541758C428C</t>
  </si>
  <si>
    <t>80EF47FA-CED9-4320-8880-DEAA2D9365AF</t>
  </si>
  <si>
    <t>FEE33F59-6DDC-49FD-BC7D-618764D49727</t>
  </si>
  <si>
    <t>SKO3KNWTGL03_KANOWIT-SS1_PCSB_NOOP.pdf</t>
  </si>
  <si>
    <t>Uploads\fee33f59-6ddc-49fd-bc7d-618764d49727.pdf</t>
  </si>
  <si>
    <t>E8A2D93A-1310-4CA7-A87D-58818D2F860E</t>
  </si>
  <si>
    <t>166A1258-2944-43BF-8D50-59A541D59311</t>
  </si>
  <si>
    <t>SKO3KNWTWS11_KANOWIT-SS1_PCSB_FWR.pdf</t>
  </si>
  <si>
    <t>Uploads\166a1258-2944-43bf-8d50-59a541d59311.pdf</t>
  </si>
  <si>
    <t>CFBE57D3-5097-4893-8193-04058977AA71</t>
  </si>
  <si>
    <t>A3E2A328-4583-40F6-99F8-DED33D894BAA</t>
  </si>
  <si>
    <t>6270F944-D295-4665-ACF6-CA34A9C5FE87</t>
  </si>
  <si>
    <t>TEMANA-80 FWR.pdf</t>
  </si>
  <si>
    <t>Uploads\6270f944-d295-4665-acf6-ca34a9c5fe87.pdf</t>
  </si>
  <si>
    <t>596AAC0D-0098-47FB-BA44-62388A6CC98E</t>
  </si>
  <si>
    <t>8150C4E8-53C8-4BB3-A964-DE989C6EADDC</t>
  </si>
  <si>
    <t>Temana EMP 1.0 TE-80 NOOP Final.pdf</t>
  </si>
  <si>
    <t>Uploads\8150c4e8-53c8-4bb3-a964-de989c6eaddc.pdf</t>
  </si>
  <si>
    <t>2C39991C-2EFB-41AD-9B7E-97B700565232</t>
  </si>
  <si>
    <t>A85B8B7C-3851-421F-89E7-DF8A0CA001F4</t>
  </si>
  <si>
    <t>9511567D-B9E2-4FC4-B511-0EF971BC5D7A</t>
  </si>
  <si>
    <t>F14-105 FDCR (EOWR).pdf</t>
  </si>
  <si>
    <t>Uploads\9511567d-b9e2-4fc4-b511-0ef971bc5d7a.pdf</t>
  </si>
  <si>
    <t>4B6FAEDC-78FF-476C-AB9D-1A5F37A00330</t>
  </si>
  <si>
    <t>7F4774DA-DE0E-44E7-AD60-EA732D6106C6</t>
  </si>
  <si>
    <t>Uploads\7f4774da-de0e-44e7-ad60-ea732d6106c6.pdf</t>
  </si>
  <si>
    <t>70F0739B-A56E-4DBA-9DC2-0E4319CC14F6</t>
  </si>
  <si>
    <t>DE16D1A6-8AB9-4D2C-9855-E0046AE38E1A</t>
  </si>
  <si>
    <t>F079ED3C-7E63-4449-AE07-2461BAF232CC</t>
  </si>
  <si>
    <t>Sumandak Selatan B02 ST1 NOOP_20181214_Final.pdf</t>
  </si>
  <si>
    <t>Uploads\f079ed3c-7e63-4449-ae07-2461baf232cc.pdf</t>
  </si>
  <si>
    <t>08924971-2F4B-4DD5-9E81-A3C27607A992</t>
  </si>
  <si>
    <t>48E1F709-27CD-4726-820A-15BA8EB2C34B</t>
  </si>
  <si>
    <t>PETRONAS Final Well Report_B02 ST1_Final.pdf</t>
  </si>
  <si>
    <t>Sumandak Selatan B02 ST1_Final.pdf</t>
  </si>
  <si>
    <t>Uploads\48e1f709-27cd-4726-820a-15ba8eb2c34b.pdf</t>
  </si>
  <si>
    <t>B95D3B45-1963-4128-AA74-640E2B1269F0</t>
  </si>
  <si>
    <t>4374E891-7E29-489F-AB49-E254D295EC3A</t>
  </si>
  <si>
    <t>4234194E-9D26-4335-8524-732BBC57E955</t>
  </si>
  <si>
    <t>SKO3PGGAGL03_Pegaga-2.pdf</t>
  </si>
  <si>
    <t>Uploads\4234194e-9d26-4335-8524-732bbc57e955.pdf</t>
  </si>
  <si>
    <t>548D7A77-819E-46CF-BE94-CA7B8C7F496F</t>
  </si>
  <si>
    <t>F76702AF-C95B-418D-98B3-F4583CF19357</t>
  </si>
  <si>
    <t>SKO3PGGAWS09_Pegaga-2.pdf</t>
  </si>
  <si>
    <t>Pegaga-2 FWR_Mudlogging.pdf</t>
  </si>
  <si>
    <t>Uploads\f76702af-c95b-418d-98b3-f4583cf19357.pdf</t>
  </si>
  <si>
    <t>0D38B422-6223-41CB-A7C0-096D9234C049</t>
  </si>
  <si>
    <t>32FA6C90-15E7-4361-A009-E2759AE5F2AC</t>
  </si>
  <si>
    <t>2906E941-8D84-43CF-9158-B2B0F1A2378F</t>
  </si>
  <si>
    <t>SBO3SMRGWSDT_SAMARANG EAST-1_PCSB_NOOP.pdf</t>
  </si>
  <si>
    <t>Uploads\2906e941-8d84-43cf-9158-b2b0f1a2378f.pdf</t>
  </si>
  <si>
    <t>71EBD10E-7D96-4AB9-A5BB-1B19EEE28524</t>
  </si>
  <si>
    <t>E20F85A9-C7B1-4916-953F-A11754568B59</t>
  </si>
  <si>
    <t>SBO3SMREWS01_SAMARANG EAST-1_PCSB_FWR.pdf</t>
  </si>
  <si>
    <t>Uploads\e20f85a9-c7b1-4916-953f-a11754568b59.pdf</t>
  </si>
  <si>
    <t>BA506E4A-FA15-4252-996A-1B2BA646BAF0</t>
  </si>
  <si>
    <t>0B222A40-62B1-4687-BCD6-E30A89A2FF77</t>
  </si>
  <si>
    <t>9E7DB911-9732-42D2-8F99-A66A887A4C6E</t>
  </si>
  <si>
    <t>NOOP_Dulang A33 Final.pdf</t>
  </si>
  <si>
    <t>Uploads\9e7db911-9732-42d2-8f99-a66a887a4c6e.pdf</t>
  </si>
  <si>
    <t>5707C648-1168-461B-B4E4-D177E6CBF6D7</t>
  </si>
  <si>
    <t>7F3A515C-677F-41D1-8463-CF7142614586</t>
  </si>
  <si>
    <t>Dulang A33ST2_A33ST3 FWR.pdf</t>
  </si>
  <si>
    <t>Uploads\7f3a515c-677f-41d1-8463-cf7142614586.pdf</t>
  </si>
  <si>
    <t>7156DC0C-9168-4407-B023-51E611FC65E4</t>
  </si>
  <si>
    <t>31A6F8D7-5F87-42EA-907C-E3A229137606</t>
  </si>
  <si>
    <t>6C4DCF78-4643-4614-8BB6-846812307AC8</t>
  </si>
  <si>
    <t>PMO3TNGBWS70_TNGB-A9_PCSB.pdf</t>
  </si>
  <si>
    <t>Uploads\6c4dcf78-4643-4614-8bb6-846812307ac8.pdf</t>
  </si>
  <si>
    <t>C2CDB044-190F-4BEC-9367-666C94D0AC51</t>
  </si>
  <si>
    <t>06DB9581-48ED-4EE0-8BBA-EDB4B7949177</t>
  </si>
  <si>
    <t>PMO3TNGBWS69_TNGB-A9_PCSB.pdf</t>
  </si>
  <si>
    <t>Uploads\06db9581-48ed-4ee0-8bba-edb4b7949177.pdf</t>
  </si>
  <si>
    <t>6B35105E-1AB2-455A-8543-132600EDCCE5</t>
  </si>
  <si>
    <t>24A0A485-5182-474F-8E59-E4447C0F5A00</t>
  </si>
  <si>
    <t>B03B34A5-98D0-4034-A312-C89E5E0AD611</t>
  </si>
  <si>
    <t>PMO3BJD2WS01_BUJANG D2-1.pdf</t>
  </si>
  <si>
    <t>Uploads\b03b34a5-98d0-4034-a312-c89e5e0ad611.pdf</t>
  </si>
  <si>
    <t>35F4E0D6-1BE7-4DC8-A172-F2E6B4DD0FAF</t>
  </si>
  <si>
    <t>A37E1181-96A4-4714-B4C4-D54503B9B058</t>
  </si>
  <si>
    <t>PMO3BJD2WS04_BUJANG D2-1.pdf</t>
  </si>
  <si>
    <t>Bujang D2-1 FWR_FINAL [22.01.201].pdf</t>
  </si>
  <si>
    <t>Uploads\a37e1181-96a4-4714-b4c4-d54503b9b058.pdf</t>
  </si>
  <si>
    <t>8C4840E7-9051-4480-BB89-C3A66D9CF680</t>
  </si>
  <si>
    <t>08437D19-F91E-4428-BFCC-E44CCB729BAA</t>
  </si>
  <si>
    <t>5EDCCC32-5250-455C-9EA0-1A261E623E70</t>
  </si>
  <si>
    <t>NOOP BOKOR-F606 FINAL rev2.0 SIGNED.pdf</t>
  </si>
  <si>
    <t>Uploads\5edccc32-5250-455c-9ea0-1a261e623e70.pdf</t>
  </si>
  <si>
    <t>E11F814A-697F-4D27-8C5E-B1BEF9E4941A</t>
  </si>
  <si>
    <t>DE40CD0A-3ACE-4EF8-A954-602D2D6BBD9B</t>
  </si>
  <si>
    <t>Final Well Report (FWR) BO-F606_APPROVED.pdf</t>
  </si>
  <si>
    <t>Uploads\de40cd0a-3ace-4ef8-a954-602d2d6bbd9b.pdf</t>
  </si>
  <si>
    <t>4CEF32DC-C3AD-44FE-A88B-17F9BD4B03FE</t>
  </si>
  <si>
    <t>4813A532-577C-4A41-9CFA-E4C9A1B9A8C4</t>
  </si>
  <si>
    <t>A568D685-B8FB-4E20-A55C-DD39854B4248</t>
  </si>
  <si>
    <t>OP3A (208B) NOOP Rev 0 D18-EMP-EXE-PMT-JTB-DRL-NOP-0001.pdf</t>
  </si>
  <si>
    <t>Uploads\a568d685-b8fb-4e20-a55c-dd39854b4248.pdf</t>
  </si>
  <si>
    <t>0967B994-353C-428F-B930-C1607D97542E</t>
  </si>
  <si>
    <t>BD7E78D9-5E5C-4252-AD1B-7A7B877E44CB</t>
  </si>
  <si>
    <t>D-18 208B FWR.pdf</t>
  </si>
  <si>
    <t>Uploads\bd7e78d9-5e5c-4252-ad1b-7a7b877e44cb.pdf</t>
  </si>
  <si>
    <t>2E3EED24-1AA3-4109-BEFF-E4C6F7580FEF</t>
  </si>
  <si>
    <t>4A654F01-18F6-4A74-9B6C-E5478C86DCA0</t>
  </si>
  <si>
    <t>B309CEAF-5D49-4CA5-8196-6FB6FD254572</t>
  </si>
  <si>
    <t>LARUT A-31ST2 (OP8) Final Well Report_RevB.pdf</t>
  </si>
  <si>
    <t>Uploads\b309ceaf-5d49-4ca5-8196-6fb6fd254572.pdf</t>
  </si>
  <si>
    <t>12EB4035-79A2-414F-B5C5-519322701AB3</t>
  </si>
  <si>
    <t>682FB1C0-8DB7-43A3-8732-0A443A3D1176</t>
  </si>
  <si>
    <t>LARUT A-31ST1 (NOOP_OP8)-Rev2.pdf</t>
  </si>
  <si>
    <t>Uploads\682fb1c0-8db7-43a3-8732-0a443a3d1176.pdf</t>
  </si>
  <si>
    <t>B1EB607D-A91E-4B21-B46D-4AAF2BA4FAEE</t>
  </si>
  <si>
    <t>7695D2C9-323B-43B8-84C8-E58F633DC9F4</t>
  </si>
  <si>
    <t>5C9D8CF9-10F4-48AF-9426-281452D54CD0</t>
  </si>
  <si>
    <t>EOWR_Bergading B-3(O) ST1 - signed.pdf</t>
  </si>
  <si>
    <t>Uploads\5c9d8cf9-10f4-48af-9426-281452d54cd0.pdf</t>
  </si>
  <si>
    <t>FE7489B4-7C18-4F31-9D75-E1412C95D26A</t>
  </si>
  <si>
    <t>92530C2A-F016-4069-A88F-ECF63F38FB06</t>
  </si>
  <si>
    <t>NOOP - BRGB-3(O), Bergading B-3(O).pdf</t>
  </si>
  <si>
    <t>Uploads\92530c2a-f016-4069-a88f-ecf63f38fb06.pdf</t>
  </si>
  <si>
    <t>96E210A2-6C52-4261-ABD0-CD99C99A737C</t>
  </si>
  <si>
    <t>DB624338-5249-4F47-A3F3-E66B03274C5B</t>
  </si>
  <si>
    <t>081E5F7E-D3A0-4325-B63A-4F89E52852DE</t>
  </si>
  <si>
    <t>Se-C39 Work Over NOWOP Rev0.pdf</t>
  </si>
  <si>
    <t>Uploads\081e5f7e-d3a0-4325-b63a-4f89e52852de.pdf</t>
  </si>
  <si>
    <t>CAE8A14F-9F9D-49AD-9478-991E59DC7A4D</t>
  </si>
  <si>
    <t>6DBE6B79-03C8-456E-ABF3-276D52254836</t>
  </si>
  <si>
    <t>Final Well Report SeC-39 Development Well.pdf</t>
  </si>
  <si>
    <t>Uploads\6dbe6b79-03c8-456e-abf3-276d52254836.pdf</t>
  </si>
  <si>
    <t>96DCF341-AD7F-4F85-BDE1-8DE9E54ED5D2</t>
  </si>
  <si>
    <t>7DBFEDF7-21D3-4D13-877E-E6AF274F899B</t>
  </si>
  <si>
    <t>5606DC4F-4B7B-440D-86E0-0DEF9B129199</t>
  </si>
  <si>
    <t>D35A-106ST1 Well NOOP Final.pdf</t>
  </si>
  <si>
    <t>Uploads\5606dc4f-4b7b-440d-86e0-0def9b129199.pdf</t>
  </si>
  <si>
    <t>D50055C2-A7AF-49E4-B25A-ACE4A476E937</t>
  </si>
  <si>
    <t>2CC15620-8B9C-4807-9AF1-A3E053499021</t>
  </si>
  <si>
    <t>D35DPA-106ST1 End Of Well Report Final.pdf</t>
  </si>
  <si>
    <t>Uploads\2cc15620-8b9c-4807-9af1-a3e053499021.pdf</t>
  </si>
  <si>
    <t>C6A4DDF6-E21E-469B-8126-40194152B050</t>
  </si>
  <si>
    <t>9D7AFFB6-1343-4D12-8F06-E78E8D327D80</t>
  </si>
  <si>
    <t>C7A85D70-8A39-444F-8B43-C2107C3CCF97</t>
  </si>
  <si>
    <t>SBO3KNBLWS3G_KN_B1.pdf</t>
  </si>
  <si>
    <t>Uploads\c7a85d70-8a39-444f-8b43-c2107c3ccf97.pdf</t>
  </si>
  <si>
    <t>B996586D-0787-4D98-B20B-0BB2DD3E55AC</t>
  </si>
  <si>
    <t>F3FFF794-4B51-44F3-A1FD-49EBE30D77CA</t>
  </si>
  <si>
    <t>SBO3KNBLGL57_KN_B1.pdf</t>
  </si>
  <si>
    <t>Uploads\f3fff794-4b51-44f3-a1fd-49ebe30d77ca.pdf</t>
  </si>
  <si>
    <t>92FB3745-35B6-4265-8A2D-475770519196</t>
  </si>
  <si>
    <t>B399A667-2675-41D8-8FC2-E878BBE0E298</t>
  </si>
  <si>
    <t>C5A808E5-7D8C-476D-9956-29A8A0593251</t>
  </si>
  <si>
    <t>PMO3TNGBWS73_TNGB-A11_PCSB_NOOP.pdf</t>
  </si>
  <si>
    <t>Uploads\c5a808e5-7d8c-476d-9956-29a8a0593251.pdf</t>
  </si>
  <si>
    <t>60D7991F-62B8-402D-8CC8-95D47093DA90</t>
  </si>
  <si>
    <t>6691F0AF-134A-401A-A38E-415B7427E21B</t>
  </si>
  <si>
    <t>PMO3TNGBWS1D_TNGB-A11_PCSB_FWR.pdf</t>
  </si>
  <si>
    <t>Uploads\6691f0af-134a-401a-a38e-415b7427e21b.pdf</t>
  </si>
  <si>
    <t>E4832344-8770-4A66-AB04-1DCE05D79619</t>
  </si>
  <si>
    <t>ADECCDD6-D59C-4C2F-A8E8-E977048F15AE</t>
  </si>
  <si>
    <t>E06550DD-775E-4281-8E16-F124F4F7B638</t>
  </si>
  <si>
    <t>BKG-A3 EOWR.pdf</t>
  </si>
  <si>
    <t>Uploads\e06550dd-775e-4281-8e16-f124f4f7b638.pdf</t>
  </si>
  <si>
    <t>F26075C7-4DD6-44B2-B409-1D500F38E3C7</t>
  </si>
  <si>
    <t>7385FF13-5E8F-467C-9300-FCEE2989A85D</t>
  </si>
  <si>
    <t>BKG-A3 NOOP - signed off_signed.pdf</t>
  </si>
  <si>
    <t>Uploads\7385ff13-5e8f-467c-9300-fcee2989a85d.pdf</t>
  </si>
  <si>
    <t>368709AD-EA8A-4F74-9F9C-C0472C0643A8</t>
  </si>
  <si>
    <t>29175183-B78E-4089-BB4B-E9FA5FC1188F</t>
  </si>
  <si>
    <t>9A7A0D6E-D981-42BF-A9B5-285F6BC883D7</t>
  </si>
  <si>
    <t>JITANG-1 Final (signed).pdf</t>
  </si>
  <si>
    <t>Uploads\9a7a0d6e-d981-42bf-a9b5-285f6bc883d7.pdf</t>
  </si>
  <si>
    <t>600DED5D-A584-48FF-90C2-DF7F45675497</t>
  </si>
  <si>
    <t>0178ED02-5925-40A8-9C5F-1497FA298832</t>
  </si>
  <si>
    <t>Jitang-1 NOOP_Internal.pdf</t>
  </si>
  <si>
    <t>Uploads\0178ed02-5925-40a8-9c5f-1497fa298832.pdf</t>
  </si>
  <si>
    <t>B47B1A80-0EB2-4674-A4B9-37739D2C04F4</t>
  </si>
  <si>
    <t>B6E3869A-0D0C-4EB5-8E2C-EA9EAA514DAE</t>
  </si>
  <si>
    <t>17871D5C-76A8-431D-92D3-30BF55D49C1A</t>
  </si>
  <si>
    <t>KEKEK-1 EOWR.pdf</t>
  </si>
  <si>
    <t>Uploads\17871d5c-76a8-431d-92d3-30bf55d49c1a.pdf</t>
  </si>
  <si>
    <t>73C8CDC7-C0FF-41DC-BBAA-949849CDA540</t>
  </si>
  <si>
    <t>5EB6F6B4-B261-4D19-8957-4D832F9FC879</t>
  </si>
  <si>
    <t>SKO3KEKKGL02_KEKEK-1_SHELL_NOOP.pdf</t>
  </si>
  <si>
    <t>Uploads\5eb6f6b4-b261-4d19-8957-4d832f9fc879.pdf</t>
  </si>
  <si>
    <t>730D5F59-086C-4B8E-94B8-5FB0EC8BA4D9</t>
  </si>
  <si>
    <t>F9BB1B95-88ED-4EB7-A6F8-EB39BB279E8D</t>
  </si>
  <si>
    <t>DC95A3FC-3817-45F1-844D-C22D2EBED007</t>
  </si>
  <si>
    <t>E06-102 (S4) NOOP.pdf</t>
  </si>
  <si>
    <t>Uploads\dc95a3fc-3817-45f1-844d-c22d2ebed007.pdf</t>
  </si>
  <si>
    <t>2ACA1654-FFF5-41FF-81FA-D0406DD16645</t>
  </si>
  <si>
    <t>78A51C3E-9021-4B57-9FFE-9B094721F877</t>
  </si>
  <si>
    <t>E06-102 End of Well Report FINAL.pdf</t>
  </si>
  <si>
    <t>Uploads\78a51c3e-9021-4b57-9ffe-9b094721f877.pdf</t>
  </si>
  <si>
    <t>59231D39-FB14-43BF-AA9C-719520ED3FFF</t>
  </si>
  <si>
    <t>82657D83-9E72-4C0B-9766-EB4877EFAFAC</t>
  </si>
  <si>
    <t>99951430-0400-44AA-824B-270FD7A571B1</t>
  </si>
  <si>
    <t>SKO3BYANWSH3_BAYAN-222_NOOP_PCSB.pdf</t>
  </si>
  <si>
    <t>Uploads\99951430-0400-44aa-824b-270fd7a571b1.pdf</t>
  </si>
  <si>
    <t>A925CD5C-94F2-4444-8BC6-90A371CE06D5</t>
  </si>
  <si>
    <t>D1F57976-EDFC-4FCC-8231-A3EE8EAD6C94</t>
  </si>
  <si>
    <t>BAYAN-222ST2 FWR.pdf</t>
  </si>
  <si>
    <t>Uploads\d1f57976-edfc-4fcc-8231-a3ee8ead6c94.pdf</t>
  </si>
  <si>
    <t>46678D2A-2DDF-4DF0-9DC4-93FB14D7BC05</t>
  </si>
  <si>
    <t>4BF5A9B2-5119-4497-B538-EBA8BB2B056A</t>
  </si>
  <si>
    <t>DD4B2759-A59D-4029-90B9-D535D948ADB7</t>
  </si>
  <si>
    <t>KNDW-D06_End of Well Report.pdf</t>
  </si>
  <si>
    <t>Uploads\dd4b2759-a59d-4029-90b9-d535d948adb7.pdf</t>
  </si>
  <si>
    <t>34EE218C-9017-4207-B040-C336DA73BA52</t>
  </si>
  <si>
    <t>BB8C96CE-FBE0-4AC5-BF45-A857C9F9507D</t>
  </si>
  <si>
    <t>KNDW D-06 NOOP-Final.pdf</t>
  </si>
  <si>
    <t>Uploads\bb8c96ce-fbe0-4ac5-bf45-a857c9f9507d.pdf</t>
  </si>
  <si>
    <t>0F597065-91A6-4FF2-BB6D-A69DD6BE11B5</t>
  </si>
  <si>
    <t>37A88E82-182E-4006-B102-EBB5D73E388F</t>
  </si>
  <si>
    <t>78D15AB0-916C-401D-9934-730839C9C0D8</t>
  </si>
  <si>
    <t>SF30-13 NOOP (MPM Drilling).pdf</t>
  </si>
  <si>
    <t>Uploads\78d15ab0-916c-401d-9934-730839c9c0d8.pdf</t>
  </si>
  <si>
    <t>15401185-9E9B-44D1-B14C-355829A1BD72</t>
  </si>
  <si>
    <t>C9DF9B89-DD94-4EAF-A5B9-CB21E0C681DB</t>
  </si>
  <si>
    <t>SF30-13 EOWR_MPM Drilling.pdf</t>
  </si>
  <si>
    <t>Uploads\c9df9b89-dd94-4eaf-a5b9-cb21e0c681db.pdf</t>
  </si>
  <si>
    <t>69A22222-97EE-46E7-AF08-29BCC75E528C</t>
  </si>
  <si>
    <t>76B02702-5743-484E-9847-EBB620760D9D</t>
  </si>
  <si>
    <t>8B5C0997-86E4-40C4-AFEB-11781691A8B3</t>
  </si>
  <si>
    <t>NOOP Bentara-A2_Signed_rev01.pdf</t>
  </si>
  <si>
    <t>Uploads\8b5c0997-86e4-40c4-afeb-11781691a8b3.pdf</t>
  </si>
  <si>
    <t>090F0E01-C777-4A05-8897-99ED987B8694</t>
  </si>
  <si>
    <t>56D0F7F5-BCA0-4E62-A695-5940152BE15A</t>
  </si>
  <si>
    <t>Bentara-A2 Final Well Report_.pdf</t>
  </si>
  <si>
    <t>Uploads\56d0f7f5-bca0-4e62-a695-5940152be15a.pdf</t>
  </si>
  <si>
    <t>62015AE3-306B-4FC5-BFF5-47B78C631548</t>
  </si>
  <si>
    <t>75B7E268-C552-4EE0-8C47-EBB978B06D8E</t>
  </si>
  <si>
    <t>F75D418E-D69E-416F-8957-C083A8C98F58</t>
  </si>
  <si>
    <t>Bertam A-17 EOWR_Part 1 of 2.pdf</t>
  </si>
  <si>
    <t>Uploads\f75d418e-d69e-416f-8957-c083a8c98f58.pdf</t>
  </si>
  <si>
    <t>4FE86FA6-2E6C-47D0-868A-EB7C3A58CAC3</t>
  </si>
  <si>
    <t>618CF84F-A629-4769-9E53-119021DC90F3</t>
  </si>
  <si>
    <t>Bertam A-17 Notice of Operations 20171102 SAA.pdf</t>
  </si>
  <si>
    <t>Uploads\618cf84f-a629-4769-9e53-119021dc90f3.pdf</t>
  </si>
  <si>
    <t>92295F51-5BE2-452C-A271-0DE0A601BE3E</t>
  </si>
  <si>
    <t>9F67EB45-3596-4098-84F2-EBCF1876CB5C</t>
  </si>
  <si>
    <t>BC39B8F0-C711-4036-AE53-CA9D67CBBF87</t>
  </si>
  <si>
    <t>BOC-24 (RR) NOOP_Final_Signed.pdf</t>
  </si>
  <si>
    <t>Uploads\bc39b8f0-c711-4036-ae53-ca9d67cbbf87.pdf</t>
  </si>
  <si>
    <t>A378C468-FB52-453E-B1B1-81025A0391FE</t>
  </si>
  <si>
    <t>6C8B7E22-ECB6-4CA8-8C80-935338227EE0</t>
  </si>
  <si>
    <t>EOWR BOC-24 (RR).pdf</t>
  </si>
  <si>
    <t>Uploads\6c8b7e22-ecb6-4ca8-8c80-935338227ee0.pdf</t>
  </si>
  <si>
    <t>504A146E-FF91-4F1F-8D1A-037F20360621</t>
  </si>
  <si>
    <t>779082AA-2824-48E9-8A80-EC421F9B1004</t>
  </si>
  <si>
    <t>646B7711-44CE-4C0B-8C95-A87824F3EDF6</t>
  </si>
  <si>
    <t>SBO3SKNPDR20_S-CN1-P4.pdf</t>
  </si>
  <si>
    <t>Uploads\646b7711-44ce-4c0b-8c95-a87824f3edf6.pdf</t>
  </si>
  <si>
    <t>7166D3E1-8261-4B44-80BB-20AE9BD67317</t>
  </si>
  <si>
    <t>DF0F6318-F2AE-4082-9833-0979DA7C41A7</t>
  </si>
  <si>
    <t>SBO3SBO-WS7F_S-CN1-P4.pdf</t>
  </si>
  <si>
    <t>Uploads\df0f6318-f2ae-4082-9833-0979da7c41a7.pdf</t>
  </si>
  <si>
    <t>82049264-1C27-4270-BDEF-16F3769C1D64</t>
  </si>
  <si>
    <t>DF25D0AB-D34F-48A4-ACA4-EE67DA9B7D3E</t>
  </si>
  <si>
    <t>16D0F013-3179-4EC1-929D-E10910C6C9DF</t>
  </si>
  <si>
    <t>NOOP Bekok AA16 Approved [Internal].pdf</t>
  </si>
  <si>
    <t>Uploads\16d0f013-3179-4ec1-929d-e10910c6c9df.pdf</t>
  </si>
  <si>
    <t>CEFE9607-260C-4595-9E58-95D5DDFAD973</t>
  </si>
  <si>
    <t>DBB06A8D-5C51-41E7-A2CA-601355A4BFCD</t>
  </si>
  <si>
    <t>Bekok-AA16ST2 Final Well Report_.pdf</t>
  </si>
  <si>
    <t>Uploads\dbb06a8d-5c51-41e7-a2ca-601355a4bfcd.pdf</t>
  </si>
  <si>
    <t>B54F8777-D1EA-40AC-8B51-374EDC02C215</t>
  </si>
  <si>
    <t>14322389-83BF-4939-90AE-EEAB334308D8</t>
  </si>
  <si>
    <t>F29F2526-8749-4938-862C-16ED26CB5984</t>
  </si>
  <si>
    <t>SKO3MYNGWS04_MAYONG-1_PCSB.pdf</t>
  </si>
  <si>
    <t>Mayong-1 FWR.pdf</t>
  </si>
  <si>
    <t>Uploads\f29f2526-8749-4938-862c-16ed26cb5984.pdf</t>
  </si>
  <si>
    <t>76AEB528-9FD2-4357-B0D7-B414B0D08EB5</t>
  </si>
  <si>
    <t>D398BBC0-3C8F-4664-AD88-9297E25C0626</t>
  </si>
  <si>
    <t>SKO3MYNGWS02_MAYONG-1.pdf</t>
  </si>
  <si>
    <t>Uploads\d398bbc0-3c8f-4664-ad88-9297e25c0626.pdf</t>
  </si>
  <si>
    <t>A5557E88-04A5-4181-8426-E489BC3626A8</t>
  </si>
  <si>
    <t>FBE2EDCB-C794-4CE8-9D0A-EED34577A5A6</t>
  </si>
  <si>
    <t>B7514D11-6B8D-4FB2-8FED-A47069226328</t>
  </si>
  <si>
    <t>Benum-1_Drilling End of Well Report.pdf</t>
  </si>
  <si>
    <t>Uploads\b7514d11-6b8d-4fb2-8fed-a47069226328.pdf</t>
  </si>
  <si>
    <t>7FC3892E-A9AE-48B6-8AB2-76CF62EC20AE</t>
  </si>
  <si>
    <t>F3981AE0-1395-4704-A613-8A53E167A265</t>
  </si>
  <si>
    <t>Benum-1 NOOP.pdf</t>
  </si>
  <si>
    <t>Uploads\f3981ae0-1395-4704-a613-8a53e167a265.pdf</t>
  </si>
  <si>
    <t>E9FF1FB3-B0F6-49F5-891C-4CE7186765B9</t>
  </si>
  <si>
    <t>E4FC82DA-5584-4648-BCBB-F083BCA08C81</t>
  </si>
  <si>
    <t>E5EB8504-B484-4A56-9153-695941D016F1</t>
  </si>
  <si>
    <t>PMO3DULGWSYI_DULANG_D31.pdf</t>
  </si>
  <si>
    <t>Uploads\e5eb8504-b484-4a56-9153-695941d016f1.pdf</t>
  </si>
  <si>
    <t>61DEC5B1-95BD-4479-9C7A-D753E4D95E72</t>
  </si>
  <si>
    <t>EDB5D0A8-D8EA-4B7C-9BD6-3FE1E7CCFB6F</t>
  </si>
  <si>
    <t>PMO3DULGWSXP_DULANG_D31.pdf</t>
  </si>
  <si>
    <t>Uploads\edb5d0a8-d8ea-4b7c-9bd6-3fe1e7ccfb6f.pdf</t>
  </si>
  <si>
    <t>5792322B-E2F6-41E8-982F-BA0FFC381F8C</t>
  </si>
  <si>
    <t>90EBC067-6482-42C4-B601-F08B6380B438</t>
  </si>
  <si>
    <t>816CB7C7-ABF9-4DF2-A52B-9635E7A16399</t>
  </si>
  <si>
    <t>Uploads\816cb7c7-abf9-4df2-a52b-9635e7a16399.pdf</t>
  </si>
  <si>
    <t>71E0E7CC-ABE2-4159-BE17-48EA6DC78F9E</t>
  </si>
  <si>
    <t>03540A87-6282-4BD4-BE7A-FD01F84EA845</t>
  </si>
  <si>
    <t>NMB-DRI-RPT-01166.pdf</t>
  </si>
  <si>
    <t>Uploads\03540a87-6282-4bd4-be7a-fd01f84ea845.pdf</t>
  </si>
  <si>
    <t>CDAC0890-02B7-454D-8093-89F04A42D101</t>
  </si>
  <si>
    <t>E4459C06-CEF6-49DB-8EC0-F0BDC12F3B55</t>
  </si>
  <si>
    <t>535E1C86-737E-4C4A-BF74-5C9402247774</t>
  </si>
  <si>
    <t>Dulang EMP D13ST1 - OP3 Final 20Sept2017.pdf</t>
  </si>
  <si>
    <t>Uploads\535e1c86-737e-4c4a-bf74-5c9402247774.pdf</t>
  </si>
  <si>
    <t>825E8B5F-5E21-4B65-B611-ECFB234308CD</t>
  </si>
  <si>
    <t>A8F9A782-FC00-4C78-98A3-AD3AF1BD2E31</t>
  </si>
  <si>
    <t>Dulang D13ST1 OP3 FWR Complete Attachment.pdf</t>
  </si>
  <si>
    <t>Uploads\a8f9a782-fc00-4c78-98a3-ad3af1bd2e31.pdf</t>
  </si>
  <si>
    <t>15AF6560-4D28-4783-9322-2822C764F8AE</t>
  </si>
  <si>
    <t>E6357E34-BCA5-4297-BECD-F0C159FF2DF3</t>
  </si>
  <si>
    <t>24765C9C-867D-4827-AE88-A83B6AA9D1DD</t>
  </si>
  <si>
    <t>SM 118 SM-2EOR-PCLO-DRL-JE-DRL-20-2018.pdf</t>
  </si>
  <si>
    <t>Uploads\24765c9c-867d-4827-ae88-a83b6aa9d1dd.pdf</t>
  </si>
  <si>
    <t>26AB6958-FA00-4055-B1AF-105B91013E51</t>
  </si>
  <si>
    <t>9742FD06-80C6-47CB-AE3E-E6EE49A2B335</t>
  </si>
  <si>
    <t>SM118 w Signature (1).pdf</t>
  </si>
  <si>
    <t>Uploads\9742fd06-80c6-47cb-ae3e-e6ee49a2b335.pdf</t>
  </si>
  <si>
    <t>B2293E65-1962-4004-AAEF-577E7904B0A2</t>
  </si>
  <si>
    <t>E840260D-A71D-4091-B767-F0EBD95A629D</t>
  </si>
  <si>
    <t>FBC116C2-900E-4CEB-A286-B0578A4F7584</t>
  </si>
  <si>
    <t>EB A-18ST2 EOWR.pdf</t>
  </si>
  <si>
    <t>Uploads\fbc116c2-900e-4ceb-a286-b0578a4f7584.pdf</t>
  </si>
  <si>
    <t>CE1FC207-E6D2-4256-9D0C-A0D810E9934A</t>
  </si>
  <si>
    <t>B1CEC6D6-614F-4054-B7B2-918984A1B91B</t>
  </si>
  <si>
    <t>EB-A18ST2 Rev 1.pdf</t>
  </si>
  <si>
    <t>Uploads\b1cec6d6-614f-4054-b7b2-918984a1b91b.pdf</t>
  </si>
  <si>
    <t>49DAB1F4-D186-4348-9664-1968CD080853</t>
  </si>
  <si>
    <t>8377E8C1-5E1B-4B93-9425-F10AFC81806E</t>
  </si>
  <si>
    <t>910FCF8D-029D-4720-BE3B-946BFCDEB9A2</t>
  </si>
  <si>
    <t>Timi-1 NOOP.pdf</t>
  </si>
  <si>
    <t>Uploads\910fcf8d-029d-4720-be3b-946bfcdeb9a2.pdf</t>
  </si>
  <si>
    <t>52C951C0-8CBF-4018-83DE-D68A01CF4CD4</t>
  </si>
  <si>
    <t>BA84ADA7-4A62-4487-BE8A-E61640C69AB0</t>
  </si>
  <si>
    <t>Timi-1 EOWR.pdf</t>
  </si>
  <si>
    <t>Uploads\ba84ada7-4a62-4487-be8a-e61640c69ab0.pdf</t>
  </si>
  <si>
    <t>B9F6B984-0B32-4687-8C6C-FDB31EEBA379</t>
  </si>
  <si>
    <t>D4B84545-D383-4EF8-9996-F11A9E1FCD94</t>
  </si>
  <si>
    <t>BD1A0C90-353D-4A04-8F42-9EEFB4389141</t>
  </si>
  <si>
    <t>Ruku Ruku-1 Shell MLNG Exploration - EOWR.pdf</t>
  </si>
  <si>
    <t>Uploads\bd1a0c90-353d-4a04-8f42-9eefb4389141.pdf</t>
  </si>
  <si>
    <t>8F816685-851B-455B-A944-08A7085FB60C</t>
  </si>
  <si>
    <t>11ECCBEF-D320-430D-BED5-CAA841A965C8</t>
  </si>
  <si>
    <t>Ruku Ruku-1_Final NOOP.pdf</t>
  </si>
  <si>
    <t>Uploads\11eccbef-d320-430d-bed5-caa841a965c8.pdf</t>
  </si>
  <si>
    <t>A96D6EF9-5051-452D-BA55-9A6A00F52C5F</t>
  </si>
  <si>
    <t>37E8BB80-B92D-4337-A7E0-F1961C5677CE</t>
  </si>
  <si>
    <t>EEEF15B1-BE78-49C0-9233-15CDD86BA3D2</t>
  </si>
  <si>
    <t>Sumandak Selatan B12ST1 NOOP.pdf</t>
  </si>
  <si>
    <t>Uploads\eeef15b1-be78-49c0-9233-15cdd86ba3d2.pdf</t>
  </si>
  <si>
    <t>0FEF9AB7-86F2-4E22-AC35-748644E52074</t>
  </si>
  <si>
    <t>5CCAAD66-F793-4C2B-ACD8-DAAC75617719</t>
  </si>
  <si>
    <t>Sumandak Selatan B12 ST1 FWR.pdf</t>
  </si>
  <si>
    <t>Uploads\5ccaad66-f793-4c2b-acd8-daac75617719.pdf</t>
  </si>
  <si>
    <t>5DA3B276-064E-49FD-B8D0-62FC1267B489</t>
  </si>
  <si>
    <t>E1742586-A8C2-48A7-9D9A-F29EB34F98BF</t>
  </si>
  <si>
    <t>58BC52F7-14E3-4059-B521-103961A5891A</t>
  </si>
  <si>
    <t>SUMANDAK TEPI C05 ST1_NOOP_2014_SB.pdf</t>
  </si>
  <si>
    <t>Uploads\58bc52f7-14e3-4059-b521-103961a5891a.pdf</t>
  </si>
  <si>
    <t>7D7EF960-9FDA-4540-B5ED-928BF3F8CCCE</t>
  </si>
  <si>
    <t>6EC63FE0-3123-4087-8CC6-F873EAE4F71C</t>
  </si>
  <si>
    <t>SBO3SMDPWS17_SUJT-C05_PCSB_FWR.pdf</t>
  </si>
  <si>
    <t>Uploads\6ec63fe0-3123-4087-8cc6-f873eae4f71c.pdf</t>
  </si>
  <si>
    <t>C2B939FD-EAD3-4C9F-AD8F-CDB6D2D30757</t>
  </si>
  <si>
    <t>15867950-46F0-46E5-AA23-F2AEC34DB6EB</t>
  </si>
  <si>
    <t>6A7184CB-D105-4C1F-87CC-F00201103A2B</t>
  </si>
  <si>
    <t>EOWR_Bergading D-3_ Rev0_21062017 - PETRONAS SUBMISSION_FINAL.pdf</t>
  </si>
  <si>
    <t>Uploads\6a7184cb-d105-4c1f-87cc-f00201103a2b.pdf</t>
  </si>
  <si>
    <t>32613EEC-C282-4D69-8C1F-C083E81C29BA</t>
  </si>
  <si>
    <t>8CFD6FE9-4A07-451A-8395-BF7E1C6BF3D3</t>
  </si>
  <si>
    <t>Bergading D-3 (D) R0_FINAL.pdf</t>
  </si>
  <si>
    <t>Uploads\8cfd6fe9-4a07-451a-8395-bf7e1c6bf3d3.pdf</t>
  </si>
  <si>
    <t>91246B29-2362-4910-B489-85D6806BD647</t>
  </si>
  <si>
    <t>7F5FC836-1F78-46E7-AE3B-F2C85C7A791D</t>
  </si>
  <si>
    <t>E91C25F6-2E92-4110-9C31-5D83019D611F</t>
  </si>
  <si>
    <t>Puteri Basement-1 PCSB FWR with Attachment Signed.pdf</t>
  </si>
  <si>
    <t>Uploads\e91c25f6-2e92-4110-9c31-5d83019d611f.pdf</t>
  </si>
  <si>
    <t>AAD1CFB0-B10E-4D36-A622-0E8366277866</t>
  </si>
  <si>
    <t>4AAC5A5A-13D3-414F-B20E-5396E0AE85BE</t>
  </si>
  <si>
    <t>Puteri Basement-1 NOOP Final Signed (1).pdf</t>
  </si>
  <si>
    <t>Uploads\4aac5a5a-13d3-414f-b20e-5396e0ae85be.pdf</t>
  </si>
  <si>
    <t>769B6486-60E3-4A8E-A563-6F0B13D1F080</t>
  </si>
  <si>
    <t>E01D4699-FAC1-4E5F-9C68-F32B21995A6F</t>
  </si>
  <si>
    <t>2D610B5E-7A01-4E8F-8767-ABF120DDE46F</t>
  </si>
  <si>
    <t>PESA-4 EOWR FINAL (APPROVED).pdf</t>
  </si>
  <si>
    <t>Uploads\2d610b5e-7a01-4e8f-8767-abf120dde46f.pdf</t>
  </si>
  <si>
    <t>6A948F4D-E0ED-4966-A8E9-6C638C229AD2</t>
  </si>
  <si>
    <t>A0CF7A10-1941-49C0-8AD9-4A3BD4469C54</t>
  </si>
  <si>
    <t>Uploads\a0cf7a10-1941-49c0-8ad9-4a3bd4469c54.pdf</t>
  </si>
  <si>
    <t>2320EA42-C7DC-4BB6-ABA4-719BA852D6F4</t>
  </si>
  <si>
    <t>2CFEB1E5-4BA3-4BCA-9DA5-F3D1FD26718A</t>
  </si>
  <si>
    <t>8DBEE637-A9AE-4466-A1B3-5BF13BFD5B9E</t>
  </si>
  <si>
    <t>Petronas FWR EW-123 ST2_Final-signed.pdf</t>
  </si>
  <si>
    <t>Uploads\8dbee637-a9ae-4466-a1b3-5bf13bfd5b9e.pdf</t>
  </si>
  <si>
    <t>FEC80EBE-D22B-4BA5-937A-D0C1A6FB34D5</t>
  </si>
  <si>
    <t>3D5FD160-474E-47D7-AFCF-7A4B4358243F</t>
  </si>
  <si>
    <t>Erb West EW123 ST2 NOOP_FINAL.pdf</t>
  </si>
  <si>
    <t>Uploads\3d5fd160-474e-47d7-afcf-7a4b4358243f.pdf</t>
  </si>
  <si>
    <t>DFB9D6FD-3C15-4274-B27A-D8779A55C404</t>
  </si>
  <si>
    <t>05A68438-4CAD-43AB-8C70-F464F384EB27</t>
  </si>
  <si>
    <t>BESA-11</t>
  </si>
  <si>
    <t>6DCFC77F-92C4-4488-A128-AD53221A3582</t>
  </si>
  <si>
    <t>MOM-SK309-69-DNC-RP-0004-00_BESA-11 EOWR.pdf</t>
  </si>
  <si>
    <t>Uploads\6dcfc77f-92c4-4488-a128-ad53221a3582.pdf</t>
  </si>
  <si>
    <t>B77C8350-3796-4580-9AF4-236D74882544</t>
  </si>
  <si>
    <t>DBC2B5AE-43D3-47A1-9B59-8891E7D18AA9</t>
  </si>
  <si>
    <t>Uploads\dbc2b5ae-43d3-47a1-9b59-8891e7d18aa9.pdf</t>
  </si>
  <si>
    <t>BC248618-585C-457B-B1CD-3B01430CB509</t>
  </si>
  <si>
    <t>66563E73-6D89-47D6-A0B4-F4CDBE17FBAB</t>
  </si>
  <si>
    <t>D3A5BB1C-A6C1-4EB1-818D-E359B403DFE7</t>
  </si>
  <si>
    <t>Uploads\d3a5bb1c-a6c1-4eb1-818d-e359b403dfe7.pdf</t>
  </si>
  <si>
    <t>2550AEF5-B058-411F-8C95-B3DA6CA16696</t>
  </si>
  <si>
    <t>03FC669B-F4CA-49EA-83A4-B0D4DC4F110D</t>
  </si>
  <si>
    <t>SASA-13 EOWR.pdf</t>
  </si>
  <si>
    <t>Uploads\03fc669b-f4ca-49ea-83a4-b0d4dc4f110d.pdf</t>
  </si>
  <si>
    <t>5B160A86-99CC-43DF-B5A3-8F4EA5193325</t>
  </si>
  <si>
    <t>E3C0ABE3-FF0E-49E9-BFDB-F5417AF5278F</t>
  </si>
  <si>
    <t>1435249C-A846-442A-9651-882B01D00EB5</t>
  </si>
  <si>
    <t>Uploads\1435249c-a846-442a-9651-882b01d00eb5.pdf</t>
  </si>
  <si>
    <t>9F06C4F9-C734-41A4-A108-E946EBB09252</t>
  </si>
  <si>
    <t>4CC669F2-109C-4398-85E8-ABF8871D4C0A</t>
  </si>
  <si>
    <t>EOWR_Bunga Zetung A-4C.pdf</t>
  </si>
  <si>
    <t>Uploads\4cc669f2-109c-4398-85e8-abf8871d4c0a.pdf</t>
  </si>
  <si>
    <t>3BDC5399-0EA8-401D-83B8-BC94A7D7547D</t>
  </si>
  <si>
    <t>4811A89C-2F89-460C-90D1-F5EA823EFDAE</t>
  </si>
  <si>
    <t>59EEC20C-FB5E-4B35-8232-8717DC6FFE36</t>
  </si>
  <si>
    <t>Ginseng-1 NOOP.pdf</t>
  </si>
  <si>
    <t>Uploads\59eec20c-fb5e-4b35-8232-8717dc6ffe36.pdf</t>
  </si>
  <si>
    <t>C56D9257-F005-487F-98AA-2F24832A00C5</t>
  </si>
  <si>
    <t>8AADE213-91BA-4237-8F39-0F96A0E4D7FB</t>
  </si>
  <si>
    <t>Ginseng-1 Final Well Report.pdf</t>
  </si>
  <si>
    <t>Uploads\8aade213-91ba-4237-8f39-0f96a0e4d7fb.pdf</t>
  </si>
  <si>
    <t>DCE5CA9C-5D05-4240-8228-19EBC611BE2D</t>
  </si>
  <si>
    <t>78BA28A5-BF57-4255-A6F5-F61C539B2F5C</t>
  </si>
  <si>
    <t>8549EB46-BED2-4973-8555-B4A917850B58</t>
  </si>
  <si>
    <t>MLK-113 EOWR_Petronas version.pdf</t>
  </si>
  <si>
    <t>Uploads\8549eb46-bed2-4973-8555-b4a917850b58.pdf</t>
  </si>
  <si>
    <t>1898C761-76D5-4E4D-AB58-9954383078D8</t>
  </si>
  <si>
    <t>C254A9A0-FB5E-4BD5-89BE-FCC9DA1A0E94</t>
  </si>
  <si>
    <t>MLK-113 P402 NOOP_Final for Issue.pdf</t>
  </si>
  <si>
    <t>Uploads\c254a9a0-fb5e-4bd5-89be-fcc9da1a0e94.pdf</t>
  </si>
  <si>
    <t>D721DA66-9A0A-4C59-9CD9-72FB81E59F60</t>
  </si>
  <si>
    <t>0EDAF336-3A62-419F-AA25-F63B1471C432</t>
  </si>
  <si>
    <t>5CD8A746-E796-4837-9B45-CC98E04C667C</t>
  </si>
  <si>
    <t>Gorek-104 (NE) NOOP_Final_Rev2.pdf</t>
  </si>
  <si>
    <t>Uploads\5cd8a746-e796-4837-9b45-cc98e04c667c.pdf</t>
  </si>
  <si>
    <t>BD30F829-16CA-4DDE-A179-B8377C732881</t>
  </si>
  <si>
    <t>EF81E746-AB3A-4A5B-A80F-BD3395AD7047</t>
  </si>
  <si>
    <t>Gorek-104 FDCR_EOWR_Final_Rev0.0_S.pdf</t>
  </si>
  <si>
    <t>Uploads\ef81e746-ab3a-4a5b-a80f-bd3395ad7047.pdf</t>
  </si>
  <si>
    <t>DC2C930A-7EE5-4221-8A83-5DE4B5098AF5</t>
  </si>
  <si>
    <t>6A0110E4-7F12-4A98-BD54-F6669B8DB406</t>
  </si>
  <si>
    <t>2B363CD7-9BB6-4721-9123-6BB270965572</t>
  </si>
  <si>
    <t>SKO3SRIHWS01_SIRIH_1.pdf</t>
  </si>
  <si>
    <t>Uploads\2b363cd7-9bb6-4721-9123-6bb270965572.pdf</t>
  </si>
  <si>
    <t>EEDCE4B0-1910-4918-8A26-42886E7A5DC2</t>
  </si>
  <si>
    <t>7437F00B-13CF-47B0-9849-B51900D2EB25</t>
  </si>
  <si>
    <t>Sirih-1 FWR.pdf</t>
  </si>
  <si>
    <t>Uploads\7437f00b-13cf-47b0-9849-b51900d2eb25.pdf</t>
  </si>
  <si>
    <t>C2D1C526-A539-499E-AA5B-66E57F8A31B6</t>
  </si>
  <si>
    <t>C17B2C05-6636-4282-9FE1-F72F7906F533</t>
  </si>
  <si>
    <t>41EBF622-7636-4683-89CC-2312A050D2D0</t>
  </si>
  <si>
    <t>Realgar 2_Notice of Operation PETRONAS (NOOP) Rev 1.pdf</t>
  </si>
  <si>
    <t>Uploads\41ebf622-7636-4683-89cc-2312a050d2d0.pdf</t>
  </si>
  <si>
    <t>EBF56C5B-37AC-445E-9530-D1AC1380FD8D</t>
  </si>
  <si>
    <t>7EDEE6BF-D787-4FA3-AD3E-52FF30C13049</t>
  </si>
  <si>
    <t>Realgar-2 EOWR.pdf</t>
  </si>
  <si>
    <t>Uploads\7edee6bf-d787-4fa3-ad3e-52ff30c13049.pdf</t>
  </si>
  <si>
    <t>AAD994E5-ACCD-442D-A0DE-7FD1695041B5</t>
  </si>
  <si>
    <t>EC745227-99A5-4C51-8D93-F7724F9CF833</t>
  </si>
  <si>
    <t>E0081435-2B32-4F99-9190-F3A6300A72DA</t>
  </si>
  <si>
    <t>BERGADING-A7 FWR.pdf</t>
  </si>
  <si>
    <t>Uploads\e0081435-2b32-4f99-9190-f3a6300a72da.pdf</t>
  </si>
  <si>
    <t>216F3B80-A592-4AF5-B716-14BED6BB4608</t>
  </si>
  <si>
    <t>529F6B77-7017-4D72-9580-D85714243DC6</t>
  </si>
  <si>
    <t>NOOP - BRG A-7(O) - FINAL SIGNED.pdf</t>
  </si>
  <si>
    <t>Uploads\529f6b77-7017-4d72-9580-d85714243dc6.pdf</t>
  </si>
  <si>
    <t>9931BA3F-572E-4C37-98B3-84BE0CB05D97</t>
  </si>
  <si>
    <t>995E27D7-238C-4FA8-9061-F7B49063329D</t>
  </si>
  <si>
    <t>0B338BEA-2C32-4BFF-B994-D13FA36467D2</t>
  </si>
  <si>
    <t>BPA-4 EOWR.pdf</t>
  </si>
  <si>
    <t>Uploads\0b338bea-2c32-4bff-b994-d13fa36467d2.pdf</t>
  </si>
  <si>
    <t>E6F69585-3E95-49DC-AF6E-7B9AD74D1C76</t>
  </si>
  <si>
    <t>C082F4E0-7702-423B-A0DB-4641A832096C</t>
  </si>
  <si>
    <t>BPA-4 NOOP.pdf</t>
  </si>
  <si>
    <t>Uploads\c082f4e0-7702-423b-a0db-4641a832096c.pdf</t>
  </si>
  <si>
    <t>5745A42E-862E-49A0-B5AB-877BA7FCDF10</t>
  </si>
  <si>
    <t>EFCEEB6A-4644-47DC-8BF3-F84BCB3E9BE7</t>
  </si>
  <si>
    <t>148591C3-1130-43BB-A0C3-4A2BC6700282</t>
  </si>
  <si>
    <t>TBK-B1.pdf</t>
  </si>
  <si>
    <t>Uploads\148591c3-1130-43bb-a0c3-4a2bc6700282.pdf</t>
  </si>
  <si>
    <t>25A8264D-1044-4D1A-B9B4-16C4CDE239D8</t>
  </si>
  <si>
    <t>77DE2F8D-25BD-408C-857F-0A522014658E</t>
  </si>
  <si>
    <t>TBK-B1 Final Well Report.pdf</t>
  </si>
  <si>
    <t>TBK-B1 Final Well Report</t>
  </si>
  <si>
    <t>Uploads\77de2f8d-25bd-408c-857f-0a522014658e.pdf</t>
  </si>
  <si>
    <t>6BB64B34-7E76-49C7-B588-05AFD09CE3D4</t>
  </si>
  <si>
    <t>774C6005-69D0-4D46-92D7-F90316946C09</t>
  </si>
  <si>
    <t>0AE37EC9-2C37-479D-A538-7F8100C82446</t>
  </si>
  <si>
    <t>JTG-A3 Final Well Report_2020_01_23.pdf</t>
  </si>
  <si>
    <t>JTG-A3 Final Well Report_2020_01_23</t>
  </si>
  <si>
    <t>Uploads\0ae37ec9-2c37-479d-a538-7f8100c82446.pdf</t>
  </si>
  <si>
    <t>FC451BF4-40FB-49A9-8794-C38A8CDA9674</t>
  </si>
  <si>
    <t>34CFCA4D-6712-4AC8-85D0-21EDC9CA06C9</t>
  </si>
  <si>
    <t>NOOP JTG-A3.pdf</t>
  </si>
  <si>
    <t>NOOP JTG-A3</t>
  </si>
  <si>
    <t>Uploads\34cfca4d-6712-4ac8-85d0-21edc9ca06c9.pdf</t>
  </si>
  <si>
    <t>F574097A-947F-47CB-84C2-1EF31C9B3492</t>
  </si>
  <si>
    <t>DBBAADF9-E3A9-4A7C-A76E-F922E213409B</t>
  </si>
  <si>
    <t>A7730616-DB1F-4DAE-882C-4FDE2245AC62</t>
  </si>
  <si>
    <t>SBO3SBO-WS7R_S-SW1-W1_PTTEP_NOOP.pdf</t>
  </si>
  <si>
    <t>Uploads\a7730616-db1f-4dae-882c-4fde2245ac62.pdf</t>
  </si>
  <si>
    <t>B9A670D8-F05C-4A30-BA21-89F5CC731385</t>
  </si>
  <si>
    <t>B25CF660-A2A6-476D-ABA5-9504044F89EF</t>
  </si>
  <si>
    <t>SBO3SKNPWS66_S-SW1-W1_PTTEP_FWR.pdf</t>
  </si>
  <si>
    <t>SBO3SKNPWS66_S-SW1-W1_PTTEP_FWR</t>
  </si>
  <si>
    <t>Uploads\b25cf660-a2a6-476d-aba5-9504044f89ef.pdf</t>
  </si>
  <si>
    <t>C45EF3C4-07B4-44BE-88CF-437AC6537B7C</t>
  </si>
  <si>
    <t>F851E81F-F989-4B28-AEDD-F94E72EA048C</t>
  </si>
  <si>
    <t>68C57862-0F2E-4F80-972E-DFBD68143A7C</t>
  </si>
  <si>
    <t>SKO3D18-WS1G_D18-8.pdf</t>
  </si>
  <si>
    <t>Uploads\68c57862-0f2e-4f80-972e-dfbd68143a7c.pdf</t>
  </si>
  <si>
    <t>17E3C364-36C8-4C50-B091-D70BCDE00DD7</t>
  </si>
  <si>
    <t>C89ABFD8-8A4C-4E09-AF0E-1D026BF36FA3</t>
  </si>
  <si>
    <t>SKO3D18-GL12_D18-8.pdf</t>
  </si>
  <si>
    <t>Uploads\c89abfd8-8a4c-4e09-af0e-1d026bf36fa3.pdf</t>
  </si>
  <si>
    <t>78268B71-B0D6-49F8-BC45-D7AFB76D5458</t>
  </si>
  <si>
    <t>D98B00EB-9DFE-4A3D-94B6-FA3B13751E8F</t>
  </si>
  <si>
    <t>F55B28AF-24F0-4A0A-8EA7-8697171C15F8</t>
  </si>
  <si>
    <t>EOWR Malikai-121S1 FINAL.pdf</t>
  </si>
  <si>
    <t>Uploads\f55b28af-24f0-4a0a-8ea7-8697171c15f8.pdf</t>
  </si>
  <si>
    <t>DF94C736-E12A-4537-8CE2-9229E879F91F</t>
  </si>
  <si>
    <t>575CACDD-5AB1-4A6C-8F17-BDC086AF39C1</t>
  </si>
  <si>
    <t>MLK-121 S1 KMU2 WI  - NOOP v2.pdf</t>
  </si>
  <si>
    <t>Uploads\575cacdd-5ab1-4a6c-8f17-bdc086af39c1.pdf</t>
  </si>
  <si>
    <t>960289B1-7630-4E06-9DD0-4D449097F683</t>
  </si>
  <si>
    <t>A28FA296-32AE-4194-8858-FA81DAF5F066</t>
  </si>
  <si>
    <t>8D839A25-B9DD-4F16-917E-1F0D3E7AC181</t>
  </si>
  <si>
    <t>PMO3INASWS44_INAS-8.pdf</t>
  </si>
  <si>
    <t>Uploads\8d839a25-b9dd-4f16-917e-1f0d3e7ac181.pdf</t>
  </si>
  <si>
    <t>C05E6C2C-1C45-4BA6-91F5-F6A114F0C4F4</t>
  </si>
  <si>
    <t>6C619DEE-FC19-4B41-A5EF-375503168187</t>
  </si>
  <si>
    <t>PMO3INASWS42_INAS-8_NOOP.pdf</t>
  </si>
  <si>
    <t>PMO3INASWS42_INAS-8_NOOP</t>
  </si>
  <si>
    <t>Uploads\6c619dee-fc19-4b41-a5ef-375503168187.pdf</t>
  </si>
  <si>
    <t>A4476F22-7A68-4568-B126-9725E4078428</t>
  </si>
  <si>
    <t>8032D158-960F-4168-9D3C-FAC7F475D7F2</t>
  </si>
  <si>
    <t>EB543DE0-DB55-48EC-9B06-BEAF5B2D7F91</t>
  </si>
  <si>
    <t>SBO3NSNGWS11_NOSONG-3_FWR.pdf</t>
  </si>
  <si>
    <t>Uploads\eb543de0-db55-48ec-9b06-beaf5b2d7f91.pdf</t>
  </si>
  <si>
    <t>16121B87-8685-4E3A-BD9F-9E7B96EE0592</t>
  </si>
  <si>
    <t>EEC7AA84-9B13-4261-A4E4-6911A2648BE3</t>
  </si>
  <si>
    <t>NOOP NOSONG-3_PCSB.pdf</t>
  </si>
  <si>
    <t>Uploads\eec7aa84-9b13-4261-a4e4-6911a2648be3.pdf</t>
  </si>
  <si>
    <t>DAA41139-FD62-4074-B35A-E79E39223823</t>
  </si>
  <si>
    <t>6F69F265-5A93-4C77-BF06-FAEAF0BFEDA1</t>
  </si>
  <si>
    <t>53DEEEBE-CE7E-4969-8439-AF446C9D7777</t>
  </si>
  <si>
    <t>Bergading A-10ST1.pdf</t>
  </si>
  <si>
    <t>Uploads\53deeebe-ce7e-4969-8439-af446c9d7777.pdf</t>
  </si>
  <si>
    <t>09F78FD9-3A6F-4F70-ACEB-C44B212DC6D8</t>
  </si>
  <si>
    <t>F77F7171-1E29-41E9-BE6A-6E800E6C5E73</t>
  </si>
  <si>
    <t>BRG A-10(P).pdf</t>
  </si>
  <si>
    <t>Uploads\f77f7171-1e29-41e9-be6a-6e800e6c5e73.pdf</t>
  </si>
  <si>
    <t>3EE6303A-292E-4375-AA34-732C7D305170</t>
  </si>
  <si>
    <t>6D34B4B6-36A0-4E54-BC5D-FAF89ABA4FE7</t>
  </si>
  <si>
    <t>CB96C60B-1CC6-4D00-B47E-61B8A4F8E456</t>
  </si>
  <si>
    <t>TANGGA BARAT A03-NOOP_2011_PM.pdf</t>
  </si>
  <si>
    <t>Uploads\cb96c60b-1cc6-4d00-b47e-61b8a4f8e456.pdf</t>
  </si>
  <si>
    <t>33DFC83A-2E30-430D-91C0-6DBDADBBA811</t>
  </si>
  <si>
    <t>3357AC51-E686-4B3F-BD6D-6E3880BF6CD2</t>
  </si>
  <si>
    <t>PMO3TNGBWS50_TNGB-A3_FWR.pdf</t>
  </si>
  <si>
    <t>Uploads\3357ac51-e686-4b3f-bd6d-6e3880bf6cd2.pdf</t>
  </si>
  <si>
    <t>ECF53ABC-7BE3-4F75-837C-45887AD18482</t>
  </si>
  <si>
    <t>12C3F4BA-E2AA-4DEA-9333-FB4A5436F1DA</t>
  </si>
  <si>
    <t>E57E1705-F77F-4BD7-BD2A-A07849A23094</t>
  </si>
  <si>
    <t>SBO3SMRGWSES_SM-111_PCSB_FWR.pdf</t>
  </si>
  <si>
    <t>Uploads\e57e1705-f77f-4bd7-bd2a-a07849a23094.pdf</t>
  </si>
  <si>
    <t>48BF97CE-3213-46DE-B3BB-10CD5DC449A5</t>
  </si>
  <si>
    <t>96BC68A0-5BD9-460E-9309-CC423699F7F8</t>
  </si>
  <si>
    <t>SBO3SMRGGL37_SM-111_PCSB_NOOP.pdf</t>
  </si>
  <si>
    <t>Uploads\96bc68a0-5bd9-460e-9309-cc423699f7f8.pdf</t>
  </si>
  <si>
    <t>64D82929-E643-4A1A-8630-74171C2D10ED</t>
  </si>
  <si>
    <t>77EA99A7-1504-432F-AD53-FBD817747544</t>
  </si>
  <si>
    <t>BA3C843E-B7A7-4B54-B8CA-54A0EFF5977A</t>
  </si>
  <si>
    <t>2. NOOP Bekok BB20.pdf</t>
  </si>
  <si>
    <t>Uploads\ba3c843e-b7a7-4b54-b8ca-54a0eff5977a.pdf</t>
  </si>
  <si>
    <t>F3E6143D-D711-4471-BEE7-BC4F2F9B13C4</t>
  </si>
  <si>
    <t>D183FC72-B63C-4B5E-9BF6-22A0B91935D1</t>
  </si>
  <si>
    <t>BB20 Final Well Report Final REV6.pdf</t>
  </si>
  <si>
    <t>Uploads\d183fc72-b63c-4b5e-9bf6-22a0b91935d1.pdf</t>
  </si>
  <si>
    <t>A571A023-D53F-4F83-B468-F919F35EE549</t>
  </si>
  <si>
    <t>2A7EACCC-8D6B-4A0B-A024-FBF692993476</t>
  </si>
  <si>
    <t>0EF6B98A-727E-4D76-9368-0C3A3DFB1CE6</t>
  </si>
  <si>
    <t>SK408 Jerun-A2 Final Well Report R1.pdf</t>
  </si>
  <si>
    <t>Uploads\0ef6b98a-727e-4d76-9368-0c3a3dfb1ce6.pdf</t>
  </si>
  <si>
    <t>943FA87E-00F1-446E-B406-7ED165518691</t>
  </si>
  <si>
    <t>C4ABEE95-BCC1-466C-B42C-802885A8937E</t>
  </si>
  <si>
    <t>Uploads\c4abee95-bcc1-466c-b42c-802885a8937e.pdf</t>
  </si>
  <si>
    <t>171E3E84-8B6A-4C65-8F87-6BFC84049703</t>
  </si>
  <si>
    <t>C33D88BB-FEC9-4A6C-BE47-FC3E4094E4B5</t>
  </si>
  <si>
    <t>2DDABE9C-B1BE-4A53-9744-629BFFBB75CD</t>
  </si>
  <si>
    <t>Uploads\2ddabe9c-b1be-4a53-9744-629bffbb75cd.pdf</t>
  </si>
  <si>
    <t>4A430F83-E7D5-43B5-910A-FFE577EFB143</t>
  </si>
  <si>
    <t>56EDA4A0-611D-4386-8779-F0DF381C52FF</t>
  </si>
  <si>
    <t>PMO3MRNTWS14_MERANTI-M3.pdf</t>
  </si>
  <si>
    <t>Uploads\56eda4a0-611d-4386-8779-f0df381c52ff.pdf</t>
  </si>
  <si>
    <t>709FF21F-9802-4C0D-B0AE-B92357C2E819</t>
  </si>
  <si>
    <t>8F27B3DE-FF98-4F4B-89CC-FD33944756EA</t>
  </si>
  <si>
    <t>397B146E-1445-4AB5-83CC-02347470628D</t>
  </si>
  <si>
    <t>BARAM-41SR FWR.pdf</t>
  </si>
  <si>
    <t>Uploads\397b146e-1445-4ab5-83cc-02347470628d.pdf</t>
  </si>
  <si>
    <t>15AFADE5-1931-43DB-9174-D5B400E21CC2</t>
  </si>
  <si>
    <t>572AD258-59E1-4E02-96AF-D13D414540B8</t>
  </si>
  <si>
    <t>SKO3BARMWS5L_BA-41 SR.pdf</t>
  </si>
  <si>
    <t>Uploads\572ad258-59e1-4e02-96af-d13d414540b8.pdf</t>
  </si>
  <si>
    <t>EF077543-52EB-4E21-AE3A-97C349F98417</t>
  </si>
  <si>
    <t>3B4B7714-7679-4930-ACB2-FD3F854E2D01</t>
  </si>
  <si>
    <t>834FDE9D-8D13-44A5-95F4-AA51B6B55CB4</t>
  </si>
  <si>
    <t>Kayu Sugi-1 Internal Copy.pdf</t>
  </si>
  <si>
    <t>Uploads\834fde9d-8d13-44a5-95f4-aa51b6b55cb4.pdf</t>
  </si>
  <si>
    <t>DD7584A8-7C09-4BC9-8355-95A3D1A814C8</t>
  </si>
  <si>
    <t>3BC0DFA5-3817-4C70-975E-A61F8D806674</t>
  </si>
  <si>
    <t>KAYU SUGI-1 FWR WITH ATTACHMENT.pdf</t>
  </si>
  <si>
    <t>Uploads\3bc0dfa5-3817-4c70-975e-a61f8d806674.pdf</t>
  </si>
  <si>
    <t>91936226-19A3-499F-BEC3-1F76DE87FA54</t>
  </si>
  <si>
    <t>DFB2A8CE-182F-4379-95DA-FD4603FABA1F</t>
  </si>
  <si>
    <t>A02A7691-87CD-421F-8A46-86FFBB02DF96</t>
  </si>
  <si>
    <t>SK408 Jerun-A3 Final Well Report_FINAL.pdf</t>
  </si>
  <si>
    <t>Uploads\a02a7691-87cd-421f-8a46-86ffbb02df96.pdf</t>
  </si>
  <si>
    <t>680C1BDE-A30B-4727-B57B-46DB90226A47</t>
  </si>
  <si>
    <t>8DA351FC-F990-4529-A885-9AE4D8FAEF34</t>
  </si>
  <si>
    <t>Uploads\8da351fc-f990-4529-a885-9ae4d8faef34.pdf</t>
  </si>
  <si>
    <t>DC8711DC-39B1-48A4-B00A-394344653E71</t>
  </si>
  <si>
    <t>5C36FD56-EAAB-4212-9131-FDEE74C2DD4B</t>
  </si>
  <si>
    <t>D95EC534-B495-413D-AE37-0060090BB427</t>
  </si>
  <si>
    <t>Uploads\d95ec534-b495-413d-ae37-0060090bb427.pdf</t>
  </si>
  <si>
    <t>95BCFA37-460F-4A9A-B7A1-DECF595B2E76</t>
  </si>
  <si>
    <t>308F03E2-EB10-431B-8715-0A9B055AD611</t>
  </si>
  <si>
    <t>MOM-SK309-69-DNC-RP-0005-00_BESA-12 EOWR.pdf</t>
  </si>
  <si>
    <t>Uploads\308f03e2-eb10-431b-8715-0a9b055ad611.pdf</t>
  </si>
  <si>
    <t>6AC42EAE-6F91-4843-9763-04B15F93ECDE</t>
  </si>
  <si>
    <t>C6C11A41-EC14-42C5-A90E-FE1C4C30F1C9</t>
  </si>
  <si>
    <t>3256251C-2868-420A-8DDF-E767F9077B25</t>
  </si>
  <si>
    <t>CD-C12 Final Well Report.pdf</t>
  </si>
  <si>
    <t>Uploads\3256251c-2868-420a-8ddf-e767f9077b25.pdf</t>
  </si>
  <si>
    <t>0070D97F-BBA0-439C-B9D4-7AF7A03AF2E9</t>
  </si>
  <si>
    <t>0D9D7CC8-1C77-497F-AD60-42D2582BADF4</t>
  </si>
  <si>
    <t>CD-C12 (Slot 6A CDW-C Platform) SIGNED NOOP.pdf</t>
  </si>
  <si>
    <t>Uploads\0d9d7cc8-1c77-497f-ad60-42d2582badf4.pdf</t>
  </si>
  <si>
    <t>F4EFAECE-ED63-489F-A1A0-16B18FED5B58</t>
  </si>
  <si>
    <t>63CFEDFE-1073-488A-A04E-FE6C7837869E</t>
  </si>
  <si>
    <t>73A96D4A-EA1B-4991-928F-2D7F2F1879CF</t>
  </si>
  <si>
    <t>Beduk-1 End of Well Report.pdf</t>
  </si>
  <si>
    <t>Uploads\73a96d4a-ea1b-4991-928f-2d7f2f1879cf.pdf</t>
  </si>
  <si>
    <t>D0146883-2920-49EC-94EA-2A52C6F5D4AE</t>
  </si>
  <si>
    <t>E39E2DF0-9744-4410-AD1F-FAF771600C9F</t>
  </si>
  <si>
    <t>Beduk-1 NOOP.pdf</t>
  </si>
  <si>
    <t>Uploads\e39e2df0-9744-4410-ad1f-faf771600c9f.pdf</t>
  </si>
  <si>
    <t>EC9DEAD8-8D93-41BF-8577-5345A02F774B</t>
  </si>
  <si>
    <t>7C7D1D3D-AA19-4A90-A294-FE753BB073A0</t>
  </si>
  <si>
    <t>7CBC47D0-ACFC-47B5-90CF-5B99AB355042</t>
  </si>
  <si>
    <t>SKO3KUMSWS02_MERAPUH-5_NOOP_PTTEP.pdf</t>
  </si>
  <si>
    <t>Uploads\7cbc47d0-acfc-47b5-90cf-5b99ab355042.pdf</t>
  </si>
  <si>
    <t>6CA98EAC-AAA8-4957-9481-D3FDD758210D</t>
  </si>
  <si>
    <t>ED60DD2D-BD15-45AC-8D33-AFC327F92A7A</t>
  </si>
  <si>
    <t>Merapuh-5 EOWR.pdf</t>
  </si>
  <si>
    <t>Uploads\ed60dd2d-bd15-45ac-8d33-afc327f92a7a.pdf</t>
  </si>
  <si>
    <t>14FCDA34-9181-4A8C-992A-4CCCDF6D92AF</t>
  </si>
  <si>
    <t>0310E566-2E9A-49E4-B772-FE8298B34F67</t>
  </si>
  <si>
    <t>90C7CB09-8456-4D92-9A0B-85729B442500</t>
  </si>
  <si>
    <t>Uploads\90c7cb09-8456-4d92-9a0b-85729b442500.pdf</t>
  </si>
  <si>
    <t>5E43E28C-E396-438C-90F6-1E89CDAC9C23</t>
  </si>
  <si>
    <t>5A4C304D-0504-49B3-8738-1D1AF8190EB8</t>
  </si>
  <si>
    <t>MOM-SK309-69-DNC-RP-0002-00_BESA-02 EOWR.pdf</t>
  </si>
  <si>
    <t>Uploads\5a4c304d-0504-49b3-8738-1d1af8190eb8.pdf</t>
  </si>
  <si>
    <t>F14EAC29-A3AC-44F0-9D46-3DB7CCFDF8CE</t>
  </si>
  <si>
    <t>182F0787-6A25-4456-A20C-FF00B85E7852</t>
  </si>
  <si>
    <t>31BD8B2C-8DEE-42A8-A118-9D500CDC041F</t>
  </si>
  <si>
    <t>TEMANA-81ST2 FWR.pdf</t>
  </si>
  <si>
    <t>Uploads\31bd8b2c-8dee-42a8-a118-9d500cdc041f.pdf</t>
  </si>
  <si>
    <t>0C6FAA45-52B4-4623-9F78-E465BE2964B7</t>
  </si>
  <si>
    <t>D662D3C0-2611-4570-B345-A1F75F9F3163</t>
  </si>
  <si>
    <t>Temana EMP 1.0 TE-81 NOOP Final with KPI.pdf</t>
  </si>
  <si>
    <t>Uploads\d662d3c0-2611-4570-b345-a1f75f9f3163.pdf</t>
  </si>
  <si>
    <t>B8571EDF-D513-4F2A-822A-8B9DAB0D5F79</t>
  </si>
  <si>
    <t>855F11AD-F260-4F1C-B7E8-FF2691F1EBA6</t>
  </si>
  <si>
    <t>30237C3F-4914-412F-B264-B3B3721E8B50</t>
  </si>
  <si>
    <t>SKO3WPPBGL6374_WPPB_17.pdf</t>
  </si>
  <si>
    <t>Uploads\30237c3f-4914-412f-b264-b3b3721e8b50.pdf</t>
  </si>
  <si>
    <t>F3DBCD0F-A2DB-40F1-80DD-AFC7DE11101E</t>
  </si>
  <si>
    <t>C7D0209F-FAA6-4B67-8567-A2C7BAF35E8C</t>
  </si>
  <si>
    <t>Uploads\c7d0209f-faa6-4b67-8567-a2c7baf35e8c.pdf</t>
  </si>
  <si>
    <t>43276DBE-507E-4A1C-B61E-62B26FE4FE34</t>
  </si>
  <si>
    <t>851C4D55-D8C1-407B-B33F-FF28B7D46305</t>
  </si>
  <si>
    <t>E934F20C-EFAF-48A4-AAF7-4D2A4E401052</t>
  </si>
  <si>
    <t>BERANANG WEST-1_NOOP_2013_PM.pdf</t>
  </si>
  <si>
    <t>Uploads\e934f20c-efaf-48a4-aaf7-4d2a4e401052.pdf</t>
  </si>
  <si>
    <t>8BDAC901-7E3D-4F1F-9E43-4CC38DE38D2A</t>
  </si>
  <si>
    <t>B0EDFAB8-BAEA-4BE6-B992-5307BD4277FE</t>
  </si>
  <si>
    <t>Beranang West-1 FWR.pdf</t>
  </si>
  <si>
    <t>Uploads\b0edfab8-baea-4be6-b992-5307bd4277fe.pdf</t>
  </si>
  <si>
    <t>384A1CE2-26FF-490A-A42C-335D704525F4</t>
  </si>
  <si>
    <t>EA1898FC-F109-41F4-BC15-FFB490A1BB26</t>
  </si>
  <si>
    <t>586C3531-5F16-4A2B-A58E-89AE48AA44E8</t>
  </si>
  <si>
    <t>Zaitun-1 Notice of Operations Rev 3.pdf</t>
  </si>
  <si>
    <t>Uploads\586c3531-5f16-4a2b-a58e-89ae48aa44e8.pdf</t>
  </si>
  <si>
    <t>4C563412-8A41-4269-B8C4-B5F7D5D224C5</t>
  </si>
  <si>
    <t>B82F0D9B-3883-4B49-99B8-00C7A9777B77</t>
  </si>
  <si>
    <t>Zaitun 1 and ST1_V2 EOWR.pdf</t>
  </si>
  <si>
    <t>Uploads\b82f0d9b-3883-4b49-99b8-00c7a9777b77.pdf</t>
  </si>
  <si>
    <t>B029DF50-AE04-47EA-B3D2-3B305DD25C67</t>
  </si>
  <si>
    <t>9BF6A158-1C21-42C7-971F-FFED774A063C</t>
  </si>
  <si>
    <t>5B47D144-9462-4E6E-8A01-F04F31E12C88</t>
  </si>
  <si>
    <t>TK-42 ST1 FINALIZED Petronas Final Well Report.pdf</t>
  </si>
  <si>
    <t>Uploads\5b47d144-9462-4e6e-8a01-f04f31e12c88.pdf</t>
  </si>
  <si>
    <t>3878F3F1-8CEB-4DEB-8258-AF85DA15C17C</t>
  </si>
  <si>
    <t>A3A59DFF-DD03-4F66-B0B0-5C025213C752</t>
  </si>
  <si>
    <t>NOOP TK-42 ST1 (Rev1)_Approved.pdf</t>
  </si>
  <si>
    <t>Uploads\a3a59dff-dd03-4f66-b0b0-5c025213c752.pdf</t>
  </si>
  <si>
    <t>7E52094C-557B-4592-8F97-13BAACBA7D45</t>
  </si>
  <si>
    <t>003597D2-FEE8-4979-976B-051D135F3849</t>
  </si>
  <si>
    <t>9BB1CD70-0EC6-43ED-B3C5-C7D8C72CEB6F</t>
  </si>
  <si>
    <t>SK310 B15-A1ST1 End of Well Report W Appendix (Signed).pdf</t>
  </si>
  <si>
    <t>Uploads\9bb1cd70-0ec6-43ed-b3c5-c7d8c72ceb6f.pdf</t>
  </si>
  <si>
    <t>80C6B0AF-22B6-44FA-9744-1DAE96A0B5C3</t>
  </si>
  <si>
    <t>BBC5F68B-A4D5-4F1E-971F-F255358AC289</t>
  </si>
  <si>
    <t>B15 A1 NOOP.pdf</t>
  </si>
  <si>
    <t>Uploads\bbc5f68b-a4d5-4f1e-971f-f255358ac289.pdf</t>
  </si>
  <si>
    <t>CBDEC4A4-E34F-48F6-8E43-C0A1F47F7974</t>
  </si>
  <si>
    <t>AFB775F1-FBE5-4A1A-BCBB-3C8213A0EC1E</t>
  </si>
  <si>
    <t>A621AE1F-8B41-4B21-966A-05CF3A2978A9</t>
  </si>
  <si>
    <t>SKO3BARSGL6000_BARAM-H14_PCSB.PDF</t>
  </si>
  <si>
    <t>Uploads\a621ae1f-8b41-4b21-966a-05cf3a2978a9.pdf</t>
  </si>
  <si>
    <t>659C0FCE-A48F-4F03-BD15-1F6E8FEBBC76</t>
  </si>
  <si>
    <t>A68AF565-8908-46B2-B590-04B944B808F8</t>
  </si>
  <si>
    <t>Baram-H14 Final Well Report_Approved.pdf</t>
  </si>
  <si>
    <t>Uploads\a68af565-8908-46b2-b590-04b944b808f8.pdf</t>
  </si>
  <si>
    <t>4743641A-5E6C-4E47-A145-4496E0267442</t>
  </si>
  <si>
    <t>50DD4A19-DE9D-460C-9EA9-CBB61E98DB15</t>
  </si>
  <si>
    <t>D33ACB04-58E4-499B-8287-16B9491F9E42</t>
  </si>
  <si>
    <t>3 BAYAN-221ST1 NOOP.pdf</t>
  </si>
  <si>
    <t>Uploads\d33acb04-58e4-499b-8287-16b9491f9e42.pdf</t>
  </si>
  <si>
    <t>E0A1A3DA-791E-4314-A2B7-FCE4EBDB3483</t>
  </si>
  <si>
    <t>442C8CF9-5A8F-40A7-B85A-2B03BB8D543D</t>
  </si>
  <si>
    <t>BAYAN-221ST1 FWR.pdf</t>
  </si>
  <si>
    <t>Uploads\442c8cf9-5a8f-40a7-b85a-2b03bb8d543d.pdf</t>
  </si>
  <si>
    <t>E594BED1-3154-47EC-9EE6-9277672CFD2A</t>
  </si>
  <si>
    <t>Uploads\e594bed1-3154-47ec-9ee6-9277672cfd2a.pdf</t>
  </si>
  <si>
    <t>05A7E223-B024-49F1-B55C-945F85C8B7C2</t>
  </si>
  <si>
    <t>3D38880F-EE2D-47FA-869F-F8FBAA32D4EE</t>
  </si>
  <si>
    <t>526CFB1C-C5C8-4648-A27D-7B4465A26586</t>
  </si>
  <si>
    <t>BRG A-4(E) - FINAL_signed.pdf</t>
  </si>
  <si>
    <t>Uploads\526cfb1c-c5c8-4648-a27d-7b4465a26586.pdf</t>
  </si>
  <si>
    <t>BD4D368D-4587-4D49-8CD0-177519EDAE15</t>
  </si>
  <si>
    <t>A6BCCF60-A75B-4E21-BEEA-25EE07065B26</t>
  </si>
  <si>
    <t>EOWR_Bergading A-4_ Rev0_Final.pdf</t>
  </si>
  <si>
    <t>Uploads\a6bccf60-a75b-4e21-beea-25ee07065b26.pdf</t>
  </si>
  <si>
    <t>B3584006-6D20-46EB-8758-DC80CC489E26</t>
  </si>
  <si>
    <t>445148DE-5448-49B7-AF99-84833F2C9F58</t>
  </si>
  <si>
    <t>8E0ED3C8-1D53-46D2-8277-D28378BBFE8F</t>
  </si>
  <si>
    <t>NOOP - BRG A-5(N) ST1 - FINAL Signed.pdf</t>
  </si>
  <si>
    <t>Uploads\8e0ed3c8-1d53-46d2-8277-d28378bbfe8f.pdf</t>
  </si>
  <si>
    <t>DEA5B402-FEFE-48EE-8837-AB41975DAA6E</t>
  </si>
  <si>
    <t>F1040679-5E90-4242-A98F-C1E5F9CF9A47</t>
  </si>
  <si>
    <t>EOWR_Bergading A-5_ Rev0 (sign).pdf</t>
  </si>
  <si>
    <t>Uploads\f1040679-5e90-4242-a98f-c1e5f9cf9a47.pdf</t>
  </si>
  <si>
    <t>08D8931D-1CB6-45D9-A1BB-A5F446C2EA4E</t>
  </si>
  <si>
    <t>6CC7D346-AE70-40E3-B637-E5459335E0F1</t>
  </si>
  <si>
    <t>EC67E791-0A3C-4A8A-AE78-CA2EF358EA35</t>
  </si>
  <si>
    <t>NOOP - BRGB-2(N), Bergading B-2(N).pdf</t>
  </si>
  <si>
    <t>Uploads\ec67e791-0a3c-4a8a-ae78-ca2ef358ea35.pdf</t>
  </si>
  <si>
    <t>1F9D565D-8D8E-4D55-9E5C-A833FAC22380</t>
  </si>
  <si>
    <t>39E91751-BAF9-43F6-9227-48CCD201A775</t>
  </si>
  <si>
    <t>EOWR_Bergading_B-2(N)_Signed.pdf</t>
  </si>
  <si>
    <t>Uploads\39e91751-baf9-43f6-9227-48ccd201a775.pdf</t>
  </si>
  <si>
    <t>04345485-AC72-49C3-B772-2543B82D7DDD</t>
  </si>
  <si>
    <t>A0EABB05-ED7F-4889-B347-5B89FFB6DFD9</t>
  </si>
  <si>
    <t>61E43EE4-6139-4429-9BA5-0B82DC5CC55F</t>
  </si>
  <si>
    <t>EOWR_Bergading D-2_ Rev0_20062017 - PETRONAS SUBMISSION_FINAL.pdf</t>
  </si>
  <si>
    <t>Uploads\61e43ee4-6139-4429-9ba5-0b82dc5cc55f.pdf</t>
  </si>
  <si>
    <t>3B62FCAA-72B1-4CB6-BDDD-90C1693F8464</t>
  </si>
  <si>
    <t>A6DCF833-03B0-41FA-9DF9-3B0F43610BA9</t>
  </si>
  <si>
    <t>NOOP Bergading D-2 (B) R0_FINAL.pdf</t>
  </si>
  <si>
    <t>Uploads\a6dcf833-03b0-41fa-9df9-3b0f43610ba9.pdf</t>
  </si>
  <si>
    <t>5947248F-C7C8-4AB8-A618-EBC417254D16</t>
  </si>
  <si>
    <t>C7E33BCF-D1F1-4A2F-A726-7309B46B0EBA</t>
  </si>
  <si>
    <t>6B07F9E8-801D-457B-88C1-54472327F295</t>
  </si>
  <si>
    <t>BERTAM-A01 NOOP (with Cover Letter PCSB).pdf</t>
  </si>
  <si>
    <t>Uploads\6b07f9e8-801d-457b-88c1-54472327f295.pdf</t>
  </si>
  <si>
    <t>FCC6AA93-9B74-46C2-8775-7FA9676A5AA8</t>
  </si>
  <si>
    <t>52D7ED56-7EAC-4015-9182-71160DB7020C</t>
  </si>
  <si>
    <t>BERTAM-A1 EOWR.pdf</t>
  </si>
  <si>
    <t>Uploads\52d7ed56-7eac-4015-9182-71160db7020c.pdf</t>
  </si>
  <si>
    <t>4D567009-8EB9-4590-B824-25091C889FB0</t>
  </si>
  <si>
    <t>F49A8ED3-C363-4FD8-9D9F-D4559C75CB27</t>
  </si>
  <si>
    <t>2A58FD62-A8AE-4674-8275-55D9E887E681</t>
  </si>
  <si>
    <t>BERTAM-A07ST1 EOWR (Final_Resize_Part4).pdf</t>
  </si>
  <si>
    <t>Uploads\2a58fd62-a8ae-4674-8275-55d9e887e681.pdf</t>
  </si>
  <si>
    <t>6B2D57C6-EA04-4579-937B-9D740800B397</t>
  </si>
  <si>
    <t>C25E8A48-1C6F-4B8E-8F6F-5489A3CA8966</t>
  </si>
  <si>
    <t>BERTAM-A07ST1 NOOP (signed_resize).pdf</t>
  </si>
  <si>
    <t>Uploads\c25e8a48-1c6f-4b8e-8f6f-5489a3ca8966.pdf</t>
  </si>
  <si>
    <t>02812D1A-32F2-42EA-8DC0-66F362FE6ECD</t>
  </si>
  <si>
    <t>031F5CAA-39DB-418C-B712-642A63D23261</t>
  </si>
  <si>
    <t>3C223331-A319-4488-8465-F71E2CD9F18A</t>
  </si>
  <si>
    <t>Uploads\3c223331-a319-4488-8465-f71e2cd9f18a.pdf</t>
  </si>
  <si>
    <t>D2DAC8E5-2CC2-4E63-B2E0-8C956473377C</t>
  </si>
  <si>
    <t>2080A70B-2D52-4AD3-B563-B0F51F50E044</t>
  </si>
  <si>
    <t>Bertam-5 NOOP.pdf</t>
  </si>
  <si>
    <t>Uploads\2080a70b-2d52-4ad3-b563-b0f51f50e044.pdf</t>
  </si>
  <si>
    <t>830ECFDE-3E91-4ABC-840B-4FA1FA0096AE</t>
  </si>
  <si>
    <t>343B8821-12B4-497D-8124-1BBFA41F106D</t>
  </si>
  <si>
    <t>CEA9C702-2D81-4E1B-9699-70071F0D9B0F</t>
  </si>
  <si>
    <t>NOOP BN-81 [Internal] (1).pdf</t>
  </si>
  <si>
    <t>Uploads\cea9c702-2d81-4e1b-9699-70071f0d9b0f.pdf</t>
  </si>
  <si>
    <t>49064D4B-98C7-4801-9143-055CCC61FBF7</t>
  </si>
  <si>
    <t>95DF375B-02C1-4EDD-87B9-1EDBC2EB0C16</t>
  </si>
  <si>
    <t>BARONIA-K81 FWR.pdf</t>
  </si>
  <si>
    <t>Uploads\95df375b-02c1-4edd-87b9-1edbc2eb0c16.pdf</t>
  </si>
  <si>
    <t>CA060AAA-B58D-40A2-B1F0-D63DBF1B142F</t>
  </si>
  <si>
    <t>5B701195-9418-4CC7-8F98-93E377E1CDFF</t>
  </si>
  <si>
    <t>5DAAE239-066F-4A46-B05B-BDDA09F3B0AE</t>
  </si>
  <si>
    <t>Uploads\5daae239-066f-4a46-b05b-bdda09f3b0ae.pdf</t>
  </si>
  <si>
    <t>0F3AF969-F7D8-484A-93A9-C446B2E8C748</t>
  </si>
  <si>
    <t>EF03C598-2F8E-4C2D-9075-773823A0BD8A</t>
  </si>
  <si>
    <t>Uploads\ef03c598-2f8e-4c2d-9075-773823a0bd8a.pdf</t>
  </si>
  <si>
    <t>E126CD1C-368C-456A-85DC-00DA1DFC5209</t>
  </si>
  <si>
    <t>Uploads\e126cd1c-368c-456a-85dc-00da1dfc5209.pdf</t>
  </si>
  <si>
    <t>1789CF62-8D6E-4EDC-A675-543DC088F238</t>
  </si>
  <si>
    <t>063194FF-7716-437C-8C91-B69ECD61A421</t>
  </si>
  <si>
    <t>9C3CA7EC-2D21-4942-BE66-1F2CFF70B2E7</t>
  </si>
  <si>
    <t>Uploads\9c3ca7ec-2d21-4942-be66-1f2cff70b2e7.pdf</t>
  </si>
  <si>
    <t>CCD04C02-7FC9-4B73-B048-B24C4D227145</t>
  </si>
  <si>
    <t>3FD81BEE-A9BD-4C1A-969D-257D368DC357</t>
  </si>
  <si>
    <t>BPA-1 EOWR_Rev1.pdf</t>
  </si>
  <si>
    <t>Uploads\3fd81bee-a9bd-4c1a-969d-257d368dc357.pdf</t>
  </si>
  <si>
    <t>2449661A-5689-41F9-97C9-0162FCDD901D</t>
  </si>
  <si>
    <t>8DFFC9E2-762A-4C49-92CA-9EF3A6BE6549</t>
  </si>
  <si>
    <t>1FBCEFFA-5A37-45E7-8467-279C0B13754E</t>
  </si>
  <si>
    <t>EOWR_B. Teratai 5_signed.pdf</t>
  </si>
  <si>
    <t>Uploads\1fbceffa-5a37-45e7-8467-279c0b13754e.pdf</t>
  </si>
  <si>
    <t>5F21E568-713B-464D-B43D-F9DF695FE1F3</t>
  </si>
  <si>
    <t>B4556C3A-9D90-4A50-9493-4499F81442EB</t>
  </si>
  <si>
    <t>Bunga Teratai BT5(NW)_NOOP signed.pdf</t>
  </si>
  <si>
    <t>Uploads\b4556c3a-9d90-4a50-9493-4499f81442eb.pdf</t>
  </si>
  <si>
    <t>050D4CF4-B4B6-40C7-9854-0E997EABABCB</t>
  </si>
  <si>
    <t>CB23DF5A-31D7-430D-ACEE-309A2379F0A8</t>
  </si>
  <si>
    <t>4C0111CD-FF69-4133-A794-B1CBE0A5322B</t>
  </si>
  <si>
    <t>Bunga Teruntum-1 NOOP.pdf</t>
  </si>
  <si>
    <t>Uploads\4c0111cd-ff69-4133-a794-b1cbe0a5322b.pdf</t>
  </si>
  <si>
    <t>DC934416-DFB0-40C3-AB2E-805F78E5E709</t>
  </si>
  <si>
    <t>BB7645A4-DFCD-475F-B4A6-7A27346BF314</t>
  </si>
  <si>
    <t>Bunga Teruntum-1 EoWR.pdf</t>
  </si>
  <si>
    <t>Uploads\bb7645a4-dfcd-475f-b4a6-7a27346bf314.pdf</t>
  </si>
  <si>
    <t>44878C2D-7D42-4C92-942C-9C446C5479EF</t>
  </si>
  <si>
    <t>A37402F1-B3FF-4702-A443-B7DB08F247D1</t>
  </si>
  <si>
    <t>ED1A1CAD-D4DC-4FCE-AAA4-5345561EE242</t>
  </si>
  <si>
    <t>PMO3CDORWS3S_CD-C08.pdf</t>
  </si>
  <si>
    <t>Uploads\ed1a1cad-d4dc-4fce-aaa4-5345561ee242.pdf</t>
  </si>
  <si>
    <t>C89AE0C8-9AB5-4270-98C7-040A7CAD6F9D</t>
  </si>
  <si>
    <t>D324C280-F630-4FD4-832A-A00A0A5652A7</t>
  </si>
  <si>
    <t>NOOP CD-C08 PML – PR – D – 0345 Rev 00.pdf</t>
  </si>
  <si>
    <t>Uploads\d324c280-f630-4fd4-832a-a00a0a5652a7.pdf</t>
  </si>
  <si>
    <t>E0387304-98EB-42B9-A533-78EC077F5152</t>
  </si>
  <si>
    <t>EAB81BD2-AF45-4791-89BB-88293A3F08B3</t>
  </si>
  <si>
    <t>4280C8C7-2F98-4FF2-8A3B-416B29387139</t>
  </si>
  <si>
    <t>PMO3CHENWS01_CHENANG-2_VESTIGO_NOOP.pdf</t>
  </si>
  <si>
    <t>Uploads\4280c8c7-2f98-4ff2-8a3b-416b29387139.pdf</t>
  </si>
  <si>
    <t>C853D8D5-B168-4643-8288-AA4303C1D39E</t>
  </si>
  <si>
    <t>570237CB-D78C-44ED-9CB5-8D1A82F8A57E</t>
  </si>
  <si>
    <t>Chenang2 Final Well Report.pdf</t>
  </si>
  <si>
    <t>Uploads\570237cb-d78c-44ed-9cb5-8d1a82f8a57e.pdf</t>
  </si>
  <si>
    <t>68975D4A-D933-4B35-951B-58FB05DB3CB5</t>
  </si>
  <si>
    <t>265823A3-08D8-48A1-AC18-55A131762C8C</t>
  </si>
  <si>
    <t>5133E5D4-5D73-4C92-99E7-9CCFE6A80509</t>
  </si>
  <si>
    <t>D12-101A NOOP (PMU).pdf</t>
  </si>
  <si>
    <t>Uploads\5133e5d4-5d73-4c92-99e7-9ccfe6a80509.pdf</t>
  </si>
  <si>
    <t>D96305E1-96E4-40DB-ABDD-544EB33CB624</t>
  </si>
  <si>
    <t>4611239E-7667-44A6-BD7D-42A4329AC6B7</t>
  </si>
  <si>
    <t>SKO3D12-WS16_D12-101A_SHELL_FWR.pdf</t>
  </si>
  <si>
    <t>Uploads\4611239e-7667-44a6-bd7d-42a4329ac6b7.pdf</t>
  </si>
  <si>
    <t>02C52700-A3F3-4B0A-B7BA-629D9085BD36</t>
  </si>
  <si>
    <t>EB5FDC02-2058-4181-8941-EB58D018BB4D</t>
  </si>
  <si>
    <t>10342966-3567-47EA-ABAB-209129A7CD64</t>
  </si>
  <si>
    <t>D18 401 FWR-signed.pdf</t>
  </si>
  <si>
    <t>Uploads\10342966-3567-47ea-abab-209129a7cd64.pdf</t>
  </si>
  <si>
    <t>D2EDD656-9EEF-4DF4-9433-EC63038A19D4</t>
  </si>
  <si>
    <t>64E41A39-A96B-4726-8613-234D1BEF764A</t>
  </si>
  <si>
    <t>D18 JT-D 401 (OP-AA) NOOP.pdf</t>
  </si>
  <si>
    <t>Uploads\64e41a39-a96b-4726-8613-234d1bef764a.pdf</t>
  </si>
  <si>
    <t>0494F188-BC53-4166-89A9-E9269532E40B</t>
  </si>
  <si>
    <t>2578F522-2D38-4CDA-91A1-2E0D028C0DED</t>
  </si>
  <si>
    <t>B1785E67-D923-4E93-8E14-CB0D8F7AF763</t>
  </si>
  <si>
    <t>D21-C2A-FB5 (P1)(D21-A5).pdf</t>
  </si>
  <si>
    <t>Uploads\b1785e67-d923-4e93-8e14-cb0d8f7af763.pdf</t>
  </si>
  <si>
    <t>09133EC7-8550-4A6A-AE76-18379A9EA424</t>
  </si>
  <si>
    <t>991337AC-142F-4877-8658-52C38AE418C4</t>
  </si>
  <si>
    <t>D21 P1 (A5) EOWR.pdf</t>
  </si>
  <si>
    <t>Uploads\991337ac-142f-4877-8658-52c38ae418c4.pdf</t>
  </si>
  <si>
    <t>E835CE09-6F19-485F-8DC4-D4DB0E9ECC7E</t>
  </si>
  <si>
    <t>02942886-B496-4CEE-BCFA-2BFACB57D7CE</t>
  </si>
  <si>
    <t>986B35D7-CB51-4742-B22B-6D1F245E047F</t>
  </si>
  <si>
    <t>D35B-218ST1 End Of Well Report.pdf</t>
  </si>
  <si>
    <t>Uploads\986b35d7-cb51-4742-b22b-6d1f245e047f.pdf</t>
  </si>
  <si>
    <t>DF509827-15BE-42D7-AD9B-0265811B8AF2</t>
  </si>
  <si>
    <t>53BEAB96-9080-4B40-9D79-800FBB1F94C6</t>
  </si>
  <si>
    <t>D35-218ST1 Well NOOP.pdf</t>
  </si>
  <si>
    <t>Uploads\53beab96-9080-4b40-9d79-800fbb1f94c6.pdf</t>
  </si>
  <si>
    <t>0F2B2369-CD03-4F66-B78A-803F5C53C80E</t>
  </si>
  <si>
    <t>45CAD953-71C1-45F5-BAD0-70958D147AF8</t>
  </si>
  <si>
    <t>B6C6C6AB-1023-4099-AA8E-43F799C6781A</t>
  </si>
  <si>
    <t>D35-217ST2 Signed Final NOOP.pdf</t>
  </si>
  <si>
    <t>Uploads\b6c6c6ab-1023-4099-aa8e-43f799c6781a.pdf</t>
  </si>
  <si>
    <t>604E3B4D-8D9C-4EC5-BC47-0B8584152DCC</t>
  </si>
  <si>
    <t>6F438704-23C6-4BB6-BACB-FC752D4A1196</t>
  </si>
  <si>
    <t>D35B-217 End Of Well Report Final.pdf</t>
  </si>
  <si>
    <t>Uploads\6f438704-23c6-4bb6-bacb-fc752d4a1196.pdf</t>
  </si>
  <si>
    <t>65CC308D-C16C-43DE-A502-341F3F487777</t>
  </si>
  <si>
    <t>F93F61F6-37D4-4896-9F0C-AC4FF3CDF63C</t>
  </si>
  <si>
    <t>BAFC37E3-2778-4237-82C8-B2E078547917</t>
  </si>
  <si>
    <t>PMO3DMARGL05_DAMAR-A07.pdf</t>
  </si>
  <si>
    <t>Uploads\bafc37e3-2778-4237-82c8-b2e078547917.pdf</t>
  </si>
  <si>
    <t>C9A6BBEF-2B23-406E-B316-8738F306C5EC</t>
  </si>
  <si>
    <t>EE5152DF-5DED-488A-A0A9-E383F2AB139E</t>
  </si>
  <si>
    <t>Final Well Report Damar A-7.pdf</t>
  </si>
  <si>
    <t>Uploads\ee5152df-5ded-488a-a0a9-e383f2ab139e.pdf</t>
  </si>
  <si>
    <t>2223A6CA-9E63-411D-A7FF-83D96493C3DD</t>
  </si>
  <si>
    <t>2A5F353C-846F-4174-94D9-080CBA107E4B</t>
  </si>
  <si>
    <t>222956CB-DFD5-4E67-ABE1-FDA51A3C1B43</t>
  </si>
  <si>
    <t>Damar A-10 FWR.pdf</t>
  </si>
  <si>
    <t>Uploads\222956cb-dfd5-4e67-abe1-fda51a3c1b43.pdf</t>
  </si>
  <si>
    <t>F5413BE3-65DF-45A4-AE73-C983CEB76222</t>
  </si>
  <si>
    <t>F50C0257-AFB9-41DF-BDEA-848293662763</t>
  </si>
  <si>
    <t>PMO3DMARWS21_DAMAR-A10.pdf</t>
  </si>
  <si>
    <t>Uploads\f50c0257-afb9-41df-bdea-848293662763.pdf</t>
  </si>
  <si>
    <t>86819660-FA4E-4A18-A4C9-888E21284C45</t>
  </si>
  <si>
    <t>BFBE4FEC-5F6B-4F47-A5F7-8DB8420FCF44</t>
  </si>
  <si>
    <t>ED170685-91FF-4138-8C35-894E5F6214D3</t>
  </si>
  <si>
    <t>PMO3DMARGL03_DAMAR-A14_EMEPMI.pdf</t>
  </si>
  <si>
    <t>Uploads\ed170685-91ff-4138-8c35-894e5f6214d3.pdf</t>
  </si>
  <si>
    <t>441C8005-F3B1-42F6-ADDC-451ED9EC09E6</t>
  </si>
  <si>
    <t>998F5C83-E1A4-4AB9-9653-5C26BD15573C</t>
  </si>
  <si>
    <t>Damar A-14 FWR.pdf</t>
  </si>
  <si>
    <t>Uploads\998f5c83-e1a4-4ab9-9653-5c26bd15573c.pdf</t>
  </si>
  <si>
    <t>A08E00FC-F6F6-421C-AF34-20B8A33AD86C</t>
  </si>
  <si>
    <t>D129E4F9-E245-47D2-870E-9EE95990046E</t>
  </si>
  <si>
    <t>3C855226-23C2-4738-A436-EB1CC50000F4</t>
  </si>
  <si>
    <t>FWR Dulang A23ST2.pdf</t>
  </si>
  <si>
    <t>Uploads\3c855226-23c2-4738-a436-eb1cc50000f4.pdf</t>
  </si>
  <si>
    <t>F6302314-D5B8-48C0-A4F3-78765C9A673D</t>
  </si>
  <si>
    <t>EA379082-EAA1-4D12-B811-237B3208FAD3</t>
  </si>
  <si>
    <t>NOOP_DULANG-A23ST2.pdf</t>
  </si>
  <si>
    <t>Uploads\ea379082-eaa1-4d12-b811-237b3208fad3.pdf</t>
  </si>
  <si>
    <t>F60CDF04-D9FD-4892-9D80-80BB8AA8A272</t>
  </si>
  <si>
    <t>023391AD-E6D7-4CEB-8D9D-0EAD859B7723</t>
  </si>
  <si>
    <t>69CC3127-018B-4CDA-B878-637ACD786C45</t>
  </si>
  <si>
    <t>FWR Dulang B25ST4_Signedcopy.pdf</t>
  </si>
  <si>
    <t>Uploads\69cc3127-018b-4cda-b878-637acd786c45.pdf</t>
  </si>
  <si>
    <t>C1B2D2AA-2DD8-4EB6-97CA-A751E96712F7</t>
  </si>
  <si>
    <t>CA13E320-8560-47EE-B730-AC7ABCCF76FD</t>
  </si>
  <si>
    <t>NOOP_Dulang B25ST2 Final.pdf</t>
  </si>
  <si>
    <t>Uploads\ca13e320-8560-47ee-b730-ac7abccf76fd.pdf</t>
  </si>
  <si>
    <t>A51FF042-4A48-4257-B289-543C2CB0FD0A</t>
  </si>
  <si>
    <t>1B569C44-3CE7-4152-B323-AEFE508FA396</t>
  </si>
  <si>
    <t>139E1C54-B427-4A87-9092-4059E0D7A0C5</t>
  </si>
  <si>
    <t>Dulang D20ST1 OP1 FWR Complete Attachment.pdf</t>
  </si>
  <si>
    <t>Uploads\139e1c54-b427-4a87-9092-4059e0d7a0c5.pdf</t>
  </si>
  <si>
    <t>2AE3E7C6-BAAA-41FD-98B5-E636587A1AEB</t>
  </si>
  <si>
    <t>6E458DA4-6C85-491F-9183-2E873315E68C</t>
  </si>
  <si>
    <t>DULANG-D20ST1 NOOP ADDENDUM.pdf</t>
  </si>
  <si>
    <t>Uploads\6e458da4-6c85-491f-9183-2e873315e68c.pdf</t>
  </si>
  <si>
    <t>8240355F-FC80-4B8F-9826-A09176FA2BE2</t>
  </si>
  <si>
    <t>21C457AF-ED37-4514-80FE-763F8EA2F8D1</t>
  </si>
  <si>
    <t>60C695B6-EF10-4837-8DD9-81ED3CFEA899</t>
  </si>
  <si>
    <t>EBA-04ST1 FWR.pdf</t>
  </si>
  <si>
    <t>Uploads\60c695b6-ef10-4837-8dd9-81ed3cfea899.pdf</t>
  </si>
  <si>
    <t>0599A83E-C2E8-4BCF-8E8C-622AAE59A054</t>
  </si>
  <si>
    <t>EB139035-52E6-4625-8070-071A0A96BAD2</t>
  </si>
  <si>
    <t>EBA-04ST1 Final.pdf</t>
  </si>
  <si>
    <t>Uploads\eb139035-52e6-4625-8070-071a0a96bad2.pdf</t>
  </si>
  <si>
    <t>C2934F73-2A92-428B-89F0-85AF7BA6FCDC</t>
  </si>
  <si>
    <t>D919DC7D-75DD-44DD-B35E-668DB396068A</t>
  </si>
  <si>
    <t>7C754630-04D2-46D3-BA94-BAD58411C2DE</t>
  </si>
  <si>
    <t>EB-A09ST2 NOOP Final.pdf</t>
  </si>
  <si>
    <t>Uploads\7c754630-04d2-46d3-ba94-bad58411c2de.pdf</t>
  </si>
  <si>
    <t>A73593E0-A99C-483F-8D7E-43D0AE7D2FD5</t>
  </si>
  <si>
    <t>D51455B6-EB49-409F-9640-D013D49131A6</t>
  </si>
  <si>
    <t>EB-A09ST2 FWR (1).pdf</t>
  </si>
  <si>
    <t>Uploads\d51455b6-eb49-409f-9640-d013d49131a6.pdf</t>
  </si>
  <si>
    <t>F9C3E66E-1D7C-4233-8E0E-DB621595CAAF</t>
  </si>
  <si>
    <t>392F26ED-0990-4C5A-B4E2-92CDA72211C1</t>
  </si>
  <si>
    <t>B2ACE185-BDE3-4ECB-84E4-216678A087EA</t>
  </si>
  <si>
    <t>EB A-11ST1 NOOP FINAL APPROVED.pdf</t>
  </si>
  <si>
    <t>Uploads\b2ace185-bde3-4ecb-84e4-216678a087ea.pdf</t>
  </si>
  <si>
    <t>9AFC6B44-DEE4-454E-BF58-F465D91859AE</t>
  </si>
  <si>
    <t>FBDF0BDF-E4DB-4F69-A98C-64AC677B0DAD</t>
  </si>
  <si>
    <t>EBA-11 ST1 FWR.pdf</t>
  </si>
  <si>
    <t>Uploads\fbdf0bdf-e4db-4f69-a98c-64ac677b0dad.pdf</t>
  </si>
  <si>
    <t>F83649C9-3E0A-4549-98CF-75B5897D4D8D</t>
  </si>
  <si>
    <t>119EC196-002B-442F-B0B0-0313AFEB6AD1</t>
  </si>
  <si>
    <t>6C8722A7-925F-4A11-850B-326CA184AD45</t>
  </si>
  <si>
    <t>EB A-14ST2 FWR.pdf</t>
  </si>
  <si>
    <t>Uploads\6c8722a7-925f-4a11-850b-326ca184ad45.pdf</t>
  </si>
  <si>
    <t>829C0C5E-1FBA-42E8-B398-7CAF4FA306F4</t>
  </si>
  <si>
    <t>C3106FE3-8E61-40CE-92E2-D11330D20D0A</t>
  </si>
  <si>
    <t>EB A-14ST2 NOOP FINAL APPROVED.pdf</t>
  </si>
  <si>
    <t>Uploads\c3106fe3-8e61-40ce-92e2-d11330d20d0a.pdf</t>
  </si>
  <si>
    <t>E6AD07D8-997E-4290-9FE2-FD4BF748AD0F</t>
  </si>
  <si>
    <t>04A6940F-D391-48DB-AB08-B08CFA5ED404</t>
  </si>
  <si>
    <t>89F6415A-AF6A-40A4-96CD-0A0324D37916</t>
  </si>
  <si>
    <t>Petronas Final Well Report EW-120 ST2_Rev2_Final.pdf</t>
  </si>
  <si>
    <t>Uploads\89f6415a-af6a-40a4-96cd-0a0324d37916.pdf</t>
  </si>
  <si>
    <t>1E7E7D64-0F09-4F30-83A1-2BEE0D24DF43</t>
  </si>
  <si>
    <t>DE42C9B3-1FEC-46D8-BA97-3D7443F01A7B</t>
  </si>
  <si>
    <t>20190515_Erb West EW120 ST2 NOOP.pdf</t>
  </si>
  <si>
    <t>Uploads\de42c9b3-1fec-46d8-ba97-3d7443f01a7b.pdf</t>
  </si>
  <si>
    <t>F820FD73-ABAB-4521-9D47-995CB7414EFA</t>
  </si>
  <si>
    <t>Uploads\f820fd73-abab-4521-9d47-995cb7414efa.pdf</t>
  </si>
  <si>
    <t>828C02BA-C962-4B9C-8982-EEB060A442F1</t>
  </si>
  <si>
    <t>Uploads\828c02ba-c962-4b9c-8982-eeb060a442f1.pdf</t>
  </si>
  <si>
    <t>31D52FD8-D581-40EC-927C-1856AE494D7C</t>
  </si>
  <si>
    <t>699A79D8-A81F-4D6E-A701-E5893B7129A4</t>
  </si>
  <si>
    <t>4FF38C49-2262-4560-A3B7-37BB01FF2E07</t>
  </si>
  <si>
    <t>EW-124ST3 FWR.pdf</t>
  </si>
  <si>
    <t>Uploads\4ff38c49-2262-4560-a3b7-37bb01ff2e07.pdf</t>
  </si>
  <si>
    <t>135D2E5F-CC51-417B-A5AE-197B8DDB8AD3</t>
  </si>
  <si>
    <t>5E5B55BA-08DE-40D1-A685-0349FA75C4D6</t>
  </si>
  <si>
    <t>ERB WEST EW-124 ST3 NOOP.pdf</t>
  </si>
  <si>
    <t>Uploads\5e5b55ba-08de-40d1-a685-0349fa75c4d6.pdf</t>
  </si>
  <si>
    <t>AB00F78D-088E-4566-A4B2-3E5F33AD5292</t>
  </si>
  <si>
    <t>3890D466-4107-490A-ABF7-DC1D80921ECF</t>
  </si>
  <si>
    <t>2ECF8CC2-CBFF-47BD-A041-1974A234F065</t>
  </si>
  <si>
    <t>F14-109 NOOP_Rev1.pdf</t>
  </si>
  <si>
    <t>Uploads\2ecf8cc2-cbff-47bd-a041-1974a234f065.pdf</t>
  </si>
  <si>
    <t>401FA399-633B-4057-B80A-822B8865E646</t>
  </si>
  <si>
    <t>B9CE9192-7CBA-46CD-A77C-40CC72FF6E06</t>
  </si>
  <si>
    <t>FDCR F14-109.pdf</t>
  </si>
  <si>
    <t>Uploads\b9ce9192-7cba-46cd-a77c-40cc72ff6e06.pdf</t>
  </si>
  <si>
    <t>60E26562-C9F3-48CE-90AB-1729CC524EBE</t>
  </si>
  <si>
    <t>A01869F5-7262-4EF4-AB5B-AABD3DCA6D8E</t>
  </si>
  <si>
    <t>BA97E232-6C85-4DCB-A061-76E4BE5D54B5</t>
  </si>
  <si>
    <t>SKO3F9--WS39_F9-A5_PCSB.pdf</t>
  </si>
  <si>
    <t>Uploads\ba97e232-6c85-4dcb-a061-76e4be5d54b5.pdf</t>
  </si>
  <si>
    <t>E8ED9523-6C85-47BE-9A29-AF5CF34F5E51</t>
  </si>
  <si>
    <t>66211EA0-BC30-4A8C-8943-5628D43D69A3</t>
  </si>
  <si>
    <t>SKO3F9--WS30_F9-A5_PCSB.pdf</t>
  </si>
  <si>
    <t>Uploads\66211ea0-bc30-4a8c-8943-5628d43d69a3.pdf</t>
  </si>
  <si>
    <t>94B06AFA-DBAD-42DD-8F17-2C8E4277E5AF</t>
  </si>
  <si>
    <t>EBD53DAE-BA96-4B8A-BCDE-2969D2B47AA7</t>
  </si>
  <si>
    <t>ADBE6B2E-3409-49E0-8C5F-EBB081B3FD53</t>
  </si>
  <si>
    <t>FWR Garantung-1_Final (002).pdf</t>
  </si>
  <si>
    <t>Uploads\adbe6b2e-3409-49e0-8c5f-ebb081b3fd53.pdf</t>
  </si>
  <si>
    <t>D0FBABAD-3C51-47A5-8ABB-E4A14A449310</t>
  </si>
  <si>
    <t>1D9A4732-EE3E-4CF7-B355-14B32B4C095B</t>
  </si>
  <si>
    <t>Garantung-1 Final NOOP.pdf</t>
  </si>
  <si>
    <t>Uploads\1d9a4732-ee3e-4cf7-b355-14b32b4c095b.pdf</t>
  </si>
  <si>
    <t>2B05E368-C601-4177-9E8B-AAE83614C6D2</t>
  </si>
  <si>
    <t>ACDA5BB7-207A-4331-87DB-11836924EAA3</t>
  </si>
  <si>
    <t>BCCFE8AA-4AF4-4E55-A522-3FF3A1625BB7</t>
  </si>
  <si>
    <t>FINAL EOWR GK W614B.pdf</t>
  </si>
  <si>
    <t>Uploads\bccfe8aa-4af4-4e55-a522-3ff3a1625bb7.pdf</t>
  </si>
  <si>
    <t>0676BF23-C552-455B-82F0-337D4A242B16</t>
  </si>
  <si>
    <t>E59BBCD5-5DD0-4485-8B99-F58760491970</t>
  </si>
  <si>
    <t>GK-W614B NOOP.docx</t>
  </si>
  <si>
    <t>Uploads\e59bbcd5-5dd0-4485-8b99-f58760491970.pdf</t>
  </si>
  <si>
    <t>9EE4BE66-A6A2-4393-AA9C-84F7E09E2756</t>
  </si>
  <si>
    <t>3AC62FFB-EAE6-441A-8658-43846A8F148F</t>
  </si>
  <si>
    <t>D9E86A27-1E0C-4AD5-99B7-FE7352C6094D</t>
  </si>
  <si>
    <t>GUNTONG-C05ST1 (C33) EOWR (MPM).pdf</t>
  </si>
  <si>
    <t>Uploads\d9e86a27-1e0c-4ad5-99b7-fe7352c6094d.pdf</t>
  </si>
  <si>
    <t>E84D66CE-B44A-4FC6-9310-638F47E63621</t>
  </si>
  <si>
    <t>7D79FDD4-2D0C-4FE7-A794-EE33D1936F8F</t>
  </si>
  <si>
    <t>GUNTONG-C05ST1 (C33) NOOP (PCSB) - Updated.pdf</t>
  </si>
  <si>
    <t>Uploads\7d79fdd4-2d0c-4fe7-a794-ee33d1936f8f.pdf</t>
  </si>
  <si>
    <t>112F6DCB-0C24-44B4-8F78-E82142D396AE</t>
  </si>
  <si>
    <t>6CA01943-5FEE-47B0-B7A1-C28116113337</t>
  </si>
  <si>
    <t>DF2F0DB5-B84D-442E-B426-9C5FFCBB31C9</t>
  </si>
  <si>
    <t>GuC 10ST1 (34) NOOP - MPM.pdf</t>
  </si>
  <si>
    <t>Uploads\df2f0db5-b84d-442e-b426-9c5ffcbb31c9.pdf</t>
  </si>
  <si>
    <t>CBB7CA45-F207-47F4-923D-33EE754D6DD9</t>
  </si>
  <si>
    <t>37D9DC19-FAEC-48E2-A880-E336F46B099D</t>
  </si>
  <si>
    <t>GUNTONG-C10ST1 (C34) EOWR.PDF</t>
  </si>
  <si>
    <t>Uploads\37d9dc19-faec-48e2-a880-e336f46b099d.pdf</t>
  </si>
  <si>
    <t>E9D86036-AF16-42CF-A79B-E092981B16F3</t>
  </si>
  <si>
    <t>B3137327-0B2A-4FF8-9881-E4E456B79486</t>
  </si>
  <si>
    <t>445B60AB-4291-4C03-AD5E-8B46781930D4</t>
  </si>
  <si>
    <t>J4 A09ST2 (P) EOWR_Signed.pdf</t>
  </si>
  <si>
    <t>Uploads\445b60ab-4291-4c03-ad5e-8b46781930d4.pdf</t>
  </si>
  <si>
    <t>2F8C6019-E7E1-41A0-BC1C-EDDAEF0E8869</t>
  </si>
  <si>
    <t>DC117495-CE10-4996-9AC2-81BF00BCC6FE</t>
  </si>
  <si>
    <t>J4-A09ST2 (P) Well.pdf</t>
  </si>
  <si>
    <t>Uploads\dc117495-ce10-4996-9ac2-81bf00bcc6fe.pdf</t>
  </si>
  <si>
    <t>FB879EC0-76F5-4F75-9AE0-8139F1E0ED97</t>
  </si>
  <si>
    <t>26ED7E20-879A-4CC3-8C4B-960FE91372E8</t>
  </si>
  <si>
    <t>301391A5-B45F-46FD-9CB0-2ACE2D7BA6EA</t>
  </si>
  <si>
    <t>Jerun-1 Final Well Report - 22 Dec 2015.pdf</t>
  </si>
  <si>
    <t>Uploads\301391a5-b45f-46fd-9cb0-2ace2d7ba6ea.pdf</t>
  </si>
  <si>
    <t>98669A2E-BD05-499E-80E0-11A18BC3AC21</t>
  </si>
  <si>
    <t>E699726E-5584-4DFB-9154-35CAA7A54B8E</t>
  </si>
  <si>
    <t>SKO3JRUNWS01_JERUN-1_SAPURA OMV_NOOP.pdf</t>
  </si>
  <si>
    <t>Uploads\e699726e-5584-4dfb-9154-35caa7a54b8e.pdf</t>
  </si>
  <si>
    <t>D4C28E70-7900-4787-9508-B09CF2A776DC</t>
  </si>
  <si>
    <t>B6D0BF7E-E08B-48F2-9735-222BEA385639</t>
  </si>
  <si>
    <t>DBE6A52C-41E7-4CB2-8650-3F25281B1D17</t>
  </si>
  <si>
    <t>EOWR KBB PH-1 KBB-A02 .pdf</t>
  </si>
  <si>
    <t>Uploads\dbe6a52c-41e7-4cb2-8650-3f25281b1d17.pdf</t>
  </si>
  <si>
    <t>7309EEE9-3F6C-49AD-81D6-3DEA835629E6</t>
  </si>
  <si>
    <t>ECEF5197-65DE-4A1B-8E6C-20E9A31CB3F4</t>
  </si>
  <si>
    <t>NOOP KBB PH-1 DEV WELLS - BATCH 01.pdf</t>
  </si>
  <si>
    <t>Uploads\ecef5197-65de-4a1b-8e6c-20e9a31cb3f4.pdf</t>
  </si>
  <si>
    <t>5BF4FA02-127F-457B-ABC7-EE78D8DA7476</t>
  </si>
  <si>
    <t>354EAE43-CE4A-444C-964C-FA26AE6DB29F</t>
  </si>
  <si>
    <t>826C2CB8-D6D9-47D5-95DB-EB33B82D1D43</t>
  </si>
  <si>
    <t>Uploads\826c2cb8-d6d9-47d5-95db-eb33b82d1d43.pdf</t>
  </si>
  <si>
    <t>030DC33F-AF32-4E73-8C16-611FC2DB3A1F</t>
  </si>
  <si>
    <t>B2C639D5-437E-4C56-8BB5-17F33A2E5D06</t>
  </si>
  <si>
    <t>EOWR KBB PH-1 KBB-A03 ST2 .pdf</t>
  </si>
  <si>
    <t>Uploads\b2c639d5-437e-4c56-8bb5-17f33a2e5d06.pdf</t>
  </si>
  <si>
    <t>C2945279-8611-4B09-927F-7B69CC592902</t>
  </si>
  <si>
    <t>ACC074C1-B332-445E-B540-6578C5F91C2E</t>
  </si>
  <si>
    <t>4C07CB8E-6089-4D4B-BD2F-857674DEACA7</t>
  </si>
  <si>
    <t>NOOP KBB PH-1 DEV WELLS - BATCH 02.pdf</t>
  </si>
  <si>
    <t>Uploads\4c07cb8e-6089-4d4b-bd2f-857674deaca7.pdf</t>
  </si>
  <si>
    <t>F7239CF6-5354-465C-BD58-CD9F08852ECB</t>
  </si>
  <si>
    <t>A2667187-B204-46B2-BFF5-50F58739C354</t>
  </si>
  <si>
    <t>EOWR KBB PH-1 KBB-A05.pdf</t>
  </si>
  <si>
    <t>Uploads\a2667187-b204-46b2-bff5-50f58739c354.pdf</t>
  </si>
  <si>
    <t>DC32F65A-936D-4AAB-9E29-4B79BFC5F17C</t>
  </si>
  <si>
    <t>47BAE4C3-FA65-48EC-A1A3-74892ECF2969</t>
  </si>
  <si>
    <t>29CA2237-EBBA-402A-9525-24B1587AA3E2</t>
  </si>
  <si>
    <t>EOWR KBB PH-1 KBB-A06.pdf</t>
  </si>
  <si>
    <t>Uploads\29ca2237-ebba-402a-9525-24b1587aa3e2.pdf</t>
  </si>
  <si>
    <t>42980550-ACFE-43BA-9E6D-07C97FF4EAAF</t>
  </si>
  <si>
    <t>E26E5CE6-D69E-42DE-86CC-F98AEAA008B4</t>
  </si>
  <si>
    <t>Uploads\e26e5ce6-d69e-42de-86cc-f98aeaa008b4.pdf</t>
  </si>
  <si>
    <t>30B1479B-2ECF-4300-87EA-00314E105478</t>
  </si>
  <si>
    <t>18770B8C-432D-480E-B726-F9D21985EDDA</t>
  </si>
  <si>
    <t>86BBA504-3B96-45E6-AB3C-A11ED8C45814</t>
  </si>
  <si>
    <t>Uploads\86bba504-3b96-45e6-ab3c-a11ed8c45814.pdf</t>
  </si>
  <si>
    <t>D90EDCCC-E672-42DA-9C06-F18471D19164</t>
  </si>
  <si>
    <t>3F6FE652-C55F-4399-90E5-73B1511F9F35</t>
  </si>
  <si>
    <t>EOWR KBB PH-1 KBB-A07 .pdf</t>
  </si>
  <si>
    <t>Uploads\3f6fe652-c55f-4399-90e5-73b1511f9f35.pdf</t>
  </si>
  <si>
    <t>A15292DB-8C9B-4A66-A578-87A458AD7BB7</t>
  </si>
  <si>
    <t>ED0F577B-8265-47D8-8DF0-34909D9719FC</t>
  </si>
  <si>
    <t>BAB2A176-6316-4A98-AA01-B10860A39269</t>
  </si>
  <si>
    <t>EOWR KBB PH-1 KBB-A13 .pdf</t>
  </si>
  <si>
    <t>Uploads\bab2a176-6316-4a98-aa01-b10860a39269.pdf</t>
  </si>
  <si>
    <t>5CE1F215-E7B3-466E-9E97-21E33CBAE775</t>
  </si>
  <si>
    <t>6468793F-0A39-4E02-A1DD-72EDC1597052</t>
  </si>
  <si>
    <t>Uploads\6468793f-0a39-4e02-a1dd-72edc1597052.pdf</t>
  </si>
  <si>
    <t>255F845B-8D36-4396-82B4-1874B963F395</t>
  </si>
  <si>
    <t>4B65492B-8DD7-4992-9805-26F9DC83338A</t>
  </si>
  <si>
    <t>0C202CD9-DBEF-4C94-B0BD-AD90FF5BEAA6</t>
  </si>
  <si>
    <t>EOWR KBB PH-1 KBB-A20.pdf</t>
  </si>
  <si>
    <t>Uploads\0c202cd9-dbef-4c94-b0bd-ad90ff5beaa6.pdf</t>
  </si>
  <si>
    <t>D2F6D6C2-1CE9-40B8-A022-682ACEBE73AD</t>
  </si>
  <si>
    <t>2B35D748-11D6-4725-93DD-B74EF5848720</t>
  </si>
  <si>
    <t>Uploads\2b35d748-11d6-4725-93dd-b74ef5848720.pdf</t>
  </si>
  <si>
    <t>7AA79111-6416-46D2-A33A-F4B84D9BACEF</t>
  </si>
  <si>
    <t>07C58230-335A-44A7-B361-F4A22F5D88EC</t>
  </si>
  <si>
    <t>0E90609F-E06D-4738-920A-032F2B728704</t>
  </si>
  <si>
    <t>Kecupu-1-NOOP_MLNGx_.pdf</t>
  </si>
  <si>
    <t>Uploads\0e90609f-e06d-4738-920a-032f2b728704.pdf</t>
  </si>
  <si>
    <t>D6481B3A-132A-4479-946E-F879DBB00912</t>
  </si>
  <si>
    <t>E5B3FCB7-BB1A-4C44-9ADC-58CE96749B66</t>
  </si>
  <si>
    <t>SMEP MLNG Exploration - EOWR - Kecupu-1 (Final).pdf</t>
  </si>
  <si>
    <t>Uploads\e5b3fcb7-bb1a-4c44-9adc-58ce96749b66.pdf</t>
  </si>
  <si>
    <t>08E4CD22-5984-47C8-B9F0-6D6F6EADA3FD</t>
  </si>
  <si>
    <t>409E5B44-331E-449F-81D0-737EDD024A98</t>
  </si>
  <si>
    <t>73AB805D-DA15-4CC6-9BA9-72FD34BEC80D</t>
  </si>
  <si>
    <t>Kitabu-1 NOOP.pdf</t>
  </si>
  <si>
    <t>Uploads\73ab805d-da15-4cc6-9ba9-72fd34bec80d.pdf</t>
  </si>
  <si>
    <t>C64E35DE-2981-4852-BFAA-460962017607</t>
  </si>
  <si>
    <t>BC6C76F1-71B7-4B40-9F03-BAFA581F7CA3</t>
  </si>
  <si>
    <t>KITABU-1_EOWR.pdf</t>
  </si>
  <si>
    <t>Uploads\bc6c76f1-71b7-4b40-9f03-bafa581f7ca3.pdf</t>
  </si>
  <si>
    <t>6DDD5FDE-33C6-4E6E-9C47-BA9118158297</t>
  </si>
  <si>
    <t>4B2AF34C-4528-46DA-A6B8-FE3EAF7C2ECF</t>
  </si>
  <si>
    <t>A7F30962-6669-49A6-BCC9-66CEB74228B2</t>
  </si>
  <si>
    <t>SBO3KAMEGL06_KME_2.pdf</t>
  </si>
  <si>
    <t>Uploads\a7f30962-6669-49a6-bcc9-66ceb74228b2.pdf</t>
  </si>
  <si>
    <t>A9D2E479-2547-4E9D-A97C-CF7FDA893936</t>
  </si>
  <si>
    <t>12092A66-80BA-48F1-80EB-C0D47A45951B</t>
  </si>
  <si>
    <t>KME-2_EOWR.pdf</t>
  </si>
  <si>
    <t>Uploads\12092a66-80ba-48f1-80eb-c0d47a45951b.pdf</t>
  </si>
  <si>
    <t>65AF3EDC-B3D8-48A5-9AC8-60D8C0C2181B</t>
  </si>
  <si>
    <t>D92ED4FA-E257-44CC-85CF-351A9DFE74F7</t>
  </si>
  <si>
    <t>0644830E-1FF0-48A8-82C0-52E42395E219</t>
  </si>
  <si>
    <t>LAILA-102 NOOP (Final).pdf</t>
  </si>
  <si>
    <t>Uploads\0644830e-1ff0-48a8-82c0-52e42395e219.pdf</t>
  </si>
  <si>
    <t>57709D95-9DDA-4AEA-819C-7555BEDB05CE</t>
  </si>
  <si>
    <t>E9DEAC10-355A-4BA6-9A4D-47DAA4DEA934</t>
  </si>
  <si>
    <t>LAILA-102 EOWR (Drilling_Completion).pdf</t>
  </si>
  <si>
    <t>Uploads\e9deac10-355a-4ba6-9a4d-47daa4dea934.pdf</t>
  </si>
  <si>
    <t>F510376F-497A-49D1-9731-268FA09BB643</t>
  </si>
  <si>
    <t>F60D4FE3-CF76-4C82-9051-C60C0CBA59E1</t>
  </si>
  <si>
    <t>81B6D8DC-A4F0-488D-A652-5BBB9F13CEBA</t>
  </si>
  <si>
    <t>SKO3LAILWS12_LA-104_SHELL_NOOP.pdf</t>
  </si>
  <si>
    <t>Uploads\81b6d8dc-a4f0-488d-a652-5bbb9f13ceba.pdf</t>
  </si>
  <si>
    <t>439E66CC-5526-4DC7-A444-7983480D1660</t>
  </si>
  <si>
    <t>767E839D-D8E1-4976-8ACA-3564DB2539FB</t>
  </si>
  <si>
    <t>LAILA-104 EOWR (Drilling_Completion).pdf</t>
  </si>
  <si>
    <t>Uploads\767e839d-d8e1-4976-8aca-3564db2539fb.pdf</t>
  </si>
  <si>
    <t>0B0E9DA6-DE6E-4898-8246-093597FA47BF</t>
  </si>
  <si>
    <t>85B4A84F-7CE5-41C6-89F4-76122E291AB3</t>
  </si>
  <si>
    <t>DFD77C4E-844D-4C5C-B434-9CDD0ED6B419</t>
  </si>
  <si>
    <t>LAYANG NOOP.pdf</t>
  </si>
  <si>
    <t>Uploads\dfd77c4e-844d-4c5c-b434-9cdd0ed6b419.pdf</t>
  </si>
  <si>
    <t>BA1152A6-FCF9-4A4C-855B-F47BC9988C3E</t>
  </si>
  <si>
    <t>BC807481-BA7A-4978-9813-EEBC7C580A2B</t>
  </si>
  <si>
    <t>LAYANG-2RD EOWR (1).pdf</t>
  </si>
  <si>
    <t>Uploads\bc807481-ba7a-4978-9813-eebc7c580a2b.pdf</t>
  </si>
  <si>
    <t>D57DA2F2-8D57-414E-B01E-8F3FE4160812</t>
  </si>
  <si>
    <t>7D6971AD-D028-4DF5-A6E4-02A2CB87E5EF</t>
  </si>
  <si>
    <t>6A294B6B-7E90-4C44-B8C5-BFDA22A696FB</t>
  </si>
  <si>
    <t>MENAWAN-1 NOOP (Signed) (1)_Menawan-1NOOP.pdf</t>
  </si>
  <si>
    <t>Uploads\6a294b6b-7e90-4c44-b8c5-bfda22a696fb.pdf</t>
  </si>
  <si>
    <t>422DB9CC-8950-4087-865D-D3D79EBE6268</t>
  </si>
  <si>
    <t>18F4DF9C-B6AA-4250-BA6D-EB19B768241B</t>
  </si>
  <si>
    <t>SBO3MEWNWS03_MENAWAN_1ST1.pdf</t>
  </si>
  <si>
    <t>Uploads\18f4df9c-b6aa-4250-ba6d-eb19b768241b.pdf</t>
  </si>
  <si>
    <t>756FDC5E-41F9-4A35-96E6-BD6561FF38E3</t>
  </si>
  <si>
    <t>EC8D0065-156D-4B15-87AB-1515701D4FBF</t>
  </si>
  <si>
    <t>5EA3B09F-3467-4435-BFDF-53584B4BCFB9</t>
  </si>
  <si>
    <t>MLK-103 (KMU1) NOOP (FINAL SIGNED).pdf</t>
  </si>
  <si>
    <t>Uploads\5ea3b09f-3467-4435-bfdf-53584b4bcfb9.pdf</t>
  </si>
  <si>
    <t>56CC9101-F36A-4A3D-8E94-E226C613ADBB</t>
  </si>
  <si>
    <t>85363EA4-A2DF-4A86-AB36-8B88285F74EC</t>
  </si>
  <si>
    <t>MLK-103 EOWR 180402 (FINAL).pdf</t>
  </si>
  <si>
    <t>Uploads\85363ea4-a2df-4a86-ab36-8b88285f74ec.pdf</t>
  </si>
  <si>
    <t>5A1DA5D2-D04E-418E-8ED4-811E21A2D2B2</t>
  </si>
  <si>
    <t>BD7B239F-2C8D-4484-B669-197D0396A34B</t>
  </si>
  <si>
    <t>MLK-104</t>
  </si>
  <si>
    <t>D5FE050D-7620-4B70-A279-9F110CF131ED</t>
  </si>
  <si>
    <t>MLK-104 P401 NOOP_Final.pdf</t>
  </si>
  <si>
    <t>Uploads\d5fe050d-7620-4b70-a279-9f110cf131ed.pdf</t>
  </si>
  <si>
    <t>5CB5AF52-A133-4DA9-8477-A9D3EC90FD5F</t>
  </si>
  <si>
    <t>BA0C594F-6A84-4F71-B1F8-61322C66D626</t>
  </si>
  <si>
    <t>Malikai-104 EOWR.pdf</t>
  </si>
  <si>
    <t>Uploads\ba0c594f-6a84-4f71-b1f8-61322c66d626.pdf</t>
  </si>
  <si>
    <t>0A89BE0D-31B6-4141-B652-DC84EFC1FBDB</t>
  </si>
  <si>
    <t>ACBA5E74-2F8B-49BE-A0A4-4AD557E34287</t>
  </si>
  <si>
    <t>ECDC3406-1750-4B24-8F87-668D075BA56E</t>
  </si>
  <si>
    <t>EOWR Malikai-106 FINAL.pdf</t>
  </si>
  <si>
    <t>Uploads\ecdc3406-1750-4b24-8f87-668d075ba56e.pdf</t>
  </si>
  <si>
    <t>4F3FE6FA-2BA1-40B0-919A-EE2C05B7DA7F</t>
  </si>
  <si>
    <t>E410089E-1A98-446E-8DB8-531B5EFB2217</t>
  </si>
  <si>
    <t>MLK-106 Pink North WI - NOOP v2.pdf</t>
  </si>
  <si>
    <t>Uploads\e410089e-1a98-446e-8db8-531b5efb2217.pdf</t>
  </si>
  <si>
    <t>A6B63961-0E4F-43EF-9DDB-F3A5BB884B4D</t>
  </si>
  <si>
    <t>91C72E3A-D5C4-4CFE-B470-504A5F6CAF4A</t>
  </si>
  <si>
    <t>MLK-115</t>
  </si>
  <si>
    <t>328011A8-01EC-45BC-9E38-A8E31A736C35</t>
  </si>
  <si>
    <t>01. Malikai MLK-115 P300 NOOP_Rev1.pdf</t>
  </si>
  <si>
    <t>Uploads\328011a8-01ec-45bc-9e38-a8e31a736c35.pdf</t>
  </si>
  <si>
    <t>52C3D75F-33BE-43D1-8CEA-CB0762A9EA91</t>
  </si>
  <si>
    <t>66ACA337-4385-4224-BE5C-9ACEE8F6BCAB</t>
  </si>
  <si>
    <t>MALIKAI-115 EOWR DRILLING AND COMPLETION.pdf</t>
  </si>
  <si>
    <t>Uploads\66aca337-4385-4224-be5c-9acee8f6bcab.pdf</t>
  </si>
  <si>
    <t>E9156F2B-1025-49C3-8989-D3CFB8C906A9</t>
  </si>
  <si>
    <t>893188BF-05E3-4FA4-9BD5-D94821997833</t>
  </si>
  <si>
    <t>02B64A17-E828-4A51-B628-69CBA160EE56</t>
  </si>
  <si>
    <t>Uploads\02b64a17-e828-4a51-b628-69cba160ee56.pdf</t>
  </si>
  <si>
    <t>F484F1A0-FD63-4038-845B-5F74F0847878</t>
  </si>
  <si>
    <t>3CD6FC28-2665-4080-8D53-C7B8FCBE235F</t>
  </si>
  <si>
    <t>Uploads\3cd6fc28-2665-4080-8d53-c7b8fcbe235f.pdf</t>
  </si>
  <si>
    <t>52F1C50F-5EC8-45CA-8DD9-3CCD7A447619</t>
  </si>
  <si>
    <t>F91D56E8-D8BA-4DF9-A27E-C11ECC06B37A</t>
  </si>
  <si>
    <t>0A1E3013-A800-4012-B5FE-D7978E0251E4</t>
  </si>
  <si>
    <t>NC3 A5 FWR final signed.pdf</t>
  </si>
  <si>
    <t>Uploads\0a1e3013-a800-4012-b5fe-d7978e0251e4.pdf</t>
  </si>
  <si>
    <t>BF5C37DA-2DD7-423F-B111-E9923BCEEF24</t>
  </si>
  <si>
    <t>477BED9F-A93E-4566-A448-31941BB15A14</t>
  </si>
  <si>
    <t>NOOP NC3-A5 external.pdf</t>
  </si>
  <si>
    <t>Uploads\477bed9f-a93e-4566-a448-31941bb15a14.pdf</t>
  </si>
  <si>
    <t>4F68F4A2-CB8A-46B2-90BF-8EA9B64DEA88</t>
  </si>
  <si>
    <t>E95D2FE6-7929-47FB-BF1E-F447DDFCF843</t>
  </si>
  <si>
    <t>DF8DAE21-2A06-4FE1-B3AA-4C19C7200BC4</t>
  </si>
  <si>
    <t>Patawali-2 Notice of Operations.pdf</t>
  </si>
  <si>
    <t>Uploads\df8dae21-2a06-4fe1-b3aa-4c19c7200bc4.pdf</t>
  </si>
  <si>
    <t>67B95795-7958-4BED-A85C-0E501652E9E5</t>
  </si>
  <si>
    <t>22BE5D78-3656-4285-B8F1-FC77D6BE63F9</t>
  </si>
  <si>
    <t>Patawali-2 and Patawali-2 RDR1 Drilling End of Well Report.pdf</t>
  </si>
  <si>
    <t>Uploads\22be5d78-3656-4285-b8f1-fc77d6be63f9.pdf</t>
  </si>
  <si>
    <t>2584C48F-2490-48D7-B30D-DE5EAC727703</t>
  </si>
  <si>
    <t>59DD6203-0713-4E5E-A14D-6A53BAA951DC</t>
  </si>
  <si>
    <t>082F9EA0-DB01-44D3-A221-3AFE8354ECD7</t>
  </si>
  <si>
    <t>PENDEKAR-1 ST-1 FWR.pdf</t>
  </si>
  <si>
    <t>Uploads\082f9ea0-db01-44d3-a221-3afe8354ecd7.pdf</t>
  </si>
  <si>
    <t>DAF930DC-E4BE-4225-8825-AFA30A1F84C0</t>
  </si>
  <si>
    <t>CE0BCE1A-00E3-407D-B25F-211C4E3AF559</t>
  </si>
  <si>
    <t>SBO3PDKRWS01_PENDEKAR_1.pdf</t>
  </si>
  <si>
    <t>Uploads\ce0bce1a-00e3-407d-b25f-211c4e3af559.pdf</t>
  </si>
  <si>
    <t>6C2BCC7F-0058-4D50-BFD2-E3DDFB329D10</t>
  </si>
  <si>
    <t>326DD87B-49E3-44A9-93BB-A99B7CBF162E</t>
  </si>
  <si>
    <t>6B106B65-B2AE-4AAF-89C8-BCF5A99B7EFA</t>
  </si>
  <si>
    <t>PRPA-02 EOWR.pdf</t>
  </si>
  <si>
    <t>Uploads\6b106b65-b2ae-4aaf-89c8-bcf5a99b7efa.pdf</t>
  </si>
  <si>
    <t>3242A3B2-F5BA-4BF5-A33B-4F3CF5427F1A</t>
  </si>
  <si>
    <t>2C5F4D74-674B-4979-AF8B-C06A572D94FE</t>
  </si>
  <si>
    <t>Uploads\2c5f4d74-674b-4979-af8b-c06a572d94fe.pdf</t>
  </si>
  <si>
    <t>D9051A0A-4305-49B5-A504-2231FB2159C3</t>
  </si>
  <si>
    <t>D9B5C4E3-0A09-40F5-99B2-24966B9F1FB5</t>
  </si>
  <si>
    <t>B1BD81A6-36E8-4FBB-ADCF-C038F9052AFF</t>
  </si>
  <si>
    <t>Uploads\b1bd81a6-36e8-4fbb-adcf-c038f9052aff.pdf</t>
  </si>
  <si>
    <t>FD6CF58A-D268-4245-A7E9-870C52A0C130</t>
  </si>
  <si>
    <t>E3A0D085-9BB2-4DDB-9D20-7825A21EFD35</t>
  </si>
  <si>
    <t>Uploads\e3a0d085-9bb2-4ddb-9d20-7825a21efd35.pdf</t>
  </si>
  <si>
    <t>6DDFCECA-3C5F-45A7-A1F2-38FDB0882E10</t>
  </si>
  <si>
    <t>546C5E2D-446E-4B54-B1F3-670BE4A8E424</t>
  </si>
  <si>
    <t>0197B407-3A09-4A39-A3EF-833D33E4654F</t>
  </si>
  <si>
    <t>Remujung-1 EoWR FINAL.pdf</t>
  </si>
  <si>
    <t>Uploads\0197b407-3a09-4a39-a3ef-833d33e4654f.pdf</t>
  </si>
  <si>
    <t>D2E63691-66CD-4181-8664-A64E018AA1E2</t>
  </si>
  <si>
    <t>91C77280-37B4-449B-B18D-55C0846B3689</t>
  </si>
  <si>
    <t>Remujung-1_NOOP -FINAL.pdf</t>
  </si>
  <si>
    <t>Uploads\91c77280-37b4-449b-b18d-55c0846b3689.pdf</t>
  </si>
  <si>
    <t>F6BCD384-01C2-4B61-8C8B-4C1BD81A06EB</t>
  </si>
  <si>
    <t>BF799B1A-654D-45CC-A983-A4FB147076D6</t>
  </si>
  <si>
    <t>1894F8CA-2C9E-4D01-92FE-A85E48D9204B</t>
  </si>
  <si>
    <t>Rosmari-1_NOP_FINAL23122013.pdf</t>
  </si>
  <si>
    <t>Uploads\1894f8ca-2c9e-4d01-92fe-a85e48d9204b.pdf</t>
  </si>
  <si>
    <t>2127BCAB-C9B4-4701-9733-9F9C8C4CA401</t>
  </si>
  <si>
    <t>CFC72CE6-58E0-4AB7-9679-20C946274894</t>
  </si>
  <si>
    <t>Rosmari-1 ST1 EOWR final.pdf</t>
  </si>
  <si>
    <t>Uploads\cfc72ce6-58e0-4ab7-9679-20c946274894.pdf</t>
  </si>
  <si>
    <t>DFD4DC92-F8BC-44C2-AFAA-633508E7BFDC</t>
  </si>
  <si>
    <t>72474A49-33C9-4642-A858-2597E9875720</t>
  </si>
  <si>
    <t>39B89933-B363-49B2-B927-2202A25220CD</t>
  </si>
  <si>
    <t>Rotan RP-1 Petronas and Carigali_Drilling NOOP.pdf</t>
  </si>
  <si>
    <t>Uploads\39b89933-b363-49b2-b927-2202a25220cd.pdf</t>
  </si>
  <si>
    <t>EDF6FDA0-A1B1-47EA-8675-A8955B3D9296</t>
  </si>
  <si>
    <t>84151615-BDD1-4FC0-9B42-9E5186FF01FD</t>
  </si>
  <si>
    <t>ROTAN RP-1 EOWR.pdf</t>
  </si>
  <si>
    <t>Uploads\84151615-bdd1-4fc0-9b42-9e5186ff01fd.pdf</t>
  </si>
  <si>
    <t>BC8DE237-2581-480A-9661-2F83B9DCDB43</t>
  </si>
  <si>
    <t>C0EFB543-C8D3-4A2F-9C3F-12E4DAA186DB</t>
  </si>
  <si>
    <t>75B6FBBE-2A7A-4E80-8D3D-7776B2537177</t>
  </si>
  <si>
    <t>SALAM-1 FWR.pdf</t>
  </si>
  <si>
    <t>Uploads\75b6fbbe-2a7a-4e80-8d3d-7776b2537177.pdf</t>
  </si>
  <si>
    <t>C15C4A5D-348D-460D-BBC6-06882EE9EE53</t>
  </si>
  <si>
    <t>E0C8E689-AA4D-4925-8DC8-00882342E68C</t>
  </si>
  <si>
    <t>SALAM-1 NOOP.pdf</t>
  </si>
  <si>
    <t>SALAM-1 FWR SIGNED.pdf</t>
  </si>
  <si>
    <t>Uploads\e0c8e689-aa4d-4925-8dc8-00882342e68c.pdf</t>
  </si>
  <si>
    <t>EF0BFE36-78CD-491E-9489-ACCDDB50E9DD</t>
  </si>
  <si>
    <t>E5860A6F-D730-4928-8CA1-76F87B7908C0</t>
  </si>
  <si>
    <t>7251A495-DA7D-43CD-B574-3C11E297592C</t>
  </si>
  <si>
    <t>NOOP_NOWOP SAPA-01,SAPA-03,SAPA-17.pdf</t>
  </si>
  <si>
    <t>Uploads\7251a495-da7d-43cd-b574-3c11e297592c.pdf</t>
  </si>
  <si>
    <t>2FD0042E-1FD3-4102-A82E-B5F09D6D9A27</t>
  </si>
  <si>
    <t>D2336055-ED1A-445A-941E-CB1586F2F72B</t>
  </si>
  <si>
    <t>SKO3ACISGL26_SAPA-01ST2_PTTEP_fwr.pdf</t>
  </si>
  <si>
    <t>SAPA-01ST2_ST3 EOWR.pdf</t>
  </si>
  <si>
    <t>Uploads\d2336055-ed1a-445a-941e-cb1586f2f72b.pdf</t>
  </si>
  <si>
    <t>423A4678-7731-42D6-B798-EF5DB5D770F0</t>
  </si>
  <si>
    <t>C922890E-E48C-4436-BC27-0D14AFA061EC</t>
  </si>
  <si>
    <t>FE6556CB-70DB-41C5-9C93-08F530F01595</t>
  </si>
  <si>
    <t>Uploads\fe6556cb-70db-41c5-9c93-08f530f01595.pdf</t>
  </si>
  <si>
    <t>EB075983-9089-43E1-8ABB-977623C2486E</t>
  </si>
  <si>
    <t>DB8F903F-39D5-48E5-8345-8DC1F6DA702B</t>
  </si>
  <si>
    <t>SAPA-03_ST1 EOWR.pdf</t>
  </si>
  <si>
    <t>Uploads\db8f903f-39d5-48e5-8345-8dc1f6da702b.pdf</t>
  </si>
  <si>
    <t>001131EF-0604-4533-B26A-6D2AEF1C8CA3</t>
  </si>
  <si>
    <t>28D03F09-D465-4BC9-B2AB-6729E62D9C7D</t>
  </si>
  <si>
    <t>SAPA-08</t>
  </si>
  <si>
    <t>185B9654-AB51-4E79-95B9-F7F77F661B11</t>
  </si>
  <si>
    <t>SAPA-08 EOWR.pdf</t>
  </si>
  <si>
    <t>Uploads\185b9654-ab51-4e79-95b9-f7f77f661b11.pdf</t>
  </si>
  <si>
    <t>C88B019C-CC64-45AB-942C-5C4B9AED404F</t>
  </si>
  <si>
    <t>8F60AE69-520E-4BA4-A1BD-6449355DC1FF</t>
  </si>
  <si>
    <t>Uploads\8f60ae69-520e-4ba4-a1bd-6449355dc1ff.pdf</t>
  </si>
  <si>
    <t>03AA92E1-D663-465C-BFEF-1777EBC0B2AD</t>
  </si>
  <si>
    <t>A16E705C-9817-4894-B831-DFB10BB9591A</t>
  </si>
  <si>
    <t>ED2D243B-0AAC-49B8-9895-15077D882048</t>
  </si>
  <si>
    <t>Uploads\ed2d243b-0aac-49b8-9895-15077d882048.pdf</t>
  </si>
  <si>
    <t>5BF66F35-4229-4F64-AE02-B78BDFB8FC68</t>
  </si>
  <si>
    <t>8DE70906-AE21-4914-AE8C-86997622F6C0</t>
  </si>
  <si>
    <t>SAPA-12 EOWR Rev A.pdf</t>
  </si>
  <si>
    <t>Uploads\8de70906-ae21-4914-ae8c-86997622f6c0.pdf</t>
  </si>
  <si>
    <t>9DE6BA6F-F69B-47B3-8197-34EEF653F4C6</t>
  </si>
  <si>
    <t>C4730ECC-D73C-4E57-9E44-DB5CB13EF068</t>
  </si>
  <si>
    <t>3087B1EA-AAF5-49F7-86BB-1B31235D9CA9</t>
  </si>
  <si>
    <t>SAPA-14ST1 EOWR Rev A.pdf</t>
  </si>
  <si>
    <t>Uploads\3087b1ea-aaf5-49f7-86bb-1b31235d9ca9.pdf</t>
  </si>
  <si>
    <t>2C8D9716-2341-4126-B53C-B96EC138A713</t>
  </si>
  <si>
    <t>BA44511F-FE39-4853-828B-B9C17ED3C706</t>
  </si>
  <si>
    <t>Uploads\ba44511f-fe39-4853-828b-b9c17ed3c706.pdf</t>
  </si>
  <si>
    <t>060ED13A-A8C0-4314-9204-08FC2AE203D6</t>
  </si>
  <si>
    <t>04F3711E-852A-48E4-A2AA-49734D88A89D</t>
  </si>
  <si>
    <t>1CF8DE34-FEA7-40D7-B126-6904AB4AA8C6</t>
  </si>
  <si>
    <t>SAPA-17ST1 EOWR.pdf</t>
  </si>
  <si>
    <t>Uploads\1cf8de34-fea7-40d7-b126-6904ab4aa8c6.pdf</t>
  </si>
  <si>
    <t>2449E12F-00B4-4723-9D47-BF499B0C6850</t>
  </si>
  <si>
    <t>1F7F0AE8-FFD9-4DEE-917D-B31AF788051D</t>
  </si>
  <si>
    <t>Uploads\1f7f0ae8-ffd9-4dee-917d-b31af788051d.pdf</t>
  </si>
  <si>
    <t>AFAB7328-861C-45E3-9ECD-EC57D0F48A93</t>
  </si>
  <si>
    <t>46ED5D15-DD43-461D-A7E8-EB78441F64C4</t>
  </si>
  <si>
    <t>A1723179-8862-402B-8536-B436DD235E4D</t>
  </si>
  <si>
    <t>Uploads\a1723179-8862-402b-8536-b436dd235e4d.pdf</t>
  </si>
  <si>
    <t>67490DE7-AB53-44AD-B5B8-70EF915792CA</t>
  </si>
  <si>
    <t>032A7DAC-7237-48A6-9BCE-1FB30D3147A6</t>
  </si>
  <si>
    <t>SAPA-19ST1 EOWR (2).pdf</t>
  </si>
  <si>
    <t>Uploads\032a7dac-7237-48a6-9bce-1fb30d3147a6.pdf</t>
  </si>
  <si>
    <t>55279608-4A42-42DB-8247-1BF94D606CE4</t>
  </si>
  <si>
    <t>C9962888-F805-430A-822E-34C74521BEE2</t>
  </si>
  <si>
    <t>39CF4EB3-32B7-4C46-86F6-D5B8159891BD</t>
  </si>
  <si>
    <t>Uploads\39cf4eb3-32b7-4c46-86f6-d5b8159891bd.pdf</t>
  </si>
  <si>
    <t>3BE8B206-B865-45B9-876C-3580B69197AF</t>
  </si>
  <si>
    <t>8E1FE020-3BB1-449C-914F-4DF2637E170E</t>
  </si>
  <si>
    <t>SAPA-22 EOWR Rev A.pdf</t>
  </si>
  <si>
    <t>Uploads\8e1fe020-3bb1-449c-914f-4df2637e170e.pdf</t>
  </si>
  <si>
    <t>B4F42DC0-ABC3-45F7-BCF0-D609C832275C</t>
  </si>
  <si>
    <t>9491699B-48DC-4A6E-91BC-ECFB60769EBB</t>
  </si>
  <si>
    <t>9A27DE90-9491-458C-AE6D-B6138A5223C1</t>
  </si>
  <si>
    <t>SAPA-24 EOWR.pdf</t>
  </si>
  <si>
    <t>Uploads\9a27de90-9491-458c-ae6d-b6138a5223c1.pdf</t>
  </si>
  <si>
    <t>E5A4447E-22E0-4D12-9BF9-A9EFA4082CD7</t>
  </si>
  <si>
    <t>EDE73689-2DA6-40A4-BCF9-F22C939820E8</t>
  </si>
  <si>
    <t>Uploads\ede73689-2da6-40a4-bcf9-f22c939820e8.pdf</t>
  </si>
  <si>
    <t>C9E2DF00-8A3E-4EAB-BDAF-461017E94A9C</t>
  </si>
  <si>
    <t>2A9AA0FA-89FB-48B4-BD0C-D536B650DD2F</t>
  </si>
  <si>
    <t>31BFCC9D-E9E5-457F-8338-4F78A0221C47</t>
  </si>
  <si>
    <t>Uploads\31bfcc9d-e9e5-457f-8338-4f78a0221c47.pdf</t>
  </si>
  <si>
    <t>FFED991E-914A-42BD-AF2E-E7E106A893D2</t>
  </si>
  <si>
    <t>2E4D03A4-03A8-407E-8292-6F3D6A128D0B</t>
  </si>
  <si>
    <t>Uploads\2e4d03a4-03a8-407e-8292-6f3d6a128d0b.pdf</t>
  </si>
  <si>
    <t>EB5C22DB-3F66-4A13-9BDA-01A883C36B0A</t>
  </si>
  <si>
    <t>Uploads\eb5c22db-3f66-4a13-9bda-01a883c36b0a.pdf</t>
  </si>
  <si>
    <t>608E804A-1601-4B8D-8966-05CBDE306ADA</t>
  </si>
  <si>
    <t>122AAB7F-D761-409E-8FF5-94D811CEECFA</t>
  </si>
  <si>
    <t>3A02C46F-7F17-473D-9228-C760715A50E7</t>
  </si>
  <si>
    <t>Jambu Well (SeE-32) Drilling Programme.pdf</t>
  </si>
  <si>
    <t>Uploads\3a02c46f-7f17-473d-9228-c760715a50e7.pdf</t>
  </si>
  <si>
    <t>4F25380E-DF2B-40CF-BFC7-69A4A70CF320</t>
  </si>
  <si>
    <t>2882EB9D-4DBE-45C1-A6BB-DBCE2BFA3E47</t>
  </si>
  <si>
    <t>Final Well Report SeE-32 32ST1 C1 Scanned.pdf</t>
  </si>
  <si>
    <t>Uploads\2882eb9d-4dbe-45c1-a6bb-dbce2bfa3e47.pdf</t>
  </si>
  <si>
    <t>F7206FBE-ADE5-48D9-A531-3F3C37B5B1C0</t>
  </si>
  <si>
    <t>0AA52DA5-5F6E-45AB-8435-72921388C76C</t>
  </si>
  <si>
    <t>A1FC1F18-C87A-4317-A1B2-3C14061917F7</t>
  </si>
  <si>
    <t>Final Well Report SeE-33 C1.pdf</t>
  </si>
  <si>
    <t>Uploads\a1fc1f18-c87a-4317-a1b2-3c14061917f7.pdf</t>
  </si>
  <si>
    <t>9740BC43-26B8-49FC-AEBF-F4D6CC1AFA3B</t>
  </si>
  <si>
    <t>B5A012BC-7CAF-419A-B8F8-1F17C7BAE4D0</t>
  </si>
  <si>
    <t>Gedabu Well (SeE-33) Notice of Operation (NOOP) C1.pdf</t>
  </si>
  <si>
    <t>Uploads\b5a012bc-7caf-419a-b8f8-1f17c7bae4d0.pdf</t>
  </si>
  <si>
    <t>A9FC2474-B878-48E2-8CBC-0DBF212B435F</t>
  </si>
  <si>
    <t>DB640D63-F2F9-4B74-9F42-41E591168AF2</t>
  </si>
  <si>
    <t>FCDFE639-61A7-4F3A-A754-D7B610FE2AA3</t>
  </si>
  <si>
    <t>Uploads\fcdfe639-61a7-4f3a-a754-d7b610fe2aa3.pdf</t>
  </si>
  <si>
    <t>4D2C19F1-B5CE-48C0-9056-2E9A68A34ACD</t>
  </si>
  <si>
    <t>59A8C0C0-CC6C-4059-B246-498CCDC396BB</t>
  </si>
  <si>
    <t>SEPA10ST2 EOWR_FINAL (APPROVED).pdf</t>
  </si>
  <si>
    <t>Uploads\59a8c0c0-cc6c-4059-b246-498ccdc396bb.pdf</t>
  </si>
  <si>
    <t>2DDBE7C4-30A7-49CC-909E-ECDB644004B9</t>
  </si>
  <si>
    <t>401D3D9F-FAFE-4363-A78F-81B44EFC4BBF</t>
  </si>
  <si>
    <t>61E47A4B-AA9B-40DE-908C-A5AD1EE4E3B7</t>
  </si>
  <si>
    <t>FWR Sepat-11_Part1_signed.pdf</t>
  </si>
  <si>
    <t>Uploads\61e47a4b-aa9b-40de-908c-a5ad1ee4e3b7.pdf</t>
  </si>
  <si>
    <t>F0510A4E-5E10-4573-A9F2-E3E05D7763A2</t>
  </si>
  <si>
    <t>F9A17236-5786-4BD2-A2B8-D301EF8A4748</t>
  </si>
  <si>
    <t>NOOP Sepat-11 submitted to MPM with Signtures.pdf</t>
  </si>
  <si>
    <t>Uploads\f9a17236-5786-4bd2-a2b8-d301ef8a4748.pdf</t>
  </si>
  <si>
    <t>6E6CEF3C-8223-4753-9CD9-56CE1DC168E2</t>
  </si>
  <si>
    <t>D135C790-7F61-4C11-B2F8-2D3AE4E00BEB</t>
  </si>
  <si>
    <t>B0FB23B2-6B59-4091-B317-B53B542B701E</t>
  </si>
  <si>
    <t>NOOP Sepat A11 FINAL (1).pdf</t>
  </si>
  <si>
    <t>Uploads\b0fb23b2-6b59-4091-b317-b53b542b701e.pdf</t>
  </si>
  <si>
    <t>92701F34-9C91-4E27-AD63-A0F7FDAB3D55</t>
  </si>
  <si>
    <t>60DEAA5E-10BB-4C21-BF9E-E930293811E2</t>
  </si>
  <si>
    <t>SUBMISSION OF FINAL WELL REPORT FOR SEPAT A11.pdf</t>
  </si>
  <si>
    <t>Uploads\60deaa5e-10bb-4c21-bf9e-e930293811e2.pdf</t>
  </si>
  <si>
    <t>86188B1B-C9A6-4B7B-BEB2-F3A3F233BFC6</t>
  </si>
  <si>
    <t>04D32FB5-5240-4A1B-B76D-5AAAD1017712</t>
  </si>
  <si>
    <t>3E231D06-DADC-4A5A-88CB-DCF4CEE190CB</t>
  </si>
  <si>
    <t>SOUTH FURIOUS-A15 NOOP.pdf</t>
  </si>
  <si>
    <t>Uploads\3e231d06-dadc-4a5a-88cb-dcf4cee190cb.pdf</t>
  </si>
  <si>
    <t>11322CEF-0A93-488A-A86B-31D76AAB92BE</t>
  </si>
  <si>
    <t>F944F64C-2A87-4B09-9BF9-332332CBFDB3</t>
  </si>
  <si>
    <t>SF15S2 EOWR FINAL.pdf</t>
  </si>
  <si>
    <t>Uploads\f944f64c-2a87-4b09-9bf9-332332cbfdb3.pdf</t>
  </si>
  <si>
    <t>9F2E9040-4F32-495B-9538-97C614876BF7</t>
  </si>
  <si>
    <t>31BCA2B5-F24C-4EEE-A2CB-5CEAFBF909EE</t>
  </si>
  <si>
    <t>9E0AFA2C-8435-423D-A02D-89E76C32C5FD</t>
  </si>
  <si>
    <t>SOUTH FURIOUS-A16ST2 NOOP.pdf</t>
  </si>
  <si>
    <t>Uploads\9e0afa2c-8435-423d-a02d-89e76c32c5fd.pdf</t>
  </si>
  <si>
    <t>1272E71A-B940-4229-9D58-257BC2132556</t>
  </si>
  <si>
    <t>54503CA9-8175-4C64-9F1E-095407A48C0D</t>
  </si>
  <si>
    <t>SOUTH FURIOUS-16S3 EOWR (Final).docx</t>
  </si>
  <si>
    <t>Uploads\54503ca9-8175-4c64-9f1e-095407a48c0d.pdf</t>
  </si>
  <si>
    <t>EF12D796-5A79-4533-9109-6486B83BE39A</t>
  </si>
  <si>
    <t>BD6E1DBC-E75F-41DC-A12E-56C2370FA36E</t>
  </si>
  <si>
    <t>8BC9C01F-2BBC-477A-8A11-F44BE1B9A753</t>
  </si>
  <si>
    <t>Hibiscus North Sabah St Joseph Well SJ-105C NOOP.pdf</t>
  </si>
  <si>
    <t>Uploads\8bc9c01f-2bbc-477a-8a11-f44be1b9a753.pdf</t>
  </si>
  <si>
    <t>87A8D86C-75EB-4ACA-89D4-D35AB39B7EBF</t>
  </si>
  <si>
    <t>B716CB17-54F4-493A-A437-8145D89E2184</t>
  </si>
  <si>
    <t>EOWR letter SJ-105C (PCSB JV).pdf</t>
  </si>
  <si>
    <t>Uploads\b716cb17-54f4-493a-a437-8145d89e2184.pdf</t>
  </si>
  <si>
    <t>B44F97D2-0455-4008-8015-7AA9F96DE142</t>
  </si>
  <si>
    <t>27BE6365-67EA-478B-A75B-1EC511901425</t>
  </si>
  <si>
    <t>416AC92A-D298-4DB7-B799-F40DA9CFF056</t>
  </si>
  <si>
    <t>SM47ST NOOP SM-2EOR-DD-DRL-DB-DRL-PRC-8-2018 (1).pdf</t>
  </si>
  <si>
    <t>Uploads\416ac92a-d298-4db7-b799-f40da9cff056.pdf</t>
  </si>
  <si>
    <t>D1DB9324-8B8C-4F0A-93B2-A485ED84401C</t>
  </si>
  <si>
    <t>D838B195-C15E-4860-8234-51DC75560ADF</t>
  </si>
  <si>
    <t>SAMARANG-B47ST1 FWR.pdf</t>
  </si>
  <si>
    <t>Uploads\d838b195-c15e-4860-8234-51dc75560adf.pdf</t>
  </si>
  <si>
    <t>464AC890-C08B-4903-9AD4-42D8841B2EB7</t>
  </si>
  <si>
    <t>191A5DEA-81BF-4DFA-AFE8-00D71CC1DCE3</t>
  </si>
  <si>
    <t>46FFFAF0-DD71-4B8E-AC02-343A92103152</t>
  </si>
  <si>
    <t>SBO3SMRGWSEM_SM_49ST.pdf</t>
  </si>
  <si>
    <t>Uploads\46fffaf0-dd71-4b8e-ac02-343a92103152.pdf</t>
  </si>
  <si>
    <t>0A3CBB55-E3C8-4039-A5D2-4C935686EA93</t>
  </si>
  <si>
    <t>0BEAAE56-C3F3-409A-90A9-1F8F49D24A9E</t>
  </si>
  <si>
    <t>SBO3SMRGGL53_SM49T.pdf</t>
  </si>
  <si>
    <t>Uploads\0beaae56-c3f3-409a-90a9-1f8f49d24a9e.pdf</t>
  </si>
  <si>
    <t>CEA4735A-8952-4E24-BFC7-8C42364B183D</t>
  </si>
  <si>
    <t>F521DE06-4EF1-4C38-B09E-481549E72089</t>
  </si>
  <si>
    <t>C15E0BC1-4CF6-45E9-8316-BDAC6AE9EDDF</t>
  </si>
  <si>
    <t>SM50ST2.pdf</t>
  </si>
  <si>
    <t>Uploads\c15e0bc1-4cf6-45e9-8316-bdac6ae9eddf.pdf</t>
  </si>
  <si>
    <t>B68A81DA-AF53-424C-9DB8-0D4FCB90D273</t>
  </si>
  <si>
    <t>3D5DA490-800C-4532-B43F-97FABBC1F131</t>
  </si>
  <si>
    <t>SAMARANG-B50ST2 FWR.pdf</t>
  </si>
  <si>
    <t>Uploads\3d5da490-800c-4532-b43f-97fabbc1f131.pdf</t>
  </si>
  <si>
    <t>2801401B-B021-4C88-8652-5F3C448E9768</t>
  </si>
  <si>
    <t>987D85DE-0D85-46AE-B621-649A633309BD</t>
  </si>
  <si>
    <t>57D4F7F2-E7FA-48B5-8175-03FBDE26EC18</t>
  </si>
  <si>
    <t>Uploads\57d4f7f2-e7fa-48b5-8175-03fbde26ec18.pdf</t>
  </si>
  <si>
    <t>C269E77F-330D-4B26-805E-101986E6D394</t>
  </si>
  <si>
    <t>C5F63EE9-E9C5-4D72-97B4-9BA1F805C8FB</t>
  </si>
  <si>
    <t>MOM-SK309-72-DNC-RP-0013-00_SNPA-07ST1 EOWR Final.pdf</t>
  </si>
  <si>
    <t>Uploads\c5f63ee9-e9c5-4d72-97b4-9ba1f805c8fb.pdf</t>
  </si>
  <si>
    <t>D518552B-B885-47C0-AC9E-84CDD47CAB4C</t>
  </si>
  <si>
    <t>D0231564-9AF8-47B1-B98F-437CAE4EC3FB</t>
  </si>
  <si>
    <t>D8C788A3-5D9A-4C1F-8912-5435EDBEC3E8</t>
  </si>
  <si>
    <t>MOM-SK309-68-DNC-RP-0014-00_SNPA-08ST1 EOWR Final.pdf</t>
  </si>
  <si>
    <t>Uploads\d8c788a3-5d9a-4c1f-8912-5435edbec3e8.pdf</t>
  </si>
  <si>
    <t>88E134DA-AF51-4625-87BE-95F5A44DF57D</t>
  </si>
  <si>
    <t>7F315164-E214-45EC-8621-AC05DCC7A9A9</t>
  </si>
  <si>
    <t>Uploads\7f315164-e214-45ec-8621-ac05dcc7a9a9.pdf</t>
  </si>
  <si>
    <t>FC6DBCC4-6EBB-4874-8E7F-939C0E1BF007</t>
  </si>
  <si>
    <t>C46D0433-CC0A-4579-AC10-449E5A5E3C40</t>
  </si>
  <si>
    <t>8724FB71-139B-46EE-93DF-C3A2F59B48BC</t>
  </si>
  <si>
    <t>Uploads\8724fb71-139b-46ee-93df-c3a2f59b48bc.pdf</t>
  </si>
  <si>
    <t>D896BAAB-CE10-4E1F-B30F-F9BFD14837C2</t>
  </si>
  <si>
    <t>F2189B41-C9B2-4E61-A35D-C1AF75E2C1AB</t>
  </si>
  <si>
    <t>SKO3SRDHWS99_1_SNPA-10.pdf</t>
  </si>
  <si>
    <t>Uploads\f2189b41-c9b2-4e61-a35d-c1af75e2c1ab.pdf</t>
  </si>
  <si>
    <t>63B9F890-ECD8-4F6A-9B8E-74E1AF8BE9FA</t>
  </si>
  <si>
    <t>3F08DF2D-BADD-4CAC-88AE-02D195FB997B</t>
  </si>
  <si>
    <t>74D516A0-C1C8-43DA-92BD-7868825EE537</t>
  </si>
  <si>
    <t>Uploads\74d516a0-c1c8-43da-92bd-7868825ee537.pdf</t>
  </si>
  <si>
    <t>F65DBC87-E983-44CE-BA8C-2639D110BF1D</t>
  </si>
  <si>
    <t>73E1CA07-D268-4AEB-988F-8B8D17ECB3F8</t>
  </si>
  <si>
    <t>SNPA-11 EOWR.pdf</t>
  </si>
  <si>
    <t>Uploads\73e1ca07-d268-4aeb-988f-8b8d17ecb3f8.pdf</t>
  </si>
  <si>
    <t>08467B7C-F0D0-4813-AB2A-81CB45979B84</t>
  </si>
  <si>
    <t>CCD39497-7DDF-4FED-8507-26E3E4C0667B</t>
  </si>
  <si>
    <t>C714BC50-D625-4B95-A2E7-E5327F36BFB2</t>
  </si>
  <si>
    <t>Uploads\c714bc50-d625-4b95-a2e7-e5327f36bfb2.pdf</t>
  </si>
  <si>
    <t>A9491482-5119-4633-A759-0A640540F9E2</t>
  </si>
  <si>
    <t>31FF9CDA-27AD-4E3A-8FCB-4F73CE354E73</t>
  </si>
  <si>
    <t>MOM-SK309-72-DNC-RP-0017-00_SNPA-12ST1 EOWR.pdf</t>
  </si>
  <si>
    <t>Uploads\31ff9cda-27ad-4e3a-8fcb-4f73ce354e73.pdf</t>
  </si>
  <si>
    <t>63A9BABD-0515-43B8-A9AA-9F0517285CC6</t>
  </si>
  <si>
    <t>980C5EE9-7FBC-4D39-8B05-85D64E85577F</t>
  </si>
  <si>
    <t>55C66FCC-7392-4963-917C-5A051294A333</t>
  </si>
  <si>
    <t>Uploads\55c66fcc-7392-4963-917c-5a051294a333.pdf</t>
  </si>
  <si>
    <t>4FC57FF6-4E8A-4660-8430-3D3DB6F32F82</t>
  </si>
  <si>
    <t>D190D03F-19C0-49E3-8AA1-520FD4904CC2</t>
  </si>
  <si>
    <t>MOM-SK309-72-DNC-RP-0021-00_SNPA-24 EOWR.pdf</t>
  </si>
  <si>
    <t>Uploads\d190d03f-19c0-49e3-8aa1-520fd4904cc2.pdf</t>
  </si>
  <si>
    <t>5F647512-66F8-4296-8471-FBB531894DA4</t>
  </si>
  <si>
    <t>Uploads\5f647512-66f8-4296-8471-fbb531894da4.pdf</t>
  </si>
  <si>
    <t>9CB6903F-D74A-436E-91DA-1DB4788D0F5B</t>
  </si>
  <si>
    <t>C82C1197-20FD-4687-B19A-16BEAE6043D8</t>
  </si>
  <si>
    <t>2FEC604B-ABD5-474E-92B6-F6698BB51902</t>
  </si>
  <si>
    <t>TBK-A4 Final Well Report Rev 1 (Final to MPM).pdf</t>
  </si>
  <si>
    <t>Uploads\2fec604b-abd5-474e-92b6-f6698bb51902.pdf</t>
  </si>
  <si>
    <t>3048173B-0F02-4361-8606-8CD23EB4EEF0</t>
  </si>
  <si>
    <t>6AABC5A6-FBCB-4A28-86F0-7B98EE11CD14</t>
  </si>
  <si>
    <t>TBK_A4 MPM.pdf</t>
  </si>
  <si>
    <t>Uploads\6aabc5a6-fbcb-4a28-86f0-7b98ee11cd14.pdf</t>
  </si>
  <si>
    <t>807D34D0-D9FB-424E-9B61-772BECEA6085</t>
  </si>
  <si>
    <t>4B4420B8-A6A6-41EF-BBA0-5E8D4AA59E0D</t>
  </si>
  <si>
    <t>58E53CB8-82C4-4EE6-B784-123F480C368A</t>
  </si>
  <si>
    <t>TELOK-B5_TELOK B6_NOOP.pdf</t>
  </si>
  <si>
    <t>Uploads\58e53cb8-82c4-4ee6-b784-123f480c368a.pdf</t>
  </si>
  <si>
    <t>8F942681-854B-4BAF-BA99-FFA2A7BAC65D</t>
  </si>
  <si>
    <t>BCCC701F-B26D-4F33-97FD-16CB97C8B1D0</t>
  </si>
  <si>
    <t>Telok B6 Final Well Report (MPM Submission).pdf</t>
  </si>
  <si>
    <t>Uploads\bccc701f-b26d-4f33-97fd-16cb97c8b1d0.pdf</t>
  </si>
  <si>
    <t>08DBF9D9-E9BC-4340-ADCA-9F486F89F6A7</t>
  </si>
  <si>
    <t>251CE7CE-B71F-43EC-96F6-67D770233F6C</t>
  </si>
  <si>
    <t>BFE95857-B47B-45E7-BD9A-F48BC1FF4529</t>
  </si>
  <si>
    <t>WB A06 - signed.pdf</t>
  </si>
  <si>
    <t>Uploads\bfe95857-b47b-45e7-bd9a-f48bc1ff4529.pdf</t>
  </si>
  <si>
    <t>8A795706-6937-4DE6-8467-F3A6B49EF57D</t>
  </si>
  <si>
    <t>73B64099-2870-40B5-A090-299E1AD37D4F</t>
  </si>
  <si>
    <t>WBA-06 FWR.pdf</t>
  </si>
  <si>
    <t>Uploads\73b64099-2870-40b5-a090-299e1ad37d4f.pdf</t>
  </si>
  <si>
    <t>13FB0770-1627-49AD-9F77-AD9E033F752D</t>
  </si>
  <si>
    <t>Uploads\13fb0770-1627-49ad-9f77-ad9e033f752d.pdf</t>
  </si>
  <si>
    <t>2E35C8BD-2362-46A7-B1B1-B270121A197C</t>
  </si>
  <si>
    <t>Uploads\2e35c8bd-2362-46a7-b1b1-b270121a197c.pdf</t>
  </si>
  <si>
    <t>01E68037-6417-49F8-8828-4719137C9302</t>
  </si>
  <si>
    <t>59F4723D-8526-491F-A007-A75B56ECED7A</t>
  </si>
  <si>
    <t>65E5258A-83A8-4341-AE25-E92852423BFA</t>
  </si>
  <si>
    <t>SBO3ZUHEWS24_ZUHAL-EAST-A_PCSB.pdf</t>
  </si>
  <si>
    <t>Uploads\65e5258a-83a8-4341-ae25-e92852423bfa.pdf</t>
  </si>
  <si>
    <t>09C2E817-1364-43AA-9D37-DF19AF7727C6</t>
  </si>
  <si>
    <t>E839296F-FCF2-4275-82AA-769E96FCD897</t>
  </si>
  <si>
    <t>ZUHAL EAST- A NOOP (NEW TARGET).pdf</t>
  </si>
  <si>
    <t>Uploads\e839296f-fcf2-4275-82aa-769e96fcd897.pdf</t>
  </si>
  <si>
    <t>C7B5866F-A929-4307-B31D-9667260DCF50</t>
  </si>
  <si>
    <t>CA14383C-C7FF-4F16-AA21-AD275883457E</t>
  </si>
  <si>
    <t>AA36B26B-72F8-4A04-900A-97B05865776E</t>
  </si>
  <si>
    <t>SBO3ZUHEWS26_ZUHAL-EASTC_PCSB.pdf</t>
  </si>
  <si>
    <t>Uploads\aa36b26b-72f8-4a04-900a-97b05865776e.pdf</t>
  </si>
  <si>
    <t>F5038E5D-AF14-4415-A4B5-97300EFC13C1</t>
  </si>
  <si>
    <t>BC8916DE-765F-4EB5-BA2E-87C1D0781E3D</t>
  </si>
  <si>
    <t>ZUHAL EAST-C NOOP (NEW TARGET).pdf</t>
  </si>
  <si>
    <t>Uploads\bc8916de-765f-4eb5-ba2e-87c1d0781e3d.pdf</t>
  </si>
  <si>
    <t>118E50AF-6DED-4146-9AB1-8CF0BCA7ACFF</t>
  </si>
  <si>
    <t>3D223E44-04C8-488E-A76E-F6FF00B0A020</t>
  </si>
  <si>
    <t>FBBC47B7-2DDD-48D7-8ACA-F890DDD51CE7</t>
  </si>
  <si>
    <t>PCSB FWR (Zuhal South-1) Final 04122017.pdf</t>
  </si>
  <si>
    <t>Uploads\fbbc47b7-2ddd-48d7-8aca-f890ddd51ce7.pdf</t>
  </si>
  <si>
    <t>0DA56119-F2B8-4F45-A72E-7CCF1EA42A85</t>
  </si>
  <si>
    <t>4C4460C2-4F3F-43B5-9D23-6F04ABBD7497</t>
  </si>
  <si>
    <t>Zuhal South-1 NOOP (Final).pdf</t>
  </si>
  <si>
    <t>Uploads\4c4460c2-4f3f-43b5-9d23-6f04abbd7497.pdf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</si>
</sst>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dd\ mmm\ yyyy"/>
    <numFmt numFmtId="181" formatCode="dd\ mmm\ yyyy\ hh:mm"/>
  </numFmts>
  <fonts count="25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</font>
    <font>
      <sz val="11"/>
      <color theme="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1" fillId="0" borderId="0"/>
  </cellStyleXfs>
  <cellXfs count="21">
    <xf numFmtId="0" fontId="0" fillId="0" borderId="0" xfId="0"/>
    <xf numFmtId="0" fontId="1" fillId="0" borderId="0" xfId="49"/>
    <xf numFmtId="0" fontId="1" fillId="2" borderId="0" xfId="49" applyFill="1"/>
    <xf numFmtId="0" fontId="2" fillId="0" borderId="1" xfId="49" applyFont="1" applyBorder="1"/>
    <xf numFmtId="0" fontId="2" fillId="0" borderId="0" xfId="49" applyFont="1" applyAlignment="1">
      <alignment horizontal="center" vertical="top"/>
    </xf>
    <xf numFmtId="0" fontId="3" fillId="3" borderId="0" xfId="49" applyFont="1" applyFill="1"/>
    <xf numFmtId="0" fontId="0" fillId="0" borderId="0" xfId="49" applyFont="1"/>
    <xf numFmtId="11" fontId="1" fillId="0" borderId="0" xfId="49" applyNumberFormat="1"/>
    <xf numFmtId="11" fontId="1" fillId="2" borderId="0" xfId="49" applyNumberFormat="1" applyFill="1"/>
    <xf numFmtId="0" fontId="1" fillId="4" borderId="0" xfId="49" applyFill="1"/>
    <xf numFmtId="0" fontId="0" fillId="4" borderId="0" xfId="49" applyFont="1" applyFill="1"/>
    <xf numFmtId="0" fontId="1" fillId="0" borderId="0" xfId="49" applyFont="1"/>
    <xf numFmtId="2" fontId="0" fillId="0" borderId="0" xfId="0" applyNumberFormat="1"/>
    <xf numFmtId="0" fontId="4" fillId="0" borderId="0" xfId="0" applyFont="1"/>
    <xf numFmtId="0" fontId="5" fillId="3" borderId="0" xfId="0" applyFont="1" applyFill="1"/>
    <xf numFmtId="2" fontId="5" fillId="3" borderId="0" xfId="0" applyNumberFormat="1" applyFont="1" applyFill="1"/>
    <xf numFmtId="180" fontId="0" fillId="0" borderId="0" xfId="0" applyNumberFormat="1"/>
    <xf numFmtId="4" fontId="0" fillId="0" borderId="0" xfId="0" applyNumberFormat="1"/>
    <xf numFmtId="181" fontId="0" fillId="0" borderId="0" xfId="0" applyNumberFormat="1"/>
    <xf numFmtId="2" fontId="4" fillId="0" borderId="0" xfId="0" applyNumberFormat="1" applyFont="1"/>
    <xf numFmtId="4" fontId="4" fillId="0" borderId="0" xfId="0" applyNumberFormat="1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Y996"/>
  <sheetViews>
    <sheetView tabSelected="1" topLeftCell="AL1" workbookViewId="0">
      <pane ySplit="1" topLeftCell="A14" activePane="bottomLeft" state="frozen"/>
      <selection/>
      <selection pane="bottomLeft" activeCell="AO837" sqref="AO837"/>
    </sheetView>
  </sheetViews>
  <sheetFormatPr defaultColWidth="9" defaultRowHeight="14.4"/>
  <cols>
    <col min="1" max="1" width="21" hidden="1" customWidth="1"/>
    <col min="2" max="2" width="19.712962962963" hidden="1" customWidth="1"/>
    <col min="3" max="3" width="29.712962962963" hidden="1" customWidth="1"/>
    <col min="4" max="4" width="12.8518518518519" hidden="1" customWidth="1"/>
    <col min="5" max="5" width="22.5740740740741" hidden="1" customWidth="1"/>
    <col min="6" max="6" width="30.5740740740741" customWidth="1"/>
    <col min="7" max="7" width="34.4259259259259" customWidth="1"/>
    <col min="8" max="8" width="24" hidden="1" customWidth="1"/>
    <col min="9" max="9" width="35.712962962963" hidden="1" customWidth="1"/>
    <col min="10" max="10" width="15.8518518518519" hidden="1" customWidth="1"/>
    <col min="11" max="11" width="27.5740740740741" hidden="1" customWidth="1"/>
    <col min="12" max="12" width="27.8518518518519" hidden="1" customWidth="1"/>
    <col min="13" max="13" width="17.4259259259259" hidden="1" customWidth="1"/>
    <col min="14" max="14" width="21" hidden="1" customWidth="1"/>
    <col min="15" max="15" width="12.712962962963" hidden="1" customWidth="1"/>
    <col min="16" max="16" width="16.287037037037" hidden="1" customWidth="1"/>
    <col min="17" max="17" width="14.287037037037" hidden="1" customWidth="1"/>
    <col min="18" max="18" width="9" hidden="1" customWidth="1"/>
    <col min="19" max="19" width="13.287037037037" hidden="1" customWidth="1"/>
    <col min="20" max="20" width="20.712962962963" hidden="1" customWidth="1"/>
    <col min="21" max="21" width="9.71296296296296" hidden="1" customWidth="1"/>
    <col min="22" max="22" width="12" hidden="1" customWidth="1"/>
    <col min="23" max="23" width="19.1388888888889" hidden="1" customWidth="1"/>
    <col min="24" max="24" width="18.287037037037" hidden="1" customWidth="1"/>
    <col min="25" max="25" width="19.287037037037" hidden="1" customWidth="1"/>
    <col min="26" max="26" width="21" hidden="1" customWidth="1"/>
    <col min="27" max="27" width="29.1388888888889" hidden="1" customWidth="1"/>
    <col min="28" max="28" width="29.4259259259259" hidden="1" customWidth="1"/>
    <col min="29" max="29" width="18.287037037037" hidden="1" customWidth="1"/>
    <col min="30" max="30" width="21.8518518518519" hidden="1" customWidth="1"/>
    <col min="31" max="31" width="13.5740740740741" hidden="1" customWidth="1"/>
    <col min="32" max="32" width="17.4259259259259" hidden="1" customWidth="1"/>
    <col min="33" max="33" width="14.5740740740741" hidden="1" customWidth="1"/>
    <col min="34" max="34" width="9.85185185185185" hidden="1" customWidth="1"/>
    <col min="35" max="35" width="28.5740740740741" hidden="1" customWidth="1"/>
    <col min="36" max="36" width="22.712962962963" hidden="1" customWidth="1"/>
    <col min="37" max="37" width="26.5740740740741" customWidth="1"/>
    <col min="38" max="38" width="32.5740740740741" customWidth="1"/>
    <col min="39" max="40" width="21.5740740740741" customWidth="1"/>
    <col min="41" max="42" width="21" customWidth="1"/>
    <col min="43" max="44" width="18" customWidth="1"/>
    <col min="45" max="45" width="13.4259259259259" customWidth="1"/>
    <col min="46" max="46" width="16.1388888888889" style="12" customWidth="1"/>
    <col min="47" max="47" width="14.8518518518519" customWidth="1"/>
    <col min="48" max="48" width="16.1388888888889" style="13" customWidth="1"/>
    <col min="49" max="49" width="14.287037037037" customWidth="1"/>
    <col min="50" max="50" width="19.4259259259259" style="13" customWidth="1"/>
    <col min="51" max="51" width="20.5740740740741" customWidth="1"/>
    <col min="52" max="52" width="20.287037037037" customWidth="1"/>
    <col min="53" max="53" width="24.287037037037" customWidth="1"/>
    <col min="54" max="54" width="23.5740740740741" customWidth="1"/>
    <col min="55" max="55" width="17" customWidth="1"/>
    <col min="56" max="56" width="22.4259259259259" customWidth="1"/>
    <col min="57" max="57" width="21.8518518518519" customWidth="1"/>
    <col min="58" max="58" width="25.1388888888889" customWidth="1"/>
    <col min="59" max="59" width="18.8518518518519" customWidth="1"/>
    <col min="60" max="60" width="20" customWidth="1"/>
    <col min="61" max="61" width="20.8518518518519" customWidth="1"/>
    <col min="62" max="62" width="41.712962962963" customWidth="1"/>
    <col min="63" max="63" width="10.5740740740741" customWidth="1"/>
    <col min="64" max="64" width="6.42592592592593" customWidth="1"/>
    <col min="65" max="65" width="16.287037037037" customWidth="1"/>
    <col min="66" max="66" width="6.13888888888889" customWidth="1"/>
    <col min="67" max="67" width="16.4259259259259" customWidth="1"/>
    <col min="68" max="68" width="15" customWidth="1"/>
    <col min="69" max="69" width="22.4259259259259" customWidth="1"/>
    <col min="70" max="70" width="5.28703703703704" customWidth="1"/>
    <col min="71" max="71" width="23" customWidth="1"/>
    <col min="72" max="72" width="19.4259259259259" customWidth="1"/>
    <col min="73" max="73" width="28.4259259259259" customWidth="1"/>
    <col min="74" max="74" width="23.1388888888889" customWidth="1"/>
    <col min="75" max="75" width="22.8518518518519" customWidth="1"/>
    <col min="76" max="76" width="16.712962962963" customWidth="1"/>
    <col min="77" max="77" width="11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4" t="s">
        <v>37</v>
      </c>
      <c r="AM1" t="s">
        <v>38</v>
      </c>
      <c r="AN1" s="14" t="s">
        <v>39</v>
      </c>
      <c r="AO1" t="s">
        <v>40</v>
      </c>
      <c r="AP1" s="14" t="s">
        <v>41</v>
      </c>
      <c r="AQ1" t="s">
        <v>42</v>
      </c>
      <c r="AR1" s="14" t="s">
        <v>43</v>
      </c>
      <c r="AS1" t="s">
        <v>44</v>
      </c>
      <c r="AT1" s="15" t="s">
        <v>45</v>
      </c>
      <c r="AU1" t="s">
        <v>46</v>
      </c>
      <c r="AV1" s="14" t="s">
        <v>47</v>
      </c>
      <c r="AW1" t="s">
        <v>48</v>
      </c>
      <c r="AX1" s="14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s="14" t="s">
        <v>76</v>
      </c>
    </row>
    <row r="2" hidden="1" spans="1:77">
      <c r="A2" s="16">
        <v>44992</v>
      </c>
      <c r="B2" s="16">
        <v>45232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s="17">
        <v>60</v>
      </c>
      <c r="K2" s="17">
        <v>4127.49</v>
      </c>
      <c r="L2" s="17">
        <v>2338.05</v>
      </c>
      <c r="M2" t="s">
        <v>84</v>
      </c>
      <c r="N2" t="s">
        <v>84</v>
      </c>
      <c r="O2" t="s">
        <v>84</v>
      </c>
      <c r="P2" t="s">
        <v>84</v>
      </c>
      <c r="Q2" s="17">
        <v>6560000</v>
      </c>
      <c r="R2" s="17">
        <v>14.29</v>
      </c>
      <c r="S2" t="s">
        <v>85</v>
      </c>
      <c r="T2" t="s">
        <v>84</v>
      </c>
      <c r="U2" t="s">
        <v>86</v>
      </c>
      <c r="V2" s="16">
        <v>45163</v>
      </c>
      <c r="W2" s="18">
        <v>45162.7916666667</v>
      </c>
      <c r="X2" s="18">
        <v>45176.2083333333</v>
      </c>
      <c r="Y2" s="17">
        <v>4026.63</v>
      </c>
      <c r="Z2" t="s">
        <v>87</v>
      </c>
      <c r="AA2" s="17">
        <v>4121.5</v>
      </c>
      <c r="AB2" s="17">
        <v>2333.55</v>
      </c>
      <c r="AC2" t="s">
        <v>84</v>
      </c>
      <c r="AD2" t="s">
        <v>84</v>
      </c>
      <c r="AE2" t="s">
        <v>84</v>
      </c>
      <c r="AF2" t="s">
        <v>84</v>
      </c>
      <c r="AG2" s="17">
        <v>4668369</v>
      </c>
      <c r="AH2" s="17">
        <v>13.42</v>
      </c>
      <c r="AI2" s="17">
        <v>8.01</v>
      </c>
      <c r="AJ2" s="17">
        <v>8.01</v>
      </c>
      <c r="AK2" s="13" t="s">
        <v>88</v>
      </c>
      <c r="AL2" s="13" t="s">
        <v>89</v>
      </c>
      <c r="AM2" s="13" t="s">
        <v>90</v>
      </c>
      <c r="AN2" s="13">
        <v>2.4</v>
      </c>
      <c r="AO2" s="13" t="s">
        <v>90</v>
      </c>
      <c r="AP2" s="13">
        <v>795</v>
      </c>
      <c r="AQ2" s="13" t="s">
        <v>90</v>
      </c>
      <c r="AR2" s="13">
        <v>1200</v>
      </c>
      <c r="AS2" s="13" t="s">
        <v>91</v>
      </c>
      <c r="AT2" s="19">
        <v>1.3</v>
      </c>
      <c r="AU2" s="13" t="s">
        <v>91</v>
      </c>
      <c r="AV2" s="13">
        <v>325</v>
      </c>
      <c r="AW2" s="13" t="s">
        <v>91</v>
      </c>
      <c r="AX2" s="13">
        <v>454</v>
      </c>
      <c r="AY2" s="13" t="s">
        <v>92</v>
      </c>
      <c r="AZ2" s="13" t="s">
        <v>92</v>
      </c>
      <c r="BA2" s="13" t="s">
        <v>92</v>
      </c>
      <c r="BB2" s="13"/>
      <c r="BC2" s="13"/>
      <c r="BD2" s="17">
        <v>1.81</v>
      </c>
      <c r="BE2" s="17">
        <v>1318987.36</v>
      </c>
      <c r="BF2" t="s">
        <v>92</v>
      </c>
      <c r="BG2" t="s">
        <v>92</v>
      </c>
      <c r="BH2" t="s">
        <v>93</v>
      </c>
      <c r="BI2" t="s">
        <v>94</v>
      </c>
      <c r="BJ2" t="s">
        <v>95</v>
      </c>
      <c r="BK2" t="s">
        <v>85</v>
      </c>
      <c r="BL2" t="s">
        <v>85</v>
      </c>
      <c r="BM2" t="s">
        <v>96</v>
      </c>
      <c r="BN2" t="s">
        <v>97</v>
      </c>
      <c r="BO2" t="s">
        <v>98</v>
      </c>
      <c r="BP2" t="s">
        <v>99</v>
      </c>
      <c r="BQ2" s="17">
        <v>65.62</v>
      </c>
      <c r="BR2" t="s">
        <v>100</v>
      </c>
      <c r="BS2" t="s">
        <v>92</v>
      </c>
      <c r="BT2" t="s">
        <v>99</v>
      </c>
      <c r="BU2" s="17">
        <v>6.8</v>
      </c>
      <c r="BV2" t="s">
        <v>101</v>
      </c>
      <c r="BW2" t="s">
        <v>85</v>
      </c>
      <c r="BX2" t="s">
        <v>85</v>
      </c>
      <c r="BY2" t="str">
        <f>IF(COUNTIF('Data Upload-prod'!E:E,F2)=0,"Missing","Exist")</f>
        <v>Exist</v>
      </c>
    </row>
    <row r="3" hidden="1" spans="1:77">
      <c r="A3" s="16">
        <v>44992</v>
      </c>
      <c r="B3" s="16">
        <v>45294</v>
      </c>
      <c r="C3" t="s">
        <v>77</v>
      </c>
      <c r="D3" t="s">
        <v>78</v>
      </c>
      <c r="E3" t="s">
        <v>79</v>
      </c>
      <c r="F3" t="s">
        <v>102</v>
      </c>
      <c r="G3" t="s">
        <v>81</v>
      </c>
      <c r="H3" t="s">
        <v>82</v>
      </c>
      <c r="I3" t="s">
        <v>83</v>
      </c>
      <c r="J3" s="17">
        <v>60</v>
      </c>
      <c r="K3" s="17">
        <v>3407.5</v>
      </c>
      <c r="L3" s="17">
        <v>1961.86</v>
      </c>
      <c r="M3" t="s">
        <v>84</v>
      </c>
      <c r="N3" t="s">
        <v>84</v>
      </c>
      <c r="O3" t="s">
        <v>84</v>
      </c>
      <c r="P3" t="s">
        <v>84</v>
      </c>
      <c r="Q3" s="17">
        <v>7120000</v>
      </c>
      <c r="R3" s="17">
        <v>17.85</v>
      </c>
      <c r="S3" t="s">
        <v>85</v>
      </c>
      <c r="T3" t="s">
        <v>84</v>
      </c>
      <c r="U3" t="s">
        <v>86</v>
      </c>
      <c r="V3" s="16">
        <v>45220</v>
      </c>
      <c r="W3" s="18">
        <v>45220.0625</v>
      </c>
      <c r="X3" s="18">
        <v>45244.1041666667</v>
      </c>
      <c r="Y3" s="17">
        <v>3665.13</v>
      </c>
      <c r="Z3" t="s">
        <v>87</v>
      </c>
      <c r="AA3" s="17">
        <v>3760</v>
      </c>
      <c r="AB3" s="17">
        <v>2047.8</v>
      </c>
      <c r="AC3" t="s">
        <v>84</v>
      </c>
      <c r="AD3" t="s">
        <v>84</v>
      </c>
      <c r="AE3" t="s">
        <v>84</v>
      </c>
      <c r="AF3" t="s">
        <v>84</v>
      </c>
      <c r="AG3" s="17">
        <v>4734531</v>
      </c>
      <c r="AH3" s="17">
        <v>12.6</v>
      </c>
      <c r="AI3" s="17">
        <v>0</v>
      </c>
      <c r="AJ3" s="17">
        <v>0</v>
      </c>
      <c r="AK3" s="13" t="s">
        <v>88</v>
      </c>
      <c r="AL3" s="13" t="s">
        <v>89</v>
      </c>
      <c r="AM3" s="13" t="s">
        <v>90</v>
      </c>
      <c r="AN3" s="13">
        <v>2.4</v>
      </c>
      <c r="AO3" s="13" t="s">
        <v>90</v>
      </c>
      <c r="AP3" s="13">
        <v>795</v>
      </c>
      <c r="AQ3" s="13" t="s">
        <v>90</v>
      </c>
      <c r="AR3" s="13">
        <v>1200</v>
      </c>
      <c r="AS3" s="13" t="s">
        <v>91</v>
      </c>
      <c r="AT3" s="19">
        <v>1.18</v>
      </c>
      <c r="AU3" s="13" t="s">
        <v>91</v>
      </c>
      <c r="AV3" s="13">
        <v>329</v>
      </c>
      <c r="AW3" s="13" t="s">
        <v>91</v>
      </c>
      <c r="AX3" s="13">
        <v>444</v>
      </c>
      <c r="AY3" s="13" t="s">
        <v>92</v>
      </c>
      <c r="AZ3" s="13" t="s">
        <v>92</v>
      </c>
      <c r="BA3" s="13" t="s">
        <v>92</v>
      </c>
      <c r="BB3" s="13"/>
      <c r="BC3" s="13"/>
      <c r="BD3" s="17">
        <v>1.72</v>
      </c>
      <c r="BE3" s="17">
        <v>1220042.76</v>
      </c>
      <c r="BF3" t="s">
        <v>92</v>
      </c>
      <c r="BG3" t="s">
        <v>92</v>
      </c>
      <c r="BH3" t="s">
        <v>93</v>
      </c>
      <c r="BI3" t="s">
        <v>94</v>
      </c>
      <c r="BJ3" t="s">
        <v>95</v>
      </c>
      <c r="BK3" t="s">
        <v>85</v>
      </c>
      <c r="BL3" t="s">
        <v>85</v>
      </c>
      <c r="BM3" t="s">
        <v>96</v>
      </c>
      <c r="BN3" t="s">
        <v>97</v>
      </c>
      <c r="BO3" t="s">
        <v>98</v>
      </c>
      <c r="BP3" t="s">
        <v>103</v>
      </c>
      <c r="BQ3" s="17">
        <v>72.182</v>
      </c>
      <c r="BR3" t="s">
        <v>100</v>
      </c>
      <c r="BS3" t="s">
        <v>92</v>
      </c>
      <c r="BT3" t="s">
        <v>103</v>
      </c>
      <c r="BU3" s="17">
        <v>6.8</v>
      </c>
      <c r="BV3" t="s">
        <v>101</v>
      </c>
      <c r="BW3" t="s">
        <v>85</v>
      </c>
      <c r="BX3" t="s">
        <v>85</v>
      </c>
      <c r="BY3" t="str">
        <f>IF(COUNTIF('Data Upload-prod'!E:E,F3)=0,"Missing","Exist")</f>
        <v>Exist</v>
      </c>
    </row>
    <row r="4" hidden="1" spans="1:77">
      <c r="A4" s="16">
        <v>44992</v>
      </c>
      <c r="B4" s="16">
        <v>45251</v>
      </c>
      <c r="C4" t="s">
        <v>77</v>
      </c>
      <c r="D4" t="s">
        <v>78</v>
      </c>
      <c r="E4" t="s">
        <v>79</v>
      </c>
      <c r="F4" t="s">
        <v>104</v>
      </c>
      <c r="G4" t="s">
        <v>81</v>
      </c>
      <c r="H4" t="s">
        <v>82</v>
      </c>
      <c r="I4" t="s">
        <v>83</v>
      </c>
      <c r="J4" s="17">
        <v>60</v>
      </c>
      <c r="K4" s="17">
        <v>3003.4</v>
      </c>
      <c r="L4" s="17">
        <v>2625.4</v>
      </c>
      <c r="M4" t="s">
        <v>84</v>
      </c>
      <c r="N4" t="s">
        <v>84</v>
      </c>
      <c r="O4" t="s">
        <v>84</v>
      </c>
      <c r="P4" t="s">
        <v>84</v>
      </c>
      <c r="Q4" s="17">
        <v>6779320</v>
      </c>
      <c r="R4" s="17">
        <v>13.52</v>
      </c>
      <c r="S4" t="s">
        <v>85</v>
      </c>
      <c r="T4" t="s">
        <v>84</v>
      </c>
      <c r="U4" t="s">
        <v>86</v>
      </c>
      <c r="V4" s="16">
        <v>45146</v>
      </c>
      <c r="W4" s="18">
        <v>45144.7916666667</v>
      </c>
      <c r="X4" s="18">
        <v>45191.25</v>
      </c>
      <c r="Y4" s="17">
        <v>2871.13</v>
      </c>
      <c r="Z4" t="s">
        <v>87</v>
      </c>
      <c r="AA4" s="17">
        <v>2966</v>
      </c>
      <c r="AB4" s="17">
        <v>2622.8</v>
      </c>
      <c r="AC4" t="s">
        <v>84</v>
      </c>
      <c r="AD4" t="s">
        <v>84</v>
      </c>
      <c r="AE4" t="s">
        <v>84</v>
      </c>
      <c r="AF4" t="s">
        <v>84</v>
      </c>
      <c r="AG4" s="17">
        <v>5474865</v>
      </c>
      <c r="AH4" s="17">
        <v>16</v>
      </c>
      <c r="AI4" s="17">
        <v>34.32</v>
      </c>
      <c r="AJ4" s="17">
        <v>34.32</v>
      </c>
      <c r="AK4" s="13" t="s">
        <v>88</v>
      </c>
      <c r="AL4" s="13" t="s">
        <v>89</v>
      </c>
      <c r="AM4" s="13" t="s">
        <v>90</v>
      </c>
      <c r="AN4" s="13">
        <v>2.4</v>
      </c>
      <c r="AO4" s="13" t="s">
        <v>90</v>
      </c>
      <c r="AP4" s="13">
        <v>795</v>
      </c>
      <c r="AQ4" s="13" t="s">
        <v>90</v>
      </c>
      <c r="AR4" s="13">
        <v>1200</v>
      </c>
      <c r="AS4" s="13" t="s">
        <v>91</v>
      </c>
      <c r="AT4" s="19">
        <v>2.43</v>
      </c>
      <c r="AU4" s="13" t="s">
        <v>91</v>
      </c>
      <c r="AV4" s="13">
        <v>601</v>
      </c>
      <c r="AW4" s="13" t="s">
        <v>91</v>
      </c>
      <c r="AX4" s="13">
        <v>830</v>
      </c>
      <c r="AY4" s="13" t="s">
        <v>92</v>
      </c>
      <c r="AZ4" s="13" t="s">
        <v>92</v>
      </c>
      <c r="BA4" s="13" t="s">
        <v>92</v>
      </c>
      <c r="BB4" s="13" t="s">
        <v>92</v>
      </c>
      <c r="BC4" s="13" t="s">
        <v>92</v>
      </c>
      <c r="BD4" s="17">
        <v>1.34</v>
      </c>
      <c r="BE4" s="17">
        <v>1326979.37</v>
      </c>
      <c r="BF4" t="s">
        <v>92</v>
      </c>
      <c r="BG4" t="s">
        <v>92</v>
      </c>
      <c r="BH4" t="s">
        <v>93</v>
      </c>
      <c r="BI4" t="s">
        <v>94</v>
      </c>
      <c r="BJ4" t="s">
        <v>95</v>
      </c>
      <c r="BK4" t="s">
        <v>85</v>
      </c>
      <c r="BL4" t="s">
        <v>85</v>
      </c>
      <c r="BM4" t="s">
        <v>96</v>
      </c>
      <c r="BN4" t="s">
        <v>97</v>
      </c>
      <c r="BO4" t="s">
        <v>98</v>
      </c>
      <c r="BP4" t="s">
        <v>99</v>
      </c>
      <c r="BQ4" s="17">
        <v>131.24</v>
      </c>
      <c r="BR4" t="s">
        <v>100</v>
      </c>
      <c r="BS4" t="s">
        <v>92</v>
      </c>
      <c r="BT4" t="s">
        <v>99</v>
      </c>
      <c r="BU4" s="17">
        <v>6.8</v>
      </c>
      <c r="BV4" t="s">
        <v>101</v>
      </c>
      <c r="BW4" t="s">
        <v>85</v>
      </c>
      <c r="BX4" t="s">
        <v>85</v>
      </c>
      <c r="BY4" t="str">
        <f>IF(COUNTIF('Data Upload-prod'!E:E,F4)=0,"Missing","Exist")</f>
        <v>Exist</v>
      </c>
    </row>
    <row r="5" hidden="1" spans="1:77">
      <c r="A5" s="16">
        <v>44992</v>
      </c>
      <c r="B5" s="16">
        <v>45161</v>
      </c>
      <c r="C5" t="s">
        <v>77</v>
      </c>
      <c r="D5" t="s">
        <v>78</v>
      </c>
      <c r="E5" t="s">
        <v>79</v>
      </c>
      <c r="F5" t="s">
        <v>105</v>
      </c>
      <c r="G5" t="s">
        <v>81</v>
      </c>
      <c r="H5" t="s">
        <v>82</v>
      </c>
      <c r="I5" t="s">
        <v>83</v>
      </c>
      <c r="J5" s="17">
        <v>60</v>
      </c>
      <c r="K5" s="17">
        <v>2292.82</v>
      </c>
      <c r="L5" s="17">
        <v>1977.19</v>
      </c>
      <c r="M5" t="s">
        <v>84</v>
      </c>
      <c r="N5" t="s">
        <v>84</v>
      </c>
      <c r="O5" t="s">
        <v>84</v>
      </c>
      <c r="P5" t="s">
        <v>84</v>
      </c>
      <c r="Q5" s="17">
        <v>4563572.58</v>
      </c>
      <c r="R5" s="17">
        <v>9.51</v>
      </c>
      <c r="S5" t="s">
        <v>106</v>
      </c>
      <c r="T5" t="s">
        <v>84</v>
      </c>
      <c r="U5" t="s">
        <v>86</v>
      </c>
      <c r="V5" s="16">
        <v>45105</v>
      </c>
      <c r="W5" s="18">
        <v>45105.2916666667</v>
      </c>
      <c r="X5" s="18">
        <v>45115</v>
      </c>
      <c r="Y5" s="17">
        <v>2200.13</v>
      </c>
      <c r="Z5" t="s">
        <v>87</v>
      </c>
      <c r="AA5" s="17">
        <v>2295</v>
      </c>
      <c r="AB5" s="17">
        <v>1980.27</v>
      </c>
      <c r="AC5" t="s">
        <v>84</v>
      </c>
      <c r="AD5" t="s">
        <v>84</v>
      </c>
      <c r="AE5" t="s">
        <v>84</v>
      </c>
      <c r="AF5" t="s">
        <v>84</v>
      </c>
      <c r="AG5" s="17">
        <v>3572118</v>
      </c>
      <c r="AH5" s="17">
        <v>9.71</v>
      </c>
      <c r="AI5" s="17">
        <v>2.15</v>
      </c>
      <c r="AJ5" s="17">
        <v>2.15</v>
      </c>
      <c r="AK5" s="13" t="s">
        <v>88</v>
      </c>
      <c r="AL5" s="13" t="s">
        <v>89</v>
      </c>
      <c r="AM5" s="13" t="s">
        <v>90</v>
      </c>
      <c r="AN5" s="13">
        <v>2.4</v>
      </c>
      <c r="AO5" s="13" t="s">
        <v>90</v>
      </c>
      <c r="AP5" s="13">
        <v>795</v>
      </c>
      <c r="AQ5" s="13" t="s">
        <v>90</v>
      </c>
      <c r="AR5" s="13">
        <v>1200</v>
      </c>
      <c r="AS5" s="13" t="s">
        <v>91</v>
      </c>
      <c r="AT5" s="19">
        <v>1.88</v>
      </c>
      <c r="AU5" s="13" t="s">
        <v>91</v>
      </c>
      <c r="AV5" s="13">
        <v>484</v>
      </c>
      <c r="AW5" s="13" t="s">
        <v>91</v>
      </c>
      <c r="AX5" s="13">
        <v>693</v>
      </c>
      <c r="AY5" s="13" t="s">
        <v>92</v>
      </c>
      <c r="AZ5" s="13" t="s">
        <v>92</v>
      </c>
      <c r="BA5" s="13" t="s">
        <v>92</v>
      </c>
      <c r="BB5" s="13" t="s">
        <v>92</v>
      </c>
      <c r="BC5" s="13" t="s">
        <v>92</v>
      </c>
      <c r="BD5" s="17">
        <v>1.73</v>
      </c>
      <c r="BE5" s="17">
        <v>1081149.58</v>
      </c>
      <c r="BF5" t="s">
        <v>92</v>
      </c>
      <c r="BG5" t="s">
        <v>92</v>
      </c>
      <c r="BH5" t="s">
        <v>93</v>
      </c>
      <c r="BI5" t="s">
        <v>94</v>
      </c>
      <c r="BJ5" t="s">
        <v>95</v>
      </c>
      <c r="BK5" t="s">
        <v>85</v>
      </c>
      <c r="BL5" t="s">
        <v>85</v>
      </c>
      <c r="BM5" t="s">
        <v>96</v>
      </c>
      <c r="BN5" t="s">
        <v>97</v>
      </c>
      <c r="BO5" t="s">
        <v>98</v>
      </c>
      <c r="BP5" t="s">
        <v>103</v>
      </c>
      <c r="BQ5" s="17">
        <v>55.777</v>
      </c>
      <c r="BR5" t="s">
        <v>100</v>
      </c>
      <c r="BS5" t="s">
        <v>92</v>
      </c>
      <c r="BT5" t="s">
        <v>103</v>
      </c>
      <c r="BU5" s="17">
        <v>6.8</v>
      </c>
      <c r="BV5" t="s">
        <v>101</v>
      </c>
      <c r="BW5" t="s">
        <v>85</v>
      </c>
      <c r="BX5" t="s">
        <v>85</v>
      </c>
      <c r="BY5" t="str">
        <f>IF(COUNTIF('Data Upload-prod'!E:E,F5)=0,"Missing","Exist")</f>
        <v>Exist</v>
      </c>
    </row>
    <row r="6" hidden="1" spans="1:77">
      <c r="A6" s="16">
        <v>44981</v>
      </c>
      <c r="B6" s="16">
        <v>45310</v>
      </c>
      <c r="C6" t="s">
        <v>77</v>
      </c>
      <c r="D6" t="s">
        <v>78</v>
      </c>
      <c r="E6" t="s">
        <v>79</v>
      </c>
      <c r="F6" t="s">
        <v>107</v>
      </c>
      <c r="G6" t="s">
        <v>81</v>
      </c>
      <c r="H6" t="s">
        <v>82</v>
      </c>
      <c r="I6" t="s">
        <v>83</v>
      </c>
      <c r="J6" s="17">
        <v>60</v>
      </c>
      <c r="K6" s="17">
        <v>3914.35</v>
      </c>
      <c r="L6" s="17">
        <v>2534.7</v>
      </c>
      <c r="M6" t="s">
        <v>84</v>
      </c>
      <c r="N6" t="s">
        <v>84</v>
      </c>
      <c r="O6" t="s">
        <v>84</v>
      </c>
      <c r="P6" t="s">
        <v>84</v>
      </c>
      <c r="Q6" s="17">
        <v>8235192</v>
      </c>
      <c r="R6" s="17">
        <v>17.9</v>
      </c>
      <c r="S6" t="s">
        <v>85</v>
      </c>
      <c r="T6" t="s">
        <v>84</v>
      </c>
      <c r="U6" t="s">
        <v>86</v>
      </c>
      <c r="V6" s="16">
        <v>45205</v>
      </c>
      <c r="W6" s="18">
        <v>45203.3541666667</v>
      </c>
      <c r="X6" s="18">
        <v>45252.8541666667</v>
      </c>
      <c r="Y6" s="17">
        <v>3138.13</v>
      </c>
      <c r="Z6" t="s">
        <v>87</v>
      </c>
      <c r="AA6" s="17">
        <v>3233</v>
      </c>
      <c r="AB6" s="17">
        <v>2511.69</v>
      </c>
      <c r="AC6" t="s">
        <v>84</v>
      </c>
      <c r="AD6" t="s">
        <v>84</v>
      </c>
      <c r="AE6" t="s">
        <v>84</v>
      </c>
      <c r="AF6" t="s">
        <v>84</v>
      </c>
      <c r="AG6" s="17">
        <v>8072116</v>
      </c>
      <c r="AH6" s="17">
        <v>25.46</v>
      </c>
      <c r="AI6" s="17">
        <v>12.07</v>
      </c>
      <c r="AJ6" s="17">
        <v>12.07</v>
      </c>
      <c r="AK6" s="13" t="s">
        <v>108</v>
      </c>
      <c r="AL6" s="13" t="s">
        <v>89</v>
      </c>
      <c r="AM6" s="13" t="s">
        <v>90</v>
      </c>
      <c r="AN6" s="13">
        <v>2.4</v>
      </c>
      <c r="AO6" s="13" t="s">
        <v>90</v>
      </c>
      <c r="AP6" s="13">
        <v>795</v>
      </c>
      <c r="AQ6" s="13" t="s">
        <v>90</v>
      </c>
      <c r="AR6" s="13">
        <v>1400</v>
      </c>
      <c r="AS6" s="13" t="s">
        <v>91</v>
      </c>
      <c r="AT6" s="19">
        <v>2.41</v>
      </c>
      <c r="AU6" s="13" t="s">
        <v>91</v>
      </c>
      <c r="AV6" s="13">
        <v>725</v>
      </c>
      <c r="AW6" s="13" t="s">
        <v>91</v>
      </c>
      <c r="AX6" s="13">
        <v>1014</v>
      </c>
      <c r="AY6" s="13" t="s">
        <v>92</v>
      </c>
      <c r="AZ6" s="13" t="s">
        <v>92</v>
      </c>
      <c r="BA6" s="13" t="s">
        <v>92</v>
      </c>
      <c r="BB6" s="13" t="s">
        <v>92</v>
      </c>
      <c r="BC6" s="13" t="s">
        <v>92</v>
      </c>
      <c r="BD6" s="17">
        <v>5.48</v>
      </c>
      <c r="BE6" s="17">
        <v>2303835.68</v>
      </c>
      <c r="BF6" t="s">
        <v>92</v>
      </c>
      <c r="BG6" t="s">
        <v>92</v>
      </c>
      <c r="BH6" t="s">
        <v>93</v>
      </c>
      <c r="BI6" t="s">
        <v>94</v>
      </c>
      <c r="BJ6" t="s">
        <v>109</v>
      </c>
      <c r="BK6" t="s">
        <v>85</v>
      </c>
      <c r="BL6" t="s">
        <v>85</v>
      </c>
      <c r="BM6" t="s">
        <v>96</v>
      </c>
      <c r="BN6" t="s">
        <v>97</v>
      </c>
      <c r="BO6" t="s">
        <v>98</v>
      </c>
      <c r="BP6" t="s">
        <v>99</v>
      </c>
      <c r="BQ6" s="17">
        <v>207.519969</v>
      </c>
      <c r="BR6" t="s">
        <v>100</v>
      </c>
      <c r="BS6" t="s">
        <v>92</v>
      </c>
      <c r="BT6" t="s">
        <v>99</v>
      </c>
      <c r="BU6" s="17">
        <v>9.2</v>
      </c>
      <c r="BV6" t="s">
        <v>110</v>
      </c>
      <c r="BW6" t="s">
        <v>85</v>
      </c>
      <c r="BX6" t="s">
        <v>85</v>
      </c>
      <c r="BY6" t="str">
        <f>IF(COUNTIF('Data Upload-prod'!E:E,F6)=0,"Missing","Exist")</f>
        <v>Exist</v>
      </c>
    </row>
    <row r="7" hidden="1" spans="1:77">
      <c r="A7" s="16">
        <v>44981</v>
      </c>
      <c r="B7" s="16">
        <v>45239</v>
      </c>
      <c r="C7" t="s">
        <v>77</v>
      </c>
      <c r="D7" t="s">
        <v>78</v>
      </c>
      <c r="E7" t="s">
        <v>79</v>
      </c>
      <c r="F7" t="s">
        <v>111</v>
      </c>
      <c r="G7" t="s">
        <v>81</v>
      </c>
      <c r="H7" t="s">
        <v>82</v>
      </c>
      <c r="I7" t="s">
        <v>83</v>
      </c>
      <c r="J7" s="17">
        <v>60</v>
      </c>
      <c r="K7" s="17">
        <v>3253.5</v>
      </c>
      <c r="L7" s="17">
        <v>1981.75</v>
      </c>
      <c r="M7" t="s">
        <v>84</v>
      </c>
      <c r="N7" t="s">
        <v>84</v>
      </c>
      <c r="O7" t="s">
        <v>84</v>
      </c>
      <c r="P7" t="s">
        <v>84</v>
      </c>
      <c r="Q7" s="17">
        <v>5350000</v>
      </c>
      <c r="R7" s="17">
        <v>11.62</v>
      </c>
      <c r="S7" t="s">
        <v>85</v>
      </c>
      <c r="T7" t="s">
        <v>84</v>
      </c>
      <c r="U7" t="s">
        <v>86</v>
      </c>
      <c r="V7" s="16">
        <v>45140</v>
      </c>
      <c r="W7" s="18">
        <v>45138.3541666667</v>
      </c>
      <c r="X7" s="18">
        <v>45180.9166666667</v>
      </c>
      <c r="Y7" s="17">
        <v>3310.13</v>
      </c>
      <c r="Z7" t="s">
        <v>87</v>
      </c>
      <c r="AA7" s="17">
        <v>3405</v>
      </c>
      <c r="AB7" s="17">
        <v>2042.65</v>
      </c>
      <c r="AC7" t="s">
        <v>84</v>
      </c>
      <c r="AD7" t="s">
        <v>84</v>
      </c>
      <c r="AE7" t="s">
        <v>84</v>
      </c>
      <c r="AF7" t="s">
        <v>84</v>
      </c>
      <c r="AG7" s="17">
        <v>3884000</v>
      </c>
      <c r="AH7" s="17">
        <v>11.15</v>
      </c>
      <c r="AI7" s="17">
        <v>1.68</v>
      </c>
      <c r="AJ7" s="17">
        <v>1.68</v>
      </c>
      <c r="AK7" s="13" t="s">
        <v>88</v>
      </c>
      <c r="AL7" s="13" t="s">
        <v>89</v>
      </c>
      <c r="AM7" s="13" t="s">
        <v>90</v>
      </c>
      <c r="AN7" s="13">
        <v>2.4</v>
      </c>
      <c r="AO7" s="13" t="s">
        <v>90</v>
      </c>
      <c r="AP7" s="13">
        <v>795</v>
      </c>
      <c r="AQ7" s="13" t="s">
        <v>90</v>
      </c>
      <c r="AR7" s="13">
        <v>1200</v>
      </c>
      <c r="AS7" s="13" t="s">
        <v>91</v>
      </c>
      <c r="AT7" s="19">
        <v>1.4</v>
      </c>
      <c r="AU7" s="13" t="s">
        <v>91</v>
      </c>
      <c r="AV7" s="13">
        <v>366</v>
      </c>
      <c r="AW7" s="13" t="s">
        <v>91</v>
      </c>
      <c r="AX7" s="13">
        <v>489</v>
      </c>
      <c r="AY7" s="13" t="s">
        <v>92</v>
      </c>
      <c r="AZ7" s="13" t="s">
        <v>92</v>
      </c>
      <c r="BA7" s="13" t="s">
        <v>92</v>
      </c>
      <c r="BB7" s="13" t="s">
        <v>92</v>
      </c>
      <c r="BC7" s="13" t="s">
        <v>92</v>
      </c>
      <c r="BD7" s="17">
        <v>1.45</v>
      </c>
      <c r="BE7" s="17">
        <v>977143.36</v>
      </c>
      <c r="BF7" t="s">
        <v>92</v>
      </c>
      <c r="BG7" t="s">
        <v>92</v>
      </c>
      <c r="BH7" t="s">
        <v>93</v>
      </c>
      <c r="BI7" t="s">
        <v>94</v>
      </c>
      <c r="BJ7" t="s">
        <v>95</v>
      </c>
      <c r="BK7" t="s">
        <v>85</v>
      </c>
      <c r="BL7" t="s">
        <v>85</v>
      </c>
      <c r="BM7" t="s">
        <v>96</v>
      </c>
      <c r="BN7" t="s">
        <v>97</v>
      </c>
      <c r="BO7" t="s">
        <v>98</v>
      </c>
      <c r="BP7" t="s">
        <v>103</v>
      </c>
      <c r="BQ7" s="17">
        <v>141.083</v>
      </c>
      <c r="BR7" t="s">
        <v>100</v>
      </c>
      <c r="BS7" t="s">
        <v>92</v>
      </c>
      <c r="BT7" t="s">
        <v>103</v>
      </c>
      <c r="BU7" s="17">
        <v>6.8</v>
      </c>
      <c r="BV7" t="s">
        <v>101</v>
      </c>
      <c r="BW7" t="s">
        <v>85</v>
      </c>
      <c r="BX7" t="s">
        <v>85</v>
      </c>
      <c r="BY7" t="str">
        <f>IF(COUNTIF('Data Upload-prod'!E:E,F7)=0,"Missing","Exist")</f>
        <v>Exist</v>
      </c>
    </row>
    <row r="8" hidden="1" spans="1:77">
      <c r="A8" s="16">
        <v>44981</v>
      </c>
      <c r="B8" s="16">
        <v>45273</v>
      </c>
      <c r="C8" t="s">
        <v>77</v>
      </c>
      <c r="D8" t="s">
        <v>78</v>
      </c>
      <c r="E8" t="s">
        <v>79</v>
      </c>
      <c r="F8" t="s">
        <v>112</v>
      </c>
      <c r="G8" t="s">
        <v>81</v>
      </c>
      <c r="H8" t="s">
        <v>82</v>
      </c>
      <c r="I8" t="s">
        <v>83</v>
      </c>
      <c r="J8" s="17">
        <v>60</v>
      </c>
      <c r="K8" s="17">
        <v>4156.72</v>
      </c>
      <c r="L8" s="17">
        <v>2171.3</v>
      </c>
      <c r="M8" t="s">
        <v>84</v>
      </c>
      <c r="N8" t="s">
        <v>84</v>
      </c>
      <c r="O8" t="s">
        <v>84</v>
      </c>
      <c r="P8" t="s">
        <v>84</v>
      </c>
      <c r="Q8" s="17">
        <v>7175927</v>
      </c>
      <c r="R8" s="17">
        <v>15.48</v>
      </c>
      <c r="S8" t="s">
        <v>85</v>
      </c>
      <c r="T8" t="s">
        <v>84</v>
      </c>
      <c r="U8" t="s">
        <v>86</v>
      </c>
      <c r="V8" s="16">
        <v>45196</v>
      </c>
      <c r="W8" s="18">
        <v>45079.125</v>
      </c>
      <c r="X8" s="18">
        <v>45237.7916666667</v>
      </c>
      <c r="Y8" s="17">
        <v>4161.13</v>
      </c>
      <c r="Z8" t="s">
        <v>87</v>
      </c>
      <c r="AA8" s="17">
        <v>4256</v>
      </c>
      <c r="AB8" s="17">
        <v>2205.85</v>
      </c>
      <c r="AC8" t="s">
        <v>84</v>
      </c>
      <c r="AD8" t="s">
        <v>84</v>
      </c>
      <c r="AE8" t="s">
        <v>84</v>
      </c>
      <c r="AF8" t="s">
        <v>84</v>
      </c>
      <c r="AG8" s="17">
        <v>7033425</v>
      </c>
      <c r="AH8" s="17">
        <v>21.64</v>
      </c>
      <c r="AI8" s="17">
        <v>7.51</v>
      </c>
      <c r="AJ8" s="17">
        <v>7.51</v>
      </c>
      <c r="AK8" s="13" t="s">
        <v>113</v>
      </c>
      <c r="AL8" s="13" t="s">
        <v>114</v>
      </c>
      <c r="AM8" s="13" t="s">
        <v>90</v>
      </c>
      <c r="AN8" s="13">
        <v>2.2</v>
      </c>
      <c r="AO8" s="13" t="s">
        <v>90</v>
      </c>
      <c r="AP8" s="13">
        <v>915</v>
      </c>
      <c r="AQ8" s="13" t="s">
        <v>90</v>
      </c>
      <c r="AR8" s="13">
        <v>1290</v>
      </c>
      <c r="AS8" s="13" t="s">
        <v>91</v>
      </c>
      <c r="AT8" s="19">
        <v>1.64</v>
      </c>
      <c r="AU8" s="13" t="s">
        <v>91</v>
      </c>
      <c r="AV8" s="13">
        <v>458</v>
      </c>
      <c r="AW8" s="13" t="s">
        <v>91</v>
      </c>
      <c r="AX8" s="13">
        <v>534</v>
      </c>
      <c r="AY8" s="13" t="s">
        <v>92</v>
      </c>
      <c r="AZ8" s="13" t="s">
        <v>92</v>
      </c>
      <c r="BA8" s="13" t="s">
        <v>92</v>
      </c>
      <c r="BB8" s="13" t="s">
        <v>92</v>
      </c>
      <c r="BC8" s="13" t="s">
        <v>92</v>
      </c>
      <c r="BD8" s="17">
        <v>1.69</v>
      </c>
      <c r="BE8" s="17">
        <v>993710.05</v>
      </c>
      <c r="BF8" t="s">
        <v>92</v>
      </c>
      <c r="BG8" t="s">
        <v>92</v>
      </c>
      <c r="BH8" t="s">
        <v>93</v>
      </c>
      <c r="BI8" t="s">
        <v>94</v>
      </c>
      <c r="BJ8" t="s">
        <v>95</v>
      </c>
      <c r="BK8" t="s">
        <v>85</v>
      </c>
      <c r="BL8" t="s">
        <v>85</v>
      </c>
      <c r="BM8" t="s">
        <v>96</v>
      </c>
      <c r="BN8" t="s">
        <v>97</v>
      </c>
      <c r="BO8" t="s">
        <v>98</v>
      </c>
      <c r="BP8" t="s">
        <v>103</v>
      </c>
      <c r="BQ8" s="17">
        <v>108.273</v>
      </c>
      <c r="BR8" t="s">
        <v>100</v>
      </c>
      <c r="BS8" t="s">
        <v>92</v>
      </c>
      <c r="BT8" t="s">
        <v>103</v>
      </c>
      <c r="BU8" s="17">
        <v>6.8</v>
      </c>
      <c r="BV8" t="s">
        <v>101</v>
      </c>
      <c r="BW8" t="s">
        <v>85</v>
      </c>
      <c r="BX8" t="s">
        <v>85</v>
      </c>
      <c r="BY8" t="str">
        <f>IF(COUNTIF('Data Upload-prod'!E:E,F8)=0,"Missing","Exist")</f>
        <v>Exist</v>
      </c>
    </row>
    <row r="9" hidden="1" spans="1:77">
      <c r="A9" s="16">
        <v>44980</v>
      </c>
      <c r="B9" s="16">
        <v>45251</v>
      </c>
      <c r="C9" t="s">
        <v>77</v>
      </c>
      <c r="D9" t="s">
        <v>78</v>
      </c>
      <c r="E9" t="s">
        <v>79</v>
      </c>
      <c r="F9" t="s">
        <v>115</v>
      </c>
      <c r="G9" t="s">
        <v>81</v>
      </c>
      <c r="H9" t="s">
        <v>82</v>
      </c>
      <c r="I9" t="s">
        <v>83</v>
      </c>
      <c r="J9" s="17">
        <v>60</v>
      </c>
      <c r="K9" s="17">
        <v>3198.27</v>
      </c>
      <c r="L9" s="17">
        <v>2060.55</v>
      </c>
      <c r="M9" t="s">
        <v>84</v>
      </c>
      <c r="N9" t="s">
        <v>84</v>
      </c>
      <c r="O9" t="s">
        <v>84</v>
      </c>
      <c r="P9" t="s">
        <v>84</v>
      </c>
      <c r="Q9" s="17">
        <v>5184350</v>
      </c>
      <c r="R9" s="17">
        <v>11.24</v>
      </c>
      <c r="S9" t="s">
        <v>85</v>
      </c>
      <c r="T9" t="s">
        <v>84</v>
      </c>
      <c r="U9" t="s">
        <v>86</v>
      </c>
      <c r="V9" s="16">
        <v>45152</v>
      </c>
      <c r="W9" s="18">
        <v>45151.1041666667</v>
      </c>
      <c r="X9" s="18">
        <v>45195.6354166667</v>
      </c>
      <c r="Y9" s="17">
        <v>3005.13</v>
      </c>
      <c r="Z9" t="s">
        <v>87</v>
      </c>
      <c r="AA9" s="17">
        <v>3100</v>
      </c>
      <c r="AB9" s="17">
        <v>2097.55</v>
      </c>
      <c r="AC9" t="s">
        <v>84</v>
      </c>
      <c r="AD9" t="s">
        <v>84</v>
      </c>
      <c r="AE9" t="s">
        <v>84</v>
      </c>
      <c r="AF9" t="s">
        <v>84</v>
      </c>
      <c r="AG9" s="17">
        <v>3886398</v>
      </c>
      <c r="AH9" s="17">
        <v>10.55</v>
      </c>
      <c r="AI9" s="17">
        <v>5.53</v>
      </c>
      <c r="AJ9" s="17">
        <v>5.53</v>
      </c>
      <c r="AK9" s="13" t="s">
        <v>88</v>
      </c>
      <c r="AL9" s="13" t="s">
        <v>89</v>
      </c>
      <c r="AM9" s="13" t="s">
        <v>90</v>
      </c>
      <c r="AN9" s="13">
        <v>2.4</v>
      </c>
      <c r="AO9" s="13" t="s">
        <v>90</v>
      </c>
      <c r="AP9" s="13">
        <v>795</v>
      </c>
      <c r="AQ9" s="13" t="s">
        <v>90</v>
      </c>
      <c r="AR9" s="13">
        <v>1200</v>
      </c>
      <c r="AS9" s="13" t="s">
        <v>91</v>
      </c>
      <c r="AT9" s="19">
        <v>1.44</v>
      </c>
      <c r="AU9" s="13" t="s">
        <v>91</v>
      </c>
      <c r="AV9" s="13">
        <v>392</v>
      </c>
      <c r="AW9" s="13" t="s">
        <v>91</v>
      </c>
      <c r="AX9" s="13">
        <v>532</v>
      </c>
      <c r="AY9" s="13" t="s">
        <v>92</v>
      </c>
      <c r="AZ9" s="13" t="s">
        <v>92</v>
      </c>
      <c r="BA9" s="13" t="s">
        <v>92</v>
      </c>
      <c r="BB9" s="13" t="s">
        <v>92</v>
      </c>
      <c r="BC9" s="13" t="s">
        <v>92</v>
      </c>
      <c r="BD9" s="17">
        <v>1.4</v>
      </c>
      <c r="BE9" s="17">
        <v>889555.54</v>
      </c>
      <c r="BF9" t="s">
        <v>92</v>
      </c>
      <c r="BG9" t="s">
        <v>92</v>
      </c>
      <c r="BH9" t="s">
        <v>93</v>
      </c>
      <c r="BI9" t="s">
        <v>94</v>
      </c>
      <c r="BJ9" t="s">
        <v>95</v>
      </c>
      <c r="BK9" t="s">
        <v>85</v>
      </c>
      <c r="BL9" t="s">
        <v>85</v>
      </c>
      <c r="BM9" t="s">
        <v>96</v>
      </c>
      <c r="BN9" t="s">
        <v>97</v>
      </c>
      <c r="BO9" t="s">
        <v>98</v>
      </c>
      <c r="BP9" t="s">
        <v>103</v>
      </c>
      <c r="BQ9" s="17">
        <v>62.339</v>
      </c>
      <c r="BR9" t="s">
        <v>100</v>
      </c>
      <c r="BS9" t="s">
        <v>92</v>
      </c>
      <c r="BT9" t="s">
        <v>103</v>
      </c>
      <c r="BU9" s="17">
        <v>6.8</v>
      </c>
      <c r="BV9" t="s">
        <v>101</v>
      </c>
      <c r="BW9" t="s">
        <v>85</v>
      </c>
      <c r="BX9" t="s">
        <v>85</v>
      </c>
      <c r="BY9" t="str">
        <f>IF(COUNTIF('Data Upload-prod'!E:E,F9)=0,"Missing","Exist")</f>
        <v>Exist</v>
      </c>
    </row>
    <row r="10" hidden="1" spans="1:77">
      <c r="A10" s="16">
        <v>44966</v>
      </c>
      <c r="B10" s="16">
        <v>45196</v>
      </c>
      <c r="C10" t="s">
        <v>77</v>
      </c>
      <c r="D10" t="s">
        <v>78</v>
      </c>
      <c r="E10" t="s">
        <v>79</v>
      </c>
      <c r="F10" t="s">
        <v>116</v>
      </c>
      <c r="G10" t="s">
        <v>81</v>
      </c>
      <c r="H10" t="s">
        <v>82</v>
      </c>
      <c r="I10" t="s">
        <v>83</v>
      </c>
      <c r="J10" s="17">
        <v>60</v>
      </c>
      <c r="K10" s="17">
        <v>5658</v>
      </c>
      <c r="L10" s="17">
        <v>2334.8</v>
      </c>
      <c r="M10" t="s">
        <v>84</v>
      </c>
      <c r="N10" t="s">
        <v>84</v>
      </c>
      <c r="O10" t="s">
        <v>84</v>
      </c>
      <c r="P10" t="s">
        <v>84</v>
      </c>
      <c r="Q10" s="17">
        <v>9780000</v>
      </c>
      <c r="R10" s="17">
        <v>20.94</v>
      </c>
      <c r="S10" t="s">
        <v>85</v>
      </c>
      <c r="T10" t="s">
        <v>84</v>
      </c>
      <c r="U10" t="s">
        <v>86</v>
      </c>
      <c r="V10" s="16">
        <v>45076</v>
      </c>
      <c r="W10" s="18">
        <v>45075.9166666667</v>
      </c>
      <c r="X10" s="18">
        <v>45138.3541666667</v>
      </c>
      <c r="Y10" s="17">
        <v>5526.13</v>
      </c>
      <c r="Z10" t="s">
        <v>87</v>
      </c>
      <c r="AA10" s="17">
        <v>5621</v>
      </c>
      <c r="AB10" s="17">
        <v>2317</v>
      </c>
      <c r="AC10" t="s">
        <v>84</v>
      </c>
      <c r="AD10" t="s">
        <v>84</v>
      </c>
      <c r="AE10" t="s">
        <v>84</v>
      </c>
      <c r="AF10" t="s">
        <v>84</v>
      </c>
      <c r="AG10" s="17">
        <v>11405366</v>
      </c>
      <c r="AH10" s="17">
        <v>37.5</v>
      </c>
      <c r="AI10" s="17">
        <v>0.34</v>
      </c>
      <c r="AJ10" s="17">
        <v>0.34</v>
      </c>
      <c r="AK10" s="13" t="s">
        <v>113</v>
      </c>
      <c r="AL10" s="13" t="s">
        <v>114</v>
      </c>
      <c r="AM10" s="13" t="s">
        <v>90</v>
      </c>
      <c r="AN10" s="13">
        <v>2.2</v>
      </c>
      <c r="AO10" s="13" t="s">
        <v>90</v>
      </c>
      <c r="AP10" s="13">
        <v>915</v>
      </c>
      <c r="AQ10" s="13" t="s">
        <v>90</v>
      </c>
      <c r="AR10" s="13">
        <v>1290</v>
      </c>
      <c r="AS10" s="13" t="s">
        <v>91</v>
      </c>
      <c r="AT10" s="19">
        <v>1.71</v>
      </c>
      <c r="AU10" s="13" t="s">
        <v>91</v>
      </c>
      <c r="AV10" s="13">
        <v>432</v>
      </c>
      <c r="AW10" s="13" t="s">
        <v>91</v>
      </c>
      <c r="AX10" s="13">
        <v>529</v>
      </c>
      <c r="AY10" s="13" t="s">
        <v>92</v>
      </c>
      <c r="AZ10" s="13" t="s">
        <v>92</v>
      </c>
      <c r="BA10" s="13" t="s">
        <v>92</v>
      </c>
      <c r="BB10" s="13" t="s">
        <v>92</v>
      </c>
      <c r="BC10" s="13" t="s">
        <v>92</v>
      </c>
      <c r="BD10" s="17">
        <v>2.6</v>
      </c>
      <c r="BE10" s="17">
        <v>1866911.13</v>
      </c>
      <c r="BF10" t="s">
        <v>92</v>
      </c>
      <c r="BG10" t="s">
        <v>92</v>
      </c>
      <c r="BH10" t="s">
        <v>93</v>
      </c>
      <c r="BI10" t="s">
        <v>94</v>
      </c>
      <c r="BJ10" t="s">
        <v>95</v>
      </c>
      <c r="BK10" t="s">
        <v>85</v>
      </c>
      <c r="BL10" t="s">
        <v>85</v>
      </c>
      <c r="BM10" t="s">
        <v>96</v>
      </c>
      <c r="BN10" t="s">
        <v>97</v>
      </c>
      <c r="BO10" t="s">
        <v>98</v>
      </c>
      <c r="BP10" t="s">
        <v>103</v>
      </c>
      <c r="BQ10" s="17">
        <v>42.653</v>
      </c>
      <c r="BR10" t="s">
        <v>100</v>
      </c>
      <c r="BS10" t="s">
        <v>92</v>
      </c>
      <c r="BT10" t="s">
        <v>103</v>
      </c>
      <c r="BU10" s="17">
        <v>6.8</v>
      </c>
      <c r="BV10" t="s">
        <v>101</v>
      </c>
      <c r="BW10" t="s">
        <v>85</v>
      </c>
      <c r="BX10" t="s">
        <v>85</v>
      </c>
      <c r="BY10" t="str">
        <f>IF(COUNTIF('Data Upload-prod'!E:E,F10)=0,"Missing","Exist")</f>
        <v>Exist</v>
      </c>
    </row>
    <row r="11" hidden="1" spans="1:77">
      <c r="A11" s="16">
        <v>44966</v>
      </c>
      <c r="B11" s="16">
        <v>45251</v>
      </c>
      <c r="C11" t="s">
        <v>77</v>
      </c>
      <c r="D11" t="s">
        <v>78</v>
      </c>
      <c r="E11" t="s">
        <v>79</v>
      </c>
      <c r="F11" t="s">
        <v>117</v>
      </c>
      <c r="G11" t="s">
        <v>81</v>
      </c>
      <c r="H11" t="s">
        <v>82</v>
      </c>
      <c r="I11" t="s">
        <v>83</v>
      </c>
      <c r="J11" s="17">
        <v>60</v>
      </c>
      <c r="K11" s="17">
        <v>3198.27</v>
      </c>
      <c r="L11" s="17">
        <v>2060.55</v>
      </c>
      <c r="M11" t="s">
        <v>84</v>
      </c>
      <c r="N11" t="s">
        <v>84</v>
      </c>
      <c r="O11" t="s">
        <v>84</v>
      </c>
      <c r="P11" t="s">
        <v>84</v>
      </c>
      <c r="Q11" s="17">
        <v>5184350</v>
      </c>
      <c r="R11" s="17">
        <v>11.24</v>
      </c>
      <c r="S11" t="s">
        <v>118</v>
      </c>
      <c r="T11" t="s">
        <v>84</v>
      </c>
      <c r="U11" t="s">
        <v>86</v>
      </c>
      <c r="V11" s="16">
        <v>45152</v>
      </c>
      <c r="W11" s="18">
        <v>45151</v>
      </c>
      <c r="X11" s="18">
        <v>45195</v>
      </c>
      <c r="Y11" s="17">
        <v>3005.13</v>
      </c>
      <c r="Z11" t="s">
        <v>87</v>
      </c>
      <c r="AA11" s="17">
        <v>3100</v>
      </c>
      <c r="AB11" s="17">
        <v>2097.43</v>
      </c>
      <c r="AC11" t="s">
        <v>84</v>
      </c>
      <c r="AD11" t="s">
        <v>84</v>
      </c>
      <c r="AE11" t="s">
        <v>84</v>
      </c>
      <c r="AF11" t="s">
        <v>84</v>
      </c>
      <c r="AG11" s="17">
        <v>3886398</v>
      </c>
      <c r="AH11" s="17">
        <v>10.55</v>
      </c>
      <c r="AI11" s="17">
        <v>5.5</v>
      </c>
      <c r="AJ11" s="17">
        <v>5.5</v>
      </c>
      <c r="AK11" s="13" t="s">
        <v>108</v>
      </c>
      <c r="AL11" s="13" t="s">
        <v>89</v>
      </c>
      <c r="AM11" s="13" t="s">
        <v>90</v>
      </c>
      <c r="AN11" s="13">
        <v>2.4</v>
      </c>
      <c r="AO11" s="13" t="s">
        <v>90</v>
      </c>
      <c r="AP11" s="13">
        <v>795</v>
      </c>
      <c r="AQ11" s="13" t="s">
        <v>90</v>
      </c>
      <c r="AR11" s="13">
        <v>1400</v>
      </c>
      <c r="AS11" s="13" t="s">
        <v>91</v>
      </c>
      <c r="AT11" s="19">
        <v>2.7</v>
      </c>
      <c r="AU11" s="13" t="s">
        <v>91</v>
      </c>
      <c r="AV11" s="13">
        <v>709</v>
      </c>
      <c r="AW11" s="13" t="s">
        <v>91</v>
      </c>
      <c r="AX11" s="13">
        <v>917</v>
      </c>
      <c r="AY11" s="13" t="s">
        <v>92</v>
      </c>
      <c r="AZ11" s="13" t="s">
        <v>92</v>
      </c>
      <c r="BA11" s="13" t="s">
        <v>92</v>
      </c>
      <c r="BB11" s="13" t="s">
        <v>92</v>
      </c>
      <c r="BC11" s="13" t="s">
        <v>92</v>
      </c>
      <c r="BD11" s="17">
        <v>7.75</v>
      </c>
      <c r="BE11" s="17">
        <v>3082902.75</v>
      </c>
      <c r="BF11" t="s">
        <v>92</v>
      </c>
      <c r="BG11" t="s">
        <v>92</v>
      </c>
      <c r="BH11" t="s">
        <v>93</v>
      </c>
      <c r="BI11" t="s">
        <v>94</v>
      </c>
      <c r="BJ11" t="s">
        <v>109</v>
      </c>
      <c r="BK11" t="s">
        <v>85</v>
      </c>
      <c r="BL11" t="s">
        <v>85</v>
      </c>
      <c r="BM11" t="s">
        <v>96</v>
      </c>
      <c r="BN11" t="s">
        <v>97</v>
      </c>
      <c r="BO11" t="s">
        <v>98</v>
      </c>
      <c r="BP11" t="s">
        <v>99</v>
      </c>
      <c r="BQ11" s="17">
        <v>823.288206</v>
      </c>
      <c r="BR11" t="s">
        <v>100</v>
      </c>
      <c r="BS11" t="s">
        <v>92</v>
      </c>
      <c r="BT11" t="s">
        <v>99</v>
      </c>
      <c r="BU11" s="17">
        <v>9.2</v>
      </c>
      <c r="BV11" t="s">
        <v>110</v>
      </c>
      <c r="BW11" t="s">
        <v>85</v>
      </c>
      <c r="BX11" t="s">
        <v>85</v>
      </c>
      <c r="BY11" t="str">
        <f>IF(COUNTIF('Data Upload-prod'!E:E,F11)=0,"Missing","Exist")</f>
        <v>Exist</v>
      </c>
    </row>
    <row r="12" hidden="1" spans="1:77">
      <c r="A12" s="16">
        <v>44966</v>
      </c>
      <c r="B12" s="16">
        <v>45176</v>
      </c>
      <c r="C12" t="s">
        <v>77</v>
      </c>
      <c r="D12" t="s">
        <v>78</v>
      </c>
      <c r="E12" t="s">
        <v>79</v>
      </c>
      <c r="F12" t="s">
        <v>119</v>
      </c>
      <c r="G12" t="s">
        <v>81</v>
      </c>
      <c r="H12" t="s">
        <v>82</v>
      </c>
      <c r="I12" t="s">
        <v>83</v>
      </c>
      <c r="J12" s="17">
        <v>60</v>
      </c>
      <c r="K12" s="17">
        <v>4112.23</v>
      </c>
      <c r="L12" s="17">
        <v>2024.08</v>
      </c>
      <c r="M12" t="s">
        <v>84</v>
      </c>
      <c r="N12" t="s">
        <v>84</v>
      </c>
      <c r="O12" t="s">
        <v>84</v>
      </c>
      <c r="P12" t="s">
        <v>84</v>
      </c>
      <c r="Q12" s="17">
        <v>8214591</v>
      </c>
      <c r="R12" s="17">
        <v>17.58</v>
      </c>
      <c r="S12" t="s">
        <v>85</v>
      </c>
      <c r="T12" t="s">
        <v>84</v>
      </c>
      <c r="U12" t="s">
        <v>86</v>
      </c>
      <c r="V12" s="16">
        <v>45069</v>
      </c>
      <c r="W12" s="18">
        <v>45067.75</v>
      </c>
      <c r="X12" s="18">
        <v>45120</v>
      </c>
      <c r="Y12" s="17">
        <v>3930.13</v>
      </c>
      <c r="Z12" t="s">
        <v>87</v>
      </c>
      <c r="AA12" s="17">
        <v>4025</v>
      </c>
      <c r="AB12" s="17">
        <v>1998.44</v>
      </c>
      <c r="AC12" t="s">
        <v>84</v>
      </c>
      <c r="AD12" t="s">
        <v>84</v>
      </c>
      <c r="AE12" t="s">
        <v>84</v>
      </c>
      <c r="AF12" t="s">
        <v>84</v>
      </c>
      <c r="AG12" s="17">
        <v>6690870</v>
      </c>
      <c r="AH12" s="17">
        <v>21.57</v>
      </c>
      <c r="AI12" s="17">
        <v>2.08</v>
      </c>
      <c r="AJ12" s="17">
        <v>2.08</v>
      </c>
      <c r="AK12" s="13" t="s">
        <v>113</v>
      </c>
      <c r="AL12" s="13" t="s">
        <v>114</v>
      </c>
      <c r="AM12" s="13" t="s">
        <v>90</v>
      </c>
      <c r="AN12" s="13">
        <v>2.2</v>
      </c>
      <c r="AO12" s="13" t="s">
        <v>90</v>
      </c>
      <c r="AP12" s="13">
        <v>915</v>
      </c>
      <c r="AQ12" s="13" t="s">
        <v>90</v>
      </c>
      <c r="AR12" s="13">
        <v>1290</v>
      </c>
      <c r="AS12" s="13" t="s">
        <v>91</v>
      </c>
      <c r="AT12" s="19">
        <v>1.63</v>
      </c>
      <c r="AU12" s="13" t="s">
        <v>91</v>
      </c>
      <c r="AV12" s="13">
        <v>413</v>
      </c>
      <c r="AW12" s="13" t="s">
        <v>91</v>
      </c>
      <c r="AX12" s="13">
        <v>507</v>
      </c>
      <c r="AY12" s="13" t="s">
        <v>92</v>
      </c>
      <c r="AZ12" s="13" t="s">
        <v>92</v>
      </c>
      <c r="BA12" s="13" t="s">
        <v>92</v>
      </c>
      <c r="BB12" s="13" t="s">
        <v>92</v>
      </c>
      <c r="BC12" s="13" t="s">
        <v>92</v>
      </c>
      <c r="BD12" s="17">
        <v>2</v>
      </c>
      <c r="BE12" s="17">
        <v>1233995.02</v>
      </c>
      <c r="BF12" t="s">
        <v>92</v>
      </c>
      <c r="BG12" t="s">
        <v>92</v>
      </c>
      <c r="BH12" t="s">
        <v>93</v>
      </c>
      <c r="BI12" t="s">
        <v>94</v>
      </c>
      <c r="BJ12" t="s">
        <v>95</v>
      </c>
      <c r="BK12" t="s">
        <v>85</v>
      </c>
      <c r="BL12" t="s">
        <v>85</v>
      </c>
      <c r="BM12" t="s">
        <v>96</v>
      </c>
      <c r="BN12" t="s">
        <v>97</v>
      </c>
      <c r="BO12" t="s">
        <v>98</v>
      </c>
      <c r="BP12" t="s">
        <v>103</v>
      </c>
      <c r="BQ12" s="17">
        <v>108.273</v>
      </c>
      <c r="BR12" t="s">
        <v>100</v>
      </c>
      <c r="BS12" t="s">
        <v>92</v>
      </c>
      <c r="BT12" t="s">
        <v>103</v>
      </c>
      <c r="BU12" s="17">
        <v>6.8</v>
      </c>
      <c r="BV12" t="s">
        <v>101</v>
      </c>
      <c r="BW12" t="s">
        <v>85</v>
      </c>
      <c r="BX12" t="s">
        <v>85</v>
      </c>
      <c r="BY12" t="str">
        <f>IF(COUNTIF('Data Upload-prod'!E:E,F12)=0,"Missing","Exist")</f>
        <v>Exist</v>
      </c>
    </row>
    <row r="13" hidden="1" spans="1:77">
      <c r="A13" s="16">
        <v>43599</v>
      </c>
      <c r="B13" s="16">
        <v>43747</v>
      </c>
      <c r="C13" t="s">
        <v>77</v>
      </c>
      <c r="D13" t="s">
        <v>120</v>
      </c>
      <c r="E13" t="s">
        <v>121</v>
      </c>
      <c r="F13" t="s">
        <v>122</v>
      </c>
      <c r="G13" t="s">
        <v>81</v>
      </c>
      <c r="H13" t="s">
        <v>123</v>
      </c>
      <c r="I13" t="s">
        <v>124</v>
      </c>
      <c r="J13" s="17">
        <v>70.5</v>
      </c>
      <c r="K13" s="17">
        <v>2504</v>
      </c>
      <c r="L13" s="17">
        <v>1713</v>
      </c>
      <c r="M13" t="s">
        <v>84</v>
      </c>
      <c r="N13" t="s">
        <v>84</v>
      </c>
      <c r="O13" t="s">
        <v>84</v>
      </c>
      <c r="P13" t="s">
        <v>84</v>
      </c>
      <c r="Q13" s="17">
        <v>8100000</v>
      </c>
      <c r="R13" s="17">
        <v>20.5</v>
      </c>
      <c r="S13" t="s">
        <v>85</v>
      </c>
      <c r="T13" t="s">
        <v>84</v>
      </c>
      <c r="U13" t="s">
        <v>86</v>
      </c>
      <c r="V13" s="16">
        <v>43658</v>
      </c>
      <c r="W13" s="18">
        <v>43615.75</v>
      </c>
      <c r="X13" s="18">
        <v>43708.0208333333</v>
      </c>
      <c r="Y13" s="17">
        <v>2439.35</v>
      </c>
      <c r="Z13" t="s">
        <v>87</v>
      </c>
      <c r="AA13" s="17">
        <v>2545</v>
      </c>
      <c r="AB13" s="17">
        <v>1712</v>
      </c>
      <c r="AC13" t="s">
        <v>84</v>
      </c>
      <c r="AD13" t="s">
        <v>84</v>
      </c>
      <c r="AE13" t="s">
        <v>84</v>
      </c>
      <c r="AF13" t="s">
        <v>84</v>
      </c>
      <c r="AG13" s="17">
        <v>6081416</v>
      </c>
      <c r="AH13" s="17">
        <v>21.14</v>
      </c>
      <c r="AI13" s="17">
        <v>6.6</v>
      </c>
      <c r="AJ13" s="17">
        <v>6.6</v>
      </c>
      <c r="AK13" s="13" t="s">
        <v>125</v>
      </c>
      <c r="AL13" s="13" t="s">
        <v>126</v>
      </c>
      <c r="AM13" s="13" t="s">
        <v>90</v>
      </c>
      <c r="AN13" s="13">
        <v>2.5</v>
      </c>
      <c r="AO13" s="13" t="s">
        <v>90</v>
      </c>
      <c r="AP13" s="13">
        <v>1010</v>
      </c>
      <c r="AQ13" s="13" t="s">
        <v>90</v>
      </c>
      <c r="AR13" s="13">
        <v>1705</v>
      </c>
      <c r="AS13" s="13" t="s">
        <v>91</v>
      </c>
      <c r="AT13" s="19">
        <v>1.49</v>
      </c>
      <c r="AU13" s="13" t="s">
        <v>91</v>
      </c>
      <c r="AV13" s="13">
        <v>383</v>
      </c>
      <c r="AW13" s="13" t="s">
        <v>91</v>
      </c>
      <c r="AX13" s="13">
        <v>728</v>
      </c>
      <c r="AY13" t="s">
        <v>92</v>
      </c>
      <c r="AZ13" t="s">
        <v>92</v>
      </c>
      <c r="BA13" t="s">
        <v>92</v>
      </c>
      <c r="BB13" s="13" t="s">
        <v>92</v>
      </c>
      <c r="BC13" s="13" t="s">
        <v>92</v>
      </c>
      <c r="BD13" s="17">
        <v>6.5</v>
      </c>
      <c r="BE13" s="17">
        <v>2155737</v>
      </c>
      <c r="BF13" t="s">
        <v>92</v>
      </c>
      <c r="BG13" t="s">
        <v>92</v>
      </c>
      <c r="BH13" t="s">
        <v>127</v>
      </c>
      <c r="BI13" t="s">
        <v>94</v>
      </c>
      <c r="BJ13" t="s">
        <v>128</v>
      </c>
      <c r="BK13" t="s">
        <v>85</v>
      </c>
      <c r="BL13" t="s">
        <v>129</v>
      </c>
      <c r="BM13" t="s">
        <v>96</v>
      </c>
      <c r="BN13" t="s">
        <v>97</v>
      </c>
      <c r="BO13" t="s">
        <v>98</v>
      </c>
      <c r="BP13" t="s">
        <v>103</v>
      </c>
      <c r="BQ13" s="17">
        <v>187.37791</v>
      </c>
      <c r="BR13" t="s">
        <v>100</v>
      </c>
      <c r="BS13" t="s">
        <v>130</v>
      </c>
      <c r="BT13" t="s">
        <v>103</v>
      </c>
      <c r="BU13" s="17">
        <v>8.6</v>
      </c>
      <c r="BV13" t="s">
        <v>131</v>
      </c>
      <c r="BW13" t="s">
        <v>85</v>
      </c>
      <c r="BX13" t="s">
        <v>85</v>
      </c>
      <c r="BY13" t="str">
        <f>IF(COUNTIF('Data Upload-prod'!E:E,F13)=0,"Missing","Exist")</f>
        <v>Exist</v>
      </c>
    </row>
    <row r="14" spans="1:77">
      <c r="A14" s="16">
        <v>43592</v>
      </c>
      <c r="B14" s="16">
        <v>43720</v>
      </c>
      <c r="C14" t="s">
        <v>132</v>
      </c>
      <c r="D14" t="s">
        <v>120</v>
      </c>
      <c r="E14" t="s">
        <v>133</v>
      </c>
      <c r="F14" t="s">
        <v>134</v>
      </c>
      <c r="G14" t="s">
        <v>81</v>
      </c>
      <c r="H14" t="s">
        <v>135</v>
      </c>
      <c r="I14" t="s">
        <v>124</v>
      </c>
      <c r="J14" s="17">
        <v>76</v>
      </c>
      <c r="K14" s="17">
        <v>2364.06</v>
      </c>
      <c r="L14" s="17">
        <v>1974.91</v>
      </c>
      <c r="M14" t="s">
        <v>84</v>
      </c>
      <c r="N14" t="s">
        <v>84</v>
      </c>
      <c r="O14" t="s">
        <v>84</v>
      </c>
      <c r="P14" t="s">
        <v>84</v>
      </c>
      <c r="Q14" s="17">
        <v>15765611.55</v>
      </c>
      <c r="R14" s="17">
        <v>44.83</v>
      </c>
      <c r="S14" t="s">
        <v>85</v>
      </c>
      <c r="T14" t="s">
        <v>84</v>
      </c>
      <c r="U14" t="s">
        <v>86</v>
      </c>
      <c r="V14" s="16">
        <v>43628</v>
      </c>
      <c r="W14" s="18">
        <v>43627.25</v>
      </c>
      <c r="X14" s="18">
        <v>43690.2708333333</v>
      </c>
      <c r="Y14" s="17">
        <v>2227.92</v>
      </c>
      <c r="Z14" t="s">
        <v>87</v>
      </c>
      <c r="AA14" s="17">
        <v>2347.7</v>
      </c>
      <c r="AB14" s="17">
        <v>1976.89</v>
      </c>
      <c r="AC14" t="s">
        <v>84</v>
      </c>
      <c r="AD14" t="s">
        <v>84</v>
      </c>
      <c r="AE14" t="s">
        <v>84</v>
      </c>
      <c r="AF14" t="s">
        <v>84</v>
      </c>
      <c r="AG14" s="17">
        <v>15622645.61</v>
      </c>
      <c r="AH14" s="17">
        <v>43.3</v>
      </c>
      <c r="AI14" s="17">
        <v>13.11</v>
      </c>
      <c r="AJ14" s="17">
        <v>13.11</v>
      </c>
      <c r="AK14" s="13" t="s">
        <v>136</v>
      </c>
      <c r="AL14" s="13" t="s">
        <v>126</v>
      </c>
      <c r="AM14" s="20" t="s">
        <v>90</v>
      </c>
      <c r="AN14" s="20">
        <v>2.5</v>
      </c>
      <c r="AO14" s="13" t="s">
        <v>90</v>
      </c>
      <c r="AP14" s="13">
        <v>1010</v>
      </c>
      <c r="AQ14" s="13" t="s">
        <v>90</v>
      </c>
      <c r="AR14" s="13">
        <v>1705</v>
      </c>
      <c r="AS14" s="17">
        <v>2.34</v>
      </c>
      <c r="AT14" s="17">
        <v>2.34</v>
      </c>
      <c r="AU14" s="17">
        <v>747</v>
      </c>
      <c r="AV14" s="17">
        <v>747</v>
      </c>
      <c r="AW14" s="17">
        <v>1802</v>
      </c>
      <c r="AX14" s="17">
        <v>1802</v>
      </c>
      <c r="AY14" t="s">
        <v>92</v>
      </c>
      <c r="AZ14" t="s">
        <v>92</v>
      </c>
      <c r="BA14" t="s">
        <v>92</v>
      </c>
      <c r="BB14" s="13" t="s">
        <v>92</v>
      </c>
      <c r="BC14" s="13" t="s">
        <v>92</v>
      </c>
      <c r="BD14" s="17">
        <v>12.65</v>
      </c>
      <c r="BE14" s="17">
        <v>3107335.53</v>
      </c>
      <c r="BF14" t="s">
        <v>92</v>
      </c>
      <c r="BG14" t="s">
        <v>92</v>
      </c>
      <c r="BH14" t="s">
        <v>127</v>
      </c>
      <c r="BI14" t="s">
        <v>94</v>
      </c>
      <c r="BJ14" t="s">
        <v>109</v>
      </c>
      <c r="BK14" t="s">
        <v>85</v>
      </c>
      <c r="BL14" t="s">
        <v>85</v>
      </c>
      <c r="BM14" t="s">
        <v>137</v>
      </c>
      <c r="BN14" t="s">
        <v>97</v>
      </c>
      <c r="BO14" t="s">
        <v>98</v>
      </c>
      <c r="BP14" t="s">
        <v>99</v>
      </c>
      <c r="BQ14" s="17">
        <v>0</v>
      </c>
      <c r="BR14" t="s">
        <v>138</v>
      </c>
      <c r="BS14" t="s">
        <v>92</v>
      </c>
      <c r="BT14" t="s">
        <v>139</v>
      </c>
      <c r="BU14" s="17">
        <v>10.3</v>
      </c>
      <c r="BV14" t="s">
        <v>140</v>
      </c>
      <c r="BW14" t="s">
        <v>85</v>
      </c>
      <c r="BX14" t="s">
        <v>85</v>
      </c>
      <c r="BY14" t="str">
        <f>IF(COUNTIF('Data Upload-prod'!E:E,F14)=0,"Missing","Exist")</f>
        <v>Exist</v>
      </c>
    </row>
    <row r="15" hidden="1" spans="1:77">
      <c r="A15" s="16">
        <v>43369</v>
      </c>
      <c r="B15" s="16">
        <v>43546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s="17">
        <v>1022.25</v>
      </c>
      <c r="K15" s="17">
        <v>2885.71</v>
      </c>
      <c r="L15" s="17">
        <v>2693.69</v>
      </c>
      <c r="M15" s="17">
        <v>23400000</v>
      </c>
      <c r="N15" s="17">
        <v>31480000</v>
      </c>
      <c r="O15" s="17">
        <v>34.2</v>
      </c>
      <c r="P15" s="17">
        <v>45.3</v>
      </c>
      <c r="Q15" t="s">
        <v>84</v>
      </c>
      <c r="R15" t="s">
        <v>84</v>
      </c>
      <c r="S15" t="s">
        <v>85</v>
      </c>
      <c r="T15" t="s">
        <v>84</v>
      </c>
      <c r="U15" t="s">
        <v>84</v>
      </c>
      <c r="V15" s="16">
        <v>43445</v>
      </c>
      <c r="W15" s="18">
        <v>43415.875</v>
      </c>
      <c r="X15" s="18">
        <v>43461.875</v>
      </c>
      <c r="Y15" s="17">
        <v>1838.46</v>
      </c>
      <c r="Z15" t="s">
        <v>148</v>
      </c>
      <c r="AA15" s="17">
        <v>2885.71</v>
      </c>
      <c r="AB15" s="17">
        <v>2668.7</v>
      </c>
      <c r="AC15" t="s">
        <v>84</v>
      </c>
      <c r="AD15" s="17">
        <v>31500000</v>
      </c>
      <c r="AE15" t="s">
        <v>84</v>
      </c>
      <c r="AF15" s="17">
        <v>45.3</v>
      </c>
      <c r="AG15" t="s">
        <v>84</v>
      </c>
      <c r="AH15" t="s">
        <v>84</v>
      </c>
      <c r="AI15" s="17">
        <v>11.65</v>
      </c>
      <c r="AJ15" s="17">
        <v>11.65</v>
      </c>
      <c r="AK15" s="13" t="s">
        <v>149</v>
      </c>
      <c r="AL15" s="13" t="s">
        <v>150</v>
      </c>
      <c r="AM15" s="13" t="s">
        <v>150</v>
      </c>
      <c r="AN15" s="13"/>
      <c r="AO15" s="13" t="s">
        <v>150</v>
      </c>
      <c r="AP15" s="13"/>
      <c r="AQ15" s="13" t="s">
        <v>150</v>
      </c>
      <c r="AR15" s="13"/>
      <c r="AS15" s="13" t="s">
        <v>150</v>
      </c>
      <c r="AT15" s="13"/>
      <c r="AU15" s="13" t="s">
        <v>150</v>
      </c>
      <c r="AW15" s="13" t="s">
        <v>150</v>
      </c>
      <c r="AY15" t="s">
        <v>92</v>
      </c>
      <c r="AZ15" t="s">
        <v>92</v>
      </c>
      <c r="BA15" t="s">
        <v>92</v>
      </c>
      <c r="BB15" t="s">
        <v>92</v>
      </c>
      <c r="BC15" t="s">
        <v>92</v>
      </c>
      <c r="BD15" t="s">
        <v>92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92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92</v>
      </c>
      <c r="BS15" t="s">
        <v>92</v>
      </c>
      <c r="BT15" t="s">
        <v>92</v>
      </c>
      <c r="BU15" t="s">
        <v>92</v>
      </c>
      <c r="BV15" t="s">
        <v>92</v>
      </c>
      <c r="BW15" t="s">
        <v>92</v>
      </c>
      <c r="BX15" t="s">
        <v>92</v>
      </c>
      <c r="BY15" t="str">
        <f>IF(COUNTIF('Data Upload-prod'!E:E,F15)=0,"Missing","Exist")</f>
        <v>Exist</v>
      </c>
    </row>
    <row r="16" hidden="1" spans="1:77">
      <c r="A16" s="16">
        <v>43333</v>
      </c>
      <c r="B16" s="16">
        <v>43462</v>
      </c>
      <c r="C16" t="s">
        <v>151</v>
      </c>
      <c r="D16" t="s">
        <v>78</v>
      </c>
      <c r="E16" t="s">
        <v>152</v>
      </c>
      <c r="F16" t="s">
        <v>153</v>
      </c>
      <c r="G16" t="s">
        <v>81</v>
      </c>
      <c r="H16" t="s">
        <v>154</v>
      </c>
      <c r="I16" t="s">
        <v>124</v>
      </c>
      <c r="J16" s="17">
        <v>54.6</v>
      </c>
      <c r="K16" s="17">
        <v>4530.1</v>
      </c>
      <c r="L16" s="17">
        <v>2190</v>
      </c>
      <c r="M16" t="s">
        <v>84</v>
      </c>
      <c r="N16" t="s">
        <v>84</v>
      </c>
      <c r="O16" t="s">
        <v>84</v>
      </c>
      <c r="P16" t="s">
        <v>84</v>
      </c>
      <c r="Q16" s="17">
        <v>14900000</v>
      </c>
      <c r="R16" s="17">
        <v>42.14</v>
      </c>
      <c r="S16" t="s">
        <v>85</v>
      </c>
      <c r="T16" t="s">
        <v>84</v>
      </c>
      <c r="U16" t="s">
        <v>86</v>
      </c>
      <c r="V16" s="16">
        <v>43354</v>
      </c>
      <c r="W16" s="18">
        <v>43347.7916666667</v>
      </c>
      <c r="X16" s="18">
        <v>43411.0625</v>
      </c>
      <c r="Y16" s="17">
        <v>4652.6</v>
      </c>
      <c r="Z16" t="s">
        <v>87</v>
      </c>
      <c r="AA16" s="17">
        <v>4745</v>
      </c>
      <c r="AB16" s="17">
        <v>2222.84</v>
      </c>
      <c r="AC16" t="s">
        <v>84</v>
      </c>
      <c r="AD16" t="s">
        <v>84</v>
      </c>
      <c r="AE16" t="s">
        <v>84</v>
      </c>
      <c r="AF16" t="s">
        <v>84</v>
      </c>
      <c r="AG16" s="17">
        <v>13977440</v>
      </c>
      <c r="AH16" s="17">
        <v>63.27</v>
      </c>
      <c r="AI16" s="17">
        <v>33.55</v>
      </c>
      <c r="AJ16" s="17">
        <v>19.07</v>
      </c>
      <c r="AK16" s="13" t="s">
        <v>155</v>
      </c>
      <c r="AL16" s="13" t="s">
        <v>150</v>
      </c>
      <c r="AM16" s="13" t="s">
        <v>150</v>
      </c>
      <c r="AN16" s="13"/>
      <c r="AO16" s="13" t="s">
        <v>150</v>
      </c>
      <c r="AP16" s="13"/>
      <c r="AQ16" s="13" t="s">
        <v>150</v>
      </c>
      <c r="AR16" s="13"/>
      <c r="AS16" s="13" t="s">
        <v>150</v>
      </c>
      <c r="AT16" s="13"/>
      <c r="AU16" s="13" t="s">
        <v>150</v>
      </c>
      <c r="AW16" s="13" t="s">
        <v>150</v>
      </c>
      <c r="AY16" t="s">
        <v>92</v>
      </c>
      <c r="AZ16" t="s">
        <v>92</v>
      </c>
      <c r="BA16" t="s">
        <v>92</v>
      </c>
      <c r="BB16" t="s">
        <v>92</v>
      </c>
      <c r="BC16" t="s">
        <v>92</v>
      </c>
      <c r="BD16" s="17">
        <v>18</v>
      </c>
      <c r="BE16" s="17">
        <v>4000000</v>
      </c>
      <c r="BF16" t="s">
        <v>92</v>
      </c>
      <c r="BG16" t="s">
        <v>92</v>
      </c>
      <c r="BH16" t="s">
        <v>93</v>
      </c>
      <c r="BI16" t="s">
        <v>94</v>
      </c>
      <c r="BJ16" t="s">
        <v>109</v>
      </c>
      <c r="BK16" t="s">
        <v>85</v>
      </c>
      <c r="BL16" t="s">
        <v>85</v>
      </c>
      <c r="BM16" t="s">
        <v>96</v>
      </c>
      <c r="BN16" t="s">
        <v>97</v>
      </c>
      <c r="BO16" t="s">
        <v>98</v>
      </c>
      <c r="BP16" t="s">
        <v>99</v>
      </c>
      <c r="BQ16" s="17">
        <v>2237.532808</v>
      </c>
      <c r="BR16" t="s">
        <v>138</v>
      </c>
      <c r="BS16" t="s">
        <v>156</v>
      </c>
      <c r="BT16" t="s">
        <v>99</v>
      </c>
      <c r="BU16" s="17">
        <v>8.6</v>
      </c>
      <c r="BV16" t="s">
        <v>110</v>
      </c>
      <c r="BW16" t="s">
        <v>85</v>
      </c>
      <c r="BX16" t="s">
        <v>85</v>
      </c>
      <c r="BY16" t="str">
        <f>IF(COUNTIF('Data Upload-prod'!E:E,F16)=0,"Missing","Exist")</f>
        <v>Exist</v>
      </c>
    </row>
    <row r="17" hidden="1" spans="1:77">
      <c r="A17" s="16">
        <v>43314</v>
      </c>
      <c r="B17" t="s">
        <v>84</v>
      </c>
      <c r="C17" t="s">
        <v>151</v>
      </c>
      <c r="D17" t="s">
        <v>78</v>
      </c>
      <c r="E17" t="s">
        <v>157</v>
      </c>
      <c r="F17" t="s">
        <v>158</v>
      </c>
      <c r="G17" t="s">
        <v>81</v>
      </c>
      <c r="H17" t="s">
        <v>154</v>
      </c>
      <c r="I17" t="s">
        <v>124</v>
      </c>
      <c r="J17" s="17">
        <v>58</v>
      </c>
      <c r="K17" s="17">
        <v>4278</v>
      </c>
      <c r="L17" s="17">
        <v>3029</v>
      </c>
      <c r="M17" t="s">
        <v>84</v>
      </c>
      <c r="N17" t="s">
        <v>84</v>
      </c>
      <c r="O17" t="s">
        <v>84</v>
      </c>
      <c r="P17" t="s">
        <v>84</v>
      </c>
      <c r="Q17" s="17">
        <v>8366634</v>
      </c>
      <c r="R17" s="17">
        <v>22</v>
      </c>
      <c r="S17" t="s">
        <v>85</v>
      </c>
      <c r="T17" t="s">
        <v>84</v>
      </c>
      <c r="U17" t="s">
        <v>86</v>
      </c>
      <c r="V17" s="16">
        <v>43326</v>
      </c>
      <c r="W17" s="18">
        <v>43324.8333333333</v>
      </c>
      <c r="X17" s="18">
        <v>43346</v>
      </c>
      <c r="Y17" s="17">
        <v>4177.13</v>
      </c>
      <c r="Z17" t="s">
        <v>87</v>
      </c>
      <c r="AA17" s="17">
        <v>4278</v>
      </c>
      <c r="AB17" s="17">
        <v>3029</v>
      </c>
      <c r="AC17" t="s">
        <v>84</v>
      </c>
      <c r="AD17" t="s">
        <v>84</v>
      </c>
      <c r="AE17" t="s">
        <v>84</v>
      </c>
      <c r="AF17" t="s">
        <v>84</v>
      </c>
      <c r="AG17" s="17">
        <v>6700000</v>
      </c>
      <c r="AH17" s="17">
        <v>21.17000008</v>
      </c>
      <c r="AI17" s="17">
        <v>8.3</v>
      </c>
      <c r="AJ17" s="17">
        <v>8.3</v>
      </c>
      <c r="AK17" s="13" t="s">
        <v>155</v>
      </c>
      <c r="AL17" s="13" t="s">
        <v>150</v>
      </c>
      <c r="AM17" s="13" t="s">
        <v>150</v>
      </c>
      <c r="AN17" s="13"/>
      <c r="AO17" s="13" t="s">
        <v>150</v>
      </c>
      <c r="AP17" s="13"/>
      <c r="AQ17" s="13" t="s">
        <v>150</v>
      </c>
      <c r="AR17" s="13"/>
      <c r="AS17" s="13" t="s">
        <v>150</v>
      </c>
      <c r="AT17" s="13"/>
      <c r="AU17" s="13" t="s">
        <v>150</v>
      </c>
      <c r="AW17" s="13" t="s">
        <v>150</v>
      </c>
      <c r="AY17" t="s">
        <v>92</v>
      </c>
      <c r="AZ17" t="s">
        <v>92</v>
      </c>
      <c r="BA17" t="s">
        <v>92</v>
      </c>
      <c r="BB17" t="s">
        <v>92</v>
      </c>
      <c r="BC17" t="s">
        <v>92</v>
      </c>
      <c r="BD17" s="17">
        <v>6.51</v>
      </c>
      <c r="BE17" s="17">
        <v>2629741</v>
      </c>
      <c r="BF17" t="s">
        <v>92</v>
      </c>
      <c r="BG17" t="s">
        <v>92</v>
      </c>
      <c r="BH17" t="s">
        <v>93</v>
      </c>
      <c r="BI17" t="s">
        <v>94</v>
      </c>
      <c r="BJ17" t="s">
        <v>95</v>
      </c>
      <c r="BK17" t="s">
        <v>85</v>
      </c>
      <c r="BL17" t="s">
        <v>85</v>
      </c>
      <c r="BM17" t="s">
        <v>159</v>
      </c>
      <c r="BN17" t="s">
        <v>97</v>
      </c>
      <c r="BO17" t="s">
        <v>98</v>
      </c>
      <c r="BP17" t="s">
        <v>99</v>
      </c>
      <c r="BQ17" s="17">
        <v>63.97637795</v>
      </c>
      <c r="BR17" t="s">
        <v>138</v>
      </c>
      <c r="BS17" t="s">
        <v>156</v>
      </c>
      <c r="BT17" t="s">
        <v>99</v>
      </c>
      <c r="BU17" s="17">
        <v>6.84</v>
      </c>
      <c r="BV17" t="s">
        <v>101</v>
      </c>
      <c r="BW17" t="s">
        <v>85</v>
      </c>
      <c r="BX17" t="s">
        <v>85</v>
      </c>
      <c r="BY17" t="str">
        <f>IF(COUNTIF('Data Upload-prod'!E:E,F17)=0,"Missing","Exist")</f>
        <v>Exist</v>
      </c>
    </row>
    <row r="18" hidden="1" spans="1:77">
      <c r="A18" s="16">
        <v>43300</v>
      </c>
      <c r="B18" s="16">
        <v>43420</v>
      </c>
      <c r="C18" t="s">
        <v>141</v>
      </c>
      <c r="D18" t="s">
        <v>120</v>
      </c>
      <c r="E18" t="s">
        <v>160</v>
      </c>
      <c r="F18" t="s">
        <v>161</v>
      </c>
      <c r="G18" t="s">
        <v>145</v>
      </c>
      <c r="H18" t="s">
        <v>162</v>
      </c>
      <c r="I18" t="s">
        <v>124</v>
      </c>
      <c r="J18" s="17">
        <v>60.65</v>
      </c>
      <c r="K18" s="17">
        <v>1829.02</v>
      </c>
      <c r="L18" s="17">
        <v>1430.36</v>
      </c>
      <c r="M18" s="17">
        <v>9517000</v>
      </c>
      <c r="N18" s="17">
        <v>13400000</v>
      </c>
      <c r="O18" s="17">
        <v>22.43</v>
      </c>
      <c r="P18" s="17">
        <v>30.29</v>
      </c>
      <c r="Q18" t="s">
        <v>84</v>
      </c>
      <c r="R18" t="s">
        <v>84</v>
      </c>
      <c r="S18" t="s">
        <v>85</v>
      </c>
      <c r="T18" t="s">
        <v>84</v>
      </c>
      <c r="U18" t="s">
        <v>84</v>
      </c>
      <c r="V18" s="16">
        <v>43351</v>
      </c>
      <c r="W18" s="18">
        <v>43346.8541666667</v>
      </c>
      <c r="X18" s="18">
        <v>43370.7395833333</v>
      </c>
      <c r="Y18" s="17">
        <v>1376.1</v>
      </c>
      <c r="Z18" t="s">
        <v>87</v>
      </c>
      <c r="AA18" s="17">
        <v>1467.54</v>
      </c>
      <c r="AB18" s="17">
        <v>1467.54</v>
      </c>
      <c r="AC18" s="17">
        <v>5640000</v>
      </c>
      <c r="AD18" t="s">
        <v>84</v>
      </c>
      <c r="AE18" s="17">
        <v>23.89</v>
      </c>
      <c r="AF18" t="s">
        <v>84</v>
      </c>
      <c r="AG18" t="s">
        <v>84</v>
      </c>
      <c r="AH18" t="s">
        <v>84</v>
      </c>
      <c r="AI18" s="17">
        <v>4.23</v>
      </c>
      <c r="AJ18" s="17">
        <v>4.23</v>
      </c>
      <c r="AK18" s="13" t="s">
        <v>155</v>
      </c>
      <c r="AL18" s="13" t="s">
        <v>150</v>
      </c>
      <c r="AM18" s="13" t="s">
        <v>150</v>
      </c>
      <c r="AN18" s="13"/>
      <c r="AO18" s="13" t="s">
        <v>150</v>
      </c>
      <c r="AP18" s="13"/>
      <c r="AQ18" s="13" t="s">
        <v>150</v>
      </c>
      <c r="AR18" s="13"/>
      <c r="AS18" s="13" t="s">
        <v>150</v>
      </c>
      <c r="AT18" s="13"/>
      <c r="AU18" s="13" t="s">
        <v>150</v>
      </c>
      <c r="AW18" s="13" t="s">
        <v>150</v>
      </c>
      <c r="AY18" t="s">
        <v>92</v>
      </c>
      <c r="AZ18" t="s">
        <v>92</v>
      </c>
      <c r="BA18" t="s">
        <v>92</v>
      </c>
      <c r="BB18" t="s">
        <v>92</v>
      </c>
      <c r="BC18" t="s">
        <v>92</v>
      </c>
      <c r="BD18" t="s">
        <v>92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92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92</v>
      </c>
      <c r="BS18" t="s">
        <v>92</v>
      </c>
      <c r="BT18" t="s">
        <v>92</v>
      </c>
      <c r="BU18" t="s">
        <v>92</v>
      </c>
      <c r="BV18" t="s">
        <v>92</v>
      </c>
      <c r="BW18" t="s">
        <v>92</v>
      </c>
      <c r="BX18" t="s">
        <v>92</v>
      </c>
      <c r="BY18" t="str">
        <f>IF(COUNTIF('Data Upload-prod'!E:E,F18)=0,"Missing","Exist")</f>
        <v>Exist</v>
      </c>
    </row>
    <row r="19" spans="1:77">
      <c r="A19" s="16">
        <v>43268</v>
      </c>
      <c r="B19" s="16">
        <v>43334</v>
      </c>
      <c r="C19" t="s">
        <v>151</v>
      </c>
      <c r="D19" t="s">
        <v>78</v>
      </c>
      <c r="E19" t="s">
        <v>157</v>
      </c>
      <c r="F19" t="s">
        <v>163</v>
      </c>
      <c r="G19" t="s">
        <v>81</v>
      </c>
      <c r="H19" t="s">
        <v>154</v>
      </c>
      <c r="I19" t="s">
        <v>124</v>
      </c>
      <c r="J19" s="17">
        <v>58</v>
      </c>
      <c r="K19" s="17">
        <v>4887</v>
      </c>
      <c r="L19" s="17">
        <v>3353</v>
      </c>
      <c r="M19" t="s">
        <v>84</v>
      </c>
      <c r="N19" t="s">
        <v>84</v>
      </c>
      <c r="O19" t="s">
        <v>84</v>
      </c>
      <c r="P19" t="s">
        <v>84</v>
      </c>
      <c r="Q19" s="17">
        <v>14232446</v>
      </c>
      <c r="R19" s="17">
        <v>33.29</v>
      </c>
      <c r="S19" t="s">
        <v>85</v>
      </c>
      <c r="T19" t="s">
        <v>84</v>
      </c>
      <c r="U19" t="s">
        <v>86</v>
      </c>
      <c r="V19" s="16">
        <v>43269</v>
      </c>
      <c r="W19" s="18">
        <v>43269.3958333333</v>
      </c>
      <c r="X19" s="18">
        <v>43324.8333333333</v>
      </c>
      <c r="Y19" s="17">
        <v>4849.13</v>
      </c>
      <c r="Z19" t="s">
        <v>87</v>
      </c>
      <c r="AA19" s="17">
        <v>4950</v>
      </c>
      <c r="AB19" s="17">
        <v>3422</v>
      </c>
      <c r="AC19" t="s">
        <v>84</v>
      </c>
      <c r="AD19" t="s">
        <v>84</v>
      </c>
      <c r="AE19" t="s">
        <v>84</v>
      </c>
      <c r="AF19" t="s">
        <v>84</v>
      </c>
      <c r="AG19" s="17">
        <v>11240000</v>
      </c>
      <c r="AH19" s="17">
        <v>33.3</v>
      </c>
      <c r="AI19" s="17">
        <v>8.09</v>
      </c>
      <c r="AJ19" s="17">
        <v>8.03</v>
      </c>
      <c r="AK19" s="13" t="s">
        <v>164</v>
      </c>
      <c r="AL19" s="13" t="s">
        <v>165</v>
      </c>
      <c r="AM19" s="13" t="s">
        <v>90</v>
      </c>
      <c r="AN19" s="13">
        <v>3.2</v>
      </c>
      <c r="AO19" s="13" t="s">
        <v>90</v>
      </c>
      <c r="AP19" s="13">
        <v>1300</v>
      </c>
      <c r="AQ19" s="13" t="s">
        <v>90</v>
      </c>
      <c r="AR19" s="13">
        <v>1600</v>
      </c>
      <c r="AS19" s="13" t="s">
        <v>90</v>
      </c>
      <c r="AT19" s="19">
        <v>1.97</v>
      </c>
      <c r="AU19" s="13" t="s">
        <v>90</v>
      </c>
      <c r="AV19" s="13">
        <v>669</v>
      </c>
      <c r="AW19" s="13" t="s">
        <v>90</v>
      </c>
      <c r="AX19" s="13">
        <v>757</v>
      </c>
      <c r="AY19" t="s">
        <v>92</v>
      </c>
      <c r="AZ19" t="s">
        <v>92</v>
      </c>
      <c r="BA19" t="s">
        <v>92</v>
      </c>
      <c r="BB19" t="s">
        <v>92</v>
      </c>
      <c r="BC19" t="s">
        <v>92</v>
      </c>
      <c r="BD19" s="17">
        <v>6.57</v>
      </c>
      <c r="BE19" s="17">
        <v>1902000</v>
      </c>
      <c r="BF19" t="s">
        <v>92</v>
      </c>
      <c r="BG19" t="s">
        <v>92</v>
      </c>
      <c r="BH19" t="s">
        <v>93</v>
      </c>
      <c r="BI19" t="s">
        <v>94</v>
      </c>
      <c r="BJ19" t="s">
        <v>95</v>
      </c>
      <c r="BK19" t="s">
        <v>85</v>
      </c>
      <c r="BL19" t="s">
        <v>85</v>
      </c>
      <c r="BM19" t="s">
        <v>159</v>
      </c>
      <c r="BN19" t="s">
        <v>97</v>
      </c>
      <c r="BO19" t="s">
        <v>98</v>
      </c>
      <c r="BP19" t="s">
        <v>99</v>
      </c>
      <c r="BQ19" s="17">
        <v>63.97637795</v>
      </c>
      <c r="BR19" t="s">
        <v>138</v>
      </c>
      <c r="BS19" t="s">
        <v>156</v>
      </c>
      <c r="BT19" t="s">
        <v>99</v>
      </c>
      <c r="BU19" s="17">
        <v>6.84</v>
      </c>
      <c r="BV19" t="s">
        <v>101</v>
      </c>
      <c r="BW19" t="s">
        <v>85</v>
      </c>
      <c r="BX19" t="s">
        <v>85</v>
      </c>
      <c r="BY19" t="str">
        <f>IF(COUNTIF('Data Upload-prod'!E:E,F19)=0,"Missing","Exist")</f>
        <v>Exist</v>
      </c>
    </row>
    <row r="20" hidden="1" spans="1:77">
      <c r="A20" s="16">
        <v>43201</v>
      </c>
      <c r="B20" s="16">
        <v>43286</v>
      </c>
      <c r="C20" t="s">
        <v>151</v>
      </c>
      <c r="D20" t="s">
        <v>142</v>
      </c>
      <c r="E20" t="s">
        <v>166</v>
      </c>
      <c r="F20" t="s">
        <v>167</v>
      </c>
      <c r="G20" t="s">
        <v>81</v>
      </c>
      <c r="H20" t="s">
        <v>168</v>
      </c>
      <c r="I20" t="s">
        <v>124</v>
      </c>
      <c r="J20" s="17">
        <v>54.25</v>
      </c>
      <c r="K20" s="17">
        <v>3801.89</v>
      </c>
      <c r="L20" s="17">
        <v>2426.7</v>
      </c>
      <c r="M20" t="s">
        <v>84</v>
      </c>
      <c r="N20" t="s">
        <v>84</v>
      </c>
      <c r="O20" t="s">
        <v>84</v>
      </c>
      <c r="P20" t="s">
        <v>84</v>
      </c>
      <c r="Q20" s="17">
        <v>14724389</v>
      </c>
      <c r="R20" s="17">
        <v>30.34</v>
      </c>
      <c r="S20" t="s">
        <v>85</v>
      </c>
      <c r="T20" t="s">
        <v>84</v>
      </c>
      <c r="U20" t="s">
        <v>84</v>
      </c>
      <c r="V20" s="16">
        <v>43215</v>
      </c>
      <c r="W20" s="18">
        <v>43215.3333333333</v>
      </c>
      <c r="X20" s="18">
        <v>43237.0833333333</v>
      </c>
      <c r="Y20" s="17">
        <v>3806.77</v>
      </c>
      <c r="Z20" t="s">
        <v>87</v>
      </c>
      <c r="AA20" s="17">
        <v>3901.25</v>
      </c>
      <c r="AB20" s="17">
        <v>2425.78</v>
      </c>
      <c r="AC20" t="s">
        <v>84</v>
      </c>
      <c r="AD20" t="s">
        <v>84</v>
      </c>
      <c r="AE20" t="s">
        <v>84</v>
      </c>
      <c r="AF20" t="s">
        <v>84</v>
      </c>
      <c r="AG20" s="17">
        <v>9031731</v>
      </c>
      <c r="AH20" s="17">
        <v>21.75</v>
      </c>
      <c r="AI20" s="17">
        <v>1.3</v>
      </c>
      <c r="AJ20" s="17">
        <v>1.3</v>
      </c>
      <c r="AK20" s="13" t="s">
        <v>155</v>
      </c>
      <c r="AL20" s="13" t="s">
        <v>150</v>
      </c>
      <c r="AM20" s="13" t="s">
        <v>150</v>
      </c>
      <c r="AN20" s="13"/>
      <c r="AO20" s="13" t="s">
        <v>150</v>
      </c>
      <c r="AP20" s="13"/>
      <c r="AQ20" s="13" t="s">
        <v>150</v>
      </c>
      <c r="AR20" s="13"/>
      <c r="AS20" s="13" t="s">
        <v>150</v>
      </c>
      <c r="AT20" s="13"/>
      <c r="AU20" s="13" t="s">
        <v>150</v>
      </c>
      <c r="AW20" s="13" t="s">
        <v>150</v>
      </c>
      <c r="AY20" t="s">
        <v>92</v>
      </c>
      <c r="AZ20" t="s">
        <v>92</v>
      </c>
      <c r="BA20" t="s">
        <v>92</v>
      </c>
      <c r="BB20" t="s">
        <v>92</v>
      </c>
      <c r="BC20" t="s">
        <v>92</v>
      </c>
      <c r="BD20" t="s">
        <v>92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92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92</v>
      </c>
      <c r="BS20" t="s">
        <v>92</v>
      </c>
      <c r="BT20" t="s">
        <v>92</v>
      </c>
      <c r="BU20" t="s">
        <v>92</v>
      </c>
      <c r="BV20" t="s">
        <v>92</v>
      </c>
      <c r="BW20" t="s">
        <v>92</v>
      </c>
      <c r="BX20" t="s">
        <v>92</v>
      </c>
      <c r="BY20" t="str">
        <f>IF(COUNTIF('Data Upload-prod'!E:E,F20)=0,"Missing","Exist")</f>
        <v>Exist</v>
      </c>
    </row>
    <row r="21" hidden="1" spans="1:77">
      <c r="A21" s="16">
        <v>43191</v>
      </c>
      <c r="B21" s="16">
        <v>43286</v>
      </c>
      <c r="C21" t="s">
        <v>151</v>
      </c>
      <c r="D21" t="s">
        <v>78</v>
      </c>
      <c r="E21" t="s">
        <v>157</v>
      </c>
      <c r="F21" t="s">
        <v>169</v>
      </c>
      <c r="G21" t="s">
        <v>81</v>
      </c>
      <c r="H21" t="s">
        <v>154</v>
      </c>
      <c r="I21" t="s">
        <v>124</v>
      </c>
      <c r="J21" s="17">
        <v>58</v>
      </c>
      <c r="K21" s="17">
        <v>3268</v>
      </c>
      <c r="L21" s="17">
        <v>2947.1</v>
      </c>
      <c r="M21" t="s">
        <v>84</v>
      </c>
      <c r="N21" t="s">
        <v>84</v>
      </c>
      <c r="O21" t="s">
        <v>84</v>
      </c>
      <c r="P21" t="s">
        <v>84</v>
      </c>
      <c r="Q21" s="17">
        <v>12440000</v>
      </c>
      <c r="R21" s="17">
        <v>30.7</v>
      </c>
      <c r="S21" t="s">
        <v>85</v>
      </c>
      <c r="T21" t="s">
        <v>84</v>
      </c>
      <c r="U21" t="s">
        <v>84</v>
      </c>
      <c r="V21" s="16">
        <v>43202</v>
      </c>
      <c r="W21" s="18">
        <v>43202</v>
      </c>
      <c r="X21" s="18">
        <v>43226</v>
      </c>
      <c r="Y21" s="17">
        <v>3154.13</v>
      </c>
      <c r="Z21" t="s">
        <v>87</v>
      </c>
      <c r="AA21" s="17">
        <v>3255</v>
      </c>
      <c r="AB21" s="17">
        <v>2926</v>
      </c>
      <c r="AC21" t="s">
        <v>84</v>
      </c>
      <c r="AD21" t="s">
        <v>84</v>
      </c>
      <c r="AE21" t="s">
        <v>84</v>
      </c>
      <c r="AF21" t="s">
        <v>84</v>
      </c>
      <c r="AG21" s="17">
        <v>8530528</v>
      </c>
      <c r="AH21" s="17">
        <v>24</v>
      </c>
      <c r="AI21" s="17">
        <v>14</v>
      </c>
      <c r="AJ21" s="17">
        <v>14</v>
      </c>
      <c r="AK21" s="13" t="s">
        <v>155</v>
      </c>
      <c r="AL21" s="13" t="s">
        <v>150</v>
      </c>
      <c r="AM21" s="13" t="s">
        <v>150</v>
      </c>
      <c r="AN21" s="13"/>
      <c r="AO21" s="13" t="s">
        <v>150</v>
      </c>
      <c r="AP21" s="13"/>
      <c r="AQ21" s="13" t="s">
        <v>150</v>
      </c>
      <c r="AR21" s="13"/>
      <c r="AS21" s="13" t="s">
        <v>150</v>
      </c>
      <c r="AT21" s="13"/>
      <c r="AU21" s="13" t="s">
        <v>150</v>
      </c>
      <c r="AW21" s="13" t="s">
        <v>150</v>
      </c>
      <c r="AY21" t="s">
        <v>92</v>
      </c>
      <c r="AZ21" t="s">
        <v>92</v>
      </c>
      <c r="BA21" t="s">
        <v>92</v>
      </c>
      <c r="BB21" t="s">
        <v>92</v>
      </c>
      <c r="BC21" t="s">
        <v>92</v>
      </c>
      <c r="BD21" t="s">
        <v>92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92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92</v>
      </c>
      <c r="BS21" t="s">
        <v>92</v>
      </c>
      <c r="BT21" t="s">
        <v>92</v>
      </c>
      <c r="BU21" t="s">
        <v>92</v>
      </c>
      <c r="BV21" t="s">
        <v>92</v>
      </c>
      <c r="BW21" t="s">
        <v>92</v>
      </c>
      <c r="BX21" t="s">
        <v>92</v>
      </c>
      <c r="BY21" t="str">
        <f>IF(COUNTIF('Data Upload-prod'!E:E,F21)=0,"Missing","Exist")</f>
        <v>Exist</v>
      </c>
    </row>
    <row r="22" hidden="1" spans="1:77">
      <c r="A22" s="16">
        <v>43188</v>
      </c>
      <c r="B22" s="16">
        <v>43276</v>
      </c>
      <c r="C22" t="s">
        <v>132</v>
      </c>
      <c r="D22" t="s">
        <v>142</v>
      </c>
      <c r="E22" t="s">
        <v>170</v>
      </c>
      <c r="F22" t="s">
        <v>171</v>
      </c>
      <c r="G22" t="s">
        <v>81</v>
      </c>
      <c r="H22" t="s">
        <v>172</v>
      </c>
      <c r="I22" t="s">
        <v>124</v>
      </c>
      <c r="J22" s="17">
        <v>47</v>
      </c>
      <c r="K22" s="17">
        <v>3049.38</v>
      </c>
      <c r="L22" s="17">
        <v>2295.03</v>
      </c>
      <c r="M22" t="s">
        <v>84</v>
      </c>
      <c r="N22" t="s">
        <v>84</v>
      </c>
      <c r="O22" t="s">
        <v>84</v>
      </c>
      <c r="P22" t="s">
        <v>84</v>
      </c>
      <c r="Q22" s="17">
        <v>10498894</v>
      </c>
      <c r="R22" s="17">
        <v>40.21</v>
      </c>
      <c r="S22" t="s">
        <v>85</v>
      </c>
      <c r="T22" t="s">
        <v>84</v>
      </c>
      <c r="U22" t="s">
        <v>86</v>
      </c>
      <c r="V22" s="16">
        <v>43224</v>
      </c>
      <c r="W22" s="18">
        <v>43224</v>
      </c>
      <c r="X22" s="18">
        <v>43240</v>
      </c>
      <c r="Y22" s="17">
        <v>2740.57</v>
      </c>
      <c r="Z22" t="s">
        <v>87</v>
      </c>
      <c r="AA22" s="17">
        <v>2822.31</v>
      </c>
      <c r="AB22" s="17">
        <v>2110.94</v>
      </c>
      <c r="AC22" t="s">
        <v>84</v>
      </c>
      <c r="AD22" t="s">
        <v>84</v>
      </c>
      <c r="AE22" t="s">
        <v>84</v>
      </c>
      <c r="AF22" t="s">
        <v>84</v>
      </c>
      <c r="AG22" s="17">
        <v>5170000</v>
      </c>
      <c r="AH22" s="17">
        <v>22.1</v>
      </c>
      <c r="AI22" s="17">
        <v>0.28</v>
      </c>
      <c r="AJ22" s="17">
        <v>0.28</v>
      </c>
      <c r="AK22" s="13" t="s">
        <v>155</v>
      </c>
      <c r="AL22" s="13" t="s">
        <v>150</v>
      </c>
      <c r="AM22" s="13" t="s">
        <v>150</v>
      </c>
      <c r="AN22" s="13"/>
      <c r="AO22" s="13" t="s">
        <v>150</v>
      </c>
      <c r="AP22" s="13"/>
      <c r="AQ22" s="13" t="s">
        <v>150</v>
      </c>
      <c r="AR22" s="13"/>
      <c r="AS22" s="13" t="s">
        <v>150</v>
      </c>
      <c r="AT22" s="13"/>
      <c r="AU22" s="13" t="s">
        <v>150</v>
      </c>
      <c r="AW22" s="13" t="s">
        <v>150</v>
      </c>
      <c r="AY22" t="s">
        <v>92</v>
      </c>
      <c r="AZ22" t="s">
        <v>92</v>
      </c>
      <c r="BA22" t="s">
        <v>92</v>
      </c>
      <c r="BB22" t="s">
        <v>92</v>
      </c>
      <c r="BC22" t="s">
        <v>92</v>
      </c>
      <c r="BD22" s="17">
        <v>6.29</v>
      </c>
      <c r="BE22" s="17">
        <v>2046460</v>
      </c>
      <c r="BF22" t="s">
        <v>92</v>
      </c>
      <c r="BG22" t="s">
        <v>92</v>
      </c>
      <c r="BH22" t="s">
        <v>93</v>
      </c>
      <c r="BI22" t="s">
        <v>94</v>
      </c>
      <c r="BJ22" t="s">
        <v>173</v>
      </c>
      <c r="BK22" t="s">
        <v>85</v>
      </c>
      <c r="BL22" t="s">
        <v>85</v>
      </c>
      <c r="BM22" t="s">
        <v>96</v>
      </c>
      <c r="BN22" t="s">
        <v>174</v>
      </c>
      <c r="BO22" t="s">
        <v>98</v>
      </c>
      <c r="BP22" t="s">
        <v>103</v>
      </c>
      <c r="BQ22" s="17">
        <v>600</v>
      </c>
      <c r="BR22" t="s">
        <v>100</v>
      </c>
      <c r="BS22" t="s">
        <v>156</v>
      </c>
      <c r="BT22" t="s">
        <v>175</v>
      </c>
      <c r="BU22" s="17">
        <v>8.5</v>
      </c>
      <c r="BV22" t="s">
        <v>131</v>
      </c>
      <c r="BW22" t="s">
        <v>85</v>
      </c>
      <c r="BX22" t="s">
        <v>85</v>
      </c>
      <c r="BY22" t="str">
        <f>IF(COUNTIF('Data Upload-prod'!E:E,F22)=0,"Missing","Exist")</f>
        <v>Exist</v>
      </c>
    </row>
    <row r="23" hidden="1" spans="1:77">
      <c r="A23" s="16">
        <v>43181</v>
      </c>
      <c r="B23" s="16">
        <v>43271</v>
      </c>
      <c r="C23" t="s">
        <v>151</v>
      </c>
      <c r="D23" t="s">
        <v>142</v>
      </c>
      <c r="E23" t="s">
        <v>166</v>
      </c>
      <c r="F23" t="s">
        <v>176</v>
      </c>
      <c r="G23" t="s">
        <v>81</v>
      </c>
      <c r="H23" t="s">
        <v>168</v>
      </c>
      <c r="I23" t="s">
        <v>124</v>
      </c>
      <c r="J23" s="17">
        <v>54.25</v>
      </c>
      <c r="K23" s="17">
        <v>2133.8</v>
      </c>
      <c r="L23" s="17">
        <v>1977.14</v>
      </c>
      <c r="M23" t="s">
        <v>84</v>
      </c>
      <c r="N23" t="s">
        <v>84</v>
      </c>
      <c r="O23" t="s">
        <v>84</v>
      </c>
      <c r="P23" t="s">
        <v>84</v>
      </c>
      <c r="Q23" s="17">
        <v>10567967</v>
      </c>
      <c r="R23" s="17">
        <v>21</v>
      </c>
      <c r="S23" t="s">
        <v>85</v>
      </c>
      <c r="T23" t="s">
        <v>84</v>
      </c>
      <c r="U23" t="s">
        <v>84</v>
      </c>
      <c r="V23" s="16">
        <v>43200</v>
      </c>
      <c r="W23" s="18">
        <v>43199.5833333333</v>
      </c>
      <c r="X23" s="18">
        <v>43214.375</v>
      </c>
      <c r="Y23" s="17">
        <v>2005.18</v>
      </c>
      <c r="Z23" t="s">
        <v>87</v>
      </c>
      <c r="AA23" s="17">
        <v>2099.66</v>
      </c>
      <c r="AB23" s="17">
        <v>1933.86</v>
      </c>
      <c r="AC23" t="s">
        <v>84</v>
      </c>
      <c r="AD23" t="s">
        <v>84</v>
      </c>
      <c r="AE23" t="s">
        <v>84</v>
      </c>
      <c r="AF23" t="s">
        <v>84</v>
      </c>
      <c r="AG23" s="17">
        <v>6043404</v>
      </c>
      <c r="AH23" s="17">
        <v>14.83</v>
      </c>
      <c r="AI23" s="17">
        <v>0.13</v>
      </c>
      <c r="AJ23" s="17">
        <v>0.13</v>
      </c>
      <c r="AK23" s="13" t="s">
        <v>155</v>
      </c>
      <c r="AL23" s="13" t="s">
        <v>150</v>
      </c>
      <c r="AM23" s="13" t="s">
        <v>150</v>
      </c>
      <c r="AN23" s="13"/>
      <c r="AO23" s="13" t="s">
        <v>150</v>
      </c>
      <c r="AP23" s="13"/>
      <c r="AQ23" s="13" t="s">
        <v>150</v>
      </c>
      <c r="AR23" s="13"/>
      <c r="AS23" s="13" t="s">
        <v>150</v>
      </c>
      <c r="AT23" s="13"/>
      <c r="AU23" s="13" t="s">
        <v>150</v>
      </c>
      <c r="AW23" s="13" t="s">
        <v>150</v>
      </c>
      <c r="AY23" t="s">
        <v>92</v>
      </c>
      <c r="AZ23" t="s">
        <v>92</v>
      </c>
      <c r="BA23" t="s">
        <v>92</v>
      </c>
      <c r="BB23" t="s">
        <v>92</v>
      </c>
      <c r="BC23" t="s">
        <v>92</v>
      </c>
      <c r="BD23" t="s">
        <v>92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92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92</v>
      </c>
      <c r="BS23" t="s">
        <v>92</v>
      </c>
      <c r="BT23" t="s">
        <v>92</v>
      </c>
      <c r="BU23" t="s">
        <v>92</v>
      </c>
      <c r="BV23" t="s">
        <v>92</v>
      </c>
      <c r="BW23" t="s">
        <v>92</v>
      </c>
      <c r="BX23" t="s">
        <v>92</v>
      </c>
      <c r="BY23" t="str">
        <f>IF(COUNTIF('Data Upload-prod'!E:E,F23)=0,"Missing","Exist")</f>
        <v>Exist</v>
      </c>
    </row>
    <row r="24" hidden="1" spans="1:77">
      <c r="A24" s="16">
        <v>43152</v>
      </c>
      <c r="B24" s="16">
        <v>43223</v>
      </c>
      <c r="C24" t="s">
        <v>151</v>
      </c>
      <c r="D24" t="s">
        <v>142</v>
      </c>
      <c r="E24" t="s">
        <v>166</v>
      </c>
      <c r="F24" t="s">
        <v>177</v>
      </c>
      <c r="G24" t="s">
        <v>81</v>
      </c>
      <c r="H24" t="s">
        <v>168</v>
      </c>
      <c r="I24" t="s">
        <v>124</v>
      </c>
      <c r="J24" s="17">
        <v>54.25</v>
      </c>
      <c r="K24" s="17">
        <v>4323.97</v>
      </c>
      <c r="L24" s="17">
        <v>3669.03</v>
      </c>
      <c r="M24" t="s">
        <v>84</v>
      </c>
      <c r="N24" t="s">
        <v>84</v>
      </c>
      <c r="O24" t="s">
        <v>84</v>
      </c>
      <c r="P24" t="s">
        <v>84</v>
      </c>
      <c r="Q24" s="17">
        <v>15840192</v>
      </c>
      <c r="R24" s="17">
        <v>36.98</v>
      </c>
      <c r="S24" t="s">
        <v>85</v>
      </c>
      <c r="T24" t="s">
        <v>84</v>
      </c>
      <c r="U24" t="s">
        <v>84</v>
      </c>
      <c r="V24" s="16">
        <v>43168</v>
      </c>
      <c r="W24" s="18">
        <v>43167.5833333333</v>
      </c>
      <c r="X24" s="18">
        <v>43199.5416666667</v>
      </c>
      <c r="Y24" s="17">
        <v>4203.9</v>
      </c>
      <c r="Z24" t="s">
        <v>87</v>
      </c>
      <c r="AA24" s="17">
        <v>4298.38</v>
      </c>
      <c r="AB24" s="17">
        <v>3667.03</v>
      </c>
      <c r="AC24" t="s">
        <v>84</v>
      </c>
      <c r="AD24" t="s">
        <v>84</v>
      </c>
      <c r="AE24" t="s">
        <v>84</v>
      </c>
      <c r="AF24" t="s">
        <v>84</v>
      </c>
      <c r="AG24" s="17">
        <v>13783161.02</v>
      </c>
      <c r="AH24" s="17">
        <v>31.96</v>
      </c>
      <c r="AI24" s="17">
        <v>3.46</v>
      </c>
      <c r="AJ24" s="17">
        <v>3.46</v>
      </c>
      <c r="AK24" s="13" t="s">
        <v>155</v>
      </c>
      <c r="AL24" s="13" t="s">
        <v>150</v>
      </c>
      <c r="AM24" s="13" t="s">
        <v>150</v>
      </c>
      <c r="AN24" s="13"/>
      <c r="AO24" s="13" t="s">
        <v>150</v>
      </c>
      <c r="AP24" s="13"/>
      <c r="AQ24" s="13" t="s">
        <v>150</v>
      </c>
      <c r="AR24" s="13"/>
      <c r="AS24" s="13" t="s">
        <v>150</v>
      </c>
      <c r="AT24" s="13"/>
      <c r="AU24" s="13" t="s">
        <v>150</v>
      </c>
      <c r="AW24" s="13" t="s">
        <v>150</v>
      </c>
      <c r="AY24" t="s">
        <v>92</v>
      </c>
      <c r="AZ24" t="s">
        <v>92</v>
      </c>
      <c r="BA24" t="s">
        <v>92</v>
      </c>
      <c r="BB24" t="s">
        <v>92</v>
      </c>
      <c r="BC24" t="s">
        <v>92</v>
      </c>
      <c r="BD24" t="s">
        <v>92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92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92</v>
      </c>
      <c r="BS24" t="s">
        <v>92</v>
      </c>
      <c r="BT24" t="s">
        <v>92</v>
      </c>
      <c r="BU24" t="s">
        <v>92</v>
      </c>
      <c r="BV24" t="s">
        <v>92</v>
      </c>
      <c r="BW24" t="s">
        <v>92</v>
      </c>
      <c r="BX24" t="s">
        <v>92</v>
      </c>
      <c r="BY24" t="str">
        <f>IF(COUNTIF('Data Upload-prod'!E:E,F24)=0,"Missing","Exist")</f>
        <v>Exist</v>
      </c>
    </row>
    <row r="25" hidden="1" spans="1:77">
      <c r="A25" s="16">
        <v>43021</v>
      </c>
      <c r="B25" s="16">
        <v>43270</v>
      </c>
      <c r="C25" t="s">
        <v>178</v>
      </c>
      <c r="D25" t="s">
        <v>120</v>
      </c>
      <c r="E25" t="s">
        <v>179</v>
      </c>
      <c r="F25" t="s">
        <v>180</v>
      </c>
      <c r="G25" t="s">
        <v>81</v>
      </c>
      <c r="H25" t="s">
        <v>181</v>
      </c>
      <c r="I25" t="s">
        <v>124</v>
      </c>
      <c r="J25" s="17">
        <v>53.64</v>
      </c>
      <c r="K25" s="17">
        <v>1956.11</v>
      </c>
      <c r="L25" s="17">
        <v>1956.11</v>
      </c>
      <c r="M25" t="s">
        <v>84</v>
      </c>
      <c r="N25" t="s">
        <v>84</v>
      </c>
      <c r="O25" t="s">
        <v>84</v>
      </c>
      <c r="P25" t="s">
        <v>84</v>
      </c>
      <c r="Q25" s="17">
        <v>11610000</v>
      </c>
      <c r="R25" s="17">
        <v>24.48</v>
      </c>
      <c r="S25" t="s">
        <v>85</v>
      </c>
      <c r="T25" t="s">
        <v>84</v>
      </c>
      <c r="U25" t="s">
        <v>84</v>
      </c>
      <c r="V25" s="16">
        <v>43101</v>
      </c>
      <c r="W25" s="18">
        <v>43100</v>
      </c>
      <c r="X25" s="18">
        <v>43209</v>
      </c>
      <c r="Y25" s="17">
        <v>2120.7</v>
      </c>
      <c r="Z25" t="s">
        <v>87</v>
      </c>
      <c r="AA25" s="17">
        <v>2217.31</v>
      </c>
      <c r="AB25" s="17">
        <v>1630.57</v>
      </c>
      <c r="AC25" t="s">
        <v>84</v>
      </c>
      <c r="AD25" t="s">
        <v>84</v>
      </c>
      <c r="AE25" t="s">
        <v>84</v>
      </c>
      <c r="AF25" t="s">
        <v>84</v>
      </c>
      <c r="AG25" s="17">
        <v>8668774</v>
      </c>
      <c r="AH25" s="17">
        <v>33.63</v>
      </c>
      <c r="AI25" s="17">
        <v>7.52</v>
      </c>
      <c r="AJ25" s="17">
        <v>7.24</v>
      </c>
      <c r="AK25" s="13" t="s">
        <v>155</v>
      </c>
      <c r="AL25" s="13" t="s">
        <v>150</v>
      </c>
      <c r="AM25" s="13" t="s">
        <v>150</v>
      </c>
      <c r="AN25" s="13"/>
      <c r="AO25" s="13" t="s">
        <v>150</v>
      </c>
      <c r="AP25" s="13"/>
      <c r="AQ25" s="13" t="s">
        <v>150</v>
      </c>
      <c r="AR25" s="13"/>
      <c r="AS25" s="13" t="s">
        <v>150</v>
      </c>
      <c r="AT25" s="13"/>
      <c r="AU25" s="13" t="s">
        <v>150</v>
      </c>
      <c r="AW25" s="13" t="s">
        <v>150</v>
      </c>
      <c r="AY25" t="s">
        <v>92</v>
      </c>
      <c r="AZ25" t="s">
        <v>92</v>
      </c>
      <c r="BA25" t="s">
        <v>92</v>
      </c>
      <c r="BB25" t="s">
        <v>92</v>
      </c>
      <c r="BC25" t="s">
        <v>92</v>
      </c>
      <c r="BD25" t="s">
        <v>92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92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92</v>
      </c>
      <c r="BS25" t="s">
        <v>92</v>
      </c>
      <c r="BT25" t="s">
        <v>92</v>
      </c>
      <c r="BU25" t="s">
        <v>92</v>
      </c>
      <c r="BV25" t="s">
        <v>92</v>
      </c>
      <c r="BW25" t="s">
        <v>92</v>
      </c>
      <c r="BX25" t="s">
        <v>92</v>
      </c>
      <c r="BY25" t="str">
        <f>IF(COUNTIF('Data Upload-prod'!E:E,F25)=0,"Missing","Exist")</f>
        <v>Exist</v>
      </c>
    </row>
    <row r="26" hidden="1" spans="1:77">
      <c r="A26" s="16">
        <v>42828</v>
      </c>
      <c r="B26" s="16">
        <v>43049</v>
      </c>
      <c r="C26" t="s">
        <v>178</v>
      </c>
      <c r="D26" t="s">
        <v>120</v>
      </c>
      <c r="E26" t="s">
        <v>182</v>
      </c>
      <c r="F26" t="s">
        <v>183</v>
      </c>
      <c r="G26" t="s">
        <v>81</v>
      </c>
      <c r="H26" t="s">
        <v>181</v>
      </c>
      <c r="I26" t="s">
        <v>124</v>
      </c>
      <c r="J26" s="17">
        <v>50.59</v>
      </c>
      <c r="K26" s="17">
        <v>3913.44</v>
      </c>
      <c r="L26" s="17">
        <v>2294.18</v>
      </c>
      <c r="M26" t="s">
        <v>84</v>
      </c>
      <c r="N26" t="s">
        <v>84</v>
      </c>
      <c r="O26" t="s">
        <v>84</v>
      </c>
      <c r="P26" t="s">
        <v>84</v>
      </c>
      <c r="Q26" s="17">
        <v>11189579</v>
      </c>
      <c r="R26" s="17">
        <v>27.45</v>
      </c>
      <c r="S26" t="s">
        <v>85</v>
      </c>
      <c r="T26" t="s">
        <v>84</v>
      </c>
      <c r="U26" t="s">
        <v>84</v>
      </c>
      <c r="V26" s="16">
        <v>42919</v>
      </c>
      <c r="W26" s="18">
        <v>42913.5</v>
      </c>
      <c r="X26" s="18">
        <v>42992</v>
      </c>
      <c r="Y26" s="17">
        <v>3817.13</v>
      </c>
      <c r="Z26" t="s">
        <v>87</v>
      </c>
      <c r="AA26" s="17">
        <v>3913.44</v>
      </c>
      <c r="AB26" s="17">
        <v>2294.26</v>
      </c>
      <c r="AC26" t="s">
        <v>84</v>
      </c>
      <c r="AD26" t="s">
        <v>84</v>
      </c>
      <c r="AE26" t="s">
        <v>84</v>
      </c>
      <c r="AF26" t="s">
        <v>84</v>
      </c>
      <c r="AG26" s="17">
        <v>14508177</v>
      </c>
      <c r="AH26" s="17">
        <v>47.83</v>
      </c>
      <c r="AI26" s="17">
        <v>25.72</v>
      </c>
      <c r="AJ26" s="17">
        <v>25.7</v>
      </c>
      <c r="AK26" s="13" t="s">
        <v>155</v>
      </c>
      <c r="AL26" s="13" t="s">
        <v>150</v>
      </c>
      <c r="AM26" s="13" t="s">
        <v>150</v>
      </c>
      <c r="AN26" s="13"/>
      <c r="AO26" s="13" t="s">
        <v>150</v>
      </c>
      <c r="AP26" s="13"/>
      <c r="AQ26" s="13" t="s">
        <v>150</v>
      </c>
      <c r="AR26" s="13"/>
      <c r="AS26" s="13" t="s">
        <v>150</v>
      </c>
      <c r="AT26"/>
      <c r="AU26" s="13" t="s">
        <v>150</v>
      </c>
      <c r="AW26" s="13" t="s">
        <v>150</v>
      </c>
      <c r="AY26" t="s">
        <v>92</v>
      </c>
      <c r="AZ26" t="s">
        <v>92</v>
      </c>
      <c r="BA26" t="s">
        <v>92</v>
      </c>
      <c r="BB26" t="s">
        <v>92</v>
      </c>
      <c r="BC26" t="s">
        <v>92</v>
      </c>
      <c r="BD26" t="s">
        <v>92</v>
      </c>
      <c r="BE26" t="s">
        <v>92</v>
      </c>
      <c r="BF26" t="s">
        <v>92</v>
      </c>
      <c r="BG26" t="s">
        <v>92</v>
      </c>
      <c r="BH26" t="s">
        <v>92</v>
      </c>
      <c r="BI26" t="s">
        <v>92</v>
      </c>
      <c r="BJ26" t="s">
        <v>92</v>
      </c>
      <c r="BK26" t="s">
        <v>92</v>
      </c>
      <c r="BL26" t="s">
        <v>92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92</v>
      </c>
      <c r="BS26" t="s">
        <v>92</v>
      </c>
      <c r="BT26" t="s">
        <v>92</v>
      </c>
      <c r="BU26" t="s">
        <v>92</v>
      </c>
      <c r="BV26" t="s">
        <v>92</v>
      </c>
      <c r="BW26" t="s">
        <v>92</v>
      </c>
      <c r="BX26" t="s">
        <v>92</v>
      </c>
      <c r="BY26" t="str">
        <f>IF(COUNTIF('Data Upload-prod'!E:E,F26)=0,"Missing","Exist")</f>
        <v>Exist</v>
      </c>
    </row>
    <row r="27" hidden="1" spans="1:77">
      <c r="A27" s="16">
        <v>42826</v>
      </c>
      <c r="B27" s="16">
        <v>42989</v>
      </c>
      <c r="C27" t="s">
        <v>151</v>
      </c>
      <c r="D27" t="s">
        <v>78</v>
      </c>
      <c r="E27" t="s">
        <v>152</v>
      </c>
      <c r="F27" t="s">
        <v>184</v>
      </c>
      <c r="G27" t="s">
        <v>145</v>
      </c>
      <c r="H27" t="s">
        <v>185</v>
      </c>
      <c r="I27" t="s">
        <v>124</v>
      </c>
      <c r="J27" s="17">
        <v>54.7</v>
      </c>
      <c r="K27" s="17">
        <v>4174</v>
      </c>
      <c r="L27" s="17">
        <v>2471</v>
      </c>
      <c r="M27" s="17">
        <v>25018081</v>
      </c>
      <c r="N27" s="17">
        <v>25018081</v>
      </c>
      <c r="O27" s="17">
        <v>70.26</v>
      </c>
      <c r="P27" s="17">
        <v>70.26</v>
      </c>
      <c r="Q27" t="s">
        <v>84</v>
      </c>
      <c r="R27" t="s">
        <v>84</v>
      </c>
      <c r="S27" t="s">
        <v>106</v>
      </c>
      <c r="T27" t="s">
        <v>84</v>
      </c>
      <c r="U27" t="s">
        <v>84</v>
      </c>
      <c r="V27" s="16">
        <v>42875.3958333333</v>
      </c>
      <c r="W27" s="18">
        <v>42869.4375</v>
      </c>
      <c r="X27" s="18">
        <v>42955.375</v>
      </c>
      <c r="Y27" s="17">
        <v>3145.3</v>
      </c>
      <c r="Z27" t="s">
        <v>87</v>
      </c>
      <c r="AA27" s="17">
        <v>3230</v>
      </c>
      <c r="AB27" s="17">
        <v>2009</v>
      </c>
      <c r="AC27" t="s">
        <v>84</v>
      </c>
      <c r="AD27" s="17">
        <v>20595074</v>
      </c>
      <c r="AE27" t="s">
        <v>84</v>
      </c>
      <c r="AF27" s="17">
        <v>54.94</v>
      </c>
      <c r="AG27" t="s">
        <v>84</v>
      </c>
      <c r="AH27" t="s">
        <v>84</v>
      </c>
      <c r="AI27" s="17">
        <v>13.27</v>
      </c>
      <c r="AJ27" s="17">
        <v>13.25</v>
      </c>
      <c r="AK27" s="13" t="s">
        <v>155</v>
      </c>
      <c r="AL27" s="13" t="s">
        <v>150</v>
      </c>
      <c r="AM27" s="13" t="s">
        <v>150</v>
      </c>
      <c r="AN27" s="13"/>
      <c r="AO27" s="13" t="s">
        <v>150</v>
      </c>
      <c r="AP27" s="13"/>
      <c r="AQ27" s="13" t="s">
        <v>150</v>
      </c>
      <c r="AR27" s="13"/>
      <c r="AS27" s="13" t="s">
        <v>150</v>
      </c>
      <c r="AT27"/>
      <c r="AU27" s="13" t="s">
        <v>150</v>
      </c>
      <c r="AW27" s="13" t="s">
        <v>150</v>
      </c>
      <c r="AY27" t="s">
        <v>92</v>
      </c>
      <c r="AZ27" t="s">
        <v>92</v>
      </c>
      <c r="BA27" t="s">
        <v>92</v>
      </c>
      <c r="BB27" t="s">
        <v>92</v>
      </c>
      <c r="BC27" t="s">
        <v>92</v>
      </c>
      <c r="BD27" t="s">
        <v>92</v>
      </c>
      <c r="BE27" t="s">
        <v>92</v>
      </c>
      <c r="BF27" t="s">
        <v>92</v>
      </c>
      <c r="BG27" t="s">
        <v>92</v>
      </c>
      <c r="BH27" t="s">
        <v>92</v>
      </c>
      <c r="BI27" t="s">
        <v>92</v>
      </c>
      <c r="BJ27" t="s">
        <v>92</v>
      </c>
      <c r="BK27" t="s">
        <v>92</v>
      </c>
      <c r="BL27" t="s">
        <v>92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92</v>
      </c>
      <c r="BS27" t="s">
        <v>92</v>
      </c>
      <c r="BT27" t="s">
        <v>92</v>
      </c>
      <c r="BU27" t="s">
        <v>92</v>
      </c>
      <c r="BV27" t="s">
        <v>92</v>
      </c>
      <c r="BW27" t="s">
        <v>92</v>
      </c>
      <c r="BX27" t="s">
        <v>92</v>
      </c>
      <c r="BY27" t="str">
        <f>IF(COUNTIF('Data Upload-prod'!E:E,F27)=0,"Missing","Exist")</f>
        <v>Exist</v>
      </c>
    </row>
    <row r="28" hidden="1" spans="1:77">
      <c r="A28" s="16">
        <v>42821</v>
      </c>
      <c r="B28" s="16">
        <v>43052</v>
      </c>
      <c r="C28" t="s">
        <v>178</v>
      </c>
      <c r="D28" t="s">
        <v>120</v>
      </c>
      <c r="E28" t="s">
        <v>182</v>
      </c>
      <c r="F28" t="s">
        <v>186</v>
      </c>
      <c r="G28" t="s">
        <v>81</v>
      </c>
      <c r="H28" t="s">
        <v>181</v>
      </c>
      <c r="I28" t="s">
        <v>124</v>
      </c>
      <c r="J28" s="17">
        <v>50.59</v>
      </c>
      <c r="K28" s="17">
        <v>2796.71</v>
      </c>
      <c r="L28" s="17">
        <v>2183.18</v>
      </c>
      <c r="M28" t="s">
        <v>84</v>
      </c>
      <c r="N28" t="s">
        <v>84</v>
      </c>
      <c r="O28" t="s">
        <v>84</v>
      </c>
      <c r="P28" t="s">
        <v>84</v>
      </c>
      <c r="Q28" s="17">
        <v>11000000</v>
      </c>
      <c r="R28" s="17">
        <v>23.29</v>
      </c>
      <c r="S28" t="s">
        <v>85</v>
      </c>
      <c r="T28" t="s">
        <v>84</v>
      </c>
      <c r="U28" t="s">
        <v>84</v>
      </c>
      <c r="V28" s="16">
        <v>42872.71875</v>
      </c>
      <c r="W28" s="18">
        <v>42867.3541666667</v>
      </c>
      <c r="X28" s="18">
        <v>42990.1666666667</v>
      </c>
      <c r="Y28" s="17">
        <v>2677.23</v>
      </c>
      <c r="Z28" t="s">
        <v>87</v>
      </c>
      <c r="AA28" s="17">
        <v>2773.54</v>
      </c>
      <c r="AB28" s="17">
        <v>2158.06</v>
      </c>
      <c r="AC28" t="s">
        <v>84</v>
      </c>
      <c r="AD28" t="s">
        <v>84</v>
      </c>
      <c r="AE28" t="s">
        <v>84</v>
      </c>
      <c r="AF28" t="s">
        <v>84</v>
      </c>
      <c r="AG28" s="17">
        <v>10427402</v>
      </c>
      <c r="AH28" s="17">
        <v>29.15</v>
      </c>
      <c r="AI28" s="17">
        <v>10.25</v>
      </c>
      <c r="AJ28" s="17">
        <v>10.25</v>
      </c>
      <c r="AK28" s="13" t="s">
        <v>155</v>
      </c>
      <c r="AL28" s="13" t="s">
        <v>150</v>
      </c>
      <c r="AM28" s="13" t="s">
        <v>150</v>
      </c>
      <c r="AN28" s="13"/>
      <c r="AO28" s="13" t="s">
        <v>150</v>
      </c>
      <c r="AP28" s="13"/>
      <c r="AQ28" s="13" t="s">
        <v>150</v>
      </c>
      <c r="AR28" s="13"/>
      <c r="AS28" s="13" t="s">
        <v>150</v>
      </c>
      <c r="AT28"/>
      <c r="AU28" s="13" t="s">
        <v>150</v>
      </c>
      <c r="AW28" s="13" t="s">
        <v>150</v>
      </c>
      <c r="AY28" t="s">
        <v>92</v>
      </c>
      <c r="AZ28" t="s">
        <v>92</v>
      </c>
      <c r="BA28" t="s">
        <v>92</v>
      </c>
      <c r="BB28" t="s">
        <v>92</v>
      </c>
      <c r="BC28" t="s">
        <v>92</v>
      </c>
      <c r="BD28" t="s">
        <v>92</v>
      </c>
      <c r="BE28" t="s">
        <v>92</v>
      </c>
      <c r="BF28" t="s">
        <v>92</v>
      </c>
      <c r="BG28" t="s">
        <v>92</v>
      </c>
      <c r="BH28" t="s">
        <v>92</v>
      </c>
      <c r="BI28" t="s">
        <v>92</v>
      </c>
      <c r="BJ28" t="s">
        <v>92</v>
      </c>
      <c r="BK28" t="s">
        <v>92</v>
      </c>
      <c r="BL28" t="s">
        <v>92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92</v>
      </c>
      <c r="BS28" t="s">
        <v>92</v>
      </c>
      <c r="BT28" t="s">
        <v>92</v>
      </c>
      <c r="BU28" t="s">
        <v>92</v>
      </c>
      <c r="BV28" t="s">
        <v>92</v>
      </c>
      <c r="BW28" t="s">
        <v>92</v>
      </c>
      <c r="BX28" t="s">
        <v>92</v>
      </c>
      <c r="BY28" t="str">
        <f>IF(COUNTIF('Data Upload-prod'!E:E,F28)=0,"Missing","Exist")</f>
        <v>Exist</v>
      </c>
    </row>
    <row r="29" hidden="1" spans="1:77">
      <c r="A29" s="16">
        <v>42769</v>
      </c>
      <c r="B29" s="16">
        <v>42907</v>
      </c>
      <c r="C29" t="s">
        <v>187</v>
      </c>
      <c r="D29" t="s">
        <v>78</v>
      </c>
      <c r="E29" t="s">
        <v>188</v>
      </c>
      <c r="F29" t="s">
        <v>189</v>
      </c>
      <c r="G29" t="s">
        <v>81</v>
      </c>
      <c r="H29" t="s">
        <v>168</v>
      </c>
      <c r="I29" t="s">
        <v>124</v>
      </c>
      <c r="J29" s="17">
        <v>65.8</v>
      </c>
      <c r="K29" s="17">
        <v>2830</v>
      </c>
      <c r="L29" s="17">
        <v>1604</v>
      </c>
      <c r="M29" t="s">
        <v>84</v>
      </c>
      <c r="N29" t="s">
        <v>84</v>
      </c>
      <c r="O29" t="s">
        <v>84</v>
      </c>
      <c r="P29" t="s">
        <v>84</v>
      </c>
      <c r="Q29" s="17">
        <v>7142000</v>
      </c>
      <c r="R29" s="17">
        <v>23.9</v>
      </c>
      <c r="S29" t="s">
        <v>85</v>
      </c>
      <c r="T29" t="s">
        <v>84</v>
      </c>
      <c r="U29" t="s">
        <v>86</v>
      </c>
      <c r="V29" s="16">
        <v>42859</v>
      </c>
      <c r="W29" s="18">
        <v>42859</v>
      </c>
      <c r="X29" s="18">
        <v>42881</v>
      </c>
      <c r="Y29" s="17">
        <v>2738.74</v>
      </c>
      <c r="Z29" t="s">
        <v>87</v>
      </c>
      <c r="AA29" s="17">
        <v>2848</v>
      </c>
      <c r="AB29" s="17">
        <v>1608</v>
      </c>
      <c r="AC29" t="s">
        <v>84</v>
      </c>
      <c r="AD29" t="s">
        <v>84</v>
      </c>
      <c r="AE29" t="s">
        <v>84</v>
      </c>
      <c r="AF29" t="s">
        <v>84</v>
      </c>
      <c r="AG29" s="17">
        <v>6940000</v>
      </c>
      <c r="AH29" s="17">
        <v>22.2</v>
      </c>
      <c r="AI29" s="17">
        <v>2.82</v>
      </c>
      <c r="AJ29" s="17">
        <v>2.82</v>
      </c>
      <c r="AK29" s="13" t="s">
        <v>155</v>
      </c>
      <c r="AL29" s="13" t="s">
        <v>150</v>
      </c>
      <c r="AM29" s="13" t="s">
        <v>150</v>
      </c>
      <c r="AN29" s="13"/>
      <c r="AO29" s="13" t="s">
        <v>150</v>
      </c>
      <c r="AP29" s="13"/>
      <c r="AQ29" s="13" t="s">
        <v>150</v>
      </c>
      <c r="AR29" s="13"/>
      <c r="AS29" s="13" t="s">
        <v>150</v>
      </c>
      <c r="AT29"/>
      <c r="AU29" s="13" t="s">
        <v>150</v>
      </c>
      <c r="AW29" s="13" t="s">
        <v>150</v>
      </c>
      <c r="AY29" t="s">
        <v>92</v>
      </c>
      <c r="AZ29" t="s">
        <v>92</v>
      </c>
      <c r="BA29" t="s">
        <v>92</v>
      </c>
      <c r="BB29" t="s">
        <v>92</v>
      </c>
      <c r="BC29" t="s">
        <v>92</v>
      </c>
      <c r="BD29" s="17">
        <v>8.82</v>
      </c>
      <c r="BE29" s="17">
        <v>3317397.69</v>
      </c>
      <c r="BF29" t="s">
        <v>92</v>
      </c>
      <c r="BG29" t="s">
        <v>92</v>
      </c>
      <c r="BH29" t="s">
        <v>93</v>
      </c>
      <c r="BI29" t="s">
        <v>94</v>
      </c>
      <c r="BJ29" t="s">
        <v>173</v>
      </c>
      <c r="BK29" t="s">
        <v>85</v>
      </c>
      <c r="BL29" t="s">
        <v>85</v>
      </c>
      <c r="BM29" t="s">
        <v>190</v>
      </c>
      <c r="BN29" t="s">
        <v>97</v>
      </c>
      <c r="BO29" t="s">
        <v>98</v>
      </c>
      <c r="BP29" t="s">
        <v>99</v>
      </c>
      <c r="BQ29" s="17">
        <v>0</v>
      </c>
      <c r="BR29" t="s">
        <v>100</v>
      </c>
      <c r="BS29" t="s">
        <v>92</v>
      </c>
      <c r="BT29" t="s">
        <v>99</v>
      </c>
      <c r="BU29" s="17">
        <v>9.1</v>
      </c>
      <c r="BV29" t="s">
        <v>191</v>
      </c>
      <c r="BW29" t="s">
        <v>85</v>
      </c>
      <c r="BX29" t="s">
        <v>85</v>
      </c>
      <c r="BY29" t="str">
        <f>IF(COUNTIF('Data Upload-prod'!E:E,F29)=0,"Missing","Exist")</f>
        <v>Exist</v>
      </c>
    </row>
    <row r="30" hidden="1" spans="1:77">
      <c r="A30" s="16">
        <v>42530</v>
      </c>
      <c r="B30" s="16">
        <v>42803</v>
      </c>
      <c r="C30" t="s">
        <v>192</v>
      </c>
      <c r="D30" t="s">
        <v>120</v>
      </c>
      <c r="E30" t="s">
        <v>193</v>
      </c>
      <c r="F30" t="s">
        <v>194</v>
      </c>
      <c r="G30" t="s">
        <v>81</v>
      </c>
      <c r="H30" t="s">
        <v>82</v>
      </c>
      <c r="I30" t="s">
        <v>83</v>
      </c>
      <c r="J30" s="17">
        <v>87</v>
      </c>
      <c r="K30" s="17">
        <v>4028</v>
      </c>
      <c r="L30" s="17">
        <v>3635</v>
      </c>
      <c r="M30" t="s">
        <v>84</v>
      </c>
      <c r="N30" t="s">
        <v>84</v>
      </c>
      <c r="O30" t="s">
        <v>84</v>
      </c>
      <c r="P30" t="s">
        <v>84</v>
      </c>
      <c r="Q30" s="17">
        <v>23294644</v>
      </c>
      <c r="R30" s="17">
        <v>46.81</v>
      </c>
      <c r="S30" t="s">
        <v>106</v>
      </c>
      <c r="T30" t="s">
        <v>84</v>
      </c>
      <c r="U30" t="s">
        <v>84</v>
      </c>
      <c r="V30" s="16">
        <v>42586</v>
      </c>
      <c r="W30" s="18">
        <v>42586</v>
      </c>
      <c r="X30" s="18">
        <v>42742.5</v>
      </c>
      <c r="Y30" s="17">
        <v>4232.8</v>
      </c>
      <c r="Z30" t="s">
        <v>87</v>
      </c>
      <c r="AA30" s="17">
        <v>4350</v>
      </c>
      <c r="AB30" s="17">
        <v>3663</v>
      </c>
      <c r="AC30" t="s">
        <v>84</v>
      </c>
      <c r="AD30" t="s">
        <v>84</v>
      </c>
      <c r="AE30" t="s">
        <v>84</v>
      </c>
      <c r="AF30" t="s">
        <v>84</v>
      </c>
      <c r="AG30" s="17">
        <v>25292683</v>
      </c>
      <c r="AH30" s="17">
        <v>83.41</v>
      </c>
      <c r="AI30" s="17">
        <v>0.46</v>
      </c>
      <c r="AJ30" s="17">
        <v>0.46</v>
      </c>
      <c r="AK30" s="13" t="s">
        <v>155</v>
      </c>
      <c r="AL30" s="13" t="s">
        <v>150</v>
      </c>
      <c r="AM30" s="13" t="s">
        <v>150</v>
      </c>
      <c r="AN30" s="13"/>
      <c r="AO30" s="13" t="s">
        <v>150</v>
      </c>
      <c r="AP30" s="13"/>
      <c r="AQ30" s="13" t="s">
        <v>150</v>
      </c>
      <c r="AR30" s="13"/>
      <c r="AS30" s="13" t="s">
        <v>150</v>
      </c>
      <c r="AT30"/>
      <c r="AU30" s="13" t="s">
        <v>150</v>
      </c>
      <c r="AW30" s="13" t="s">
        <v>150</v>
      </c>
      <c r="AY30" t="s">
        <v>92</v>
      </c>
      <c r="AZ30" t="s">
        <v>92</v>
      </c>
      <c r="BA30" t="s">
        <v>92</v>
      </c>
      <c r="BB30" t="s">
        <v>92</v>
      </c>
      <c r="BC30" t="s">
        <v>92</v>
      </c>
      <c r="BD30" t="s">
        <v>92</v>
      </c>
      <c r="BE30" t="s">
        <v>92</v>
      </c>
      <c r="BF30" t="s">
        <v>92</v>
      </c>
      <c r="BG30" t="s">
        <v>92</v>
      </c>
      <c r="BH30" t="s">
        <v>92</v>
      </c>
      <c r="BI30" t="s">
        <v>92</v>
      </c>
      <c r="BJ30" t="s">
        <v>92</v>
      </c>
      <c r="BK30" t="s">
        <v>92</v>
      </c>
      <c r="BL30" t="s">
        <v>92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92</v>
      </c>
      <c r="BS30" t="s">
        <v>92</v>
      </c>
      <c r="BT30" t="s">
        <v>92</v>
      </c>
      <c r="BU30" t="s">
        <v>92</v>
      </c>
      <c r="BV30" t="s">
        <v>92</v>
      </c>
      <c r="BW30" t="s">
        <v>92</v>
      </c>
      <c r="BX30" t="s">
        <v>92</v>
      </c>
      <c r="BY30" t="str">
        <f>IF(COUNTIF('Data Upload-prod'!E:E,F30)=0,"Missing","Exist")</f>
        <v>Exist</v>
      </c>
    </row>
    <row r="31" hidden="1" spans="1:77">
      <c r="A31" s="16">
        <v>42436</v>
      </c>
      <c r="B31" s="16">
        <v>42502</v>
      </c>
      <c r="C31" t="s">
        <v>195</v>
      </c>
      <c r="D31" t="s">
        <v>78</v>
      </c>
      <c r="E31" t="s">
        <v>196</v>
      </c>
      <c r="F31" t="s">
        <v>197</v>
      </c>
      <c r="G31" t="s">
        <v>81</v>
      </c>
      <c r="H31" t="s">
        <v>198</v>
      </c>
      <c r="I31" t="s">
        <v>83</v>
      </c>
      <c r="J31" s="17">
        <v>63.7</v>
      </c>
      <c r="K31" s="17">
        <v>2240</v>
      </c>
      <c r="L31" s="17">
        <v>1978</v>
      </c>
      <c r="M31" t="s">
        <v>84</v>
      </c>
      <c r="N31" t="s">
        <v>84</v>
      </c>
      <c r="O31" t="s">
        <v>84</v>
      </c>
      <c r="P31" t="s">
        <v>84</v>
      </c>
      <c r="Q31" s="17">
        <v>13600000</v>
      </c>
      <c r="R31" s="17">
        <v>24.6</v>
      </c>
      <c r="S31" t="s">
        <v>106</v>
      </c>
      <c r="T31" t="s">
        <v>84</v>
      </c>
      <c r="U31" t="s">
        <v>84</v>
      </c>
      <c r="V31" s="16">
        <v>42451</v>
      </c>
      <c r="W31" s="18">
        <v>42451</v>
      </c>
      <c r="X31" s="18">
        <v>42463</v>
      </c>
      <c r="Y31" s="17">
        <v>2143</v>
      </c>
      <c r="Z31" t="s">
        <v>87</v>
      </c>
      <c r="AA31" s="17">
        <v>2240</v>
      </c>
      <c r="AB31" s="17">
        <v>1978</v>
      </c>
      <c r="AC31" t="s">
        <v>84</v>
      </c>
      <c r="AD31" t="s">
        <v>84</v>
      </c>
      <c r="AE31" t="s">
        <v>84</v>
      </c>
      <c r="AF31" t="s">
        <v>84</v>
      </c>
      <c r="AG31" s="17">
        <v>11500000</v>
      </c>
      <c r="AH31" s="17">
        <v>13.6</v>
      </c>
      <c r="AI31" s="17">
        <v>3.5</v>
      </c>
      <c r="AJ31" s="17">
        <v>3.5</v>
      </c>
      <c r="AK31" s="13" t="s">
        <v>155</v>
      </c>
      <c r="AL31" s="13" t="s">
        <v>150</v>
      </c>
      <c r="AM31" s="13" t="s">
        <v>150</v>
      </c>
      <c r="AN31" s="13"/>
      <c r="AO31" s="13" t="s">
        <v>150</v>
      </c>
      <c r="AP31" s="13"/>
      <c r="AQ31" s="13" t="s">
        <v>150</v>
      </c>
      <c r="AR31" s="13"/>
      <c r="AS31" s="13" t="s">
        <v>150</v>
      </c>
      <c r="AT31"/>
      <c r="AU31" s="13" t="s">
        <v>150</v>
      </c>
      <c r="AW31" s="13" t="s">
        <v>150</v>
      </c>
      <c r="AY31" t="s">
        <v>92</v>
      </c>
      <c r="AZ31" t="s">
        <v>92</v>
      </c>
      <c r="BA31" t="s">
        <v>92</v>
      </c>
      <c r="BB31" t="s">
        <v>92</v>
      </c>
      <c r="BC31" t="s">
        <v>92</v>
      </c>
      <c r="BD31" t="s">
        <v>92</v>
      </c>
      <c r="BE31" t="s">
        <v>92</v>
      </c>
      <c r="BF31" t="s">
        <v>92</v>
      </c>
      <c r="BG31" t="s">
        <v>92</v>
      </c>
      <c r="BH31" t="s">
        <v>92</v>
      </c>
      <c r="BI31" t="s">
        <v>92</v>
      </c>
      <c r="BJ31" t="s">
        <v>92</v>
      </c>
      <c r="BK31" t="s">
        <v>92</v>
      </c>
      <c r="BL31" t="s">
        <v>92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92</v>
      </c>
      <c r="BS31" t="s">
        <v>92</v>
      </c>
      <c r="BT31" t="s">
        <v>92</v>
      </c>
      <c r="BU31" t="s">
        <v>92</v>
      </c>
      <c r="BV31" t="s">
        <v>92</v>
      </c>
      <c r="BW31" t="s">
        <v>92</v>
      </c>
      <c r="BX31" t="s">
        <v>92</v>
      </c>
      <c r="BY31" t="str">
        <f>IF(COUNTIF('Data Upload-prod'!E:E,F31)=0,"Missing","Exist")</f>
        <v>Exist</v>
      </c>
    </row>
    <row r="32" hidden="1" spans="1:77">
      <c r="A32" s="16">
        <v>42412</v>
      </c>
      <c r="B32" s="16">
        <v>42481</v>
      </c>
      <c r="C32" t="s">
        <v>195</v>
      </c>
      <c r="D32" t="s">
        <v>78</v>
      </c>
      <c r="E32" t="s">
        <v>196</v>
      </c>
      <c r="F32" t="s">
        <v>199</v>
      </c>
      <c r="G32" t="s">
        <v>81</v>
      </c>
      <c r="H32" t="s">
        <v>198</v>
      </c>
      <c r="I32" t="s">
        <v>83</v>
      </c>
      <c r="J32" s="17">
        <v>63.7</v>
      </c>
      <c r="K32" s="17">
        <v>2565</v>
      </c>
      <c r="L32" s="17">
        <v>2021</v>
      </c>
      <c r="M32" t="s">
        <v>84</v>
      </c>
      <c r="N32" t="s">
        <v>84</v>
      </c>
      <c r="O32" t="s">
        <v>84</v>
      </c>
      <c r="P32" t="s">
        <v>84</v>
      </c>
      <c r="Q32" s="17">
        <v>19820000</v>
      </c>
      <c r="R32" s="17">
        <v>26</v>
      </c>
      <c r="S32" t="s">
        <v>85</v>
      </c>
      <c r="T32" t="s">
        <v>84</v>
      </c>
      <c r="U32" t="s">
        <v>84</v>
      </c>
      <c r="V32" s="16">
        <v>42421</v>
      </c>
      <c r="W32" s="18">
        <v>42421</v>
      </c>
      <c r="X32" s="18">
        <v>42440</v>
      </c>
      <c r="Y32" s="17">
        <v>2470</v>
      </c>
      <c r="Z32" t="s">
        <v>87</v>
      </c>
      <c r="AA32" s="17">
        <v>2567</v>
      </c>
      <c r="AB32" s="17">
        <v>2021</v>
      </c>
      <c r="AC32" t="s">
        <v>84</v>
      </c>
      <c r="AD32" t="s">
        <v>84</v>
      </c>
      <c r="AE32" t="s">
        <v>84</v>
      </c>
      <c r="AF32" t="s">
        <v>84</v>
      </c>
      <c r="AG32" s="17">
        <v>11700000</v>
      </c>
      <c r="AH32" s="17">
        <v>19.25</v>
      </c>
      <c r="AI32" s="17">
        <v>0.78</v>
      </c>
      <c r="AJ32" s="17">
        <v>0.78</v>
      </c>
      <c r="AK32" s="13" t="s">
        <v>155</v>
      </c>
      <c r="AL32" s="13" t="s">
        <v>150</v>
      </c>
      <c r="AM32" s="13" t="s">
        <v>150</v>
      </c>
      <c r="AN32" s="13"/>
      <c r="AO32" s="13" t="s">
        <v>150</v>
      </c>
      <c r="AP32" s="13"/>
      <c r="AQ32" s="13" t="s">
        <v>150</v>
      </c>
      <c r="AR32" s="13"/>
      <c r="AS32" s="13" t="s">
        <v>150</v>
      </c>
      <c r="AT32"/>
      <c r="AU32" s="13" t="s">
        <v>150</v>
      </c>
      <c r="AW32" s="13" t="s">
        <v>150</v>
      </c>
      <c r="AY32" t="s">
        <v>92</v>
      </c>
      <c r="AZ32" t="s">
        <v>92</v>
      </c>
      <c r="BA32" t="s">
        <v>92</v>
      </c>
      <c r="BB32" t="s">
        <v>92</v>
      </c>
      <c r="BC32" t="s">
        <v>92</v>
      </c>
      <c r="BD32" t="s">
        <v>92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92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92</v>
      </c>
      <c r="BS32" t="s">
        <v>92</v>
      </c>
      <c r="BT32" t="s">
        <v>92</v>
      </c>
      <c r="BU32" t="s">
        <v>92</v>
      </c>
      <c r="BV32" t="s">
        <v>92</v>
      </c>
      <c r="BW32" t="s">
        <v>92</v>
      </c>
      <c r="BX32" t="s">
        <v>92</v>
      </c>
      <c r="BY32" t="str">
        <f>IF(COUNTIF('Data Upload-prod'!E:E,F32)=0,"Missing","Exist")</f>
        <v>Exist</v>
      </c>
    </row>
    <row r="33" hidden="1" spans="1:77">
      <c r="A33" s="16">
        <v>42338</v>
      </c>
      <c r="B33" s="16">
        <v>42424</v>
      </c>
      <c r="C33" t="s">
        <v>195</v>
      </c>
      <c r="D33" t="s">
        <v>78</v>
      </c>
      <c r="E33" t="s">
        <v>196</v>
      </c>
      <c r="F33" t="s">
        <v>200</v>
      </c>
      <c r="G33" t="s">
        <v>81</v>
      </c>
      <c r="H33" t="s">
        <v>198</v>
      </c>
      <c r="I33" t="s">
        <v>83</v>
      </c>
      <c r="J33" s="17">
        <v>63.7</v>
      </c>
      <c r="K33" s="17">
        <v>3310</v>
      </c>
      <c r="L33" s="17">
        <v>1954</v>
      </c>
      <c r="M33" t="s">
        <v>84</v>
      </c>
      <c r="N33" t="s">
        <v>84</v>
      </c>
      <c r="O33" t="s">
        <v>84</v>
      </c>
      <c r="P33" t="s">
        <v>84</v>
      </c>
      <c r="Q33" s="17">
        <v>11600000</v>
      </c>
      <c r="R33" s="17">
        <v>21.1</v>
      </c>
      <c r="S33" t="s">
        <v>106</v>
      </c>
      <c r="T33" t="s">
        <v>84</v>
      </c>
      <c r="U33" t="s">
        <v>84</v>
      </c>
      <c r="V33" s="16">
        <v>42351.5</v>
      </c>
      <c r="W33" s="18">
        <v>42351.5</v>
      </c>
      <c r="X33" s="18">
        <v>42379</v>
      </c>
      <c r="Y33" s="17">
        <v>3208</v>
      </c>
      <c r="Z33" t="s">
        <v>87</v>
      </c>
      <c r="AA33" s="17">
        <v>3305</v>
      </c>
      <c r="AB33" s="17">
        <v>1948</v>
      </c>
      <c r="AC33" t="s">
        <v>84</v>
      </c>
      <c r="AD33" t="s">
        <v>84</v>
      </c>
      <c r="AE33" t="s">
        <v>84</v>
      </c>
      <c r="AF33" t="s">
        <v>84</v>
      </c>
      <c r="AG33" s="17">
        <v>9300000</v>
      </c>
      <c r="AH33" s="17">
        <v>21.04</v>
      </c>
      <c r="AI33" s="17">
        <v>12.7</v>
      </c>
      <c r="AJ33" s="17">
        <v>12.7</v>
      </c>
      <c r="AK33" s="13" t="s">
        <v>155</v>
      </c>
      <c r="AL33" s="13" t="s">
        <v>150</v>
      </c>
      <c r="AM33" s="13" t="s">
        <v>150</v>
      </c>
      <c r="AN33" s="13"/>
      <c r="AO33" s="13" t="s">
        <v>150</v>
      </c>
      <c r="AP33" s="13"/>
      <c r="AQ33" s="13" t="s">
        <v>150</v>
      </c>
      <c r="AR33" s="13"/>
      <c r="AS33" s="13" t="s">
        <v>150</v>
      </c>
      <c r="AT33"/>
      <c r="AU33" s="13" t="s">
        <v>150</v>
      </c>
      <c r="AW33" s="13" t="s">
        <v>150</v>
      </c>
      <c r="AY33" t="s">
        <v>92</v>
      </c>
      <c r="AZ33" t="s">
        <v>92</v>
      </c>
      <c r="BA33" t="s">
        <v>92</v>
      </c>
      <c r="BB33" t="s">
        <v>92</v>
      </c>
      <c r="BC33" t="s">
        <v>92</v>
      </c>
      <c r="BD33" t="s">
        <v>92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92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92</v>
      </c>
      <c r="BS33" t="s">
        <v>92</v>
      </c>
      <c r="BT33" t="s">
        <v>92</v>
      </c>
      <c r="BU33" t="s">
        <v>92</v>
      </c>
      <c r="BV33" t="s">
        <v>92</v>
      </c>
      <c r="BW33" t="s">
        <v>92</v>
      </c>
      <c r="BX33" t="s">
        <v>92</v>
      </c>
      <c r="BY33" t="str">
        <f>IF(COUNTIF('Data Upload-prod'!E:E,F33)=0,"Missing","Exist")</f>
        <v>Exist</v>
      </c>
    </row>
    <row r="34" hidden="1" spans="1:77">
      <c r="A34" s="16">
        <v>42237</v>
      </c>
      <c r="B34" s="16">
        <v>42314</v>
      </c>
      <c r="C34" t="s">
        <v>132</v>
      </c>
      <c r="D34" t="s">
        <v>142</v>
      </c>
      <c r="E34" t="s">
        <v>170</v>
      </c>
      <c r="F34" t="s">
        <v>201</v>
      </c>
      <c r="G34" t="s">
        <v>145</v>
      </c>
      <c r="H34" t="s">
        <v>202</v>
      </c>
      <c r="I34" t="s">
        <v>124</v>
      </c>
      <c r="J34" s="17">
        <v>10.06</v>
      </c>
      <c r="K34" s="17">
        <v>2900.94</v>
      </c>
      <c r="L34" s="17">
        <v>2232.25</v>
      </c>
      <c r="M34" s="17">
        <v>15563188.7</v>
      </c>
      <c r="N34" s="17">
        <v>15563188.7</v>
      </c>
      <c r="O34" s="17">
        <v>26.4</v>
      </c>
      <c r="P34" s="17">
        <v>26.4</v>
      </c>
      <c r="Q34" t="s">
        <v>84</v>
      </c>
      <c r="R34" t="s">
        <v>84</v>
      </c>
      <c r="S34" t="s">
        <v>85</v>
      </c>
      <c r="T34" t="s">
        <v>84</v>
      </c>
      <c r="U34" t="s">
        <v>84</v>
      </c>
      <c r="V34" s="16">
        <v>42255.3333333333</v>
      </c>
      <c r="W34" s="18">
        <v>42250</v>
      </c>
      <c r="X34" s="18">
        <v>42291</v>
      </c>
      <c r="Y34" s="17">
        <v>2982.81</v>
      </c>
      <c r="Z34" t="s">
        <v>87</v>
      </c>
      <c r="AA34" s="17">
        <v>3023.47</v>
      </c>
      <c r="AB34" s="17">
        <v>2262.72</v>
      </c>
      <c r="AC34" t="s">
        <v>84</v>
      </c>
      <c r="AD34" s="17">
        <v>15120935.36</v>
      </c>
      <c r="AE34" t="s">
        <v>84</v>
      </c>
      <c r="AF34" s="17">
        <v>37.17</v>
      </c>
      <c r="AG34" t="s">
        <v>84</v>
      </c>
      <c r="AH34" t="s">
        <v>84</v>
      </c>
      <c r="AI34" s="17">
        <v>5.38</v>
      </c>
      <c r="AJ34" s="17">
        <v>5.38</v>
      </c>
      <c r="AK34" s="13" t="s">
        <v>155</v>
      </c>
      <c r="AL34" s="13" t="s">
        <v>150</v>
      </c>
      <c r="AM34" s="13" t="s">
        <v>150</v>
      </c>
      <c r="AN34" s="13"/>
      <c r="AO34" s="13" t="s">
        <v>150</v>
      </c>
      <c r="AP34" s="13"/>
      <c r="AQ34" s="13" t="s">
        <v>150</v>
      </c>
      <c r="AR34" s="13"/>
      <c r="AS34" s="13" t="s">
        <v>150</v>
      </c>
      <c r="AT34"/>
      <c r="AU34" s="13" t="s">
        <v>150</v>
      </c>
      <c r="AW34" s="13" t="s">
        <v>150</v>
      </c>
      <c r="AY34" t="s">
        <v>92</v>
      </c>
      <c r="AZ34" t="s">
        <v>92</v>
      </c>
      <c r="BA34" t="s">
        <v>92</v>
      </c>
      <c r="BB34" t="s">
        <v>92</v>
      </c>
      <c r="BC34" t="s">
        <v>92</v>
      </c>
      <c r="BD34" t="s">
        <v>92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92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92</v>
      </c>
      <c r="BS34" t="s">
        <v>92</v>
      </c>
      <c r="BT34" t="s">
        <v>92</v>
      </c>
      <c r="BU34" t="s">
        <v>92</v>
      </c>
      <c r="BV34" t="s">
        <v>92</v>
      </c>
      <c r="BW34" t="s">
        <v>92</v>
      </c>
      <c r="BX34" t="s">
        <v>92</v>
      </c>
      <c r="BY34" t="str">
        <f>IF(COUNTIF('Data Upload-prod'!E:E,F34)=0,"Missing","Exist")</f>
        <v>Exist</v>
      </c>
    </row>
    <row r="35" hidden="1" spans="1:77">
      <c r="A35" s="16">
        <v>42026</v>
      </c>
      <c r="B35" s="16">
        <v>42229</v>
      </c>
      <c r="C35" t="s">
        <v>132</v>
      </c>
      <c r="D35" t="s">
        <v>120</v>
      </c>
      <c r="E35" t="s">
        <v>203</v>
      </c>
      <c r="F35" t="s">
        <v>204</v>
      </c>
      <c r="G35" t="s">
        <v>81</v>
      </c>
      <c r="H35" t="s">
        <v>205</v>
      </c>
      <c r="I35" t="s">
        <v>124</v>
      </c>
      <c r="J35" s="17">
        <v>29.26</v>
      </c>
      <c r="K35" s="17">
        <v>2282.84</v>
      </c>
      <c r="L35" s="17">
        <v>1427.92</v>
      </c>
      <c r="M35" t="s">
        <v>84</v>
      </c>
      <c r="N35" t="s">
        <v>84</v>
      </c>
      <c r="O35" t="s">
        <v>84</v>
      </c>
      <c r="P35" t="s">
        <v>84</v>
      </c>
      <c r="Q35" s="17">
        <v>20890000</v>
      </c>
      <c r="R35" s="17">
        <v>23.38</v>
      </c>
      <c r="S35" t="s">
        <v>85</v>
      </c>
      <c r="T35" t="s">
        <v>84</v>
      </c>
      <c r="U35" t="s">
        <v>86</v>
      </c>
      <c r="V35" s="16">
        <v>42131</v>
      </c>
      <c r="W35" s="18">
        <v>42130</v>
      </c>
      <c r="X35" s="18">
        <v>42192</v>
      </c>
      <c r="Y35" s="17">
        <v>2014.32</v>
      </c>
      <c r="Z35" t="s">
        <v>87</v>
      </c>
      <c r="AA35" s="17">
        <v>2093.57</v>
      </c>
      <c r="AB35" s="17">
        <v>1236.21</v>
      </c>
      <c r="AC35" t="s">
        <v>84</v>
      </c>
      <c r="AD35" t="s">
        <v>84</v>
      </c>
      <c r="AE35" t="s">
        <v>84</v>
      </c>
      <c r="AF35" t="s">
        <v>84</v>
      </c>
      <c r="AG35" s="17">
        <v>11194140.52</v>
      </c>
      <c r="AH35" s="17">
        <v>28.86</v>
      </c>
      <c r="AI35" s="17">
        <v>8.63</v>
      </c>
      <c r="AJ35" s="17">
        <v>5.91</v>
      </c>
      <c r="AK35" s="13" t="s">
        <v>155</v>
      </c>
      <c r="AL35" s="13" t="s">
        <v>150</v>
      </c>
      <c r="AM35" s="13" t="s">
        <v>150</v>
      </c>
      <c r="AN35" s="13"/>
      <c r="AO35" s="13" t="s">
        <v>150</v>
      </c>
      <c r="AP35" s="13"/>
      <c r="AQ35" s="13" t="s">
        <v>150</v>
      </c>
      <c r="AR35" s="13"/>
      <c r="AS35" s="13" t="s">
        <v>150</v>
      </c>
      <c r="AT35" s="13"/>
      <c r="AU35" s="13" t="s">
        <v>150</v>
      </c>
      <c r="AW35" s="13" t="s">
        <v>150</v>
      </c>
      <c r="AY35" t="s">
        <v>92</v>
      </c>
      <c r="AZ35" t="s">
        <v>92</v>
      </c>
      <c r="BA35" t="s">
        <v>92</v>
      </c>
      <c r="BB35" t="s">
        <v>92</v>
      </c>
      <c r="BC35" t="s">
        <v>92</v>
      </c>
      <c r="BD35" t="s">
        <v>92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92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92</v>
      </c>
      <c r="BS35" t="s">
        <v>92</v>
      </c>
      <c r="BT35" t="s">
        <v>92</v>
      </c>
      <c r="BU35" t="s">
        <v>92</v>
      </c>
      <c r="BV35" t="s">
        <v>92</v>
      </c>
      <c r="BW35" t="s">
        <v>92</v>
      </c>
      <c r="BX35" t="s">
        <v>92</v>
      </c>
      <c r="BY35" t="str">
        <f>IF(COUNTIF('Data Upload-prod'!E:E,F35)=0,"Missing","Exist")</f>
        <v>Exist</v>
      </c>
    </row>
    <row r="36" hidden="1" spans="1:77">
      <c r="A36" s="16">
        <v>41990</v>
      </c>
      <c r="B36" s="16">
        <v>42199</v>
      </c>
      <c r="C36" t="s">
        <v>132</v>
      </c>
      <c r="D36" t="s">
        <v>120</v>
      </c>
      <c r="E36" t="s">
        <v>203</v>
      </c>
      <c r="F36" t="s">
        <v>206</v>
      </c>
      <c r="G36" t="s">
        <v>81</v>
      </c>
      <c r="H36" t="s">
        <v>205</v>
      </c>
      <c r="I36" t="s">
        <v>124</v>
      </c>
      <c r="J36" s="17">
        <v>29.26</v>
      </c>
      <c r="K36" s="17">
        <v>2199.33</v>
      </c>
      <c r="L36" s="17">
        <v>1261.2</v>
      </c>
      <c r="M36" t="s">
        <v>84</v>
      </c>
      <c r="N36" t="s">
        <v>84</v>
      </c>
      <c r="O36" t="s">
        <v>84</v>
      </c>
      <c r="P36" t="s">
        <v>84</v>
      </c>
      <c r="Q36" s="17">
        <v>19106060.88</v>
      </c>
      <c r="R36" s="17">
        <v>26.2</v>
      </c>
      <c r="S36" t="s">
        <v>106</v>
      </c>
      <c r="T36" t="s">
        <v>84</v>
      </c>
      <c r="U36" t="s">
        <v>84</v>
      </c>
      <c r="V36" s="16">
        <v>42073</v>
      </c>
      <c r="W36" s="18">
        <v>42066</v>
      </c>
      <c r="X36" s="18">
        <v>42170</v>
      </c>
      <c r="Y36" s="17">
        <v>1776.29</v>
      </c>
      <c r="Z36" t="s">
        <v>87</v>
      </c>
      <c r="AA36" s="17">
        <v>1855.53</v>
      </c>
      <c r="AB36" s="17">
        <v>1256.63</v>
      </c>
      <c r="AC36" t="s">
        <v>84</v>
      </c>
      <c r="AD36" t="s">
        <v>84</v>
      </c>
      <c r="AE36" t="s">
        <v>84</v>
      </c>
      <c r="AF36" t="s">
        <v>84</v>
      </c>
      <c r="AG36" s="17">
        <v>16347000</v>
      </c>
      <c r="AH36" s="17">
        <v>31.9</v>
      </c>
      <c r="AI36" s="17">
        <v>41.7</v>
      </c>
      <c r="AJ36" s="17">
        <v>41.7</v>
      </c>
      <c r="AK36" s="13" t="s">
        <v>155</v>
      </c>
      <c r="AL36" s="13" t="s">
        <v>150</v>
      </c>
      <c r="AM36" s="13" t="s">
        <v>150</v>
      </c>
      <c r="AN36" s="13"/>
      <c r="AO36" s="13" t="s">
        <v>150</v>
      </c>
      <c r="AP36" s="13"/>
      <c r="AQ36" s="13" t="s">
        <v>150</v>
      </c>
      <c r="AR36" s="13"/>
      <c r="AS36" s="13" t="s">
        <v>150</v>
      </c>
      <c r="AT36" s="13"/>
      <c r="AU36" s="13" t="s">
        <v>150</v>
      </c>
      <c r="AW36" s="13" t="s">
        <v>150</v>
      </c>
      <c r="AY36" t="s">
        <v>92</v>
      </c>
      <c r="AZ36" t="s">
        <v>92</v>
      </c>
      <c r="BA36" t="s">
        <v>92</v>
      </c>
      <c r="BB36" t="s">
        <v>92</v>
      </c>
      <c r="BC36" t="s">
        <v>92</v>
      </c>
      <c r="BD36" t="s">
        <v>92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92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92</v>
      </c>
      <c r="BS36" t="s">
        <v>92</v>
      </c>
      <c r="BT36" t="s">
        <v>92</v>
      </c>
      <c r="BU36" t="s">
        <v>92</v>
      </c>
      <c r="BV36" t="s">
        <v>92</v>
      </c>
      <c r="BW36" t="s">
        <v>92</v>
      </c>
      <c r="BX36" t="s">
        <v>92</v>
      </c>
      <c r="BY36" t="str">
        <f>IF(COUNTIF('Data Upload-prod'!E:E,F36)=0,"Missing","Exist")</f>
        <v>Exist</v>
      </c>
    </row>
    <row r="37" spans="1:77">
      <c r="A37" s="16">
        <v>41978</v>
      </c>
      <c r="B37" s="16">
        <v>42173</v>
      </c>
      <c r="C37" t="s">
        <v>132</v>
      </c>
      <c r="D37" t="s">
        <v>120</v>
      </c>
      <c r="E37" t="s">
        <v>203</v>
      </c>
      <c r="F37" t="s">
        <v>207</v>
      </c>
      <c r="G37" t="s">
        <v>81</v>
      </c>
      <c r="H37" t="s">
        <v>205</v>
      </c>
      <c r="I37" t="s">
        <v>124</v>
      </c>
      <c r="J37" s="17">
        <v>29.26</v>
      </c>
      <c r="K37" s="17">
        <v>2582.14</v>
      </c>
      <c r="L37" s="17">
        <v>1360.26</v>
      </c>
      <c r="M37" t="s">
        <v>84</v>
      </c>
      <c r="N37" t="s">
        <v>84</v>
      </c>
      <c r="O37" t="s">
        <v>84</v>
      </c>
      <c r="P37" t="s">
        <v>84</v>
      </c>
      <c r="Q37" s="17">
        <v>20340000</v>
      </c>
      <c r="R37" s="17">
        <v>28</v>
      </c>
      <c r="S37" t="s">
        <v>85</v>
      </c>
      <c r="T37" t="s">
        <v>84</v>
      </c>
      <c r="U37" t="s">
        <v>86</v>
      </c>
      <c r="V37" s="16">
        <v>42053.375</v>
      </c>
      <c r="W37" s="18">
        <v>42050.1979166667</v>
      </c>
      <c r="X37" s="18">
        <v>42110</v>
      </c>
      <c r="Y37" s="17">
        <v>2539.26</v>
      </c>
      <c r="Z37" t="s">
        <v>87</v>
      </c>
      <c r="AA37" s="17">
        <v>2615.15</v>
      </c>
      <c r="AB37" s="17">
        <v>1357.51</v>
      </c>
      <c r="AC37" t="s">
        <v>84</v>
      </c>
      <c r="AD37" t="s">
        <v>84</v>
      </c>
      <c r="AE37" t="s">
        <v>84</v>
      </c>
      <c r="AF37" t="s">
        <v>84</v>
      </c>
      <c r="AG37" s="17">
        <v>63600000</v>
      </c>
      <c r="AH37" s="17">
        <v>41.35</v>
      </c>
      <c r="AI37" s="17">
        <v>27.7</v>
      </c>
      <c r="AJ37" s="17">
        <v>27.7</v>
      </c>
      <c r="AK37" t="s">
        <v>208</v>
      </c>
      <c r="AL37" t="s">
        <v>208</v>
      </c>
      <c r="AM37" s="20" t="s">
        <v>90</v>
      </c>
      <c r="AN37" s="20">
        <v>2.2</v>
      </c>
      <c r="AO37" s="20" t="s">
        <v>90</v>
      </c>
      <c r="AP37" s="20">
        <v>830</v>
      </c>
      <c r="AQ37" s="20" t="s">
        <v>90</v>
      </c>
      <c r="AR37" s="20">
        <v>1395</v>
      </c>
      <c r="AS37" s="13" t="s">
        <v>150</v>
      </c>
      <c r="AT37" s="13"/>
      <c r="AU37" s="13" t="s">
        <v>150</v>
      </c>
      <c r="AW37" s="13" t="s">
        <v>150</v>
      </c>
      <c r="AY37" t="s">
        <v>92</v>
      </c>
      <c r="AZ37" t="s">
        <v>92</v>
      </c>
      <c r="BA37" t="s">
        <v>92</v>
      </c>
      <c r="BB37" t="s">
        <v>92</v>
      </c>
      <c r="BC37" t="s">
        <v>92</v>
      </c>
      <c r="BD37" t="s">
        <v>92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92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92</v>
      </c>
      <c r="BS37" t="s">
        <v>92</v>
      </c>
      <c r="BT37" t="s">
        <v>92</v>
      </c>
      <c r="BU37" t="s">
        <v>92</v>
      </c>
      <c r="BV37" t="s">
        <v>92</v>
      </c>
      <c r="BW37" t="s">
        <v>92</v>
      </c>
      <c r="BX37" t="s">
        <v>92</v>
      </c>
      <c r="BY37" t="str">
        <f>IF(COUNTIF('Data Upload-prod'!E:E,F37)=0,"Missing","Exist")</f>
        <v>Exist</v>
      </c>
    </row>
    <row r="38" hidden="1" spans="1:77">
      <c r="A38" s="16">
        <v>41974</v>
      </c>
      <c r="B38" t="s">
        <v>84</v>
      </c>
      <c r="C38" t="s">
        <v>141</v>
      </c>
      <c r="D38" t="s">
        <v>142</v>
      </c>
      <c r="E38" t="s">
        <v>209</v>
      </c>
      <c r="F38" t="s">
        <v>210</v>
      </c>
      <c r="G38" t="s">
        <v>81</v>
      </c>
      <c r="H38" t="s">
        <v>211</v>
      </c>
      <c r="I38" t="s">
        <v>124</v>
      </c>
      <c r="J38" s="17">
        <v>49.07</v>
      </c>
      <c r="K38" s="17">
        <v>1471.5</v>
      </c>
      <c r="L38" s="17">
        <v>1122.52</v>
      </c>
      <c r="M38" t="s">
        <v>84</v>
      </c>
      <c r="N38" t="s">
        <v>84</v>
      </c>
      <c r="O38" t="s">
        <v>84</v>
      </c>
      <c r="P38" t="s">
        <v>84</v>
      </c>
      <c r="Q38" s="17">
        <v>113600000</v>
      </c>
      <c r="R38" s="17">
        <v>56.8</v>
      </c>
      <c r="S38" t="s">
        <v>106</v>
      </c>
      <c r="T38" t="s">
        <v>84</v>
      </c>
      <c r="U38" t="s">
        <v>84</v>
      </c>
      <c r="V38" s="16">
        <v>42035</v>
      </c>
      <c r="W38" s="18">
        <v>42035</v>
      </c>
      <c r="X38" s="18">
        <v>42053</v>
      </c>
      <c r="Y38" s="17">
        <v>1397.9</v>
      </c>
      <c r="Z38" t="s">
        <v>87</v>
      </c>
      <c r="AA38" s="17">
        <v>1490.09</v>
      </c>
      <c r="AB38" s="17">
        <v>1134.72</v>
      </c>
      <c r="AC38" t="s">
        <v>84</v>
      </c>
      <c r="AD38" t="s">
        <v>84</v>
      </c>
      <c r="AE38" t="s">
        <v>84</v>
      </c>
      <c r="AF38" t="s">
        <v>84</v>
      </c>
      <c r="AG38" s="17">
        <v>36039203</v>
      </c>
      <c r="AH38" s="17">
        <v>69.5</v>
      </c>
      <c r="AI38" s="17">
        <v>2.74</v>
      </c>
      <c r="AJ38" s="17">
        <v>2.74</v>
      </c>
      <c r="AK38" s="13" t="s">
        <v>155</v>
      </c>
      <c r="AL38" s="13" t="s">
        <v>150</v>
      </c>
      <c r="AM38" s="13" t="s">
        <v>150</v>
      </c>
      <c r="AN38" s="13"/>
      <c r="AO38" s="13" t="s">
        <v>150</v>
      </c>
      <c r="AP38" s="13"/>
      <c r="AQ38" s="13" t="s">
        <v>150</v>
      </c>
      <c r="AR38" s="13"/>
      <c r="AS38" s="13" t="s">
        <v>150</v>
      </c>
      <c r="AT38" s="13"/>
      <c r="AU38" s="13" t="s">
        <v>150</v>
      </c>
      <c r="AW38" s="13" t="s">
        <v>150</v>
      </c>
      <c r="AY38" t="s">
        <v>92</v>
      </c>
      <c r="AZ38" t="s">
        <v>92</v>
      </c>
      <c r="BA38" t="s">
        <v>92</v>
      </c>
      <c r="BB38" t="s">
        <v>92</v>
      </c>
      <c r="BC38" t="s">
        <v>92</v>
      </c>
      <c r="BD38" t="s">
        <v>92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92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92</v>
      </c>
      <c r="BS38" t="s">
        <v>92</v>
      </c>
      <c r="BT38" t="s">
        <v>92</v>
      </c>
      <c r="BU38" t="s">
        <v>92</v>
      </c>
      <c r="BV38" t="s">
        <v>92</v>
      </c>
      <c r="BW38" t="s">
        <v>92</v>
      </c>
      <c r="BX38" t="s">
        <v>92</v>
      </c>
      <c r="BY38" t="str">
        <f>IF(COUNTIF('Data Upload-prod'!E:E,F38)=0,"Missing","Exist")</f>
        <v>Exist</v>
      </c>
    </row>
    <row r="39" hidden="1" spans="1:77">
      <c r="A39" s="16">
        <v>41935</v>
      </c>
      <c r="B39" s="16">
        <v>42115</v>
      </c>
      <c r="C39" t="s">
        <v>195</v>
      </c>
      <c r="D39" t="s">
        <v>78</v>
      </c>
      <c r="E39" t="s">
        <v>212</v>
      </c>
      <c r="F39" t="s">
        <v>213</v>
      </c>
      <c r="G39" t="s">
        <v>81</v>
      </c>
      <c r="H39" t="s">
        <v>214</v>
      </c>
      <c r="I39" t="s">
        <v>124</v>
      </c>
      <c r="J39" s="17">
        <v>63.6</v>
      </c>
      <c r="K39" s="17">
        <v>2746</v>
      </c>
      <c r="L39" s="17">
        <v>2134</v>
      </c>
      <c r="M39" t="s">
        <v>84</v>
      </c>
      <c r="N39" t="s">
        <v>84</v>
      </c>
      <c r="O39" t="s">
        <v>84</v>
      </c>
      <c r="P39" t="s">
        <v>84</v>
      </c>
      <c r="Q39" s="17">
        <v>25500000</v>
      </c>
      <c r="R39" s="17">
        <v>47.2</v>
      </c>
      <c r="S39" t="s">
        <v>85</v>
      </c>
      <c r="T39" t="s">
        <v>84</v>
      </c>
      <c r="U39" t="s">
        <v>86</v>
      </c>
      <c r="V39" s="16">
        <v>41953.375</v>
      </c>
      <c r="W39" s="18">
        <v>41952.3125</v>
      </c>
      <c r="X39" s="18">
        <v>42075.7083333333</v>
      </c>
      <c r="Y39" s="17">
        <v>2601.53</v>
      </c>
      <c r="Z39" t="s">
        <v>87</v>
      </c>
      <c r="AA39" s="17">
        <v>2710</v>
      </c>
      <c r="AB39" s="17">
        <v>2107.2</v>
      </c>
      <c r="AC39" t="s">
        <v>84</v>
      </c>
      <c r="AD39" t="s">
        <v>84</v>
      </c>
      <c r="AE39" t="s">
        <v>84</v>
      </c>
      <c r="AF39" t="s">
        <v>84</v>
      </c>
      <c r="AG39" s="17">
        <v>21232400</v>
      </c>
      <c r="AH39" s="17">
        <v>30.4</v>
      </c>
      <c r="AI39" s="17">
        <v>9.74</v>
      </c>
      <c r="AJ39" s="17">
        <v>9.74</v>
      </c>
      <c r="AK39" s="13" t="s">
        <v>155</v>
      </c>
      <c r="AL39" s="13" t="s">
        <v>150</v>
      </c>
      <c r="AM39" s="13" t="s">
        <v>150</v>
      </c>
      <c r="AN39" s="13"/>
      <c r="AO39" s="13" t="s">
        <v>150</v>
      </c>
      <c r="AP39" s="13"/>
      <c r="AQ39" s="13" t="s">
        <v>150</v>
      </c>
      <c r="AR39" s="13"/>
      <c r="AS39" s="13" t="s">
        <v>150</v>
      </c>
      <c r="AT39" s="13"/>
      <c r="AU39" s="13" t="s">
        <v>150</v>
      </c>
      <c r="AW39" s="13" t="s">
        <v>150</v>
      </c>
      <c r="AY39" t="s">
        <v>92</v>
      </c>
      <c r="AZ39" t="s">
        <v>92</v>
      </c>
      <c r="BA39" t="s">
        <v>92</v>
      </c>
      <c r="BB39" t="s">
        <v>92</v>
      </c>
      <c r="BC39" t="s">
        <v>92</v>
      </c>
      <c r="BD39" s="17">
        <v>4.18</v>
      </c>
      <c r="BE39" s="17">
        <v>3161620.82</v>
      </c>
      <c r="BF39" t="s">
        <v>92</v>
      </c>
      <c r="BG39" t="s">
        <v>92</v>
      </c>
      <c r="BH39" t="s">
        <v>93</v>
      </c>
      <c r="BI39" t="s">
        <v>94</v>
      </c>
      <c r="BJ39" t="s">
        <v>215</v>
      </c>
      <c r="BK39" t="s">
        <v>85</v>
      </c>
      <c r="BL39" t="s">
        <v>85</v>
      </c>
      <c r="BM39" t="s">
        <v>96</v>
      </c>
      <c r="BN39" t="s">
        <v>174</v>
      </c>
      <c r="BO39" t="s">
        <v>216</v>
      </c>
      <c r="BP39" t="s">
        <v>99</v>
      </c>
      <c r="BQ39" s="17">
        <v>2490</v>
      </c>
      <c r="BR39" t="s">
        <v>138</v>
      </c>
      <c r="BS39" t="s">
        <v>156</v>
      </c>
      <c r="BT39" t="s">
        <v>99</v>
      </c>
      <c r="BU39" s="17">
        <v>9.5</v>
      </c>
      <c r="BV39" t="s">
        <v>191</v>
      </c>
      <c r="BW39" t="s">
        <v>85</v>
      </c>
      <c r="BX39" t="s">
        <v>85</v>
      </c>
      <c r="BY39" t="str">
        <f>IF(COUNTIF('Data Upload-prod'!E:E,F39)=0,"Missing","Exist")</f>
        <v>Exist</v>
      </c>
    </row>
    <row r="40" hidden="1" spans="1:77">
      <c r="A40" s="16">
        <v>41855</v>
      </c>
      <c r="B40" s="16">
        <v>42145</v>
      </c>
      <c r="C40" t="s">
        <v>195</v>
      </c>
      <c r="D40" t="s">
        <v>78</v>
      </c>
      <c r="E40" t="s">
        <v>212</v>
      </c>
      <c r="F40" t="s">
        <v>217</v>
      </c>
      <c r="G40" t="s">
        <v>81</v>
      </c>
      <c r="H40" t="s">
        <v>214</v>
      </c>
      <c r="I40" t="s">
        <v>124</v>
      </c>
      <c r="J40" s="17">
        <v>63.6</v>
      </c>
      <c r="K40" s="17">
        <v>2370</v>
      </c>
      <c r="L40" s="17">
        <v>1160</v>
      </c>
      <c r="M40" t="s">
        <v>84</v>
      </c>
      <c r="N40" t="s">
        <v>84</v>
      </c>
      <c r="O40" t="s">
        <v>84</v>
      </c>
      <c r="P40" t="s">
        <v>84</v>
      </c>
      <c r="Q40" s="17">
        <v>25900000</v>
      </c>
      <c r="R40" s="17">
        <v>40.3</v>
      </c>
      <c r="S40" t="s">
        <v>85</v>
      </c>
      <c r="T40" t="s">
        <v>84</v>
      </c>
      <c r="U40" t="s">
        <v>84</v>
      </c>
      <c r="V40" s="16">
        <v>41949.4583333333</v>
      </c>
      <c r="W40" s="18">
        <v>41948</v>
      </c>
      <c r="X40" s="18">
        <v>42075.2083333333</v>
      </c>
      <c r="Y40" s="17">
        <v>2332.53</v>
      </c>
      <c r="Z40" t="s">
        <v>87</v>
      </c>
      <c r="AA40" s="17">
        <v>2441</v>
      </c>
      <c r="AB40" s="17">
        <v>1175.89</v>
      </c>
      <c r="AC40" t="s">
        <v>84</v>
      </c>
      <c r="AD40" t="s">
        <v>84</v>
      </c>
      <c r="AE40" t="s">
        <v>84</v>
      </c>
      <c r="AF40" t="s">
        <v>84</v>
      </c>
      <c r="AG40" s="17">
        <v>21609800</v>
      </c>
      <c r="AH40" s="17">
        <v>28.44</v>
      </c>
      <c r="AI40" s="17">
        <v>5.41</v>
      </c>
      <c r="AJ40" s="17">
        <v>5.41</v>
      </c>
      <c r="AK40" s="13" t="s">
        <v>155</v>
      </c>
      <c r="AL40" s="13" t="s">
        <v>150</v>
      </c>
      <c r="AM40" s="13" t="s">
        <v>150</v>
      </c>
      <c r="AN40" s="13"/>
      <c r="AO40" s="13" t="s">
        <v>150</v>
      </c>
      <c r="AP40" s="13"/>
      <c r="AQ40" s="13" t="s">
        <v>150</v>
      </c>
      <c r="AR40" s="13"/>
      <c r="AS40" s="13" t="s">
        <v>150</v>
      </c>
      <c r="AT40" s="13"/>
      <c r="AU40" s="13" t="s">
        <v>150</v>
      </c>
      <c r="AW40" s="13" t="s">
        <v>150</v>
      </c>
      <c r="AY40" t="s">
        <v>92</v>
      </c>
      <c r="AZ40" t="s">
        <v>92</v>
      </c>
      <c r="BA40" t="s">
        <v>92</v>
      </c>
      <c r="BB40" t="s">
        <v>92</v>
      </c>
      <c r="BC40" t="s">
        <v>92</v>
      </c>
      <c r="BD40" t="s">
        <v>92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92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92</v>
      </c>
      <c r="BS40" t="s">
        <v>92</v>
      </c>
      <c r="BT40" t="s">
        <v>92</v>
      </c>
      <c r="BU40" t="s">
        <v>92</v>
      </c>
      <c r="BV40" t="s">
        <v>92</v>
      </c>
      <c r="BW40" t="s">
        <v>92</v>
      </c>
      <c r="BX40" t="s">
        <v>92</v>
      </c>
      <c r="BY40" t="str">
        <f>IF(COUNTIF('Data Upload-prod'!E:E,F40)=0,"Missing","Exist")</f>
        <v>Exist</v>
      </c>
    </row>
    <row r="41" hidden="1" spans="1:77">
      <c r="A41" s="16">
        <v>41816</v>
      </c>
      <c r="B41" s="16">
        <v>41927</v>
      </c>
      <c r="C41" t="s">
        <v>218</v>
      </c>
      <c r="D41" t="s">
        <v>78</v>
      </c>
      <c r="E41" t="s">
        <v>219</v>
      </c>
      <c r="F41" t="s">
        <v>220</v>
      </c>
      <c r="G41" t="s">
        <v>81</v>
      </c>
      <c r="H41" t="s">
        <v>221</v>
      </c>
      <c r="I41" t="s">
        <v>124</v>
      </c>
      <c r="J41" s="17">
        <v>72</v>
      </c>
      <c r="K41" s="17">
        <v>3377.77</v>
      </c>
      <c r="L41" s="17">
        <v>1167.65</v>
      </c>
      <c r="M41" t="s">
        <v>84</v>
      </c>
      <c r="N41" t="s">
        <v>84</v>
      </c>
      <c r="O41" t="s">
        <v>84</v>
      </c>
      <c r="P41" t="s">
        <v>84</v>
      </c>
      <c r="Q41" s="17">
        <v>14391370</v>
      </c>
      <c r="R41" s="17">
        <v>24.98</v>
      </c>
      <c r="S41" t="s">
        <v>85</v>
      </c>
      <c r="T41" t="s">
        <v>84</v>
      </c>
      <c r="U41" t="s">
        <v>84</v>
      </c>
      <c r="V41" s="16">
        <v>41863</v>
      </c>
      <c r="W41" s="18">
        <v>41863.5</v>
      </c>
      <c r="X41" s="18">
        <v>41879.5833333333</v>
      </c>
      <c r="Y41" s="17">
        <v>3306.3</v>
      </c>
      <c r="Z41" t="s">
        <v>87</v>
      </c>
      <c r="AA41" s="17">
        <v>3423</v>
      </c>
      <c r="AB41" s="17">
        <v>1167.12</v>
      </c>
      <c r="AC41" t="s">
        <v>84</v>
      </c>
      <c r="AD41" t="s">
        <v>84</v>
      </c>
      <c r="AE41" t="s">
        <v>84</v>
      </c>
      <c r="AF41" t="s">
        <v>84</v>
      </c>
      <c r="AG41" s="17">
        <v>9056198</v>
      </c>
      <c r="AH41" s="17">
        <v>16.08</v>
      </c>
      <c r="AI41" s="17">
        <v>6.93</v>
      </c>
      <c r="AJ41" s="17">
        <v>6.93</v>
      </c>
      <c r="AK41" s="13" t="s">
        <v>155</v>
      </c>
      <c r="AL41" s="13" t="s">
        <v>150</v>
      </c>
      <c r="AM41" s="13" t="s">
        <v>150</v>
      </c>
      <c r="AN41" s="13"/>
      <c r="AO41" s="13" t="s">
        <v>150</v>
      </c>
      <c r="AP41" s="13"/>
      <c r="AQ41" s="13" t="s">
        <v>150</v>
      </c>
      <c r="AR41" s="13"/>
      <c r="AS41" s="13" t="s">
        <v>150</v>
      </c>
      <c r="AT41" s="13"/>
      <c r="AU41" s="13" t="s">
        <v>150</v>
      </c>
      <c r="AW41" s="13" t="s">
        <v>150</v>
      </c>
      <c r="AY41" t="s">
        <v>92</v>
      </c>
      <c r="AZ41" t="s">
        <v>92</v>
      </c>
      <c r="BA41" t="s">
        <v>92</v>
      </c>
      <c r="BB41" t="s">
        <v>92</v>
      </c>
      <c r="BC41" t="s">
        <v>92</v>
      </c>
      <c r="BD41" t="s">
        <v>92</v>
      </c>
      <c r="BE41" t="s">
        <v>92</v>
      </c>
      <c r="BF41" t="s">
        <v>92</v>
      </c>
      <c r="BG41" t="s">
        <v>92</v>
      </c>
      <c r="BH41" t="s">
        <v>92</v>
      </c>
      <c r="BI41" t="s">
        <v>92</v>
      </c>
      <c r="BJ41" t="s">
        <v>92</v>
      </c>
      <c r="BK41" t="s">
        <v>92</v>
      </c>
      <c r="BL41" t="s">
        <v>92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92</v>
      </c>
      <c r="BS41" t="s">
        <v>92</v>
      </c>
      <c r="BT41" t="s">
        <v>92</v>
      </c>
      <c r="BU41" t="s">
        <v>92</v>
      </c>
      <c r="BV41" t="s">
        <v>92</v>
      </c>
      <c r="BW41" t="s">
        <v>92</v>
      </c>
      <c r="BX41" t="s">
        <v>92</v>
      </c>
      <c r="BY41" t="str">
        <f>IF(COUNTIF('Data Upload-prod'!E:E,F41)=0,"Missing","Exist")</f>
        <v>Missing</v>
      </c>
    </row>
    <row r="42" hidden="1" spans="1:77">
      <c r="A42" s="16">
        <v>41816</v>
      </c>
      <c r="B42" s="16">
        <v>41995</v>
      </c>
      <c r="C42" t="s">
        <v>195</v>
      </c>
      <c r="D42" t="s">
        <v>78</v>
      </c>
      <c r="E42" t="s">
        <v>212</v>
      </c>
      <c r="F42" t="s">
        <v>222</v>
      </c>
      <c r="G42" t="s">
        <v>81</v>
      </c>
      <c r="H42" t="s">
        <v>214</v>
      </c>
      <c r="I42" t="s">
        <v>124</v>
      </c>
      <c r="J42" s="17">
        <v>63.6</v>
      </c>
      <c r="K42" s="17">
        <v>1546</v>
      </c>
      <c r="L42" s="17">
        <v>882</v>
      </c>
      <c r="M42" t="s">
        <v>84</v>
      </c>
      <c r="N42" t="s">
        <v>84</v>
      </c>
      <c r="O42" t="s">
        <v>84</v>
      </c>
      <c r="P42" t="s">
        <v>84</v>
      </c>
      <c r="Q42" s="17">
        <v>17800000</v>
      </c>
      <c r="R42" s="17">
        <v>26.5</v>
      </c>
      <c r="S42" t="s">
        <v>85</v>
      </c>
      <c r="T42" t="s">
        <v>84</v>
      </c>
      <c r="U42" t="s">
        <v>86</v>
      </c>
      <c r="V42" s="16">
        <v>41904.0208333333</v>
      </c>
      <c r="W42" s="18">
        <v>41903</v>
      </c>
      <c r="X42" s="18">
        <v>41948</v>
      </c>
      <c r="Y42" s="17">
        <v>1441.53</v>
      </c>
      <c r="Z42" t="s">
        <v>87</v>
      </c>
      <c r="AA42" s="17">
        <v>1550</v>
      </c>
      <c r="AB42" s="17">
        <v>886</v>
      </c>
      <c r="AC42" t="s">
        <v>84</v>
      </c>
      <c r="AD42" t="s">
        <v>84</v>
      </c>
      <c r="AE42" t="s">
        <v>84</v>
      </c>
      <c r="AF42" t="s">
        <v>84</v>
      </c>
      <c r="AG42" s="17">
        <v>14856000</v>
      </c>
      <c r="AH42" s="17">
        <v>22.02</v>
      </c>
      <c r="AI42" s="17">
        <v>2.6</v>
      </c>
      <c r="AJ42" s="17">
        <v>2.6</v>
      </c>
      <c r="AK42" s="13" t="s">
        <v>155</v>
      </c>
      <c r="AL42" s="13" t="s">
        <v>150</v>
      </c>
      <c r="AM42" s="13" t="s">
        <v>150</v>
      </c>
      <c r="AN42" s="13"/>
      <c r="AO42" s="13" t="s">
        <v>150</v>
      </c>
      <c r="AP42" s="13"/>
      <c r="AQ42" s="13" t="s">
        <v>150</v>
      </c>
      <c r="AR42" s="13"/>
      <c r="AS42" s="13" t="s">
        <v>150</v>
      </c>
      <c r="AT42" s="13"/>
      <c r="AU42" s="13" t="s">
        <v>150</v>
      </c>
      <c r="AW42" s="13" t="s">
        <v>150</v>
      </c>
      <c r="AY42" t="s">
        <v>92</v>
      </c>
      <c r="AZ42" t="s">
        <v>92</v>
      </c>
      <c r="BA42" t="s">
        <v>92</v>
      </c>
      <c r="BB42" t="s">
        <v>92</v>
      </c>
      <c r="BC42" t="s">
        <v>92</v>
      </c>
      <c r="BD42" s="17">
        <v>5.3</v>
      </c>
      <c r="BE42" s="17">
        <v>1946000</v>
      </c>
      <c r="BF42" t="s">
        <v>92</v>
      </c>
      <c r="BG42" t="s">
        <v>92</v>
      </c>
      <c r="BH42" t="s">
        <v>93</v>
      </c>
      <c r="BI42" t="s">
        <v>94</v>
      </c>
      <c r="BJ42" t="s">
        <v>215</v>
      </c>
      <c r="BK42" t="s">
        <v>85</v>
      </c>
      <c r="BL42" t="s">
        <v>85</v>
      </c>
      <c r="BM42" t="s">
        <v>137</v>
      </c>
      <c r="BN42" t="s">
        <v>97</v>
      </c>
      <c r="BO42" t="s">
        <v>98</v>
      </c>
      <c r="BP42" t="s">
        <v>99</v>
      </c>
      <c r="BQ42" s="17">
        <v>36</v>
      </c>
      <c r="BR42" t="s">
        <v>138</v>
      </c>
      <c r="BS42" t="s">
        <v>156</v>
      </c>
      <c r="BT42" t="s">
        <v>99</v>
      </c>
      <c r="BU42" s="17">
        <v>9</v>
      </c>
      <c r="BV42" t="s">
        <v>191</v>
      </c>
      <c r="BW42" t="s">
        <v>85</v>
      </c>
      <c r="BX42" t="s">
        <v>85</v>
      </c>
      <c r="BY42" t="str">
        <f>IF(COUNTIF('Data Upload-prod'!E:E,F42)=0,"Missing","Exist")</f>
        <v>Exist</v>
      </c>
    </row>
    <row r="43" hidden="1" spans="1:77">
      <c r="A43" s="16">
        <v>41814</v>
      </c>
      <c r="B43" s="16">
        <v>41904</v>
      </c>
      <c r="C43" t="s">
        <v>218</v>
      </c>
      <c r="D43" t="s">
        <v>78</v>
      </c>
      <c r="E43" t="s">
        <v>219</v>
      </c>
      <c r="F43" t="s">
        <v>223</v>
      </c>
      <c r="G43" t="s">
        <v>81</v>
      </c>
      <c r="H43" t="s">
        <v>221</v>
      </c>
      <c r="I43" t="s">
        <v>124</v>
      </c>
      <c r="J43" s="17">
        <v>72</v>
      </c>
      <c r="K43" s="17">
        <v>4035</v>
      </c>
      <c r="L43" s="17">
        <v>1168</v>
      </c>
      <c r="M43" t="s">
        <v>84</v>
      </c>
      <c r="N43" t="s">
        <v>84</v>
      </c>
      <c r="O43" t="s">
        <v>84</v>
      </c>
      <c r="P43" t="s">
        <v>84</v>
      </c>
      <c r="Q43" s="17">
        <v>19393900</v>
      </c>
      <c r="R43" s="17">
        <v>34.5</v>
      </c>
      <c r="S43" t="s">
        <v>106</v>
      </c>
      <c r="T43" t="s">
        <v>84</v>
      </c>
      <c r="U43" t="s">
        <v>84</v>
      </c>
      <c r="V43" t="s">
        <v>84</v>
      </c>
      <c r="W43" s="18">
        <v>41836.75</v>
      </c>
      <c r="X43" s="18">
        <v>41863.5</v>
      </c>
      <c r="Y43" s="17">
        <v>3614.3</v>
      </c>
      <c r="Z43" t="s">
        <v>87</v>
      </c>
      <c r="AA43" s="17">
        <v>3731</v>
      </c>
      <c r="AB43" s="17">
        <v>1165.7</v>
      </c>
      <c r="AC43" t="s">
        <v>84</v>
      </c>
      <c r="AD43" t="s">
        <v>84</v>
      </c>
      <c r="AE43" t="s">
        <v>84</v>
      </c>
      <c r="AF43" t="s">
        <v>84</v>
      </c>
      <c r="AG43" s="17">
        <v>15185289</v>
      </c>
      <c r="AH43" s="17">
        <v>26.75</v>
      </c>
      <c r="AI43" s="17">
        <v>23.73</v>
      </c>
      <c r="AJ43" s="17">
        <v>23.64</v>
      </c>
      <c r="AK43" s="13" t="s">
        <v>155</v>
      </c>
      <c r="AL43" s="13" t="s">
        <v>150</v>
      </c>
      <c r="AM43" s="13" t="s">
        <v>150</v>
      </c>
      <c r="AN43" s="13"/>
      <c r="AO43" s="13" t="s">
        <v>150</v>
      </c>
      <c r="AP43" s="13"/>
      <c r="AQ43" s="13" t="s">
        <v>150</v>
      </c>
      <c r="AR43" s="13"/>
      <c r="AS43" s="13" t="s">
        <v>150</v>
      </c>
      <c r="AT43" s="13"/>
      <c r="AU43" s="13" t="s">
        <v>150</v>
      </c>
      <c r="AW43" s="13" t="s">
        <v>150</v>
      </c>
      <c r="AY43" t="s">
        <v>92</v>
      </c>
      <c r="AZ43" t="s">
        <v>92</v>
      </c>
      <c r="BA43" t="s">
        <v>92</v>
      </c>
      <c r="BB43" t="s">
        <v>92</v>
      </c>
      <c r="BC43" t="s">
        <v>92</v>
      </c>
      <c r="BD43" t="s">
        <v>92</v>
      </c>
      <c r="BE43" t="s">
        <v>92</v>
      </c>
      <c r="BF43" t="s">
        <v>92</v>
      </c>
      <c r="BG43" t="s">
        <v>92</v>
      </c>
      <c r="BH43" t="s">
        <v>92</v>
      </c>
      <c r="BI43" t="s">
        <v>92</v>
      </c>
      <c r="BJ43" t="s">
        <v>92</v>
      </c>
      <c r="BK43" t="s">
        <v>92</v>
      </c>
      <c r="BL43" t="s">
        <v>92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92</v>
      </c>
      <c r="BS43" t="s">
        <v>92</v>
      </c>
      <c r="BT43" t="s">
        <v>92</v>
      </c>
      <c r="BU43" t="s">
        <v>92</v>
      </c>
      <c r="BV43" t="s">
        <v>92</v>
      </c>
      <c r="BW43" t="s">
        <v>92</v>
      </c>
      <c r="BX43" t="s">
        <v>92</v>
      </c>
      <c r="BY43" t="str">
        <f>IF(COUNTIF('Data Upload-prod'!E:E,F43)=0,"Missing","Exist")</f>
        <v>Missing</v>
      </c>
    </row>
    <row r="44" hidden="1" spans="1:77">
      <c r="A44" s="16">
        <v>41598</v>
      </c>
      <c r="B44" t="s">
        <v>84</v>
      </c>
      <c r="C44" t="s">
        <v>141</v>
      </c>
      <c r="D44" t="s">
        <v>120</v>
      </c>
      <c r="E44" t="s">
        <v>224</v>
      </c>
      <c r="F44" t="s">
        <v>225</v>
      </c>
      <c r="G44" t="s">
        <v>81</v>
      </c>
      <c r="H44" t="s">
        <v>226</v>
      </c>
      <c r="I44" t="s">
        <v>124</v>
      </c>
      <c r="J44" s="17">
        <v>49.68</v>
      </c>
      <c r="K44" s="17">
        <v>3280.34</v>
      </c>
      <c r="L44" s="17">
        <v>2142.33</v>
      </c>
      <c r="M44" t="s">
        <v>84</v>
      </c>
      <c r="N44" t="s">
        <v>84</v>
      </c>
      <c r="O44" t="s">
        <v>84</v>
      </c>
      <c r="P44" t="s">
        <v>84</v>
      </c>
      <c r="Q44" s="17">
        <v>103628205</v>
      </c>
      <c r="R44" s="17">
        <v>59.8</v>
      </c>
      <c r="S44" t="s">
        <v>85</v>
      </c>
      <c r="T44" t="s">
        <v>84</v>
      </c>
      <c r="U44" t="s">
        <v>84</v>
      </c>
      <c r="V44" s="16">
        <v>41620.5833333333</v>
      </c>
      <c r="W44" s="18">
        <v>41620.5833333333</v>
      </c>
      <c r="X44" s="18">
        <v>41717.25</v>
      </c>
      <c r="Y44" s="17">
        <v>3300.52</v>
      </c>
      <c r="Z44" t="s">
        <v>87</v>
      </c>
      <c r="AA44" s="17">
        <v>3399.88</v>
      </c>
      <c r="AB44" s="17">
        <v>2202.99</v>
      </c>
      <c r="AC44" t="s">
        <v>84</v>
      </c>
      <c r="AD44" t="s">
        <v>84</v>
      </c>
      <c r="AE44" t="s">
        <v>84</v>
      </c>
      <c r="AF44" t="s">
        <v>84</v>
      </c>
      <c r="AG44" s="17">
        <v>19165255</v>
      </c>
      <c r="AH44" s="17">
        <v>49.72</v>
      </c>
      <c r="AI44" s="17">
        <v>10.06</v>
      </c>
      <c r="AJ44" s="17">
        <v>3.06</v>
      </c>
      <c r="AK44" s="13" t="s">
        <v>155</v>
      </c>
      <c r="AL44" s="13" t="s">
        <v>150</v>
      </c>
      <c r="AM44" s="13" t="s">
        <v>150</v>
      </c>
      <c r="AN44" s="13"/>
      <c r="AO44" s="13" t="s">
        <v>150</v>
      </c>
      <c r="AP44" s="13"/>
      <c r="AQ44" s="13" t="s">
        <v>150</v>
      </c>
      <c r="AR44" s="13"/>
      <c r="AS44" s="13" t="s">
        <v>150</v>
      </c>
      <c r="AT44" s="13"/>
      <c r="AU44" s="13" t="s">
        <v>150</v>
      </c>
      <c r="AW44" s="13" t="s">
        <v>150</v>
      </c>
      <c r="AY44" t="s">
        <v>92</v>
      </c>
      <c r="AZ44" t="s">
        <v>92</v>
      </c>
      <c r="BA44" t="s">
        <v>92</v>
      </c>
      <c r="BB44" t="s">
        <v>92</v>
      </c>
      <c r="BC44" t="s">
        <v>92</v>
      </c>
      <c r="BD44" t="s">
        <v>92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92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92</v>
      </c>
      <c r="BS44" t="s">
        <v>92</v>
      </c>
      <c r="BT44" t="s">
        <v>92</v>
      </c>
      <c r="BU44" t="s">
        <v>92</v>
      </c>
      <c r="BV44" t="s">
        <v>92</v>
      </c>
      <c r="BW44" t="s">
        <v>92</v>
      </c>
      <c r="BX44" t="s">
        <v>92</v>
      </c>
      <c r="BY44" t="str">
        <f>IF(COUNTIF('Data Upload-prod'!E:E,F44)=0,"Missing","Exist")</f>
        <v>Exist</v>
      </c>
    </row>
    <row r="45" spans="1:77">
      <c r="A45" s="16">
        <v>41389</v>
      </c>
      <c r="B45" s="16">
        <v>41578</v>
      </c>
      <c r="C45" t="s">
        <v>227</v>
      </c>
      <c r="D45" t="s">
        <v>142</v>
      </c>
      <c r="E45" t="s">
        <v>228</v>
      </c>
      <c r="F45" t="s">
        <v>229</v>
      </c>
      <c r="G45" t="s">
        <v>145</v>
      </c>
      <c r="H45" t="s">
        <v>230</v>
      </c>
      <c r="I45" t="s">
        <v>231</v>
      </c>
      <c r="J45" s="17">
        <v>808.5</v>
      </c>
      <c r="K45" s="17">
        <v>3412</v>
      </c>
      <c r="L45" s="17">
        <v>2661</v>
      </c>
      <c r="M45" s="17">
        <v>72109491</v>
      </c>
      <c r="N45" s="17">
        <v>72109491</v>
      </c>
      <c r="O45" s="17">
        <v>56</v>
      </c>
      <c r="P45" s="17">
        <v>56</v>
      </c>
      <c r="Q45" t="s">
        <v>84</v>
      </c>
      <c r="R45" t="s">
        <v>84</v>
      </c>
      <c r="S45" t="s">
        <v>106</v>
      </c>
      <c r="T45" t="s">
        <v>84</v>
      </c>
      <c r="U45" t="s">
        <v>84</v>
      </c>
      <c r="V45" t="s">
        <v>84</v>
      </c>
      <c r="W45" s="18">
        <v>41472</v>
      </c>
      <c r="X45" s="18">
        <v>41527.6458333333</v>
      </c>
      <c r="Y45" s="17">
        <v>2729.1</v>
      </c>
      <c r="Z45" t="s">
        <v>148</v>
      </c>
      <c r="AA45" s="17">
        <v>3564</v>
      </c>
      <c r="AB45" s="17">
        <v>2627</v>
      </c>
      <c r="AC45" t="s">
        <v>84</v>
      </c>
      <c r="AD45" s="17">
        <v>68000000</v>
      </c>
      <c r="AE45" t="s">
        <v>84</v>
      </c>
      <c r="AF45" s="17">
        <v>55.65</v>
      </c>
      <c r="AG45" t="s">
        <v>84</v>
      </c>
      <c r="AH45" t="s">
        <v>84</v>
      </c>
      <c r="AI45" s="17">
        <v>15.58</v>
      </c>
      <c r="AJ45" s="17">
        <v>10.13</v>
      </c>
      <c r="AK45" s="13" t="s">
        <v>232</v>
      </c>
      <c r="AL45" s="13" t="s">
        <v>232</v>
      </c>
      <c r="AM45" s="13" t="s">
        <v>90</v>
      </c>
      <c r="AN45" s="13">
        <v>4.4</v>
      </c>
      <c r="AO45" s="13" t="s">
        <v>90</v>
      </c>
      <c r="AP45" s="13">
        <v>4200</v>
      </c>
      <c r="AQ45" s="13" t="s">
        <v>90</v>
      </c>
      <c r="AR45" s="13">
        <v>6400</v>
      </c>
      <c r="AS45" s="17">
        <v>2.56</v>
      </c>
      <c r="AT45" s="17">
        <v>2.56</v>
      </c>
      <c r="AU45" s="17">
        <v>2562</v>
      </c>
      <c r="AV45" s="17">
        <v>2562</v>
      </c>
      <c r="AW45" s="17">
        <v>5031</v>
      </c>
      <c r="AX45" s="17">
        <v>5031</v>
      </c>
      <c r="AY45" t="s">
        <v>92</v>
      </c>
      <c r="AZ45" t="s">
        <v>92</v>
      </c>
      <c r="BA45" t="s">
        <v>92</v>
      </c>
      <c r="BB45" t="s">
        <v>92</v>
      </c>
      <c r="BC45" t="s">
        <v>92</v>
      </c>
      <c r="BD45" t="s">
        <v>92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92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92</v>
      </c>
      <c r="BS45" t="s">
        <v>92</v>
      </c>
      <c r="BT45" t="s">
        <v>92</v>
      </c>
      <c r="BU45" t="s">
        <v>92</v>
      </c>
      <c r="BV45" t="s">
        <v>92</v>
      </c>
      <c r="BW45" t="s">
        <v>92</v>
      </c>
      <c r="BX45" t="s">
        <v>92</v>
      </c>
      <c r="BY45" t="str">
        <f>IF(COUNTIF('Data Upload-prod'!E:E,F45)=0,"Missing","Exist")</f>
        <v>Exist</v>
      </c>
    </row>
    <row r="46" hidden="1" spans="1:77">
      <c r="A46" s="16">
        <v>41092</v>
      </c>
      <c r="B46" s="16">
        <v>41165</v>
      </c>
      <c r="C46" t="s">
        <v>233</v>
      </c>
      <c r="D46" t="s">
        <v>142</v>
      </c>
      <c r="E46" t="s">
        <v>234</v>
      </c>
      <c r="F46" t="s">
        <v>235</v>
      </c>
      <c r="G46" t="s">
        <v>145</v>
      </c>
      <c r="H46" t="s">
        <v>236</v>
      </c>
      <c r="I46" t="s">
        <v>124</v>
      </c>
      <c r="J46" s="17">
        <v>66.4</v>
      </c>
      <c r="K46" s="17">
        <v>1709</v>
      </c>
      <c r="L46" s="17">
        <v>1709</v>
      </c>
      <c r="M46" s="17">
        <v>13436690</v>
      </c>
      <c r="N46" s="17">
        <v>30582432</v>
      </c>
      <c r="O46" s="17">
        <v>31.7</v>
      </c>
      <c r="P46" s="17">
        <v>72.2</v>
      </c>
      <c r="Q46" t="s">
        <v>84</v>
      </c>
      <c r="R46" t="s">
        <v>84</v>
      </c>
      <c r="S46" t="s">
        <v>85</v>
      </c>
      <c r="T46" t="s">
        <v>84</v>
      </c>
      <c r="U46" t="s">
        <v>84</v>
      </c>
      <c r="V46" s="16">
        <v>41118</v>
      </c>
      <c r="W46" s="18">
        <v>41115</v>
      </c>
      <c r="X46" s="18">
        <v>41139.6875</v>
      </c>
      <c r="Y46" s="17">
        <v>1608.6</v>
      </c>
      <c r="Z46" t="s">
        <v>87</v>
      </c>
      <c r="AA46" s="17">
        <v>1709</v>
      </c>
      <c r="AB46" s="17">
        <v>1708.6</v>
      </c>
      <c r="AC46" s="17">
        <v>12953589</v>
      </c>
      <c r="AD46" t="s">
        <v>84</v>
      </c>
      <c r="AE46" s="17">
        <v>25</v>
      </c>
      <c r="AF46" t="s">
        <v>84</v>
      </c>
      <c r="AG46" t="s">
        <v>84</v>
      </c>
      <c r="AH46" t="s">
        <v>84</v>
      </c>
      <c r="AI46" s="17">
        <v>7.83</v>
      </c>
      <c r="AJ46" s="17">
        <v>7.83</v>
      </c>
      <c r="AK46" s="13" t="s">
        <v>155</v>
      </c>
      <c r="AL46" s="13" t="s">
        <v>150</v>
      </c>
      <c r="AM46" s="13" t="s">
        <v>150</v>
      </c>
      <c r="AN46" s="13"/>
      <c r="AO46" s="13" t="s">
        <v>150</v>
      </c>
      <c r="AP46" s="13"/>
      <c r="AQ46" s="13" t="s">
        <v>150</v>
      </c>
      <c r="AR46" s="13"/>
      <c r="AS46" s="13" t="s">
        <v>150</v>
      </c>
      <c r="AT46" s="13"/>
      <c r="AU46" s="13" t="s">
        <v>150</v>
      </c>
      <c r="AW46" s="13" t="s">
        <v>150</v>
      </c>
      <c r="AY46" t="s">
        <v>92</v>
      </c>
      <c r="AZ46" t="s">
        <v>92</v>
      </c>
      <c r="BA46" t="s">
        <v>92</v>
      </c>
      <c r="BB46" t="s">
        <v>92</v>
      </c>
      <c r="BC46" t="s">
        <v>92</v>
      </c>
      <c r="BD46" t="s">
        <v>92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92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92</v>
      </c>
      <c r="BS46" t="s">
        <v>92</v>
      </c>
      <c r="BT46" t="s">
        <v>92</v>
      </c>
      <c r="BU46" t="s">
        <v>92</v>
      </c>
      <c r="BV46" t="s">
        <v>92</v>
      </c>
      <c r="BW46" t="s">
        <v>92</v>
      </c>
      <c r="BX46" t="s">
        <v>92</v>
      </c>
      <c r="BY46" t="str">
        <f>IF(COUNTIF('Data Upload-prod'!E:E,F46)=0,"Missing","Exist")</f>
        <v>Missing</v>
      </c>
    </row>
    <row r="47" hidden="1" spans="1:77">
      <c r="A47" s="16">
        <v>41046</v>
      </c>
      <c r="B47" s="16">
        <v>41165</v>
      </c>
      <c r="C47" t="s">
        <v>233</v>
      </c>
      <c r="D47" t="s">
        <v>142</v>
      </c>
      <c r="E47" t="s">
        <v>237</v>
      </c>
      <c r="F47" t="s">
        <v>238</v>
      </c>
      <c r="G47" t="s">
        <v>145</v>
      </c>
      <c r="H47" t="s">
        <v>236</v>
      </c>
      <c r="I47" t="s">
        <v>124</v>
      </c>
      <c r="J47" s="17">
        <v>51.4</v>
      </c>
      <c r="K47" s="17">
        <v>2055</v>
      </c>
      <c r="L47" s="17">
        <v>1702</v>
      </c>
      <c r="M47" s="17">
        <v>15083307</v>
      </c>
      <c r="N47" s="17">
        <v>23734249</v>
      </c>
      <c r="O47" s="17">
        <v>31.7</v>
      </c>
      <c r="P47" s="17">
        <v>51.5</v>
      </c>
      <c r="Q47" t="s">
        <v>84</v>
      </c>
      <c r="R47" t="s">
        <v>84</v>
      </c>
      <c r="S47" t="s">
        <v>85</v>
      </c>
      <c r="T47" t="s">
        <v>84</v>
      </c>
      <c r="U47" t="s">
        <v>84</v>
      </c>
      <c r="V47" s="16">
        <v>41097</v>
      </c>
      <c r="W47" s="18">
        <v>41093</v>
      </c>
      <c r="X47" s="18">
        <v>41115.3333333333</v>
      </c>
      <c r="Y47" s="17">
        <v>1619.6</v>
      </c>
      <c r="Z47" t="s">
        <v>87</v>
      </c>
      <c r="AA47" s="17">
        <v>1705</v>
      </c>
      <c r="AB47" s="17">
        <v>1704.22</v>
      </c>
      <c r="AC47" s="17">
        <v>11783404</v>
      </c>
      <c r="AD47" t="s">
        <v>84</v>
      </c>
      <c r="AE47" s="17">
        <v>25.7</v>
      </c>
      <c r="AF47" t="s">
        <v>84</v>
      </c>
      <c r="AG47" t="s">
        <v>84</v>
      </c>
      <c r="AH47" t="s">
        <v>84</v>
      </c>
      <c r="AI47" s="17">
        <v>6.4</v>
      </c>
      <c r="AJ47" s="17">
        <v>1.2</v>
      </c>
      <c r="AK47" s="13" t="s">
        <v>155</v>
      </c>
      <c r="AL47" s="13" t="s">
        <v>150</v>
      </c>
      <c r="AM47" s="13" t="s">
        <v>150</v>
      </c>
      <c r="AN47" s="13"/>
      <c r="AO47" s="13" t="s">
        <v>150</v>
      </c>
      <c r="AP47" s="13"/>
      <c r="AQ47" s="13" t="s">
        <v>150</v>
      </c>
      <c r="AR47" s="13"/>
      <c r="AS47" s="13" t="s">
        <v>150</v>
      </c>
      <c r="AT47" s="13"/>
      <c r="AU47" s="13" t="s">
        <v>150</v>
      </c>
      <c r="AW47" s="13" t="s">
        <v>150</v>
      </c>
      <c r="AY47" t="s">
        <v>92</v>
      </c>
      <c r="AZ47" t="s">
        <v>92</v>
      </c>
      <c r="BA47" t="s">
        <v>92</v>
      </c>
      <c r="BB47" t="s">
        <v>92</v>
      </c>
      <c r="BC47" t="s">
        <v>92</v>
      </c>
      <c r="BD47" t="s">
        <v>92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92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92</v>
      </c>
      <c r="BS47" t="s">
        <v>92</v>
      </c>
      <c r="BT47" t="s">
        <v>92</v>
      </c>
      <c r="BU47" t="s">
        <v>92</v>
      </c>
      <c r="BV47" t="s">
        <v>92</v>
      </c>
      <c r="BW47" t="s">
        <v>92</v>
      </c>
      <c r="BX47" t="s">
        <v>92</v>
      </c>
      <c r="BY47" t="str">
        <f>IF(COUNTIF('Data Upload-prod'!E:E,F47)=0,"Missing","Exist")</f>
        <v>Missing</v>
      </c>
    </row>
    <row r="48" hidden="1" spans="1:77">
      <c r="A48" s="16">
        <v>40841</v>
      </c>
      <c r="B48" s="16">
        <v>40967</v>
      </c>
      <c r="C48" t="s">
        <v>233</v>
      </c>
      <c r="D48" t="s">
        <v>78</v>
      </c>
      <c r="E48" t="s">
        <v>239</v>
      </c>
      <c r="F48" t="s">
        <v>240</v>
      </c>
      <c r="G48" t="s">
        <v>145</v>
      </c>
      <c r="H48" t="s">
        <v>236</v>
      </c>
      <c r="I48" t="s">
        <v>124</v>
      </c>
      <c r="J48" s="17">
        <v>76</v>
      </c>
      <c r="K48" s="17">
        <v>1892</v>
      </c>
      <c r="L48" s="17">
        <v>1892</v>
      </c>
      <c r="M48" s="17">
        <v>15420217.74</v>
      </c>
      <c r="N48" s="17">
        <v>23562502.64</v>
      </c>
      <c r="O48" s="17">
        <v>41.2</v>
      </c>
      <c r="P48" s="17">
        <v>64.6</v>
      </c>
      <c r="Q48" t="s">
        <v>84</v>
      </c>
      <c r="R48" t="s">
        <v>84</v>
      </c>
      <c r="S48" t="s">
        <v>85</v>
      </c>
      <c r="T48" t="s">
        <v>84</v>
      </c>
      <c r="U48" t="s">
        <v>84</v>
      </c>
      <c r="V48" s="16">
        <v>40875</v>
      </c>
      <c r="W48" s="18">
        <v>40865</v>
      </c>
      <c r="X48" s="18">
        <v>40923.5833333333</v>
      </c>
      <c r="Y48" s="17">
        <v>1774</v>
      </c>
      <c r="Z48" t="s">
        <v>87</v>
      </c>
      <c r="AA48" s="17">
        <v>1884</v>
      </c>
      <c r="AB48" s="17">
        <v>1884</v>
      </c>
      <c r="AC48" t="s">
        <v>84</v>
      </c>
      <c r="AD48" s="17">
        <v>20860000</v>
      </c>
      <c r="AE48" t="s">
        <v>84</v>
      </c>
      <c r="AF48" s="17">
        <v>61.04</v>
      </c>
      <c r="AG48" t="s">
        <v>84</v>
      </c>
      <c r="AH48" t="s">
        <v>84</v>
      </c>
      <c r="AI48" s="17">
        <v>33.89</v>
      </c>
      <c r="AJ48" s="17">
        <v>29.73</v>
      </c>
      <c r="AK48" s="13" t="s">
        <v>155</v>
      </c>
      <c r="AL48" s="13" t="s">
        <v>150</v>
      </c>
      <c r="AM48" s="13" t="s">
        <v>150</v>
      </c>
      <c r="AN48" s="13"/>
      <c r="AO48" s="13" t="s">
        <v>150</v>
      </c>
      <c r="AP48" s="13"/>
      <c r="AQ48" s="13" t="s">
        <v>150</v>
      </c>
      <c r="AR48" s="13"/>
      <c r="AS48" s="13" t="s">
        <v>150</v>
      </c>
      <c r="AT48" s="13"/>
      <c r="AU48" s="13" t="s">
        <v>150</v>
      </c>
      <c r="AW48" s="13" t="s">
        <v>150</v>
      </c>
      <c r="AY48" t="s">
        <v>92</v>
      </c>
      <c r="AZ48" t="s">
        <v>92</v>
      </c>
      <c r="BA48" t="s">
        <v>92</v>
      </c>
      <c r="BB48" t="s">
        <v>92</v>
      </c>
      <c r="BC48" t="s">
        <v>92</v>
      </c>
      <c r="BD48" t="s">
        <v>92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92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92</v>
      </c>
      <c r="BS48" t="s">
        <v>92</v>
      </c>
      <c r="BT48" t="s">
        <v>92</v>
      </c>
      <c r="BU48" t="s">
        <v>92</v>
      </c>
      <c r="BV48" t="s">
        <v>92</v>
      </c>
      <c r="BW48" t="s">
        <v>92</v>
      </c>
      <c r="BX48" t="s">
        <v>92</v>
      </c>
      <c r="BY48" t="str">
        <f>IF(COUNTIF('Data Upload-prod'!E:E,F48)=0,"Missing","Exist")</f>
        <v>Missing</v>
      </c>
    </row>
    <row r="49" hidden="1" spans="1:77">
      <c r="A49" s="16">
        <v>39397</v>
      </c>
      <c r="B49" s="16">
        <v>41914</v>
      </c>
      <c r="C49" t="s">
        <v>218</v>
      </c>
      <c r="D49" t="s">
        <v>78</v>
      </c>
      <c r="E49" t="s">
        <v>219</v>
      </c>
      <c r="F49" t="s">
        <v>241</v>
      </c>
      <c r="G49" t="s">
        <v>81</v>
      </c>
      <c r="H49" t="s">
        <v>221</v>
      </c>
      <c r="I49" t="s">
        <v>124</v>
      </c>
      <c r="J49" s="17">
        <v>72</v>
      </c>
      <c r="K49" s="17">
        <v>2400</v>
      </c>
      <c r="L49" s="17">
        <v>1199</v>
      </c>
      <c r="M49" t="s">
        <v>84</v>
      </c>
      <c r="N49" t="s">
        <v>84</v>
      </c>
      <c r="O49" t="s">
        <v>84</v>
      </c>
      <c r="P49" t="s">
        <v>84</v>
      </c>
      <c r="Q49" s="17">
        <v>14682018</v>
      </c>
      <c r="R49" s="17">
        <v>25.06</v>
      </c>
      <c r="S49" t="s">
        <v>106</v>
      </c>
      <c r="T49" t="s">
        <v>84</v>
      </c>
      <c r="U49" t="s">
        <v>84</v>
      </c>
      <c r="V49" t="s">
        <v>84</v>
      </c>
      <c r="W49" s="18">
        <v>41879.5833333333</v>
      </c>
      <c r="X49" s="18">
        <v>41898.5</v>
      </c>
      <c r="Y49" s="17">
        <v>3265.3</v>
      </c>
      <c r="Z49" t="s">
        <v>87</v>
      </c>
      <c r="AA49" s="17">
        <v>3382</v>
      </c>
      <c r="AB49" s="17">
        <v>1163.23</v>
      </c>
      <c r="AC49" t="s">
        <v>84</v>
      </c>
      <c r="AD49" t="s">
        <v>84</v>
      </c>
      <c r="AE49" t="s">
        <v>84</v>
      </c>
      <c r="AF49" t="s">
        <v>84</v>
      </c>
      <c r="AG49" s="17">
        <v>9962841</v>
      </c>
      <c r="AH49" s="17">
        <v>18.92</v>
      </c>
      <c r="AI49" s="17">
        <v>6.61</v>
      </c>
      <c r="AJ49" s="17">
        <v>6.28</v>
      </c>
      <c r="AK49" s="13" t="s">
        <v>155</v>
      </c>
      <c r="AL49" s="13" t="s">
        <v>150</v>
      </c>
      <c r="AM49" s="13" t="s">
        <v>150</v>
      </c>
      <c r="AN49" s="13"/>
      <c r="AO49" s="13" t="s">
        <v>150</v>
      </c>
      <c r="AP49" s="13"/>
      <c r="AQ49" s="13" t="s">
        <v>150</v>
      </c>
      <c r="AR49" s="13"/>
      <c r="AS49" s="13" t="s">
        <v>150</v>
      </c>
      <c r="AT49" s="13"/>
      <c r="AU49" s="13" t="s">
        <v>150</v>
      </c>
      <c r="AW49" s="13" t="s">
        <v>150</v>
      </c>
      <c r="AY49" t="s">
        <v>92</v>
      </c>
      <c r="AZ49" t="s">
        <v>92</v>
      </c>
      <c r="BA49" t="s">
        <v>92</v>
      </c>
      <c r="BB49" t="s">
        <v>92</v>
      </c>
      <c r="BC49" t="s">
        <v>92</v>
      </c>
      <c r="BD49" t="s">
        <v>92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92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92</v>
      </c>
      <c r="BS49" t="s">
        <v>92</v>
      </c>
      <c r="BT49" t="s">
        <v>92</v>
      </c>
      <c r="BU49" t="s">
        <v>92</v>
      </c>
      <c r="BV49" t="s">
        <v>92</v>
      </c>
      <c r="BW49" t="s">
        <v>92</v>
      </c>
      <c r="BX49" t="s">
        <v>92</v>
      </c>
      <c r="BY49" t="str">
        <f>IF(COUNTIF('Data Upload-prod'!E:E,F49)=0,"Missing","Exist")</f>
        <v>Missing</v>
      </c>
    </row>
    <row r="50" hidden="1" spans="1:77">
      <c r="A50" t="s">
        <v>84</v>
      </c>
      <c r="B50" s="16">
        <v>42856</v>
      </c>
      <c r="C50" t="s">
        <v>242</v>
      </c>
      <c r="D50" t="s">
        <v>78</v>
      </c>
      <c r="E50" t="s">
        <v>243</v>
      </c>
      <c r="F50" t="s">
        <v>244</v>
      </c>
      <c r="G50" t="s">
        <v>145</v>
      </c>
      <c r="H50" t="s">
        <v>181</v>
      </c>
      <c r="I50" t="s">
        <v>124</v>
      </c>
      <c r="J50" s="17">
        <v>56.08</v>
      </c>
      <c r="K50" s="17">
        <v>1605.3</v>
      </c>
      <c r="L50" s="17">
        <v>1299.3</v>
      </c>
      <c r="M50" s="17">
        <v>3386000</v>
      </c>
      <c r="N50" s="17">
        <v>3386000</v>
      </c>
      <c r="O50" s="17">
        <v>12.79</v>
      </c>
      <c r="P50" s="17">
        <v>12.79</v>
      </c>
      <c r="Q50" t="s">
        <v>84</v>
      </c>
      <c r="R50" t="s">
        <v>84</v>
      </c>
      <c r="S50" t="s">
        <v>106</v>
      </c>
      <c r="T50" t="s">
        <v>84</v>
      </c>
      <c r="U50" t="s">
        <v>84</v>
      </c>
      <c r="V50" s="16">
        <v>42814</v>
      </c>
      <c r="W50" s="18">
        <v>42812.3020833333</v>
      </c>
      <c r="X50" s="18">
        <v>42825.4166666667</v>
      </c>
      <c r="Y50" s="17">
        <v>1511.73</v>
      </c>
      <c r="Z50" t="s">
        <v>87</v>
      </c>
      <c r="AA50" s="17">
        <v>1603.78</v>
      </c>
      <c r="AB50" s="17">
        <v>1298.57</v>
      </c>
      <c r="AC50" s="17">
        <v>2212132.22</v>
      </c>
      <c r="AD50" t="s">
        <v>84</v>
      </c>
      <c r="AE50" s="17">
        <v>11.08</v>
      </c>
      <c r="AF50" t="s">
        <v>84</v>
      </c>
      <c r="AG50" t="s">
        <v>84</v>
      </c>
      <c r="AH50" t="s">
        <v>84</v>
      </c>
      <c r="AI50" s="17">
        <v>13.44</v>
      </c>
      <c r="AJ50" s="17">
        <v>13.44</v>
      </c>
      <c r="AK50" s="13" t="s">
        <v>155</v>
      </c>
      <c r="AL50" s="13" t="s">
        <v>150</v>
      </c>
      <c r="AM50" s="13" t="s">
        <v>150</v>
      </c>
      <c r="AN50" s="13"/>
      <c r="AO50" s="13" t="s">
        <v>150</v>
      </c>
      <c r="AP50" s="13"/>
      <c r="AQ50" s="13" t="s">
        <v>150</v>
      </c>
      <c r="AR50" s="13"/>
      <c r="AS50" s="13" t="s">
        <v>150</v>
      </c>
      <c r="AT50" s="13"/>
      <c r="AU50" s="13" t="s">
        <v>150</v>
      </c>
      <c r="AW50" s="13" t="s">
        <v>150</v>
      </c>
      <c r="AY50" t="s">
        <v>92</v>
      </c>
      <c r="AZ50" t="s">
        <v>92</v>
      </c>
      <c r="BA50" t="s">
        <v>92</v>
      </c>
      <c r="BB50" t="s">
        <v>92</v>
      </c>
      <c r="BC50" t="s">
        <v>92</v>
      </c>
      <c r="BD50" t="s">
        <v>92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92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92</v>
      </c>
      <c r="BS50" t="s">
        <v>92</v>
      </c>
      <c r="BT50" t="s">
        <v>92</v>
      </c>
      <c r="BU50" t="s">
        <v>92</v>
      </c>
      <c r="BV50" t="s">
        <v>92</v>
      </c>
      <c r="BW50" t="s">
        <v>92</v>
      </c>
      <c r="BX50" t="s">
        <v>92</v>
      </c>
      <c r="BY50" t="str">
        <f>IF(COUNTIF('Data Upload-prod'!E:E,F50)=0,"Missing","Exist")</f>
        <v>Exist</v>
      </c>
    </row>
    <row r="51" hidden="1" spans="1:77">
      <c r="A51" t="s">
        <v>84</v>
      </c>
      <c r="B51" t="s">
        <v>84</v>
      </c>
      <c r="C51" t="s">
        <v>141</v>
      </c>
      <c r="D51" t="s">
        <v>142</v>
      </c>
      <c r="E51" t="s">
        <v>245</v>
      </c>
      <c r="F51" t="s">
        <v>246</v>
      </c>
      <c r="G51" t="s">
        <v>81</v>
      </c>
      <c r="H51" t="s">
        <v>247</v>
      </c>
      <c r="I51" t="s">
        <v>231</v>
      </c>
      <c r="J51" s="17">
        <v>485.98</v>
      </c>
      <c r="K51" s="17">
        <v>2499.24</v>
      </c>
      <c r="L51" s="17">
        <v>1327.03</v>
      </c>
      <c r="M51" t="s">
        <v>84</v>
      </c>
      <c r="N51" t="s">
        <v>84</v>
      </c>
      <c r="O51" t="s">
        <v>84</v>
      </c>
      <c r="P51" t="s">
        <v>84</v>
      </c>
      <c r="Q51" s="17">
        <v>21952443</v>
      </c>
      <c r="R51" s="17">
        <v>34.29</v>
      </c>
      <c r="S51" t="s">
        <v>85</v>
      </c>
      <c r="T51" t="s">
        <v>84</v>
      </c>
      <c r="U51" t="s">
        <v>84</v>
      </c>
      <c r="V51" s="16">
        <v>42693</v>
      </c>
      <c r="W51" s="18">
        <v>42693</v>
      </c>
      <c r="X51" s="18">
        <v>42868</v>
      </c>
      <c r="Y51" s="17">
        <v>1358.88</v>
      </c>
      <c r="Z51" t="s">
        <v>148</v>
      </c>
      <c r="AA51" s="17">
        <v>1890.28</v>
      </c>
      <c r="AB51" s="17">
        <v>1555.32</v>
      </c>
      <c r="AC51" t="s">
        <v>84</v>
      </c>
      <c r="AD51" t="s">
        <v>84</v>
      </c>
      <c r="AE51" t="s">
        <v>84</v>
      </c>
      <c r="AF51" t="s">
        <v>84</v>
      </c>
      <c r="AG51" s="17">
        <v>15827000</v>
      </c>
      <c r="AH51" s="17">
        <v>42.22</v>
      </c>
      <c r="AI51" s="17">
        <v>20</v>
      </c>
      <c r="AJ51" s="17">
        <v>12.48</v>
      </c>
      <c r="AK51" s="13" t="s">
        <v>155</v>
      </c>
      <c r="AL51" s="13" t="s">
        <v>150</v>
      </c>
      <c r="AM51" s="13" t="s">
        <v>150</v>
      </c>
      <c r="AN51" s="13"/>
      <c r="AO51" s="13" t="s">
        <v>150</v>
      </c>
      <c r="AP51" s="13"/>
      <c r="AQ51" s="13" t="s">
        <v>150</v>
      </c>
      <c r="AR51" s="13"/>
      <c r="AS51" s="13" t="s">
        <v>150</v>
      </c>
      <c r="AT51" s="13"/>
      <c r="AU51" s="13" t="s">
        <v>150</v>
      </c>
      <c r="AW51" s="13" t="s">
        <v>150</v>
      </c>
      <c r="AY51" t="s">
        <v>92</v>
      </c>
      <c r="AZ51" t="s">
        <v>92</v>
      </c>
      <c r="BA51" t="s">
        <v>92</v>
      </c>
      <c r="BB51" t="s">
        <v>92</v>
      </c>
      <c r="BC51" t="s">
        <v>92</v>
      </c>
      <c r="BD51" t="s">
        <v>92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92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92</v>
      </c>
      <c r="BS51" t="s">
        <v>92</v>
      </c>
      <c r="BT51" t="s">
        <v>92</v>
      </c>
      <c r="BU51" t="s">
        <v>92</v>
      </c>
      <c r="BV51" t="s">
        <v>92</v>
      </c>
      <c r="BW51" t="s">
        <v>92</v>
      </c>
      <c r="BX51" t="s">
        <v>92</v>
      </c>
      <c r="BY51" t="str">
        <f>IF(COUNTIF('Data Upload-prod'!E:E,F51)=0,"Missing","Exist")</f>
        <v>Exist</v>
      </c>
    </row>
    <row r="52" hidden="1" spans="1:77">
      <c r="A52" t="s">
        <v>84</v>
      </c>
      <c r="B52" s="16">
        <v>41782</v>
      </c>
      <c r="C52" t="s">
        <v>242</v>
      </c>
      <c r="D52" t="s">
        <v>78</v>
      </c>
      <c r="E52" t="s">
        <v>248</v>
      </c>
      <c r="F52" t="s">
        <v>249</v>
      </c>
      <c r="G52" t="s">
        <v>81</v>
      </c>
      <c r="H52" t="s">
        <v>250</v>
      </c>
      <c r="I52" t="s">
        <v>124</v>
      </c>
      <c r="J52" s="17">
        <v>58.52</v>
      </c>
      <c r="K52" s="17">
        <v>2626.94</v>
      </c>
      <c r="L52" s="17">
        <v>2195.37</v>
      </c>
      <c r="M52" t="s">
        <v>84</v>
      </c>
      <c r="N52" t="s">
        <v>84</v>
      </c>
      <c r="O52" t="s">
        <v>84</v>
      </c>
      <c r="P52" t="s">
        <v>84</v>
      </c>
      <c r="Q52" s="17">
        <v>8088505</v>
      </c>
      <c r="R52" s="17">
        <v>23.65</v>
      </c>
      <c r="S52" t="s">
        <v>106</v>
      </c>
      <c r="T52" t="s">
        <v>84</v>
      </c>
      <c r="U52" t="s">
        <v>84</v>
      </c>
      <c r="V52" s="16">
        <v>41636</v>
      </c>
      <c r="W52" s="18">
        <v>41633</v>
      </c>
      <c r="X52" s="18">
        <v>41658</v>
      </c>
      <c r="Y52" s="17">
        <v>1948.8</v>
      </c>
      <c r="Z52" t="s">
        <v>87</v>
      </c>
      <c r="AA52" s="17">
        <v>2042.37</v>
      </c>
      <c r="AB52" s="17">
        <v>1293.51</v>
      </c>
      <c r="AC52" t="s">
        <v>84</v>
      </c>
      <c r="AD52" t="s">
        <v>84</v>
      </c>
      <c r="AE52" t="s">
        <v>84</v>
      </c>
      <c r="AF52" t="s">
        <v>84</v>
      </c>
      <c r="AG52" s="17">
        <v>11636127</v>
      </c>
      <c r="AH52" s="17">
        <v>23.65</v>
      </c>
      <c r="AI52" s="17">
        <v>59.74</v>
      </c>
      <c r="AJ52" s="17">
        <v>59.74</v>
      </c>
      <c r="AK52" s="13" t="s">
        <v>155</v>
      </c>
      <c r="AL52" s="13" t="s">
        <v>150</v>
      </c>
      <c r="AM52" s="13" t="s">
        <v>150</v>
      </c>
      <c r="AN52" s="13"/>
      <c r="AO52" s="13" t="s">
        <v>150</v>
      </c>
      <c r="AP52" s="13"/>
      <c r="AQ52" s="13" t="s">
        <v>150</v>
      </c>
      <c r="AR52" s="13"/>
      <c r="AS52" s="13" t="s">
        <v>150</v>
      </c>
      <c r="AT52" s="13"/>
      <c r="AU52" s="13" t="s">
        <v>150</v>
      </c>
      <c r="AW52" s="13" t="s">
        <v>150</v>
      </c>
      <c r="AY52" t="s">
        <v>92</v>
      </c>
      <c r="AZ52" t="s">
        <v>92</v>
      </c>
      <c r="BA52" t="s">
        <v>92</v>
      </c>
      <c r="BB52" t="s">
        <v>92</v>
      </c>
      <c r="BC52" t="s">
        <v>92</v>
      </c>
      <c r="BD52" t="s">
        <v>92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92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92</v>
      </c>
      <c r="BS52" t="s">
        <v>92</v>
      </c>
      <c r="BT52" t="s">
        <v>92</v>
      </c>
      <c r="BU52" t="s">
        <v>92</v>
      </c>
      <c r="BV52" t="s">
        <v>92</v>
      </c>
      <c r="BW52" t="s">
        <v>92</v>
      </c>
      <c r="BX52" t="s">
        <v>92</v>
      </c>
      <c r="BY52" t="str">
        <f>IF(COUNTIF('Data Upload-prod'!E:E,F52)=0,"Missing","Exist")</f>
        <v>Exist</v>
      </c>
    </row>
    <row r="53" hidden="1" spans="1:77">
      <c r="A53" t="s">
        <v>84</v>
      </c>
      <c r="B53" s="16">
        <v>42159</v>
      </c>
      <c r="C53" t="s">
        <v>187</v>
      </c>
      <c r="D53" t="s">
        <v>78</v>
      </c>
      <c r="E53" t="s">
        <v>188</v>
      </c>
      <c r="F53" t="s">
        <v>251</v>
      </c>
      <c r="G53" t="s">
        <v>81</v>
      </c>
      <c r="H53" t="s">
        <v>252</v>
      </c>
      <c r="I53" t="s">
        <v>124</v>
      </c>
      <c r="J53" s="17">
        <v>64.8</v>
      </c>
      <c r="K53" s="17">
        <v>2418</v>
      </c>
      <c r="L53" s="17">
        <v>1557.8</v>
      </c>
      <c r="M53" t="s">
        <v>84</v>
      </c>
      <c r="N53" t="s">
        <v>84</v>
      </c>
      <c r="O53" t="s">
        <v>84</v>
      </c>
      <c r="P53" t="s">
        <v>84</v>
      </c>
      <c r="Q53" s="17">
        <v>11924077.8</v>
      </c>
      <c r="R53" s="17">
        <v>25.04</v>
      </c>
      <c r="S53" t="s">
        <v>85</v>
      </c>
      <c r="T53" t="s">
        <v>84</v>
      </c>
      <c r="U53" t="s">
        <v>86</v>
      </c>
      <c r="V53" t="s">
        <v>84</v>
      </c>
      <c r="W53" s="18">
        <v>42043.625</v>
      </c>
      <c r="X53" s="18">
        <v>42081.8541666667</v>
      </c>
      <c r="Y53" s="17">
        <v>2292.4</v>
      </c>
      <c r="Z53" t="s">
        <v>87</v>
      </c>
      <c r="AA53" s="17">
        <v>2400</v>
      </c>
      <c r="AB53" s="17">
        <v>1549.88</v>
      </c>
      <c r="AC53" t="s">
        <v>84</v>
      </c>
      <c r="AD53" t="s">
        <v>84</v>
      </c>
      <c r="AE53" t="s">
        <v>84</v>
      </c>
      <c r="AF53" t="s">
        <v>84</v>
      </c>
      <c r="AG53" s="17">
        <v>9172386.69</v>
      </c>
      <c r="AH53" s="17">
        <v>26.79</v>
      </c>
      <c r="AI53" s="17">
        <v>26.91</v>
      </c>
      <c r="AJ53" s="17">
        <v>26.91</v>
      </c>
      <c r="AK53" s="13" t="s">
        <v>155</v>
      </c>
      <c r="AL53" s="13" t="s">
        <v>150</v>
      </c>
      <c r="AM53" s="13" t="s">
        <v>150</v>
      </c>
      <c r="AN53" s="13"/>
      <c r="AO53" s="13" t="s">
        <v>150</v>
      </c>
      <c r="AP53" s="13"/>
      <c r="AQ53" s="13" t="s">
        <v>150</v>
      </c>
      <c r="AR53" s="13"/>
      <c r="AS53" s="13" t="s">
        <v>150</v>
      </c>
      <c r="AT53" s="13"/>
      <c r="AU53" s="13" t="s">
        <v>150</v>
      </c>
      <c r="AW53" s="13" t="s">
        <v>150</v>
      </c>
      <c r="AY53" t="s">
        <v>92</v>
      </c>
      <c r="AZ53" t="s">
        <v>92</v>
      </c>
      <c r="BA53" t="s">
        <v>92</v>
      </c>
      <c r="BB53" t="s">
        <v>92</v>
      </c>
      <c r="BC53" t="s">
        <v>92</v>
      </c>
      <c r="BD53" s="17">
        <v>9.28</v>
      </c>
      <c r="BE53" s="17">
        <v>4787728</v>
      </c>
      <c r="BF53" t="s">
        <v>92</v>
      </c>
      <c r="BG53" t="s">
        <v>92</v>
      </c>
      <c r="BH53" t="s">
        <v>93</v>
      </c>
      <c r="BI53" t="s">
        <v>94</v>
      </c>
      <c r="BJ53" t="s">
        <v>173</v>
      </c>
      <c r="BK53" t="s">
        <v>85</v>
      </c>
      <c r="BL53" t="s">
        <v>85</v>
      </c>
      <c r="BM53" t="s">
        <v>96</v>
      </c>
      <c r="BN53" t="s">
        <v>253</v>
      </c>
      <c r="BO53" t="s">
        <v>216</v>
      </c>
      <c r="BP53" t="s">
        <v>254</v>
      </c>
      <c r="BQ53" s="17">
        <v>0</v>
      </c>
      <c r="BR53" t="s">
        <v>138</v>
      </c>
      <c r="BS53" t="s">
        <v>92</v>
      </c>
      <c r="BT53" t="s">
        <v>255</v>
      </c>
      <c r="BU53" s="17">
        <v>11.5</v>
      </c>
      <c r="BV53" t="s">
        <v>256</v>
      </c>
      <c r="BW53" t="s">
        <v>85</v>
      </c>
      <c r="BX53" t="s">
        <v>85</v>
      </c>
      <c r="BY53" t="str">
        <f>IF(COUNTIF('Data Upload-prod'!E:E,F53)=0,"Missing","Exist")</f>
        <v>Exist</v>
      </c>
    </row>
    <row r="54" hidden="1" spans="1:77">
      <c r="A54" t="s">
        <v>84</v>
      </c>
      <c r="B54" s="16">
        <v>42856</v>
      </c>
      <c r="C54" t="s">
        <v>257</v>
      </c>
      <c r="D54" t="s">
        <v>78</v>
      </c>
      <c r="E54" t="s">
        <v>258</v>
      </c>
      <c r="F54" t="s">
        <v>259</v>
      </c>
      <c r="G54" t="s">
        <v>145</v>
      </c>
      <c r="H54" t="s">
        <v>181</v>
      </c>
      <c r="I54" t="s">
        <v>124</v>
      </c>
      <c r="J54" s="17">
        <v>57.3</v>
      </c>
      <c r="K54" s="17">
        <v>2685.16</v>
      </c>
      <c r="L54" s="17">
        <v>2323.07</v>
      </c>
      <c r="M54" s="17">
        <v>6018075</v>
      </c>
      <c r="N54" s="17">
        <v>7482000</v>
      </c>
      <c r="O54" s="17">
        <v>23.57</v>
      </c>
      <c r="P54" s="17">
        <v>31.79</v>
      </c>
      <c r="Q54" t="s">
        <v>84</v>
      </c>
      <c r="R54" t="s">
        <v>84</v>
      </c>
      <c r="S54" t="s">
        <v>106</v>
      </c>
      <c r="T54" t="s">
        <v>84</v>
      </c>
      <c r="U54" t="s">
        <v>84</v>
      </c>
      <c r="V54" s="16">
        <v>42767</v>
      </c>
      <c r="W54" s="18">
        <v>42750</v>
      </c>
      <c r="X54" s="18">
        <v>42809</v>
      </c>
      <c r="Y54" s="17">
        <v>2429.75</v>
      </c>
      <c r="Z54" t="s">
        <v>87</v>
      </c>
      <c r="AA54" s="17">
        <v>2525.14</v>
      </c>
      <c r="AB54" s="17">
        <v>2267.91</v>
      </c>
      <c r="AC54" t="s">
        <v>84</v>
      </c>
      <c r="AD54" s="17">
        <v>8019345</v>
      </c>
      <c r="AE54" t="s">
        <v>84</v>
      </c>
      <c r="AF54" s="17">
        <v>39.3</v>
      </c>
      <c r="AG54" t="s">
        <v>84</v>
      </c>
      <c r="AH54" t="s">
        <v>84</v>
      </c>
      <c r="AI54" s="17">
        <v>31.55</v>
      </c>
      <c r="AJ54" s="17">
        <v>31.55</v>
      </c>
      <c r="AK54" s="13" t="s">
        <v>155</v>
      </c>
      <c r="AL54" s="13" t="s">
        <v>150</v>
      </c>
      <c r="AM54" s="13" t="s">
        <v>150</v>
      </c>
      <c r="AN54" s="13"/>
      <c r="AO54" s="13" t="s">
        <v>150</v>
      </c>
      <c r="AP54" s="13"/>
      <c r="AQ54" s="13" t="s">
        <v>150</v>
      </c>
      <c r="AR54" s="13"/>
      <c r="AS54" s="13" t="s">
        <v>150</v>
      </c>
      <c r="AT54" s="13"/>
      <c r="AU54" s="13" t="s">
        <v>150</v>
      </c>
      <c r="AW54" s="13" t="s">
        <v>150</v>
      </c>
      <c r="AY54" t="s">
        <v>92</v>
      </c>
      <c r="AZ54" t="s">
        <v>92</v>
      </c>
      <c r="BA54" t="s">
        <v>92</v>
      </c>
      <c r="BB54" t="s">
        <v>92</v>
      </c>
      <c r="BC54" t="s">
        <v>92</v>
      </c>
      <c r="BD54" t="s">
        <v>92</v>
      </c>
      <c r="BE54" t="s">
        <v>92</v>
      </c>
      <c r="BF54" t="s">
        <v>92</v>
      </c>
      <c r="BG54" t="s">
        <v>92</v>
      </c>
      <c r="BH54" t="s">
        <v>92</v>
      </c>
      <c r="BI54" t="s">
        <v>92</v>
      </c>
      <c r="BJ54" t="s">
        <v>92</v>
      </c>
      <c r="BK54" t="s">
        <v>92</v>
      </c>
      <c r="BL54" t="s">
        <v>92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92</v>
      </c>
      <c r="BS54" t="s">
        <v>92</v>
      </c>
      <c r="BT54" t="s">
        <v>92</v>
      </c>
      <c r="BU54" t="s">
        <v>92</v>
      </c>
      <c r="BV54" t="s">
        <v>92</v>
      </c>
      <c r="BW54" t="s">
        <v>92</v>
      </c>
      <c r="BX54" t="s">
        <v>92</v>
      </c>
      <c r="BY54" t="str">
        <f>IF(COUNTIF('Data Upload-prod'!E:E,F54)=0,"Missing","Exist")</f>
        <v>Exist</v>
      </c>
    </row>
    <row r="55" hidden="1" spans="1:77">
      <c r="A55" t="s">
        <v>84</v>
      </c>
      <c r="B55" s="16">
        <v>41828</v>
      </c>
      <c r="C55" t="s">
        <v>242</v>
      </c>
      <c r="D55" t="s">
        <v>78</v>
      </c>
      <c r="E55" t="s">
        <v>260</v>
      </c>
      <c r="F55" t="s">
        <v>261</v>
      </c>
      <c r="G55" t="s">
        <v>81</v>
      </c>
      <c r="H55" t="s">
        <v>250</v>
      </c>
      <c r="I55" t="s">
        <v>124</v>
      </c>
      <c r="J55" s="17">
        <v>58.21</v>
      </c>
      <c r="K55" s="17">
        <v>2707.1</v>
      </c>
      <c r="L55" s="17">
        <v>2199.94</v>
      </c>
      <c r="M55" t="s">
        <v>84</v>
      </c>
      <c r="N55" t="s">
        <v>84</v>
      </c>
      <c r="O55" t="s">
        <v>84</v>
      </c>
      <c r="P55" t="s">
        <v>84</v>
      </c>
      <c r="Q55" s="17">
        <v>8827944</v>
      </c>
      <c r="R55" s="17">
        <v>18.09</v>
      </c>
      <c r="S55" t="s">
        <v>85</v>
      </c>
      <c r="T55" t="s">
        <v>84</v>
      </c>
      <c r="U55" t="s">
        <v>84</v>
      </c>
      <c r="V55" s="16">
        <v>41728</v>
      </c>
      <c r="W55" s="18">
        <v>41726</v>
      </c>
      <c r="X55" s="18">
        <v>41795</v>
      </c>
      <c r="Y55" s="17">
        <v>2622.07</v>
      </c>
      <c r="Z55" t="s">
        <v>87</v>
      </c>
      <c r="AA55" s="17">
        <v>2716.25</v>
      </c>
      <c r="AB55" s="17">
        <v>2206.98</v>
      </c>
      <c r="AC55" t="s">
        <v>84</v>
      </c>
      <c r="AD55" t="s">
        <v>84</v>
      </c>
      <c r="AE55" t="s">
        <v>84</v>
      </c>
      <c r="AF55" t="s">
        <v>84</v>
      </c>
      <c r="AG55" s="17">
        <v>9909129</v>
      </c>
      <c r="AH55" s="17">
        <v>27.44</v>
      </c>
      <c r="AI55" s="17">
        <v>17.85</v>
      </c>
      <c r="AJ55" s="17">
        <v>17.85</v>
      </c>
      <c r="AK55" s="13" t="s">
        <v>155</v>
      </c>
      <c r="AL55" s="13" t="s">
        <v>150</v>
      </c>
      <c r="AM55" s="13" t="s">
        <v>150</v>
      </c>
      <c r="AN55" s="13"/>
      <c r="AO55" s="13" t="s">
        <v>150</v>
      </c>
      <c r="AP55" s="13"/>
      <c r="AQ55" s="13" t="s">
        <v>150</v>
      </c>
      <c r="AR55" s="13"/>
      <c r="AS55" s="13" t="s">
        <v>150</v>
      </c>
      <c r="AT55" s="13"/>
      <c r="AU55" s="13" t="s">
        <v>150</v>
      </c>
      <c r="AW55" s="13" t="s">
        <v>150</v>
      </c>
      <c r="AY55" t="s">
        <v>92</v>
      </c>
      <c r="AZ55" t="s">
        <v>92</v>
      </c>
      <c r="BA55" t="s">
        <v>92</v>
      </c>
      <c r="BB55" t="s">
        <v>92</v>
      </c>
      <c r="BC55" t="s">
        <v>92</v>
      </c>
      <c r="BD55" t="s">
        <v>92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92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92</v>
      </c>
      <c r="BS55" t="s">
        <v>92</v>
      </c>
      <c r="BT55" t="s">
        <v>92</v>
      </c>
      <c r="BU55" t="s">
        <v>92</v>
      </c>
      <c r="BV55" t="s">
        <v>92</v>
      </c>
      <c r="BW55" t="s">
        <v>92</v>
      </c>
      <c r="BX55" t="s">
        <v>92</v>
      </c>
      <c r="BY55" t="str">
        <f>IF(COUNTIF('Data Upload-prod'!E:E,F55)=0,"Missing","Exist")</f>
        <v>Exist</v>
      </c>
    </row>
    <row r="56" hidden="1" spans="1:77">
      <c r="A56" s="16">
        <v>46091</v>
      </c>
      <c r="B56" s="16">
        <v>46091.6254913657</v>
      </c>
      <c r="C56" t="s">
        <v>77</v>
      </c>
      <c r="D56" t="s">
        <v>120</v>
      </c>
      <c r="E56" t="s">
        <v>262</v>
      </c>
      <c r="F56" t="s">
        <v>263</v>
      </c>
      <c r="G56" t="s">
        <v>81</v>
      </c>
      <c r="H56" t="s">
        <v>135</v>
      </c>
      <c r="I56" t="s">
        <v>124</v>
      </c>
      <c r="J56" s="17">
        <v>85</v>
      </c>
      <c r="K56" s="17">
        <v>1324.73</v>
      </c>
      <c r="L56" s="17">
        <v>1201</v>
      </c>
      <c r="M56" t="s">
        <v>84</v>
      </c>
      <c r="N56" t="s">
        <v>84</v>
      </c>
      <c r="O56" t="s">
        <v>84</v>
      </c>
      <c r="P56" t="s">
        <v>84</v>
      </c>
      <c r="Q56" s="17">
        <v>5435175</v>
      </c>
      <c r="R56" s="17">
        <v>9.84</v>
      </c>
      <c r="S56" t="s">
        <v>85</v>
      </c>
      <c r="T56" t="s">
        <v>84</v>
      </c>
      <c r="U56" t="s">
        <v>86</v>
      </c>
      <c r="V56" s="16">
        <v>45413</v>
      </c>
      <c r="W56" s="18">
        <v>45413.75</v>
      </c>
      <c r="X56" s="18">
        <v>45449.1875</v>
      </c>
      <c r="Y56" s="17">
        <v>1181.93</v>
      </c>
      <c r="Z56" t="s">
        <v>87</v>
      </c>
      <c r="AA56" s="17">
        <v>1300</v>
      </c>
      <c r="AB56" s="17">
        <v>1198.44</v>
      </c>
      <c r="AC56" t="s">
        <v>84</v>
      </c>
      <c r="AD56" t="s">
        <v>84</v>
      </c>
      <c r="AE56" t="s">
        <v>84</v>
      </c>
      <c r="AF56" t="s">
        <v>84</v>
      </c>
      <c r="AG56" s="17">
        <v>3656659</v>
      </c>
      <c r="AH56" s="17">
        <v>9.84</v>
      </c>
      <c r="AI56" s="17">
        <v>0.53</v>
      </c>
      <c r="AJ56" s="17">
        <v>0.53</v>
      </c>
      <c r="AK56" t="s">
        <v>264</v>
      </c>
      <c r="AM56" s="17">
        <v>1.4</v>
      </c>
      <c r="AN56" s="17"/>
      <c r="AO56" s="17">
        <v>550</v>
      </c>
      <c r="AP56" s="17"/>
      <c r="AQ56" s="17">
        <v>1380</v>
      </c>
      <c r="AR56" s="17"/>
      <c r="AS56" s="17">
        <v>1.26</v>
      </c>
      <c r="AT56" s="17"/>
      <c r="AU56" s="17">
        <v>546</v>
      </c>
      <c r="AV56" s="17"/>
      <c r="AW56" s="17">
        <v>916</v>
      </c>
      <c r="AX56" s="17"/>
      <c r="AY56" s="17">
        <v>3.07</v>
      </c>
      <c r="AZ56" s="17">
        <v>1919565</v>
      </c>
      <c r="BA56" t="s">
        <v>265</v>
      </c>
      <c r="BB56" s="17">
        <v>0.7</v>
      </c>
      <c r="BC56" s="17">
        <v>373</v>
      </c>
      <c r="BD56" s="17">
        <v>2.2</v>
      </c>
      <c r="BE56" s="17">
        <v>1432394</v>
      </c>
      <c r="BF56" s="17">
        <v>0.52</v>
      </c>
      <c r="BG56" s="17">
        <v>336</v>
      </c>
      <c r="BH56" t="s">
        <v>93</v>
      </c>
      <c r="BI56" t="s">
        <v>94</v>
      </c>
      <c r="BJ56" t="s">
        <v>128</v>
      </c>
      <c r="BK56" t="s">
        <v>85</v>
      </c>
      <c r="BL56" t="s">
        <v>85</v>
      </c>
      <c r="BM56" t="s">
        <v>190</v>
      </c>
      <c r="BN56" t="s">
        <v>266</v>
      </c>
      <c r="BO56" t="s">
        <v>98</v>
      </c>
      <c r="BP56" t="s">
        <v>103</v>
      </c>
      <c r="BQ56" s="17">
        <v>80</v>
      </c>
      <c r="BR56" t="s">
        <v>138</v>
      </c>
      <c r="BS56" t="s">
        <v>156</v>
      </c>
      <c r="BT56" t="s">
        <v>103</v>
      </c>
      <c r="BU56" s="17">
        <v>9.4</v>
      </c>
      <c r="BV56" t="s">
        <v>191</v>
      </c>
      <c r="BW56" t="s">
        <v>85</v>
      </c>
      <c r="BX56" t="s">
        <v>85</v>
      </c>
      <c r="BY56" t="str">
        <f>IF(COUNTIF('Data Upload-prod'!E:E,F56)=0,"Missing","Exist")</f>
        <v>Missing</v>
      </c>
    </row>
    <row r="57" hidden="1" spans="1:77">
      <c r="A57" s="16">
        <v>46091</v>
      </c>
      <c r="B57" s="16">
        <v>46091.6441214815</v>
      </c>
      <c r="C57" t="s">
        <v>77</v>
      </c>
      <c r="D57" t="s">
        <v>120</v>
      </c>
      <c r="E57" t="s">
        <v>262</v>
      </c>
      <c r="F57" t="s">
        <v>267</v>
      </c>
      <c r="G57" t="s">
        <v>81</v>
      </c>
      <c r="H57" t="s">
        <v>135</v>
      </c>
      <c r="I57" t="s">
        <v>124</v>
      </c>
      <c r="J57" s="17">
        <v>85</v>
      </c>
      <c r="K57" s="17">
        <v>3570.04</v>
      </c>
      <c r="L57" s="17">
        <v>1171.38</v>
      </c>
      <c r="M57" t="s">
        <v>84</v>
      </c>
      <c r="N57" t="s">
        <v>84</v>
      </c>
      <c r="O57" t="s">
        <v>84</v>
      </c>
      <c r="P57" t="s">
        <v>84</v>
      </c>
      <c r="Q57" s="17">
        <v>8806704</v>
      </c>
      <c r="R57" s="17">
        <v>17.35</v>
      </c>
      <c r="S57" t="s">
        <v>85</v>
      </c>
      <c r="T57" t="s">
        <v>84</v>
      </c>
      <c r="U57" t="s">
        <v>86</v>
      </c>
      <c r="V57" s="16">
        <v>45409</v>
      </c>
      <c r="W57" s="18">
        <v>45409.5208333333</v>
      </c>
      <c r="X57" s="18">
        <v>45441.25</v>
      </c>
      <c r="Y57" s="17">
        <v>3495.93</v>
      </c>
      <c r="Z57" t="s">
        <v>87</v>
      </c>
      <c r="AA57" s="17">
        <v>3614</v>
      </c>
      <c r="AB57" s="17">
        <v>1188.83</v>
      </c>
      <c r="AC57" t="s">
        <v>84</v>
      </c>
      <c r="AD57" t="s">
        <v>84</v>
      </c>
      <c r="AE57" t="s">
        <v>84</v>
      </c>
      <c r="AF57" t="s">
        <v>84</v>
      </c>
      <c r="AG57" s="17">
        <v>8945584</v>
      </c>
      <c r="AH57" s="17">
        <v>20.24</v>
      </c>
      <c r="AI57" t="s">
        <v>92</v>
      </c>
      <c r="AJ57" t="s">
        <v>92</v>
      </c>
      <c r="AK57" t="s">
        <v>264</v>
      </c>
      <c r="AM57" s="17">
        <v>1.4</v>
      </c>
      <c r="AN57" s="17"/>
      <c r="AO57" s="17">
        <v>550</v>
      </c>
      <c r="AP57" s="17"/>
      <c r="AQ57" s="17">
        <v>870</v>
      </c>
      <c r="AR57" s="17"/>
      <c r="AS57" s="17">
        <v>1.12</v>
      </c>
      <c r="AT57" s="17"/>
      <c r="AU57" s="17">
        <v>488</v>
      </c>
      <c r="AV57" s="17"/>
      <c r="AW57" s="17">
        <v>776</v>
      </c>
      <c r="AX57" s="17"/>
      <c r="AY57" s="17">
        <v>4.83</v>
      </c>
      <c r="AZ57" s="17">
        <v>3122577</v>
      </c>
      <c r="BA57" t="s">
        <v>265</v>
      </c>
      <c r="BB57" s="17">
        <v>0.7</v>
      </c>
      <c r="BC57" s="17">
        <v>373</v>
      </c>
      <c r="BD57" s="17">
        <v>6.29</v>
      </c>
      <c r="BE57" s="17">
        <v>3303881</v>
      </c>
      <c r="BF57" s="17">
        <v>0.53</v>
      </c>
      <c r="BG57" s="17">
        <v>279</v>
      </c>
      <c r="BH57" t="s">
        <v>93</v>
      </c>
      <c r="BI57" t="s">
        <v>94</v>
      </c>
      <c r="BJ57" t="s">
        <v>268</v>
      </c>
      <c r="BK57" t="s">
        <v>85</v>
      </c>
      <c r="BL57" t="s">
        <v>85</v>
      </c>
      <c r="BM57" t="s">
        <v>190</v>
      </c>
      <c r="BN57" t="s">
        <v>266</v>
      </c>
      <c r="BO57" t="s">
        <v>98</v>
      </c>
      <c r="BP57" t="s">
        <v>103</v>
      </c>
      <c r="BQ57" s="17">
        <v>320</v>
      </c>
      <c r="BR57" t="s">
        <v>138</v>
      </c>
      <c r="BS57" t="s">
        <v>156</v>
      </c>
      <c r="BT57" t="s">
        <v>103</v>
      </c>
      <c r="BU57" s="17">
        <v>9</v>
      </c>
      <c r="BV57" t="s">
        <v>92</v>
      </c>
      <c r="BW57" t="s">
        <v>92</v>
      </c>
      <c r="BX57" t="s">
        <v>92</v>
      </c>
      <c r="BY57" t="str">
        <f>IF(COUNTIF('Data Upload-prod'!E:E,F57)=0,"Missing","Exist")</f>
        <v>Missing</v>
      </c>
    </row>
    <row r="58" hidden="1" spans="1:77">
      <c r="A58" s="16">
        <v>46078</v>
      </c>
      <c r="B58" s="16">
        <v>46078.452173125</v>
      </c>
      <c r="C58" t="s">
        <v>269</v>
      </c>
      <c r="D58" t="s">
        <v>78</v>
      </c>
      <c r="E58" t="s">
        <v>270</v>
      </c>
      <c r="F58" t="s">
        <v>271</v>
      </c>
      <c r="G58" t="s">
        <v>81</v>
      </c>
      <c r="H58" t="s">
        <v>168</v>
      </c>
      <c r="I58" t="s">
        <v>124</v>
      </c>
      <c r="J58" s="17">
        <v>63.61176</v>
      </c>
      <c r="K58" s="17">
        <v>3887.724</v>
      </c>
      <c r="L58" s="17">
        <v>1842.854328</v>
      </c>
      <c r="M58" t="s">
        <v>84</v>
      </c>
      <c r="N58" t="s">
        <v>84</v>
      </c>
      <c r="O58" t="s">
        <v>84</v>
      </c>
      <c r="P58" t="s">
        <v>84</v>
      </c>
      <c r="Q58" s="17">
        <v>14430000</v>
      </c>
      <c r="R58" s="17">
        <v>32.9</v>
      </c>
      <c r="S58" t="s">
        <v>85</v>
      </c>
      <c r="T58" t="s">
        <v>84</v>
      </c>
      <c r="U58" t="s">
        <v>86</v>
      </c>
      <c r="V58" s="16">
        <v>45222</v>
      </c>
      <c r="W58" s="18">
        <v>45221.6875</v>
      </c>
      <c r="X58" s="18">
        <v>45459</v>
      </c>
      <c r="Y58" s="17">
        <v>3781.335</v>
      </c>
      <c r="Z58" t="s">
        <v>87</v>
      </c>
      <c r="AA58" s="17">
        <v>3887.724</v>
      </c>
      <c r="AB58" s="17">
        <v>1842.85</v>
      </c>
      <c r="AC58" t="s">
        <v>84</v>
      </c>
      <c r="AD58" t="s">
        <v>84</v>
      </c>
      <c r="AE58" t="s">
        <v>84</v>
      </c>
      <c r="AF58" t="s">
        <v>84</v>
      </c>
      <c r="AG58" s="17">
        <v>15360215.34</v>
      </c>
      <c r="AH58" s="17">
        <v>42.06</v>
      </c>
      <c r="AI58" s="17">
        <v>9.8</v>
      </c>
      <c r="AJ58" s="17">
        <v>9.8</v>
      </c>
      <c r="AK58" t="s">
        <v>208</v>
      </c>
      <c r="AM58" s="17">
        <v>2.1</v>
      </c>
      <c r="AN58" s="17"/>
      <c r="AO58" s="17">
        <v>700</v>
      </c>
      <c r="AP58" s="17"/>
      <c r="AQ58" s="17">
        <v>1220</v>
      </c>
      <c r="AR58" s="17"/>
      <c r="AS58" s="17">
        <v>1.6</v>
      </c>
      <c r="AT58" s="17"/>
      <c r="AU58" s="17">
        <v>652</v>
      </c>
      <c r="AV58" s="17"/>
      <c r="AW58" s="17">
        <v>1262</v>
      </c>
      <c r="AX58" s="17"/>
      <c r="AY58" s="17">
        <v>8.47</v>
      </c>
      <c r="AZ58" s="17">
        <v>3564239</v>
      </c>
      <c r="BA58" t="s">
        <v>272</v>
      </c>
      <c r="BB58" s="17">
        <v>1</v>
      </c>
      <c r="BC58" s="17">
        <v>390</v>
      </c>
      <c r="BD58" s="17">
        <v>19.25</v>
      </c>
      <c r="BE58" s="17">
        <v>5279510.93</v>
      </c>
      <c r="BF58" s="17">
        <v>1.51</v>
      </c>
      <c r="BG58" s="17">
        <v>435</v>
      </c>
      <c r="BH58" t="s">
        <v>93</v>
      </c>
      <c r="BI58" t="s">
        <v>94</v>
      </c>
      <c r="BJ58" t="s">
        <v>173</v>
      </c>
      <c r="BK58" t="s">
        <v>85</v>
      </c>
      <c r="BL58" t="s">
        <v>85</v>
      </c>
      <c r="BM58" t="s">
        <v>273</v>
      </c>
      <c r="BN58" t="s">
        <v>129</v>
      </c>
      <c r="BO58" t="s">
        <v>98</v>
      </c>
      <c r="BP58" t="s">
        <v>99</v>
      </c>
      <c r="BQ58" s="17">
        <v>247</v>
      </c>
      <c r="BR58" t="s">
        <v>138</v>
      </c>
      <c r="BS58" t="s">
        <v>156</v>
      </c>
      <c r="BT58" t="s">
        <v>99</v>
      </c>
      <c r="BU58" s="17">
        <v>8.5</v>
      </c>
      <c r="BV58" t="s">
        <v>110</v>
      </c>
      <c r="BW58" t="s">
        <v>85</v>
      </c>
      <c r="BX58" t="s">
        <v>85</v>
      </c>
      <c r="BY58" t="str">
        <f>IF(COUNTIF('Data Upload-prod'!E:E,F58)=0,"Missing","Exist")</f>
        <v>Missing</v>
      </c>
    </row>
    <row r="59" hidden="1" spans="1:77">
      <c r="A59" s="16">
        <v>46073</v>
      </c>
      <c r="B59" s="16">
        <v>46073.4008925116</v>
      </c>
      <c r="C59" t="s">
        <v>132</v>
      </c>
      <c r="D59" t="s">
        <v>78</v>
      </c>
      <c r="E59" t="s">
        <v>274</v>
      </c>
      <c r="F59" t="s">
        <v>275</v>
      </c>
      <c r="G59" t="s">
        <v>81</v>
      </c>
      <c r="H59" t="s">
        <v>202</v>
      </c>
      <c r="I59" t="s">
        <v>124</v>
      </c>
      <c r="J59" s="17">
        <v>77.5</v>
      </c>
      <c r="K59" s="17">
        <v>3138.53</v>
      </c>
      <c r="L59" s="17">
        <v>2982</v>
      </c>
      <c r="M59" t="s">
        <v>84</v>
      </c>
      <c r="N59" t="s">
        <v>84</v>
      </c>
      <c r="O59" t="s">
        <v>84</v>
      </c>
      <c r="P59" t="s">
        <v>84</v>
      </c>
      <c r="Q59" s="17">
        <v>19522616.46</v>
      </c>
      <c r="R59" s="17">
        <v>33.19</v>
      </c>
      <c r="S59" t="s">
        <v>85</v>
      </c>
      <c r="T59" t="s">
        <v>84</v>
      </c>
      <c r="U59" t="s">
        <v>86</v>
      </c>
      <c r="V59" s="16">
        <v>45425</v>
      </c>
      <c r="W59" s="18">
        <v>45425.8125</v>
      </c>
      <c r="X59" s="18">
        <v>45567.6354166667</v>
      </c>
      <c r="Y59" s="17">
        <v>3747.3</v>
      </c>
      <c r="Z59" t="s">
        <v>87</v>
      </c>
      <c r="AA59" s="17">
        <v>3142</v>
      </c>
      <c r="AB59" s="17">
        <v>2987.05</v>
      </c>
      <c r="AC59" t="s">
        <v>84</v>
      </c>
      <c r="AD59" t="s">
        <v>84</v>
      </c>
      <c r="AE59" t="s">
        <v>84</v>
      </c>
      <c r="AF59" t="s">
        <v>84</v>
      </c>
      <c r="AG59" s="17">
        <v>17379643.58</v>
      </c>
      <c r="AH59" s="17">
        <v>34.12</v>
      </c>
      <c r="AI59" s="17">
        <v>10.44</v>
      </c>
      <c r="AJ59" s="17">
        <v>10.44</v>
      </c>
      <c r="AK59" t="s">
        <v>276</v>
      </c>
      <c r="AM59" s="17">
        <v>3.7</v>
      </c>
      <c r="AN59" s="17"/>
      <c r="AO59" s="17">
        <v>1585</v>
      </c>
      <c r="AP59" s="17"/>
      <c r="AQ59" s="17">
        <v>3040</v>
      </c>
      <c r="AR59" s="17"/>
      <c r="AS59" s="17">
        <v>2.28</v>
      </c>
      <c r="AT59" s="17"/>
      <c r="AU59" s="17">
        <v>1127.34</v>
      </c>
      <c r="AV59" s="17"/>
      <c r="AW59" s="17">
        <v>1413.57</v>
      </c>
      <c r="AX59" s="17"/>
      <c r="AY59" s="17">
        <v>4.71</v>
      </c>
      <c r="AZ59" s="17">
        <v>3987671</v>
      </c>
      <c r="BA59" t="s">
        <v>277</v>
      </c>
      <c r="BB59" s="17">
        <v>0.3</v>
      </c>
      <c r="BC59" s="17">
        <v>159</v>
      </c>
      <c r="BD59" s="17">
        <v>3.71</v>
      </c>
      <c r="BE59" s="17">
        <v>2589208</v>
      </c>
      <c r="BF59" s="17">
        <v>0.3</v>
      </c>
      <c r="BG59" s="17">
        <v>210.59</v>
      </c>
      <c r="BH59" t="s">
        <v>93</v>
      </c>
      <c r="BI59" t="s">
        <v>278</v>
      </c>
      <c r="BJ59" t="s">
        <v>95</v>
      </c>
      <c r="BK59" t="s">
        <v>85</v>
      </c>
      <c r="BL59" t="s">
        <v>85</v>
      </c>
      <c r="BM59" t="s">
        <v>96</v>
      </c>
      <c r="BN59" t="s">
        <v>129</v>
      </c>
      <c r="BO59" t="s">
        <v>98</v>
      </c>
      <c r="BP59" t="s">
        <v>99</v>
      </c>
      <c r="BQ59" s="17">
        <v>12.07</v>
      </c>
      <c r="BR59" t="s">
        <v>138</v>
      </c>
      <c r="BS59" t="s">
        <v>156</v>
      </c>
      <c r="BT59" t="s">
        <v>99</v>
      </c>
      <c r="BU59" s="17">
        <v>8.35</v>
      </c>
      <c r="BV59" t="s">
        <v>131</v>
      </c>
      <c r="BW59" t="s">
        <v>85</v>
      </c>
      <c r="BX59" t="s">
        <v>85</v>
      </c>
      <c r="BY59" t="str">
        <f>IF(COUNTIF('Data Upload-prod'!E:E,F59)=0,"Missing","Exist")</f>
        <v>Missing</v>
      </c>
    </row>
    <row r="60" hidden="1" spans="1:77">
      <c r="A60" s="16">
        <v>46073</v>
      </c>
      <c r="B60" s="16">
        <v>46073.4113443866</v>
      </c>
      <c r="C60" t="s">
        <v>132</v>
      </c>
      <c r="D60" t="s">
        <v>78</v>
      </c>
      <c r="E60" t="s">
        <v>274</v>
      </c>
      <c r="F60" t="s">
        <v>279</v>
      </c>
      <c r="G60" t="s">
        <v>81</v>
      </c>
      <c r="H60" t="s">
        <v>202</v>
      </c>
      <c r="I60" t="s">
        <v>124</v>
      </c>
      <c r="J60" s="17">
        <v>77.5</v>
      </c>
      <c r="K60" s="17">
        <v>4075</v>
      </c>
      <c r="L60" s="17">
        <v>2974</v>
      </c>
      <c r="M60" t="s">
        <v>84</v>
      </c>
      <c r="N60" t="s">
        <v>84</v>
      </c>
      <c r="O60" t="s">
        <v>84</v>
      </c>
      <c r="P60" t="s">
        <v>84</v>
      </c>
      <c r="Q60" s="17">
        <v>20441192.39</v>
      </c>
      <c r="R60" s="17">
        <v>33.16</v>
      </c>
      <c r="S60" t="s">
        <v>85</v>
      </c>
      <c r="T60" t="s">
        <v>84</v>
      </c>
      <c r="U60" t="s">
        <v>86</v>
      </c>
      <c r="V60" s="16">
        <v>45435</v>
      </c>
      <c r="W60" s="18">
        <v>45434.8125</v>
      </c>
      <c r="X60" s="18">
        <v>45599</v>
      </c>
      <c r="Y60" s="17">
        <v>4049.45</v>
      </c>
      <c r="Z60" t="s">
        <v>87</v>
      </c>
      <c r="AA60" s="17">
        <v>4173.65</v>
      </c>
      <c r="AB60" s="17">
        <v>2966</v>
      </c>
      <c r="AC60" t="s">
        <v>84</v>
      </c>
      <c r="AD60" t="s">
        <v>84</v>
      </c>
      <c r="AE60" t="s">
        <v>84</v>
      </c>
      <c r="AF60" t="s">
        <v>84</v>
      </c>
      <c r="AG60" s="17">
        <v>16449360.15</v>
      </c>
      <c r="AH60" s="17">
        <v>33.44</v>
      </c>
      <c r="AI60" s="17">
        <v>1.06</v>
      </c>
      <c r="AJ60" s="17">
        <v>1.06</v>
      </c>
      <c r="AK60" t="s">
        <v>276</v>
      </c>
      <c r="AM60" s="17">
        <v>3.7</v>
      </c>
      <c r="AN60" s="17"/>
      <c r="AO60" s="17">
        <v>1585</v>
      </c>
      <c r="AP60" s="17"/>
      <c r="AQ60" s="17">
        <v>3040</v>
      </c>
      <c r="AR60" s="17"/>
      <c r="AS60" s="17">
        <v>2.25</v>
      </c>
      <c r="AT60" s="17"/>
      <c r="AU60" s="17">
        <v>1055.15</v>
      </c>
      <c r="AV60" s="17"/>
      <c r="AW60" s="17">
        <v>1236.67</v>
      </c>
      <c r="AX60" s="17"/>
      <c r="AY60" s="17">
        <v>5.17</v>
      </c>
      <c r="AZ60" s="17">
        <v>4428397</v>
      </c>
      <c r="BA60" t="s">
        <v>277</v>
      </c>
      <c r="BB60" s="17">
        <v>0.3</v>
      </c>
      <c r="BC60" s="17">
        <v>159</v>
      </c>
      <c r="BD60" s="17">
        <v>3.1</v>
      </c>
      <c r="BE60" s="17">
        <v>2075596</v>
      </c>
      <c r="BF60" s="17">
        <v>0.23</v>
      </c>
      <c r="BG60" s="17">
        <v>156.22</v>
      </c>
      <c r="BH60" t="s">
        <v>93</v>
      </c>
      <c r="BI60" t="s">
        <v>278</v>
      </c>
      <c r="BJ60" t="s">
        <v>95</v>
      </c>
      <c r="BK60" t="s">
        <v>85</v>
      </c>
      <c r="BL60" t="s">
        <v>85</v>
      </c>
      <c r="BM60" t="s">
        <v>96</v>
      </c>
      <c r="BN60" t="s">
        <v>129</v>
      </c>
      <c r="BO60" t="s">
        <v>98</v>
      </c>
      <c r="BP60" t="s">
        <v>99</v>
      </c>
      <c r="BQ60" s="17">
        <v>46.6</v>
      </c>
      <c r="BR60" t="s">
        <v>138</v>
      </c>
      <c r="BS60" t="s">
        <v>156</v>
      </c>
      <c r="BT60" t="s">
        <v>99</v>
      </c>
      <c r="BU60" s="17">
        <v>8.35</v>
      </c>
      <c r="BV60" t="s">
        <v>131</v>
      </c>
      <c r="BW60" t="s">
        <v>85</v>
      </c>
      <c r="BX60" t="s">
        <v>85</v>
      </c>
      <c r="BY60" t="str">
        <f>IF(COUNTIF('Data Upload-prod'!E:E,F60)=0,"Missing","Exist")</f>
        <v>Missing</v>
      </c>
    </row>
    <row r="61" hidden="1" spans="1:77">
      <c r="A61" s="16">
        <v>46073</v>
      </c>
      <c r="B61" s="16">
        <v>46073.3878761343</v>
      </c>
      <c r="C61" t="s">
        <v>132</v>
      </c>
      <c r="D61" t="s">
        <v>78</v>
      </c>
      <c r="E61" t="s">
        <v>274</v>
      </c>
      <c r="F61" t="s">
        <v>280</v>
      </c>
      <c r="G61" t="s">
        <v>81</v>
      </c>
      <c r="H61" t="s">
        <v>202</v>
      </c>
      <c r="I61" t="s">
        <v>124</v>
      </c>
      <c r="J61" s="17">
        <v>77.5</v>
      </c>
      <c r="K61" s="17">
        <v>4442.77</v>
      </c>
      <c r="L61" s="17">
        <v>2903</v>
      </c>
      <c r="M61" t="s">
        <v>84</v>
      </c>
      <c r="N61" t="s">
        <v>84</v>
      </c>
      <c r="O61" t="s">
        <v>84</v>
      </c>
      <c r="P61" t="s">
        <v>84</v>
      </c>
      <c r="Q61" s="17">
        <v>21404747.91</v>
      </c>
      <c r="R61" s="17">
        <v>38.53</v>
      </c>
      <c r="S61" t="s">
        <v>85</v>
      </c>
      <c r="T61" t="s">
        <v>84</v>
      </c>
      <c r="U61" t="s">
        <v>86</v>
      </c>
      <c r="V61" s="16">
        <v>45431</v>
      </c>
      <c r="W61" s="18">
        <v>45431.46875</v>
      </c>
      <c r="X61" s="18">
        <v>45600.90625</v>
      </c>
      <c r="Y61" s="17">
        <v>4337.8</v>
      </c>
      <c r="Z61" t="s">
        <v>87</v>
      </c>
      <c r="AA61" s="17">
        <v>4462</v>
      </c>
      <c r="AB61" s="17">
        <v>2927.6</v>
      </c>
      <c r="AC61" t="s">
        <v>84</v>
      </c>
      <c r="AD61" t="s">
        <v>84</v>
      </c>
      <c r="AE61" t="s">
        <v>84</v>
      </c>
      <c r="AF61" t="s">
        <v>84</v>
      </c>
      <c r="AG61" s="17">
        <v>19474168.11</v>
      </c>
      <c r="AH61" s="17">
        <v>34.88</v>
      </c>
      <c r="AI61" s="17">
        <v>1.61</v>
      </c>
      <c r="AJ61" s="17">
        <v>1.61</v>
      </c>
      <c r="AK61" t="s">
        <v>276</v>
      </c>
      <c r="AM61" s="17">
        <v>3.7</v>
      </c>
      <c r="AN61" s="17"/>
      <c r="AO61" s="17">
        <v>1585</v>
      </c>
      <c r="AP61" s="17"/>
      <c r="AQ61" s="17">
        <v>3040</v>
      </c>
      <c r="AR61" s="17"/>
      <c r="AS61" s="17">
        <v>2.17</v>
      </c>
      <c r="AT61" s="17"/>
      <c r="AU61" s="17">
        <v>1129</v>
      </c>
      <c r="AV61" s="17"/>
      <c r="AW61" s="17">
        <v>1368</v>
      </c>
      <c r="AX61" s="17"/>
      <c r="AY61" s="17">
        <v>5.38</v>
      </c>
      <c r="AZ61" s="17">
        <v>4844550</v>
      </c>
      <c r="BA61" t="s">
        <v>277</v>
      </c>
      <c r="BB61" s="17">
        <v>0.3</v>
      </c>
      <c r="BC61" s="17">
        <v>159</v>
      </c>
      <c r="BD61" s="17">
        <v>4.04</v>
      </c>
      <c r="BE61" s="17">
        <v>3213389</v>
      </c>
      <c r="BF61" s="17">
        <v>0.28</v>
      </c>
      <c r="BG61" s="17">
        <v>226</v>
      </c>
      <c r="BH61" t="s">
        <v>93</v>
      </c>
      <c r="BI61" t="s">
        <v>278</v>
      </c>
      <c r="BJ61" t="s">
        <v>95</v>
      </c>
      <c r="BK61" t="s">
        <v>85</v>
      </c>
      <c r="BL61" t="s">
        <v>85</v>
      </c>
      <c r="BM61" t="s">
        <v>96</v>
      </c>
      <c r="BN61" t="s">
        <v>266</v>
      </c>
      <c r="BO61" t="s">
        <v>98</v>
      </c>
      <c r="BP61" t="s">
        <v>99</v>
      </c>
      <c r="BQ61" s="17">
        <v>175.2</v>
      </c>
      <c r="BR61" t="s">
        <v>138</v>
      </c>
      <c r="BS61" t="s">
        <v>156</v>
      </c>
      <c r="BT61" t="s">
        <v>99</v>
      </c>
      <c r="BU61" s="17">
        <v>8.35</v>
      </c>
      <c r="BV61" t="s">
        <v>131</v>
      </c>
      <c r="BW61" t="s">
        <v>85</v>
      </c>
      <c r="BX61" t="s">
        <v>85</v>
      </c>
      <c r="BY61" t="str">
        <f>IF(COUNTIF('Data Upload-prod'!E:E,F61)=0,"Missing","Exist")</f>
        <v>Missing</v>
      </c>
    </row>
    <row r="62" hidden="1" spans="1:77">
      <c r="A62" s="16">
        <v>46072</v>
      </c>
      <c r="B62" s="16">
        <v>46072.5738432292</v>
      </c>
      <c r="C62" t="s">
        <v>281</v>
      </c>
      <c r="D62" t="s">
        <v>78</v>
      </c>
      <c r="E62" t="s">
        <v>282</v>
      </c>
      <c r="F62" t="s">
        <v>283</v>
      </c>
      <c r="G62" t="s">
        <v>81</v>
      </c>
      <c r="H62" t="s">
        <v>284</v>
      </c>
      <c r="I62" t="s">
        <v>83</v>
      </c>
      <c r="J62" s="17">
        <v>73</v>
      </c>
      <c r="K62" s="17">
        <v>3100</v>
      </c>
      <c r="L62" s="17">
        <v>1384</v>
      </c>
      <c r="M62" t="s">
        <v>84</v>
      </c>
      <c r="N62" t="s">
        <v>84</v>
      </c>
      <c r="O62" t="s">
        <v>84</v>
      </c>
      <c r="P62" t="s">
        <v>84</v>
      </c>
      <c r="Q62" s="17">
        <v>11950000</v>
      </c>
      <c r="R62" s="17">
        <v>32.9</v>
      </c>
      <c r="S62" t="s">
        <v>85</v>
      </c>
      <c r="T62" t="s">
        <v>84</v>
      </c>
      <c r="U62" t="s">
        <v>86</v>
      </c>
      <c r="V62" s="16">
        <v>45385</v>
      </c>
      <c r="W62" s="18">
        <v>45384.9166666667</v>
      </c>
      <c r="X62" s="18">
        <v>45418</v>
      </c>
      <c r="Y62" s="17">
        <v>2862</v>
      </c>
      <c r="Z62" t="s">
        <v>87</v>
      </c>
      <c r="AA62" s="17">
        <v>3026</v>
      </c>
      <c r="AB62" s="17">
        <v>1341</v>
      </c>
      <c r="AC62" t="s">
        <v>84</v>
      </c>
      <c r="AD62" t="s">
        <v>84</v>
      </c>
      <c r="AE62" t="s">
        <v>84</v>
      </c>
      <c r="AF62" t="s">
        <v>84</v>
      </c>
      <c r="AG62" s="17">
        <v>10461000</v>
      </c>
      <c r="AH62" s="17">
        <v>34.08</v>
      </c>
      <c r="AI62" s="17">
        <v>5.04</v>
      </c>
      <c r="AJ62" s="17">
        <v>4.68</v>
      </c>
      <c r="AK62" t="s">
        <v>208</v>
      </c>
      <c r="AM62" s="17">
        <v>2.1</v>
      </c>
      <c r="AN62" s="17"/>
      <c r="AO62" s="17">
        <v>700</v>
      </c>
      <c r="AP62" s="17"/>
      <c r="AQ62" s="17">
        <v>1220</v>
      </c>
      <c r="AR62" s="17"/>
      <c r="AS62" s="17">
        <v>2.2</v>
      </c>
      <c r="AT62" s="17"/>
      <c r="AU62" s="17">
        <v>672</v>
      </c>
      <c r="AV62" s="17"/>
      <c r="AW62" s="17">
        <v>1114</v>
      </c>
      <c r="AX62" s="17"/>
      <c r="AY62" s="17">
        <v>14.16</v>
      </c>
      <c r="AZ62" s="17">
        <v>4261000</v>
      </c>
      <c r="BA62" t="s">
        <v>272</v>
      </c>
      <c r="BB62" s="17">
        <v>1</v>
      </c>
      <c r="BC62" s="17">
        <v>390</v>
      </c>
      <c r="BD62" s="17">
        <v>8.75</v>
      </c>
      <c r="BE62" s="17">
        <v>2801222</v>
      </c>
      <c r="BF62" s="17">
        <v>0.9</v>
      </c>
      <c r="BG62" s="17">
        <v>283</v>
      </c>
      <c r="BH62" t="s">
        <v>93</v>
      </c>
      <c r="BI62" t="s">
        <v>94</v>
      </c>
      <c r="BJ62" t="s">
        <v>173</v>
      </c>
      <c r="BK62" t="s">
        <v>85</v>
      </c>
      <c r="BL62" t="s">
        <v>85</v>
      </c>
      <c r="BM62" t="s">
        <v>96</v>
      </c>
      <c r="BN62" t="s">
        <v>266</v>
      </c>
      <c r="BO62" t="s">
        <v>216</v>
      </c>
      <c r="BP62" t="s">
        <v>99</v>
      </c>
      <c r="BQ62" s="17">
        <v>49.215</v>
      </c>
      <c r="BR62" t="s">
        <v>138</v>
      </c>
      <c r="BS62" t="s">
        <v>285</v>
      </c>
      <c r="BT62" t="s">
        <v>99</v>
      </c>
      <c r="BU62" s="17">
        <v>9</v>
      </c>
      <c r="BV62" t="s">
        <v>110</v>
      </c>
      <c r="BW62" t="s">
        <v>85</v>
      </c>
      <c r="BX62" t="s">
        <v>85</v>
      </c>
      <c r="BY62" t="str">
        <f>IF(COUNTIF('Data Upload-prod'!E:E,F62)=0,"Missing","Exist")</f>
        <v>Missing</v>
      </c>
    </row>
    <row r="63" hidden="1" spans="1:77">
      <c r="A63" s="16">
        <v>46072</v>
      </c>
      <c r="B63" s="16">
        <v>46072.5912539236</v>
      </c>
      <c r="C63" t="s">
        <v>281</v>
      </c>
      <c r="D63" t="s">
        <v>78</v>
      </c>
      <c r="E63" t="s">
        <v>282</v>
      </c>
      <c r="F63" t="s">
        <v>286</v>
      </c>
      <c r="G63" t="s">
        <v>81</v>
      </c>
      <c r="H63" t="s">
        <v>284</v>
      </c>
      <c r="I63" t="s">
        <v>83</v>
      </c>
      <c r="J63" s="17">
        <v>73</v>
      </c>
      <c r="K63" s="17">
        <v>2200</v>
      </c>
      <c r="L63" s="17">
        <v>1407</v>
      </c>
      <c r="M63" t="s">
        <v>84</v>
      </c>
      <c r="N63" t="s">
        <v>84</v>
      </c>
      <c r="O63" t="s">
        <v>84</v>
      </c>
      <c r="P63" t="s">
        <v>84</v>
      </c>
      <c r="Q63" s="17">
        <v>7900000</v>
      </c>
      <c r="R63" s="17">
        <v>20.71</v>
      </c>
      <c r="S63" t="s">
        <v>85</v>
      </c>
      <c r="T63" t="s">
        <v>84</v>
      </c>
      <c r="U63" t="s">
        <v>86</v>
      </c>
      <c r="V63" s="16">
        <v>45422</v>
      </c>
      <c r="W63" s="18">
        <v>45422.3333333333</v>
      </c>
      <c r="X63" s="18">
        <v>45451</v>
      </c>
      <c r="Y63" s="17">
        <v>1953.2</v>
      </c>
      <c r="Z63" t="s">
        <v>87</v>
      </c>
      <c r="AA63" s="17">
        <v>2120</v>
      </c>
      <c r="AB63" s="17">
        <v>1365.9</v>
      </c>
      <c r="AC63" t="s">
        <v>84</v>
      </c>
      <c r="AD63" t="s">
        <v>84</v>
      </c>
      <c r="AE63" t="s">
        <v>84</v>
      </c>
      <c r="AF63" t="s">
        <v>84</v>
      </c>
      <c r="AG63" s="17">
        <v>5627700</v>
      </c>
      <c r="AH63" s="17">
        <v>17.56</v>
      </c>
      <c r="AI63" s="17">
        <v>-1</v>
      </c>
      <c r="AJ63" s="17">
        <v>0.89</v>
      </c>
      <c r="AK63" t="s">
        <v>208</v>
      </c>
      <c r="AM63" s="17">
        <v>2.1</v>
      </c>
      <c r="AN63" s="17"/>
      <c r="AO63" s="17">
        <v>700</v>
      </c>
      <c r="AP63" s="17"/>
      <c r="AQ63" s="17">
        <v>1220</v>
      </c>
      <c r="AR63" s="17"/>
      <c r="AS63" s="17">
        <v>1.2</v>
      </c>
      <c r="AT63" s="17"/>
      <c r="AU63" s="17">
        <v>370</v>
      </c>
      <c r="AV63" s="17"/>
      <c r="AW63" s="17">
        <v>879</v>
      </c>
      <c r="AX63" s="17"/>
      <c r="AY63" s="17">
        <v>8.82</v>
      </c>
      <c r="AZ63" s="17">
        <v>2753130</v>
      </c>
      <c r="BA63" t="s">
        <v>272</v>
      </c>
      <c r="BB63" s="17">
        <v>1</v>
      </c>
      <c r="BC63" s="17">
        <v>390</v>
      </c>
      <c r="BD63" s="17">
        <v>5.59</v>
      </c>
      <c r="BE63" s="17">
        <v>2002200</v>
      </c>
      <c r="BF63" s="17">
        <v>0.8</v>
      </c>
      <c r="BG63" s="17">
        <v>288</v>
      </c>
      <c r="BH63" t="s">
        <v>93</v>
      </c>
      <c r="BI63" t="s">
        <v>94</v>
      </c>
      <c r="BJ63" t="s">
        <v>173</v>
      </c>
      <c r="BK63" t="s">
        <v>85</v>
      </c>
      <c r="BL63" t="s">
        <v>85</v>
      </c>
      <c r="BM63" t="s">
        <v>96</v>
      </c>
      <c r="BN63" t="s">
        <v>266</v>
      </c>
      <c r="BO63" t="s">
        <v>98</v>
      </c>
      <c r="BP63" t="s">
        <v>103</v>
      </c>
      <c r="BQ63" s="17">
        <v>29</v>
      </c>
      <c r="BR63" t="s">
        <v>138</v>
      </c>
      <c r="BS63" t="s">
        <v>285</v>
      </c>
      <c r="BT63" t="s">
        <v>103</v>
      </c>
      <c r="BU63" s="17">
        <v>8.7</v>
      </c>
      <c r="BV63" t="s">
        <v>191</v>
      </c>
      <c r="BW63" t="s">
        <v>85</v>
      </c>
      <c r="BX63" t="s">
        <v>85</v>
      </c>
      <c r="BY63" t="str">
        <f>IF(COUNTIF('Data Upload-prod'!E:E,F63)=0,"Missing","Exist")</f>
        <v>Missing</v>
      </c>
    </row>
    <row r="64" hidden="1" spans="1:77">
      <c r="A64" s="16">
        <v>46072</v>
      </c>
      <c r="B64" s="16">
        <v>46072.5813962963</v>
      </c>
      <c r="C64" t="s">
        <v>281</v>
      </c>
      <c r="D64" t="s">
        <v>78</v>
      </c>
      <c r="E64" t="s">
        <v>282</v>
      </c>
      <c r="F64" t="s">
        <v>287</v>
      </c>
      <c r="G64" t="s">
        <v>81</v>
      </c>
      <c r="H64" t="s">
        <v>284</v>
      </c>
      <c r="I64" t="s">
        <v>83</v>
      </c>
      <c r="J64" s="17">
        <v>73</v>
      </c>
      <c r="K64" s="17">
        <v>3400</v>
      </c>
      <c r="L64" s="17">
        <v>1408</v>
      </c>
      <c r="M64" t="s">
        <v>84</v>
      </c>
      <c r="N64" t="s">
        <v>84</v>
      </c>
      <c r="O64" t="s">
        <v>84</v>
      </c>
      <c r="P64" t="s">
        <v>84</v>
      </c>
      <c r="Q64" s="17">
        <v>10400000</v>
      </c>
      <c r="R64" s="17">
        <v>28.41</v>
      </c>
      <c r="S64" t="s">
        <v>85</v>
      </c>
      <c r="T64" t="s">
        <v>84</v>
      </c>
      <c r="U64" t="s">
        <v>86</v>
      </c>
      <c r="V64" s="16">
        <v>45419</v>
      </c>
      <c r="W64" s="18">
        <v>45419</v>
      </c>
      <c r="X64" s="18">
        <v>45456.0833333333</v>
      </c>
      <c r="Y64" s="17">
        <v>3077</v>
      </c>
      <c r="Z64" t="s">
        <v>87</v>
      </c>
      <c r="AA64" s="17">
        <v>3250</v>
      </c>
      <c r="AB64" s="17">
        <v>1365</v>
      </c>
      <c r="AC64" t="s">
        <v>84</v>
      </c>
      <c r="AD64" t="s">
        <v>84</v>
      </c>
      <c r="AE64" t="s">
        <v>84</v>
      </c>
      <c r="AF64" t="s">
        <v>84</v>
      </c>
      <c r="AG64" s="17">
        <v>6862700</v>
      </c>
      <c r="AH64" s="17">
        <v>19.52</v>
      </c>
      <c r="AI64" s="17">
        <v>-1</v>
      </c>
      <c r="AJ64" s="17">
        <v>0.85</v>
      </c>
      <c r="AK64" t="s">
        <v>208</v>
      </c>
      <c r="AM64" s="17">
        <v>2.1</v>
      </c>
      <c r="AN64" s="17"/>
      <c r="AO64" s="17">
        <v>700</v>
      </c>
      <c r="AP64" s="17"/>
      <c r="AQ64" s="17">
        <v>1220</v>
      </c>
      <c r="AR64" s="17"/>
      <c r="AS64" s="17">
        <v>1.2</v>
      </c>
      <c r="AT64" s="17"/>
      <c r="AU64" s="17">
        <v>411</v>
      </c>
      <c r="AV64" s="17"/>
      <c r="AW64" s="17">
        <v>680</v>
      </c>
      <c r="AX64" s="17"/>
      <c r="AY64" s="17">
        <v>11.73</v>
      </c>
      <c r="AZ64" s="17">
        <v>3208731</v>
      </c>
      <c r="BA64" t="s">
        <v>272</v>
      </c>
      <c r="BB64" s="17">
        <v>1</v>
      </c>
      <c r="BC64" s="17">
        <v>390</v>
      </c>
      <c r="BD64" s="17">
        <v>4.84</v>
      </c>
      <c r="BE64" s="17">
        <v>1751081</v>
      </c>
      <c r="BF64" s="17">
        <v>0.5</v>
      </c>
      <c r="BG64" s="17">
        <v>165</v>
      </c>
      <c r="BH64" t="s">
        <v>93</v>
      </c>
      <c r="BI64" t="s">
        <v>94</v>
      </c>
      <c r="BJ64" t="s">
        <v>173</v>
      </c>
      <c r="BK64" t="s">
        <v>92</v>
      </c>
      <c r="BL64" t="s">
        <v>92</v>
      </c>
      <c r="BM64" t="s">
        <v>96</v>
      </c>
      <c r="BN64" t="s">
        <v>129</v>
      </c>
      <c r="BO64" t="s">
        <v>98</v>
      </c>
      <c r="BP64" t="s">
        <v>103</v>
      </c>
      <c r="BQ64" s="17">
        <v>22</v>
      </c>
      <c r="BR64" t="s">
        <v>138</v>
      </c>
      <c r="BS64" t="s">
        <v>156</v>
      </c>
      <c r="BT64" t="s">
        <v>103</v>
      </c>
      <c r="BU64" s="17">
        <v>8.5</v>
      </c>
      <c r="BV64" t="s">
        <v>131</v>
      </c>
      <c r="BW64" t="s">
        <v>85</v>
      </c>
      <c r="BX64" t="s">
        <v>85</v>
      </c>
      <c r="BY64" t="str">
        <f>IF(COUNTIF('Data Upload-prod'!E:E,F64)=0,"Missing","Exist")</f>
        <v>Missing</v>
      </c>
    </row>
    <row r="65" hidden="1" spans="1:77">
      <c r="A65" s="16">
        <v>46066</v>
      </c>
      <c r="B65" s="16">
        <v>46066.6819119444</v>
      </c>
      <c r="C65" t="s">
        <v>132</v>
      </c>
      <c r="D65" t="s">
        <v>78</v>
      </c>
      <c r="E65" t="s">
        <v>196</v>
      </c>
      <c r="F65" t="s">
        <v>288</v>
      </c>
      <c r="G65" t="s">
        <v>81</v>
      </c>
      <c r="H65" t="s">
        <v>289</v>
      </c>
      <c r="I65" t="s">
        <v>124</v>
      </c>
      <c r="J65" s="17">
        <v>61</v>
      </c>
      <c r="K65" s="17">
        <v>4898</v>
      </c>
      <c r="L65" s="17">
        <v>1650</v>
      </c>
      <c r="M65" t="s">
        <v>84</v>
      </c>
      <c r="N65" t="s">
        <v>84</v>
      </c>
      <c r="O65" t="s">
        <v>84</v>
      </c>
      <c r="P65" t="s">
        <v>84</v>
      </c>
      <c r="Q65" s="17">
        <v>18350000</v>
      </c>
      <c r="R65" s="17">
        <v>31.67</v>
      </c>
      <c r="S65" t="s">
        <v>85</v>
      </c>
      <c r="T65" t="s">
        <v>84</v>
      </c>
      <c r="U65" t="s">
        <v>86</v>
      </c>
      <c r="V65" s="16">
        <v>45624</v>
      </c>
      <c r="W65" s="18">
        <v>45624.5041666667</v>
      </c>
      <c r="X65" s="18">
        <v>45733.5041666667</v>
      </c>
      <c r="Y65" s="17">
        <v>4691</v>
      </c>
      <c r="Z65" t="s">
        <v>87</v>
      </c>
      <c r="AA65" s="17">
        <v>4795</v>
      </c>
      <c r="AB65" s="17">
        <v>1645.33</v>
      </c>
      <c r="AC65" t="s">
        <v>84</v>
      </c>
      <c r="AD65" t="s">
        <v>84</v>
      </c>
      <c r="AE65" t="s">
        <v>84</v>
      </c>
      <c r="AF65" t="s">
        <v>84</v>
      </c>
      <c r="AG65" s="17">
        <v>18349998</v>
      </c>
      <c r="AH65" s="17">
        <v>31.76</v>
      </c>
      <c r="AI65" s="17">
        <v>8.57</v>
      </c>
      <c r="AJ65" s="17">
        <v>8.57</v>
      </c>
      <c r="AK65" t="s">
        <v>290</v>
      </c>
      <c r="AM65" s="17">
        <v>5.1</v>
      </c>
      <c r="AN65" s="17"/>
      <c r="AO65" s="17">
        <v>1525</v>
      </c>
      <c r="AP65" s="17"/>
      <c r="AQ65" t="s">
        <v>92</v>
      </c>
      <c r="AS65" s="17">
        <v>3.1</v>
      </c>
      <c r="AT65" s="17"/>
      <c r="AU65" s="17">
        <v>1251</v>
      </c>
      <c r="AV65" s="17"/>
      <c r="AW65" s="17">
        <v>1585</v>
      </c>
      <c r="AX65" s="17"/>
      <c r="AY65" s="17">
        <v>7.01</v>
      </c>
      <c r="AZ65" s="17">
        <v>4692308</v>
      </c>
      <c r="BA65" t="s">
        <v>92</v>
      </c>
      <c r="BB65" t="s">
        <v>92</v>
      </c>
      <c r="BC65" t="s">
        <v>92</v>
      </c>
      <c r="BD65" s="17">
        <v>7</v>
      </c>
      <c r="BE65" s="17">
        <v>4692308</v>
      </c>
      <c r="BF65" s="17">
        <v>0.5</v>
      </c>
      <c r="BG65" s="17">
        <v>316</v>
      </c>
      <c r="BH65" t="s">
        <v>93</v>
      </c>
      <c r="BI65" t="s">
        <v>94</v>
      </c>
      <c r="BJ65" t="s">
        <v>128</v>
      </c>
      <c r="BK65" t="s">
        <v>291</v>
      </c>
      <c r="BL65" t="s">
        <v>85</v>
      </c>
      <c r="BM65" t="s">
        <v>96</v>
      </c>
      <c r="BN65" t="s">
        <v>129</v>
      </c>
      <c r="BO65" t="s">
        <v>98</v>
      </c>
      <c r="BP65" t="s">
        <v>103</v>
      </c>
      <c r="BQ65" s="17">
        <v>1011</v>
      </c>
      <c r="BR65" t="s">
        <v>138</v>
      </c>
      <c r="BS65" t="s">
        <v>92</v>
      </c>
      <c r="BT65" t="s">
        <v>103</v>
      </c>
      <c r="BU65" s="17">
        <v>9.3</v>
      </c>
      <c r="BV65" t="s">
        <v>191</v>
      </c>
      <c r="BW65" t="s">
        <v>85</v>
      </c>
      <c r="BX65" t="s">
        <v>129</v>
      </c>
      <c r="BY65" t="str">
        <f>IF(COUNTIF('Data Upload-prod'!E:E,F65)=0,"Missing","Exist")</f>
        <v>Missing</v>
      </c>
    </row>
    <row r="66" hidden="1" spans="1:77">
      <c r="A66" s="16">
        <v>46066</v>
      </c>
      <c r="B66" s="16">
        <v>46066.6939389931</v>
      </c>
      <c r="C66" t="s">
        <v>132</v>
      </c>
      <c r="D66" t="s">
        <v>78</v>
      </c>
      <c r="E66" t="s">
        <v>196</v>
      </c>
      <c r="F66" t="s">
        <v>292</v>
      </c>
      <c r="G66" t="s">
        <v>81</v>
      </c>
      <c r="H66" t="s">
        <v>289</v>
      </c>
      <c r="I66" t="s">
        <v>124</v>
      </c>
      <c r="J66" s="17">
        <v>61</v>
      </c>
      <c r="K66" s="17">
        <v>3657</v>
      </c>
      <c r="L66" s="17">
        <v>1636</v>
      </c>
      <c r="M66" t="s">
        <v>84</v>
      </c>
      <c r="N66" t="s">
        <v>84</v>
      </c>
      <c r="O66" t="s">
        <v>84</v>
      </c>
      <c r="P66" t="s">
        <v>84</v>
      </c>
      <c r="Q66" s="17">
        <v>22600000</v>
      </c>
      <c r="R66" s="17">
        <v>49.5</v>
      </c>
      <c r="S66" t="s">
        <v>85</v>
      </c>
      <c r="T66" t="s">
        <v>84</v>
      </c>
      <c r="U66" t="s">
        <v>86</v>
      </c>
      <c r="V66" s="16">
        <v>45619</v>
      </c>
      <c r="W66" s="18">
        <v>45619.6826388889</v>
      </c>
      <c r="X66" s="18">
        <v>45693.6833333333</v>
      </c>
      <c r="Y66" s="17">
        <v>3460</v>
      </c>
      <c r="Z66" t="s">
        <v>87</v>
      </c>
      <c r="AA66" s="17">
        <v>3564</v>
      </c>
      <c r="AB66" s="17">
        <v>1667</v>
      </c>
      <c r="AC66" t="s">
        <v>84</v>
      </c>
      <c r="AD66" t="s">
        <v>84</v>
      </c>
      <c r="AE66" t="s">
        <v>84</v>
      </c>
      <c r="AF66" t="s">
        <v>84</v>
      </c>
      <c r="AG66" s="17">
        <v>28900000</v>
      </c>
      <c r="AH66" s="17">
        <v>71.9</v>
      </c>
      <c r="AI66" s="17">
        <v>31</v>
      </c>
      <c r="AJ66" s="17">
        <v>31</v>
      </c>
      <c r="AK66" t="s">
        <v>290</v>
      </c>
      <c r="AM66" s="17">
        <v>5.1</v>
      </c>
      <c r="AN66" s="17"/>
      <c r="AO66" s="17">
        <v>1525</v>
      </c>
      <c r="AP66" s="17"/>
      <c r="AQ66" t="s">
        <v>92</v>
      </c>
      <c r="AS66" s="17">
        <v>3.5</v>
      </c>
      <c r="AT66" s="17"/>
      <c r="AU66" s="17">
        <v>1597</v>
      </c>
      <c r="AV66" s="17"/>
      <c r="AW66" s="17">
        <v>2502</v>
      </c>
      <c r="AX66" s="17"/>
      <c r="AY66" s="17">
        <v>4.96</v>
      </c>
      <c r="AZ66" s="17">
        <v>4400000</v>
      </c>
      <c r="BA66" t="s">
        <v>92</v>
      </c>
      <c r="BB66" t="s">
        <v>92</v>
      </c>
      <c r="BC66" t="s">
        <v>92</v>
      </c>
      <c r="BD66" s="17">
        <v>6.7</v>
      </c>
      <c r="BE66" s="17">
        <v>4359347</v>
      </c>
      <c r="BF66" s="17">
        <v>0.6</v>
      </c>
      <c r="BG66" s="17">
        <v>336</v>
      </c>
      <c r="BH66" t="s">
        <v>93</v>
      </c>
      <c r="BI66" t="s">
        <v>94</v>
      </c>
      <c r="BJ66" t="s">
        <v>128</v>
      </c>
      <c r="BK66" t="s">
        <v>291</v>
      </c>
      <c r="BL66" t="s">
        <v>85</v>
      </c>
      <c r="BM66" t="s">
        <v>159</v>
      </c>
      <c r="BN66" t="s">
        <v>129</v>
      </c>
      <c r="BO66" t="s">
        <v>98</v>
      </c>
      <c r="BP66" t="s">
        <v>99</v>
      </c>
      <c r="BQ66" s="17">
        <v>57</v>
      </c>
      <c r="BR66" t="s">
        <v>92</v>
      </c>
      <c r="BS66" t="s">
        <v>156</v>
      </c>
      <c r="BT66" t="s">
        <v>99</v>
      </c>
      <c r="BU66" t="s">
        <v>92</v>
      </c>
      <c r="BV66" t="s">
        <v>92</v>
      </c>
      <c r="BW66" t="s">
        <v>85</v>
      </c>
      <c r="BX66" t="s">
        <v>85</v>
      </c>
      <c r="BY66" t="str">
        <f>IF(COUNTIF('Data Upload-prod'!E:E,F66)=0,"Missing","Exist")</f>
        <v>Missing</v>
      </c>
    </row>
    <row r="67" hidden="1" spans="1:77">
      <c r="A67" s="16">
        <v>46043</v>
      </c>
      <c r="B67" s="16">
        <v>46043.6142297685</v>
      </c>
      <c r="C67" t="s">
        <v>132</v>
      </c>
      <c r="D67" t="s">
        <v>78</v>
      </c>
      <c r="E67" t="s">
        <v>84</v>
      </c>
      <c r="F67" t="s">
        <v>293</v>
      </c>
      <c r="G67" t="s">
        <v>145</v>
      </c>
      <c r="H67" t="s">
        <v>294</v>
      </c>
      <c r="I67" t="s">
        <v>124</v>
      </c>
      <c r="J67" s="17">
        <v>63</v>
      </c>
      <c r="K67" s="17">
        <v>1770</v>
      </c>
      <c r="L67" s="17">
        <v>1466</v>
      </c>
      <c r="M67" s="17">
        <v>33267382.85</v>
      </c>
      <c r="N67" s="17">
        <v>38613257.01</v>
      </c>
      <c r="O67" s="17">
        <v>57.11</v>
      </c>
      <c r="P67" s="17">
        <v>65.69</v>
      </c>
      <c r="Q67" t="s">
        <v>84</v>
      </c>
      <c r="R67" t="s">
        <v>84</v>
      </c>
      <c r="S67" t="s">
        <v>85</v>
      </c>
      <c r="T67" t="s">
        <v>84</v>
      </c>
      <c r="U67" t="s">
        <v>86</v>
      </c>
      <c r="V67" s="16">
        <v>45571</v>
      </c>
      <c r="W67" s="18">
        <v>45567.875</v>
      </c>
      <c r="X67" s="18">
        <v>45629.7083333333</v>
      </c>
      <c r="Y67" s="17">
        <v>1546.36</v>
      </c>
      <c r="Z67" t="s">
        <v>87</v>
      </c>
      <c r="AA67" s="17">
        <v>1641</v>
      </c>
      <c r="AB67" s="17">
        <v>1407.93</v>
      </c>
      <c r="AC67" t="s">
        <v>84</v>
      </c>
      <c r="AD67" s="17">
        <v>34124353.14</v>
      </c>
      <c r="AE67" t="s">
        <v>84</v>
      </c>
      <c r="AF67" s="17">
        <v>61.83</v>
      </c>
      <c r="AG67" s="17">
        <v>34124353.14</v>
      </c>
      <c r="AH67" s="17">
        <v>61.83</v>
      </c>
      <c r="AI67" s="17">
        <v>15.67</v>
      </c>
      <c r="AJ67" s="17">
        <v>11.89</v>
      </c>
      <c r="AK67" t="s">
        <v>295</v>
      </c>
      <c r="AM67" s="17">
        <v>2.7</v>
      </c>
      <c r="AN67" s="17"/>
      <c r="AO67" s="17">
        <v>1490</v>
      </c>
      <c r="AP67" s="17"/>
      <c r="AQ67" s="17">
        <v>2760</v>
      </c>
      <c r="AR67" s="17"/>
      <c r="AS67" s="17">
        <v>2.37</v>
      </c>
      <c r="AT67" s="17"/>
      <c r="AU67" s="17">
        <v>2109.02</v>
      </c>
      <c r="AV67" s="17"/>
      <c r="AW67" s="17">
        <v>4903.89</v>
      </c>
      <c r="AX67" s="17"/>
      <c r="AY67" t="s">
        <v>92</v>
      </c>
      <c r="AZ67" t="s">
        <v>92</v>
      </c>
      <c r="BA67" t="s">
        <v>92</v>
      </c>
      <c r="BB67" t="s">
        <v>92</v>
      </c>
      <c r="BC67" t="s">
        <v>92</v>
      </c>
      <c r="BD67" t="s">
        <v>92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92</v>
      </c>
      <c r="BM67" t="s">
        <v>92</v>
      </c>
      <c r="BN67" t="s">
        <v>92</v>
      </c>
      <c r="BO67" t="s">
        <v>92</v>
      </c>
      <c r="BP67" t="s">
        <v>92</v>
      </c>
      <c r="BQ67" t="s">
        <v>92</v>
      </c>
      <c r="BR67" t="s">
        <v>92</v>
      </c>
      <c r="BS67" t="s">
        <v>92</v>
      </c>
      <c r="BT67" t="s">
        <v>92</v>
      </c>
      <c r="BU67" t="s">
        <v>92</v>
      </c>
      <c r="BV67" t="s">
        <v>92</v>
      </c>
      <c r="BW67" t="s">
        <v>92</v>
      </c>
      <c r="BX67" t="s">
        <v>92</v>
      </c>
      <c r="BY67" t="str">
        <f>IF(COUNTIF('Data Upload-prod'!E:E,F67)=0,"Missing","Exist")</f>
        <v>Missing</v>
      </c>
    </row>
    <row r="68" hidden="1" spans="1:77">
      <c r="A68" s="16">
        <v>46031</v>
      </c>
      <c r="B68" s="16">
        <v>46108.5999736458</v>
      </c>
      <c r="C68" t="s">
        <v>132</v>
      </c>
      <c r="D68" t="s">
        <v>78</v>
      </c>
      <c r="E68" t="s">
        <v>296</v>
      </c>
      <c r="F68" t="s">
        <v>297</v>
      </c>
      <c r="G68" t="s">
        <v>81</v>
      </c>
      <c r="H68" t="s">
        <v>82</v>
      </c>
      <c r="I68" t="s">
        <v>83</v>
      </c>
      <c r="J68" s="17">
        <v>63</v>
      </c>
      <c r="K68" s="17">
        <v>2667.62</v>
      </c>
      <c r="L68" s="17">
        <v>1910.3</v>
      </c>
      <c r="M68" t="s">
        <v>84</v>
      </c>
      <c r="N68" t="s">
        <v>84</v>
      </c>
      <c r="O68" t="s">
        <v>84</v>
      </c>
      <c r="P68" t="s">
        <v>84</v>
      </c>
      <c r="Q68" s="17">
        <v>12883878</v>
      </c>
      <c r="R68" s="17">
        <v>32.9</v>
      </c>
      <c r="S68" t="s">
        <v>85</v>
      </c>
      <c r="T68" t="s">
        <v>84</v>
      </c>
      <c r="U68" t="s">
        <v>86</v>
      </c>
      <c r="V68" s="16">
        <v>46044</v>
      </c>
      <c r="W68" s="18">
        <v>45988.5</v>
      </c>
      <c r="X68" s="18">
        <v>46060.5833333333</v>
      </c>
      <c r="Y68" s="17">
        <v>1875.42</v>
      </c>
      <c r="Z68" t="s">
        <v>87</v>
      </c>
      <c r="AA68" s="17">
        <v>2590</v>
      </c>
      <c r="AB68" s="17">
        <v>1910.85</v>
      </c>
      <c r="AC68" t="s">
        <v>84</v>
      </c>
      <c r="AD68" t="s">
        <v>84</v>
      </c>
      <c r="AE68" t="s">
        <v>84</v>
      </c>
      <c r="AF68" t="s">
        <v>84</v>
      </c>
      <c r="AG68" s="17">
        <v>10663197.58</v>
      </c>
      <c r="AH68" s="17">
        <v>24.25</v>
      </c>
      <c r="AI68" s="17">
        <v>10.22</v>
      </c>
      <c r="AJ68" s="17">
        <v>9.49</v>
      </c>
      <c r="AK68" t="s">
        <v>298</v>
      </c>
      <c r="AM68" s="17">
        <v>1.8</v>
      </c>
      <c r="AN68" s="17"/>
      <c r="AO68" s="17">
        <v>600</v>
      </c>
      <c r="AP68" s="17"/>
      <c r="AQ68" s="17">
        <v>1670</v>
      </c>
      <c r="AR68" s="17"/>
      <c r="AS68" s="17">
        <v>1.3</v>
      </c>
      <c r="AT68" s="17"/>
      <c r="AU68" s="17">
        <v>627.98</v>
      </c>
      <c r="AV68" s="17"/>
      <c r="AW68" s="17">
        <v>1733</v>
      </c>
      <c r="AX68" s="17"/>
      <c r="AY68" s="17">
        <v>11</v>
      </c>
      <c r="AZ68" s="17">
        <v>3137958</v>
      </c>
      <c r="BA68" t="s">
        <v>272</v>
      </c>
      <c r="BB68" s="17">
        <v>1</v>
      </c>
      <c r="BC68" s="17">
        <v>390</v>
      </c>
      <c r="BD68" s="17">
        <v>6.19</v>
      </c>
      <c r="BE68" s="17">
        <v>4227503</v>
      </c>
      <c r="BF68" s="17">
        <v>0.96</v>
      </c>
      <c r="BG68" s="17">
        <v>595.56</v>
      </c>
      <c r="BH68" t="s">
        <v>93</v>
      </c>
      <c r="BI68" t="s">
        <v>94</v>
      </c>
      <c r="BJ68" t="s">
        <v>173</v>
      </c>
      <c r="BK68" t="s">
        <v>85</v>
      </c>
      <c r="BL68" t="s">
        <v>85</v>
      </c>
      <c r="BM68" t="s">
        <v>96</v>
      </c>
      <c r="BN68" t="s">
        <v>266</v>
      </c>
      <c r="BO68" t="s">
        <v>98</v>
      </c>
      <c r="BP68" t="s">
        <v>103</v>
      </c>
      <c r="BQ68" t="s">
        <v>92</v>
      </c>
      <c r="BR68" t="s">
        <v>100</v>
      </c>
      <c r="BS68" t="s">
        <v>156</v>
      </c>
      <c r="BT68" t="s">
        <v>103</v>
      </c>
      <c r="BU68" s="17">
        <v>8.6</v>
      </c>
      <c r="BV68" t="s">
        <v>191</v>
      </c>
      <c r="BW68" t="s">
        <v>85</v>
      </c>
      <c r="BX68" t="s">
        <v>85</v>
      </c>
      <c r="BY68" t="str">
        <f>IF(COUNTIF('Data Upload-prod'!E:E,F68)=0,"Missing","Exist")</f>
        <v>Missing</v>
      </c>
    </row>
    <row r="69" hidden="1" spans="1:77">
      <c r="A69" s="16">
        <v>46010</v>
      </c>
      <c r="B69" s="16">
        <v>46010.6167280324</v>
      </c>
      <c r="C69" t="s">
        <v>132</v>
      </c>
      <c r="D69" t="s">
        <v>78</v>
      </c>
      <c r="E69" t="s">
        <v>84</v>
      </c>
      <c r="F69" t="s">
        <v>299</v>
      </c>
      <c r="G69" t="s">
        <v>145</v>
      </c>
      <c r="H69" t="s">
        <v>294</v>
      </c>
      <c r="I69" t="s">
        <v>124</v>
      </c>
      <c r="J69" s="17">
        <v>62</v>
      </c>
      <c r="K69" s="17">
        <v>1965</v>
      </c>
      <c r="L69" s="17">
        <v>1873.35</v>
      </c>
      <c r="M69" s="17">
        <v>20923574</v>
      </c>
      <c r="N69" s="17">
        <v>21506598.97</v>
      </c>
      <c r="O69" s="17">
        <v>46.4</v>
      </c>
      <c r="P69" s="17">
        <v>48.5</v>
      </c>
      <c r="Q69" t="s">
        <v>84</v>
      </c>
      <c r="R69" t="s">
        <v>84</v>
      </c>
      <c r="S69" t="s">
        <v>85</v>
      </c>
      <c r="T69" t="s">
        <v>84</v>
      </c>
      <c r="U69" t="s">
        <v>86</v>
      </c>
      <c r="V69" s="16">
        <v>45629</v>
      </c>
      <c r="W69" s="18">
        <v>45994.5</v>
      </c>
      <c r="X69" s="18">
        <v>46019.2291666667</v>
      </c>
      <c r="Y69" s="17">
        <v>1871.2</v>
      </c>
      <c r="Z69" t="s">
        <v>87</v>
      </c>
      <c r="AA69" s="17">
        <v>1965</v>
      </c>
      <c r="AB69" s="17">
        <v>1889.09</v>
      </c>
      <c r="AC69" s="17">
        <v>13876206.96</v>
      </c>
      <c r="AD69" t="s">
        <v>84</v>
      </c>
      <c r="AE69" s="17">
        <v>24.52</v>
      </c>
      <c r="AF69" t="s">
        <v>84</v>
      </c>
      <c r="AG69" s="17">
        <v>13876206.96</v>
      </c>
      <c r="AH69" s="17">
        <v>24.52</v>
      </c>
      <c r="AI69" s="17">
        <v>9.95</v>
      </c>
      <c r="AJ69" s="17">
        <v>0</v>
      </c>
      <c r="AK69" t="s">
        <v>300</v>
      </c>
      <c r="AM69" s="17">
        <v>1.9</v>
      </c>
      <c r="AN69" s="17"/>
      <c r="AO69" s="17">
        <v>720</v>
      </c>
      <c r="AP69" s="17"/>
      <c r="AQ69" s="17">
        <v>1370</v>
      </c>
      <c r="AR69" s="17"/>
      <c r="AS69" s="17">
        <v>0.9</v>
      </c>
      <c r="AT69" s="17"/>
      <c r="AU69" s="17">
        <v>438</v>
      </c>
      <c r="AV69" s="17"/>
      <c r="AW69" s="17">
        <v>1503</v>
      </c>
      <c r="AX69" s="17"/>
      <c r="AY69" t="s">
        <v>92</v>
      </c>
      <c r="AZ69" t="s">
        <v>92</v>
      </c>
      <c r="BA69" t="s">
        <v>92</v>
      </c>
      <c r="BB69" t="s">
        <v>92</v>
      </c>
      <c r="BC69" t="s">
        <v>92</v>
      </c>
      <c r="BD69" t="s">
        <v>92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92</v>
      </c>
      <c r="BM69" t="s">
        <v>92</v>
      </c>
      <c r="BN69" t="s">
        <v>92</v>
      </c>
      <c r="BO69" t="s">
        <v>92</v>
      </c>
      <c r="BP69" t="s">
        <v>92</v>
      </c>
      <c r="BQ69" t="s">
        <v>92</v>
      </c>
      <c r="BR69" t="s">
        <v>92</v>
      </c>
      <c r="BS69" t="s">
        <v>92</v>
      </c>
      <c r="BT69" t="s">
        <v>92</v>
      </c>
      <c r="BU69" t="s">
        <v>92</v>
      </c>
      <c r="BV69" t="s">
        <v>92</v>
      </c>
      <c r="BW69" t="s">
        <v>92</v>
      </c>
      <c r="BX69" t="s">
        <v>92</v>
      </c>
      <c r="BY69" t="str">
        <f>IF(COUNTIF('Data Upload-prod'!E:E,F69)=0,"Missing","Exist")</f>
        <v>Missing</v>
      </c>
    </row>
    <row r="70" hidden="1" spans="1:77">
      <c r="A70" s="16">
        <v>46004</v>
      </c>
      <c r="B70" s="16">
        <v>46077.5111698611</v>
      </c>
      <c r="C70" t="s">
        <v>132</v>
      </c>
      <c r="D70" t="s">
        <v>78</v>
      </c>
      <c r="E70" t="s">
        <v>296</v>
      </c>
      <c r="F70" t="s">
        <v>301</v>
      </c>
      <c r="G70" t="s">
        <v>81</v>
      </c>
      <c r="H70" t="s">
        <v>82</v>
      </c>
      <c r="I70" t="s">
        <v>83</v>
      </c>
      <c r="J70" s="17">
        <v>63.3</v>
      </c>
      <c r="K70" s="17">
        <v>2795.3</v>
      </c>
      <c r="L70" s="17">
        <v>1662</v>
      </c>
      <c r="M70" t="s">
        <v>84</v>
      </c>
      <c r="N70" t="s">
        <v>84</v>
      </c>
      <c r="O70" t="s">
        <v>84</v>
      </c>
      <c r="P70" t="s">
        <v>84</v>
      </c>
      <c r="Q70" s="17">
        <v>10299985</v>
      </c>
      <c r="R70" s="17">
        <v>13</v>
      </c>
      <c r="S70" t="s">
        <v>85</v>
      </c>
      <c r="T70" t="s">
        <v>84</v>
      </c>
      <c r="U70" t="s">
        <v>86</v>
      </c>
      <c r="V70" s="16">
        <v>46018</v>
      </c>
      <c r="W70" s="18">
        <v>45976.875</v>
      </c>
      <c r="X70" s="18">
        <v>46040.625</v>
      </c>
      <c r="Y70" s="17">
        <v>637</v>
      </c>
      <c r="Z70" t="s">
        <v>87</v>
      </c>
      <c r="AA70" s="17">
        <v>2082</v>
      </c>
      <c r="AB70" s="17">
        <v>1696.34</v>
      </c>
      <c r="AC70" t="s">
        <v>84</v>
      </c>
      <c r="AD70" t="s">
        <v>84</v>
      </c>
      <c r="AE70" t="s">
        <v>84</v>
      </c>
      <c r="AF70" t="s">
        <v>84</v>
      </c>
      <c r="AG70" s="17">
        <v>10920185.79</v>
      </c>
      <c r="AH70" s="17">
        <v>28.58</v>
      </c>
      <c r="AI70" s="17">
        <v>34</v>
      </c>
      <c r="AJ70" s="17">
        <v>25.77</v>
      </c>
      <c r="AK70" t="s">
        <v>298</v>
      </c>
      <c r="AM70" s="17">
        <v>1.8</v>
      </c>
      <c r="AN70" s="17"/>
      <c r="AO70" s="17">
        <v>600</v>
      </c>
      <c r="AP70" s="17"/>
      <c r="AQ70" s="17">
        <v>1670</v>
      </c>
      <c r="AR70" s="17"/>
      <c r="AS70" s="17">
        <v>2.3</v>
      </c>
      <c r="AT70" s="17"/>
      <c r="AU70" s="17">
        <v>1404.3</v>
      </c>
      <c r="AV70" s="17"/>
      <c r="AW70" s="17">
        <v>4457</v>
      </c>
      <c r="AX70" s="17"/>
      <c r="AY70" s="17">
        <v>11.04</v>
      </c>
      <c r="AZ70" s="17">
        <v>5486258</v>
      </c>
      <c r="BA70" t="s">
        <v>272</v>
      </c>
      <c r="BB70" s="17">
        <v>1</v>
      </c>
      <c r="BC70" s="17">
        <v>390</v>
      </c>
      <c r="BD70" s="17">
        <v>4.52</v>
      </c>
      <c r="BE70" s="17">
        <v>2663648</v>
      </c>
      <c r="BF70" s="17">
        <v>0.95</v>
      </c>
      <c r="BG70" s="17">
        <v>538</v>
      </c>
      <c r="BH70" t="s">
        <v>93</v>
      </c>
      <c r="BI70" t="s">
        <v>94</v>
      </c>
      <c r="BJ70" t="s">
        <v>173</v>
      </c>
      <c r="BK70" t="s">
        <v>85</v>
      </c>
      <c r="BL70" t="s">
        <v>85</v>
      </c>
      <c r="BM70" t="s">
        <v>96</v>
      </c>
      <c r="BN70" t="s">
        <v>129</v>
      </c>
      <c r="BO70" t="s">
        <v>98</v>
      </c>
      <c r="BP70" t="s">
        <v>103</v>
      </c>
      <c r="BQ70" t="s">
        <v>92</v>
      </c>
      <c r="BR70" t="s">
        <v>100</v>
      </c>
      <c r="BS70" t="s">
        <v>156</v>
      </c>
      <c r="BT70" t="s">
        <v>103</v>
      </c>
      <c r="BU70" s="17">
        <v>8.6</v>
      </c>
      <c r="BV70" t="s">
        <v>191</v>
      </c>
      <c r="BW70" t="s">
        <v>85</v>
      </c>
      <c r="BX70" t="s">
        <v>85</v>
      </c>
      <c r="BY70" t="str">
        <f>IF(COUNTIF('Data Upload-prod'!E:E,F70)=0,"Missing","Exist")</f>
        <v>Missing</v>
      </c>
    </row>
    <row r="71" hidden="1" spans="1:77">
      <c r="A71" s="16">
        <v>46003</v>
      </c>
      <c r="B71" s="16">
        <v>46003.4583390741</v>
      </c>
      <c r="C71" t="s">
        <v>302</v>
      </c>
      <c r="D71" t="s">
        <v>78</v>
      </c>
      <c r="E71" t="s">
        <v>303</v>
      </c>
      <c r="F71" t="s">
        <v>304</v>
      </c>
      <c r="G71" t="s">
        <v>145</v>
      </c>
      <c r="H71" t="s">
        <v>294</v>
      </c>
      <c r="I71" t="s">
        <v>124</v>
      </c>
      <c r="J71" s="17">
        <v>60.29</v>
      </c>
      <c r="K71" s="17">
        <v>1340</v>
      </c>
      <c r="L71" s="17">
        <v>1340</v>
      </c>
      <c r="M71" s="17">
        <v>12175007</v>
      </c>
      <c r="N71" s="17">
        <v>13013435</v>
      </c>
      <c r="O71" s="17">
        <v>21.4</v>
      </c>
      <c r="P71" s="17">
        <v>24.7</v>
      </c>
      <c r="Q71" t="s">
        <v>84</v>
      </c>
      <c r="R71" t="s">
        <v>84</v>
      </c>
      <c r="S71" t="s">
        <v>85</v>
      </c>
      <c r="T71" t="s">
        <v>84</v>
      </c>
      <c r="U71" t="s">
        <v>86</v>
      </c>
      <c r="V71" s="16">
        <v>45778</v>
      </c>
      <c r="W71" s="18">
        <v>45771.34375</v>
      </c>
      <c r="X71" s="18">
        <v>45789.8541666667</v>
      </c>
      <c r="Y71" s="17">
        <v>1294.91</v>
      </c>
      <c r="Z71" t="s">
        <v>87</v>
      </c>
      <c r="AA71" s="17">
        <v>1390</v>
      </c>
      <c r="AB71" s="17">
        <v>1386.79</v>
      </c>
      <c r="AC71" s="17">
        <v>11000000</v>
      </c>
      <c r="AD71" t="s">
        <v>84</v>
      </c>
      <c r="AE71" s="17">
        <v>22.4</v>
      </c>
      <c r="AF71" t="s">
        <v>84</v>
      </c>
      <c r="AG71" s="17">
        <v>11000000</v>
      </c>
      <c r="AH71" s="17">
        <v>22.4</v>
      </c>
      <c r="AI71" s="17">
        <v>0</v>
      </c>
      <c r="AJ71" s="17">
        <v>5.4</v>
      </c>
      <c r="AK71" t="s">
        <v>305</v>
      </c>
      <c r="AM71" s="17">
        <v>2.3</v>
      </c>
      <c r="AN71" s="17"/>
      <c r="AO71" s="17">
        <v>3280</v>
      </c>
      <c r="AP71" s="17"/>
      <c r="AQ71" s="17">
        <v>5760</v>
      </c>
      <c r="AR71" s="17"/>
      <c r="AS71" s="17">
        <v>1.58</v>
      </c>
      <c r="AT71" s="17"/>
      <c r="AU71" s="17">
        <v>654.63</v>
      </c>
      <c r="AV71" s="17"/>
      <c r="AW71" s="17">
        <v>2682.68</v>
      </c>
      <c r="AX71" s="17"/>
      <c r="AY71" t="s">
        <v>92</v>
      </c>
      <c r="AZ71" t="s">
        <v>92</v>
      </c>
      <c r="BA71" t="s">
        <v>92</v>
      </c>
      <c r="BB71" t="s">
        <v>92</v>
      </c>
      <c r="BC71" t="s">
        <v>92</v>
      </c>
      <c r="BD71" t="s">
        <v>92</v>
      </c>
      <c r="BE71" t="s">
        <v>92</v>
      </c>
      <c r="BF71" t="s">
        <v>92</v>
      </c>
      <c r="BG71" t="s">
        <v>92</v>
      </c>
      <c r="BH71" t="s">
        <v>92</v>
      </c>
      <c r="BI71" t="s">
        <v>92</v>
      </c>
      <c r="BJ71" t="s">
        <v>92</v>
      </c>
      <c r="BK71" t="s">
        <v>92</v>
      </c>
      <c r="BL71" t="s">
        <v>92</v>
      </c>
      <c r="BM71" t="s">
        <v>92</v>
      </c>
      <c r="BN71" t="s">
        <v>92</v>
      </c>
      <c r="BO71" t="s">
        <v>92</v>
      </c>
      <c r="BP71" t="s">
        <v>92</v>
      </c>
      <c r="BQ71" t="s">
        <v>92</v>
      </c>
      <c r="BR71" t="s">
        <v>92</v>
      </c>
      <c r="BS71" t="s">
        <v>92</v>
      </c>
      <c r="BT71" t="s">
        <v>92</v>
      </c>
      <c r="BU71" t="s">
        <v>92</v>
      </c>
      <c r="BV71" t="s">
        <v>92</v>
      </c>
      <c r="BW71" t="s">
        <v>92</v>
      </c>
      <c r="BX71" t="s">
        <v>92</v>
      </c>
      <c r="BY71" t="str">
        <f>IF(COUNTIF('Data Upload-prod'!E:E,F71)=0,"Missing","Exist")</f>
        <v>Missing</v>
      </c>
    </row>
    <row r="72" hidden="1" spans="1:77">
      <c r="A72" s="16">
        <v>45994</v>
      </c>
      <c r="B72" s="16">
        <v>45994.4263884144</v>
      </c>
      <c r="C72" t="s">
        <v>132</v>
      </c>
      <c r="D72" t="s">
        <v>78</v>
      </c>
      <c r="E72" t="s">
        <v>306</v>
      </c>
      <c r="F72" t="s">
        <v>307</v>
      </c>
      <c r="G72" t="s">
        <v>81</v>
      </c>
      <c r="H72" t="s">
        <v>289</v>
      </c>
      <c r="I72" t="s">
        <v>124</v>
      </c>
      <c r="J72" s="17">
        <v>65.7</v>
      </c>
      <c r="K72" s="17">
        <v>2840</v>
      </c>
      <c r="L72" s="17">
        <v>929.05</v>
      </c>
      <c r="M72" t="s">
        <v>84</v>
      </c>
      <c r="N72" t="s">
        <v>84</v>
      </c>
      <c r="O72" t="s">
        <v>84</v>
      </c>
      <c r="P72" t="s">
        <v>84</v>
      </c>
      <c r="Q72" s="17">
        <v>12399997</v>
      </c>
      <c r="R72" s="17">
        <v>28</v>
      </c>
      <c r="S72" t="s">
        <v>85</v>
      </c>
      <c r="T72" t="s">
        <v>84</v>
      </c>
      <c r="U72" t="s">
        <v>86</v>
      </c>
      <c r="V72" s="16">
        <v>45919</v>
      </c>
      <c r="W72" s="18">
        <v>45759</v>
      </c>
      <c r="X72" s="18">
        <v>45934.2083333333</v>
      </c>
      <c r="Y72" s="17">
        <v>1345.7</v>
      </c>
      <c r="Z72" t="s">
        <v>87</v>
      </c>
      <c r="AA72" s="17">
        <v>2546.7</v>
      </c>
      <c r="AB72" s="17">
        <v>878.32</v>
      </c>
      <c r="AC72" t="s">
        <v>84</v>
      </c>
      <c r="AD72" t="s">
        <v>84</v>
      </c>
      <c r="AE72" t="s">
        <v>84</v>
      </c>
      <c r="AF72" t="s">
        <v>84</v>
      </c>
      <c r="AG72" s="17">
        <v>9727865.41</v>
      </c>
      <c r="AH72" s="17">
        <v>22.22</v>
      </c>
      <c r="AI72" s="17">
        <v>2.88</v>
      </c>
      <c r="AJ72" s="17">
        <v>2.88</v>
      </c>
      <c r="AK72" t="s">
        <v>298</v>
      </c>
      <c r="AM72" s="17">
        <v>1.8</v>
      </c>
      <c r="AN72" s="17"/>
      <c r="AO72" s="17">
        <v>600</v>
      </c>
      <c r="AP72" s="17"/>
      <c r="AQ72" s="17">
        <v>1160</v>
      </c>
      <c r="AR72" s="17"/>
      <c r="AS72" s="17">
        <v>2.85</v>
      </c>
      <c r="AT72" s="17"/>
      <c r="AU72" s="17">
        <v>1215.62</v>
      </c>
      <c r="AV72" s="17"/>
      <c r="AW72" s="17">
        <v>2221.6</v>
      </c>
      <c r="AX72" s="17"/>
      <c r="AY72" s="17">
        <v>8.72</v>
      </c>
      <c r="AZ72" s="17">
        <v>4607537</v>
      </c>
      <c r="BA72" t="s">
        <v>265</v>
      </c>
      <c r="BB72" s="17">
        <v>0.7</v>
      </c>
      <c r="BC72" s="17">
        <v>373</v>
      </c>
      <c r="BD72" s="17">
        <v>3.32</v>
      </c>
      <c r="BE72" s="17">
        <v>1777077.33</v>
      </c>
      <c r="BF72" s="17">
        <v>0.4</v>
      </c>
      <c r="BG72" s="17">
        <v>318.8</v>
      </c>
      <c r="BH72" t="s">
        <v>93</v>
      </c>
      <c r="BI72" t="s">
        <v>94</v>
      </c>
      <c r="BJ72" t="s">
        <v>128</v>
      </c>
      <c r="BK72" t="s">
        <v>92</v>
      </c>
      <c r="BL72" t="s">
        <v>92</v>
      </c>
      <c r="BM72" t="s">
        <v>96</v>
      </c>
      <c r="BN72" t="s">
        <v>266</v>
      </c>
      <c r="BO72" t="s">
        <v>98</v>
      </c>
      <c r="BP72" t="s">
        <v>103</v>
      </c>
      <c r="BQ72" s="17">
        <v>410</v>
      </c>
      <c r="BR72" t="s">
        <v>92</v>
      </c>
      <c r="BS72" t="s">
        <v>92</v>
      </c>
      <c r="BT72" t="s">
        <v>99</v>
      </c>
      <c r="BU72" s="17">
        <v>9.7</v>
      </c>
      <c r="BV72" t="s">
        <v>308</v>
      </c>
      <c r="BW72" t="s">
        <v>92</v>
      </c>
      <c r="BX72" t="s">
        <v>92</v>
      </c>
      <c r="BY72" t="str">
        <f>IF(COUNTIF('Data Upload-prod'!E:E,F72)=0,"Missing","Exist")</f>
        <v>Missing</v>
      </c>
    </row>
    <row r="73" hidden="1" spans="1:77">
      <c r="A73" s="16">
        <v>45993</v>
      </c>
      <c r="B73" s="16">
        <v>45993.6132341551</v>
      </c>
      <c r="C73" t="s">
        <v>141</v>
      </c>
      <c r="D73" t="s">
        <v>120</v>
      </c>
      <c r="E73" t="s">
        <v>309</v>
      </c>
      <c r="F73" t="s">
        <v>310</v>
      </c>
      <c r="G73" t="s">
        <v>81</v>
      </c>
      <c r="H73" t="s">
        <v>311</v>
      </c>
      <c r="I73" t="s">
        <v>124</v>
      </c>
      <c r="J73" s="17">
        <v>92.3544</v>
      </c>
      <c r="K73" s="17">
        <v>3121.76</v>
      </c>
      <c r="L73" s="17">
        <v>2057.4</v>
      </c>
      <c r="M73" t="s">
        <v>84</v>
      </c>
      <c r="N73" t="s">
        <v>84</v>
      </c>
      <c r="O73" t="s">
        <v>84</v>
      </c>
      <c r="P73" t="s">
        <v>84</v>
      </c>
      <c r="Q73" s="17">
        <v>44370000</v>
      </c>
      <c r="R73" s="17">
        <v>52.58</v>
      </c>
      <c r="S73" t="s">
        <v>85</v>
      </c>
      <c r="T73" t="s">
        <v>84</v>
      </c>
      <c r="U73" t="s">
        <v>86</v>
      </c>
      <c r="V73" s="16">
        <v>45616</v>
      </c>
      <c r="W73" s="18">
        <v>45610</v>
      </c>
      <c r="X73" s="18">
        <v>45680.2708333333</v>
      </c>
      <c r="Y73" s="17">
        <v>2945.2</v>
      </c>
      <c r="Z73" t="s">
        <v>87</v>
      </c>
      <c r="AA73" s="17">
        <v>3082.1</v>
      </c>
      <c r="AB73" s="17">
        <v>2078.9</v>
      </c>
      <c r="AC73" t="s">
        <v>84</v>
      </c>
      <c r="AD73" t="s">
        <v>84</v>
      </c>
      <c r="AE73" t="s">
        <v>84</v>
      </c>
      <c r="AF73" t="s">
        <v>84</v>
      </c>
      <c r="AG73" s="17">
        <v>50320000</v>
      </c>
      <c r="AH73" s="17">
        <v>70.27</v>
      </c>
      <c r="AI73" s="17">
        <v>24.3</v>
      </c>
      <c r="AJ73" s="17">
        <v>1.9</v>
      </c>
      <c r="AK73" t="s">
        <v>126</v>
      </c>
      <c r="AM73" s="17">
        <v>2.5</v>
      </c>
      <c r="AN73" s="17"/>
      <c r="AO73" s="17">
        <v>1010</v>
      </c>
      <c r="AP73" s="17"/>
      <c r="AQ73" s="17">
        <v>1705</v>
      </c>
      <c r="AR73" s="17"/>
      <c r="AS73" s="17">
        <v>2.69</v>
      </c>
      <c r="AT73" s="17"/>
      <c r="AU73" s="17">
        <v>2043</v>
      </c>
      <c r="AV73" s="17"/>
      <c r="AW73" s="17">
        <v>4849</v>
      </c>
      <c r="AX73" s="17"/>
      <c r="AY73" s="17">
        <v>10.25</v>
      </c>
      <c r="AZ73" s="17">
        <v>13770000</v>
      </c>
      <c r="BA73" t="s">
        <v>265</v>
      </c>
      <c r="BB73" s="17">
        <v>0.7</v>
      </c>
      <c r="BC73" s="17">
        <v>373</v>
      </c>
      <c r="BD73" s="17">
        <v>13.52</v>
      </c>
      <c r="BE73" s="17">
        <v>15560000</v>
      </c>
      <c r="BF73" s="17">
        <v>1.33</v>
      </c>
      <c r="BG73" s="17">
        <v>1538</v>
      </c>
      <c r="BH73" t="s">
        <v>127</v>
      </c>
      <c r="BI73" t="s">
        <v>94</v>
      </c>
      <c r="BJ73" t="s">
        <v>109</v>
      </c>
      <c r="BK73" t="s">
        <v>85</v>
      </c>
      <c r="BL73" t="s">
        <v>85</v>
      </c>
      <c r="BM73" t="s">
        <v>137</v>
      </c>
      <c r="BN73" t="s">
        <v>129</v>
      </c>
      <c r="BO73" t="s">
        <v>98</v>
      </c>
      <c r="BP73" t="s">
        <v>139</v>
      </c>
      <c r="BQ73" t="s">
        <v>92</v>
      </c>
      <c r="BR73" t="s">
        <v>138</v>
      </c>
      <c r="BS73" t="s">
        <v>156</v>
      </c>
      <c r="BT73" t="s">
        <v>139</v>
      </c>
      <c r="BU73" s="17">
        <v>10.7</v>
      </c>
      <c r="BV73" t="s">
        <v>256</v>
      </c>
      <c r="BW73" t="s">
        <v>85</v>
      </c>
      <c r="BX73" t="s">
        <v>85</v>
      </c>
      <c r="BY73" t="str">
        <f>IF(COUNTIF('Data Upload-prod'!E:E,F73)=0,"Missing","Exist")</f>
        <v>Missing</v>
      </c>
    </row>
    <row r="74" hidden="1" spans="1:77">
      <c r="A74" s="16">
        <v>45993</v>
      </c>
      <c r="B74" s="16">
        <v>45993.4663618519</v>
      </c>
      <c r="C74" t="s">
        <v>141</v>
      </c>
      <c r="D74" t="s">
        <v>120</v>
      </c>
      <c r="E74" t="s">
        <v>312</v>
      </c>
      <c r="F74" t="s">
        <v>313</v>
      </c>
      <c r="G74" t="s">
        <v>81</v>
      </c>
      <c r="H74" t="s">
        <v>311</v>
      </c>
      <c r="I74" t="s">
        <v>124</v>
      </c>
      <c r="J74" s="17">
        <v>97.536</v>
      </c>
      <c r="K74" s="17">
        <v>2606.04</v>
      </c>
      <c r="L74" s="17">
        <v>1351.79</v>
      </c>
      <c r="M74" t="s">
        <v>84</v>
      </c>
      <c r="N74" t="s">
        <v>84</v>
      </c>
      <c r="O74" t="s">
        <v>84</v>
      </c>
      <c r="P74" t="s">
        <v>84</v>
      </c>
      <c r="Q74" s="17">
        <v>41950000</v>
      </c>
      <c r="R74" s="17">
        <v>49.23</v>
      </c>
      <c r="S74" t="s">
        <v>85</v>
      </c>
      <c r="T74" t="s">
        <v>84</v>
      </c>
      <c r="U74" t="s">
        <v>86</v>
      </c>
      <c r="V74" s="16">
        <v>45548</v>
      </c>
      <c r="W74" s="18">
        <v>45528</v>
      </c>
      <c r="X74" s="18">
        <v>45610</v>
      </c>
      <c r="Y74" s="17">
        <v>2528.47</v>
      </c>
      <c r="Z74" t="s">
        <v>87</v>
      </c>
      <c r="AA74" s="17">
        <v>2667</v>
      </c>
      <c r="AB74" s="17">
        <v>1354.63</v>
      </c>
      <c r="AC74" t="s">
        <v>84</v>
      </c>
      <c r="AD74" t="s">
        <v>84</v>
      </c>
      <c r="AE74" t="s">
        <v>84</v>
      </c>
      <c r="AF74" t="s">
        <v>84</v>
      </c>
      <c r="AG74" s="17">
        <v>41960000</v>
      </c>
      <c r="AH74" s="17">
        <v>50.7</v>
      </c>
      <c r="AI74" s="17">
        <v>20.22</v>
      </c>
      <c r="AJ74" s="17">
        <v>4.87</v>
      </c>
      <c r="AK74" t="s">
        <v>126</v>
      </c>
      <c r="AM74" s="17">
        <v>2.5</v>
      </c>
      <c r="AN74" s="17"/>
      <c r="AO74" s="17">
        <v>1010</v>
      </c>
      <c r="AP74" s="17"/>
      <c r="AQ74" s="17">
        <v>1705</v>
      </c>
      <c r="AR74" s="17"/>
      <c r="AS74" s="17">
        <v>3.78</v>
      </c>
      <c r="AT74" s="17"/>
      <c r="AU74" s="17">
        <v>2189</v>
      </c>
      <c r="AV74" s="17"/>
      <c r="AW74" s="17">
        <v>3768</v>
      </c>
      <c r="AX74" s="17"/>
      <c r="AY74" s="17">
        <v>9.51</v>
      </c>
      <c r="AZ74" s="17">
        <v>13730000</v>
      </c>
      <c r="BA74" t="s">
        <v>265</v>
      </c>
      <c r="BB74" s="17">
        <v>0.7</v>
      </c>
      <c r="BC74" s="17">
        <v>373</v>
      </c>
      <c r="BD74" s="17">
        <v>13.73</v>
      </c>
      <c r="BE74" s="17">
        <v>10320000</v>
      </c>
      <c r="BF74" s="17">
        <v>1.59</v>
      </c>
      <c r="BG74" s="17">
        <v>1406</v>
      </c>
      <c r="BH74" t="s">
        <v>127</v>
      </c>
      <c r="BI74" t="s">
        <v>94</v>
      </c>
      <c r="BJ74" t="s">
        <v>109</v>
      </c>
      <c r="BK74" t="s">
        <v>85</v>
      </c>
      <c r="BL74" t="s">
        <v>85</v>
      </c>
      <c r="BM74" t="s">
        <v>137</v>
      </c>
      <c r="BN74" t="s">
        <v>129</v>
      </c>
      <c r="BO74" t="s">
        <v>98</v>
      </c>
      <c r="BP74" t="s">
        <v>139</v>
      </c>
      <c r="BQ74" t="s">
        <v>92</v>
      </c>
      <c r="BR74" t="s">
        <v>138</v>
      </c>
      <c r="BS74" t="s">
        <v>156</v>
      </c>
      <c r="BT74" t="s">
        <v>139</v>
      </c>
      <c r="BU74" s="17">
        <v>11.2</v>
      </c>
      <c r="BV74" t="s">
        <v>256</v>
      </c>
      <c r="BW74" t="s">
        <v>85</v>
      </c>
      <c r="BX74" t="s">
        <v>85</v>
      </c>
      <c r="BY74" t="str">
        <f>IF(COUNTIF('Data Upload-prod'!E:E,F74)=0,"Missing","Exist")</f>
        <v>Missing</v>
      </c>
    </row>
    <row r="75" hidden="1" spans="1:77">
      <c r="A75" s="16">
        <v>45993</v>
      </c>
      <c r="B75" s="16">
        <v>45993.6198987847</v>
      </c>
      <c r="C75" t="s">
        <v>141</v>
      </c>
      <c r="D75" t="s">
        <v>120</v>
      </c>
      <c r="E75" t="s">
        <v>314</v>
      </c>
      <c r="F75" t="s">
        <v>315</v>
      </c>
      <c r="G75" t="s">
        <v>81</v>
      </c>
      <c r="H75" t="s">
        <v>311</v>
      </c>
      <c r="I75" t="s">
        <v>124</v>
      </c>
      <c r="J75" s="17">
        <v>89.3064</v>
      </c>
      <c r="K75" s="17">
        <v>2693.21</v>
      </c>
      <c r="L75" s="17">
        <v>1367.94</v>
      </c>
      <c r="M75" t="s">
        <v>84</v>
      </c>
      <c r="N75" t="s">
        <v>84</v>
      </c>
      <c r="O75" t="s">
        <v>84</v>
      </c>
      <c r="P75" t="s">
        <v>84</v>
      </c>
      <c r="Q75" s="17">
        <v>41870000</v>
      </c>
      <c r="R75" s="17">
        <v>49.94</v>
      </c>
      <c r="S75" t="s">
        <v>85</v>
      </c>
      <c r="T75" t="s">
        <v>84</v>
      </c>
      <c r="U75" t="s">
        <v>86</v>
      </c>
      <c r="V75" s="16">
        <v>45688</v>
      </c>
      <c r="W75" s="18">
        <v>45680.2708333333</v>
      </c>
      <c r="X75" s="18">
        <v>45746.53125</v>
      </c>
      <c r="Y75" s="17">
        <v>2554.4</v>
      </c>
      <c r="Z75" t="s">
        <v>87</v>
      </c>
      <c r="AA75" s="17">
        <v>2688.3</v>
      </c>
      <c r="AB75" s="17">
        <v>1366.5</v>
      </c>
      <c r="AC75" t="s">
        <v>84</v>
      </c>
      <c r="AD75" t="s">
        <v>84</v>
      </c>
      <c r="AE75" t="s">
        <v>84</v>
      </c>
      <c r="AF75" t="s">
        <v>84</v>
      </c>
      <c r="AG75" s="17">
        <v>50750000</v>
      </c>
      <c r="AH75" s="17">
        <v>66.26</v>
      </c>
      <c r="AI75" s="17">
        <v>17.01</v>
      </c>
      <c r="AJ75" s="17">
        <v>11.05</v>
      </c>
      <c r="AK75" t="s">
        <v>126</v>
      </c>
      <c r="AM75" s="17">
        <v>2.5</v>
      </c>
      <c r="AN75" s="17"/>
      <c r="AO75" s="17">
        <v>1010</v>
      </c>
      <c r="AP75" s="17"/>
      <c r="AQ75" s="17">
        <v>1705</v>
      </c>
      <c r="AR75" s="17"/>
      <c r="AS75" s="17">
        <v>3.47</v>
      </c>
      <c r="AT75" s="17"/>
      <c r="AU75" s="17">
        <v>2450</v>
      </c>
      <c r="AV75" s="17"/>
      <c r="AW75" s="17">
        <v>6055</v>
      </c>
      <c r="AX75" s="17"/>
      <c r="AY75" s="17">
        <v>9.62</v>
      </c>
      <c r="AZ75" s="17">
        <v>13460000</v>
      </c>
      <c r="BA75" t="s">
        <v>265</v>
      </c>
      <c r="BB75" s="17">
        <v>0.7</v>
      </c>
      <c r="BC75" s="17">
        <v>373</v>
      </c>
      <c r="BD75" s="17">
        <v>13.59</v>
      </c>
      <c r="BE75" s="17">
        <v>18150000</v>
      </c>
      <c r="BF75" s="17">
        <v>1.5</v>
      </c>
      <c r="BG75" s="17">
        <v>206</v>
      </c>
      <c r="BH75" t="s">
        <v>127</v>
      </c>
      <c r="BI75" t="s">
        <v>94</v>
      </c>
      <c r="BJ75" t="s">
        <v>109</v>
      </c>
      <c r="BK75" t="s">
        <v>85</v>
      </c>
      <c r="BL75" t="s">
        <v>85</v>
      </c>
      <c r="BM75" t="s">
        <v>137</v>
      </c>
      <c r="BN75" t="s">
        <v>129</v>
      </c>
      <c r="BO75" t="s">
        <v>98</v>
      </c>
      <c r="BP75" t="s">
        <v>139</v>
      </c>
      <c r="BQ75" t="s">
        <v>92</v>
      </c>
      <c r="BR75" t="s">
        <v>138</v>
      </c>
      <c r="BS75" t="s">
        <v>156</v>
      </c>
      <c r="BT75" t="s">
        <v>139</v>
      </c>
      <c r="BU75" s="17">
        <v>10.7</v>
      </c>
      <c r="BV75" t="s">
        <v>256</v>
      </c>
      <c r="BW75" t="s">
        <v>85</v>
      </c>
      <c r="BX75" t="s">
        <v>85</v>
      </c>
      <c r="BY75" t="str">
        <f>IF(COUNTIF('Data Upload-prod'!E:E,F75)=0,"Missing","Exist")</f>
        <v>Missing</v>
      </c>
    </row>
    <row r="76" hidden="1" spans="1:77">
      <c r="A76" s="16">
        <v>45992</v>
      </c>
      <c r="B76" s="16">
        <v>46114.4563935069</v>
      </c>
      <c r="C76" t="s">
        <v>132</v>
      </c>
      <c r="D76" t="s">
        <v>78</v>
      </c>
      <c r="E76" t="s">
        <v>316</v>
      </c>
      <c r="F76" t="s">
        <v>317</v>
      </c>
      <c r="G76" t="s">
        <v>145</v>
      </c>
      <c r="H76" t="s">
        <v>202</v>
      </c>
      <c r="I76" t="s">
        <v>124</v>
      </c>
      <c r="J76" s="17">
        <v>72.2</v>
      </c>
      <c r="K76" s="17">
        <v>2764</v>
      </c>
      <c r="L76" s="17">
        <v>2623</v>
      </c>
      <c r="M76" t="s">
        <v>84</v>
      </c>
      <c r="N76" s="17">
        <v>17934434.85</v>
      </c>
      <c r="O76" t="s">
        <v>84</v>
      </c>
      <c r="P76" s="17">
        <v>32.84</v>
      </c>
      <c r="Q76" t="s">
        <v>84</v>
      </c>
      <c r="R76" t="s">
        <v>84</v>
      </c>
      <c r="S76" t="s">
        <v>85</v>
      </c>
      <c r="T76" t="s">
        <v>84</v>
      </c>
      <c r="U76" t="s">
        <v>86</v>
      </c>
      <c r="V76" s="16">
        <v>46048</v>
      </c>
      <c r="W76" s="18">
        <v>46039.3958333333</v>
      </c>
      <c r="X76" s="18">
        <v>46078.1041666667</v>
      </c>
      <c r="Y76" s="17">
        <v>2763</v>
      </c>
      <c r="Z76" t="s">
        <v>87</v>
      </c>
      <c r="AA76" s="17">
        <v>2763</v>
      </c>
      <c r="AB76" s="17">
        <v>2620</v>
      </c>
      <c r="AC76" t="s">
        <v>84</v>
      </c>
      <c r="AD76" s="17">
        <v>17788859.45</v>
      </c>
      <c r="AE76" t="s">
        <v>84</v>
      </c>
      <c r="AF76" s="17">
        <v>38.71</v>
      </c>
      <c r="AG76" s="17">
        <v>17788859.45</v>
      </c>
      <c r="AH76" s="17">
        <v>38.71</v>
      </c>
      <c r="AI76" s="17">
        <v>15.98</v>
      </c>
      <c r="AJ76" s="17">
        <v>5.49</v>
      </c>
      <c r="AK76" t="s">
        <v>300</v>
      </c>
      <c r="AM76" s="17">
        <v>1.9</v>
      </c>
      <c r="AN76" s="17"/>
      <c r="AO76" s="17">
        <v>720</v>
      </c>
      <c r="AP76" s="17"/>
      <c r="AQ76" s="17">
        <v>1370</v>
      </c>
      <c r="AR76" s="17"/>
      <c r="AS76" s="17">
        <v>1.06</v>
      </c>
      <c r="AT76" s="17"/>
      <c r="AU76" s="17">
        <v>677</v>
      </c>
      <c r="AV76" s="17"/>
      <c r="AW76" s="17">
        <v>1353</v>
      </c>
      <c r="AX76" s="17"/>
      <c r="AY76" t="s">
        <v>92</v>
      </c>
      <c r="AZ76" t="s">
        <v>92</v>
      </c>
      <c r="BA76" t="s">
        <v>92</v>
      </c>
      <c r="BB76" t="s">
        <v>92</v>
      </c>
      <c r="BC76" t="s">
        <v>92</v>
      </c>
      <c r="BD76" t="s">
        <v>92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92</v>
      </c>
      <c r="BM76" t="s">
        <v>92</v>
      </c>
      <c r="BN76" t="s">
        <v>92</v>
      </c>
      <c r="BO76" t="s">
        <v>92</v>
      </c>
      <c r="BP76" t="s">
        <v>92</v>
      </c>
      <c r="BQ76" t="s">
        <v>92</v>
      </c>
      <c r="BR76" t="s">
        <v>92</v>
      </c>
      <c r="BS76" t="s">
        <v>92</v>
      </c>
      <c r="BT76" t="s">
        <v>92</v>
      </c>
      <c r="BU76" t="s">
        <v>92</v>
      </c>
      <c r="BV76" t="s">
        <v>92</v>
      </c>
      <c r="BW76" t="s">
        <v>92</v>
      </c>
      <c r="BX76" t="s">
        <v>92</v>
      </c>
      <c r="BY76" t="str">
        <f>IF(COUNTIF('Data Upload-prod'!E:E,F76)=0,"Missing","Exist")</f>
        <v>Missing</v>
      </c>
    </row>
    <row r="77" hidden="1" spans="1:77">
      <c r="A77" s="16">
        <v>45987</v>
      </c>
      <c r="B77" s="16">
        <v>45988.2976153125</v>
      </c>
      <c r="C77" t="s">
        <v>132</v>
      </c>
      <c r="D77" t="s">
        <v>120</v>
      </c>
      <c r="E77" t="s">
        <v>84</v>
      </c>
      <c r="F77" t="s">
        <v>318</v>
      </c>
      <c r="G77" t="s">
        <v>145</v>
      </c>
      <c r="H77" t="s">
        <v>319</v>
      </c>
      <c r="I77" t="s">
        <v>231</v>
      </c>
      <c r="J77" s="17">
        <v>120</v>
      </c>
      <c r="K77" s="17">
        <v>1803</v>
      </c>
      <c r="L77" s="17">
        <v>1803</v>
      </c>
      <c r="M77" s="17">
        <v>25210477.68</v>
      </c>
      <c r="N77" s="17">
        <v>25210477.68</v>
      </c>
      <c r="O77" s="17">
        <v>50.93</v>
      </c>
      <c r="P77" s="17">
        <v>50.93</v>
      </c>
      <c r="Q77" t="s">
        <v>84</v>
      </c>
      <c r="R77" t="s">
        <v>84</v>
      </c>
      <c r="S77" t="s">
        <v>85</v>
      </c>
      <c r="T77" t="s">
        <v>84</v>
      </c>
      <c r="U77" t="s">
        <v>320</v>
      </c>
      <c r="V77" s="16">
        <v>45528</v>
      </c>
      <c r="W77" s="18">
        <v>45524.2916666667</v>
      </c>
      <c r="X77" s="18">
        <v>45568.4791666667</v>
      </c>
      <c r="Y77" s="17">
        <v>1659</v>
      </c>
      <c r="Z77" t="s">
        <v>87</v>
      </c>
      <c r="AA77" s="17">
        <v>1779</v>
      </c>
      <c r="AB77" s="17">
        <v>1778.97</v>
      </c>
      <c r="AC77" t="s">
        <v>84</v>
      </c>
      <c r="AD77" s="17">
        <v>19532150.26</v>
      </c>
      <c r="AE77" t="s">
        <v>84</v>
      </c>
      <c r="AF77" s="17">
        <v>38.73</v>
      </c>
      <c r="AG77" s="17">
        <v>19532150.26</v>
      </c>
      <c r="AH77" s="17">
        <v>38.73</v>
      </c>
      <c r="AI77" s="17">
        <v>1.29</v>
      </c>
      <c r="AJ77" s="17">
        <v>1.1</v>
      </c>
      <c r="AK77" t="s">
        <v>295</v>
      </c>
      <c r="AM77" s="17">
        <v>2.7</v>
      </c>
      <c r="AN77" s="17"/>
      <c r="AO77" s="17">
        <v>1490</v>
      </c>
      <c r="AP77" s="17"/>
      <c r="AQ77" s="17">
        <v>2760</v>
      </c>
      <c r="AR77" s="17"/>
      <c r="AS77" s="17">
        <v>3.1</v>
      </c>
      <c r="AT77" s="17"/>
      <c r="AU77" s="17">
        <v>1768</v>
      </c>
      <c r="AV77" s="17"/>
      <c r="AW77" s="17">
        <v>2809</v>
      </c>
      <c r="AX77" s="17"/>
      <c r="AY77" t="s">
        <v>92</v>
      </c>
      <c r="AZ77" t="s">
        <v>92</v>
      </c>
      <c r="BA77" t="s">
        <v>92</v>
      </c>
      <c r="BB77" t="s">
        <v>92</v>
      </c>
      <c r="BC77" t="s">
        <v>92</v>
      </c>
      <c r="BD77" t="s">
        <v>92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92</v>
      </c>
      <c r="BM77" t="s">
        <v>92</v>
      </c>
      <c r="BN77" t="s">
        <v>92</v>
      </c>
      <c r="BO77" t="s">
        <v>92</v>
      </c>
      <c r="BP77" t="s">
        <v>92</v>
      </c>
      <c r="BQ77" t="s">
        <v>92</v>
      </c>
      <c r="BR77" t="s">
        <v>92</v>
      </c>
      <c r="BS77" t="s">
        <v>92</v>
      </c>
      <c r="BT77" t="s">
        <v>92</v>
      </c>
      <c r="BU77" t="s">
        <v>92</v>
      </c>
      <c r="BV77" t="s">
        <v>92</v>
      </c>
      <c r="BW77" t="s">
        <v>92</v>
      </c>
      <c r="BX77" t="s">
        <v>92</v>
      </c>
      <c r="BY77" t="str">
        <f>IF(COUNTIF('Data Upload-prod'!E:E,F77)=0,"Missing","Exist")</f>
        <v>Missing</v>
      </c>
    </row>
    <row r="78" hidden="1" spans="1:77">
      <c r="A78" s="16">
        <v>45974</v>
      </c>
      <c r="B78" s="16">
        <v>45974.4534242245</v>
      </c>
      <c r="C78" t="s">
        <v>141</v>
      </c>
      <c r="D78" t="s">
        <v>120</v>
      </c>
      <c r="E78" t="s">
        <v>321</v>
      </c>
      <c r="F78" t="s">
        <v>322</v>
      </c>
      <c r="G78" t="s">
        <v>145</v>
      </c>
      <c r="H78" t="s">
        <v>311</v>
      </c>
      <c r="I78" t="s">
        <v>124</v>
      </c>
      <c r="J78" s="17">
        <v>69.49</v>
      </c>
      <c r="K78" s="17">
        <v>1588.92</v>
      </c>
      <c r="L78" s="17">
        <v>1588.89</v>
      </c>
      <c r="M78" s="17">
        <v>20280000</v>
      </c>
      <c r="N78" s="17">
        <v>24530000</v>
      </c>
      <c r="O78" s="17">
        <v>30.13</v>
      </c>
      <c r="P78" s="17">
        <v>41.07</v>
      </c>
      <c r="Q78" t="s">
        <v>84</v>
      </c>
      <c r="R78" t="s">
        <v>84</v>
      </c>
      <c r="S78" t="s">
        <v>85</v>
      </c>
      <c r="T78" t="s">
        <v>84</v>
      </c>
      <c r="U78" t="s">
        <v>86</v>
      </c>
      <c r="V78" s="16">
        <v>45457</v>
      </c>
      <c r="W78" s="18">
        <v>45450.9375</v>
      </c>
      <c r="X78" s="18">
        <v>45484.2291666667</v>
      </c>
      <c r="Y78" s="17">
        <v>1482.55</v>
      </c>
      <c r="Z78" t="s">
        <v>87</v>
      </c>
      <c r="AA78" s="17">
        <v>1588.92</v>
      </c>
      <c r="AB78" s="17">
        <v>1588.89</v>
      </c>
      <c r="AC78" s="17">
        <v>21560000</v>
      </c>
      <c r="AD78" t="s">
        <v>84</v>
      </c>
      <c r="AE78" s="17">
        <v>33.29</v>
      </c>
      <c r="AF78" t="s">
        <v>84</v>
      </c>
      <c r="AG78" s="17">
        <v>21560000</v>
      </c>
      <c r="AH78" s="17">
        <v>33.29</v>
      </c>
      <c r="AI78" s="17">
        <v>7.73</v>
      </c>
      <c r="AJ78" s="17">
        <v>6.2</v>
      </c>
      <c r="AK78" t="s">
        <v>323</v>
      </c>
      <c r="AM78" s="17">
        <v>4.4</v>
      </c>
      <c r="AN78" s="17"/>
      <c r="AO78" s="17">
        <v>1980</v>
      </c>
      <c r="AP78" s="17"/>
      <c r="AQ78" s="17">
        <v>2760</v>
      </c>
      <c r="AR78" s="17"/>
      <c r="AS78" s="17">
        <v>3.23</v>
      </c>
      <c r="AT78" s="17"/>
      <c r="AU78" s="17">
        <v>2385</v>
      </c>
      <c r="AV78" s="17"/>
      <c r="AW78" s="17">
        <v>4432</v>
      </c>
      <c r="AX78" s="17"/>
      <c r="AY78" t="s">
        <v>92</v>
      </c>
      <c r="AZ78" t="s">
        <v>92</v>
      </c>
      <c r="BA78" t="s">
        <v>92</v>
      </c>
      <c r="BB78" t="s">
        <v>92</v>
      </c>
      <c r="BC78" t="s">
        <v>92</v>
      </c>
      <c r="BD78" t="s">
        <v>92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92</v>
      </c>
      <c r="BM78" t="s">
        <v>92</v>
      </c>
      <c r="BN78" t="s">
        <v>92</v>
      </c>
      <c r="BO78" t="s">
        <v>92</v>
      </c>
      <c r="BP78" t="s">
        <v>92</v>
      </c>
      <c r="BQ78" t="s">
        <v>92</v>
      </c>
      <c r="BR78" t="s">
        <v>92</v>
      </c>
      <c r="BS78" t="s">
        <v>92</v>
      </c>
      <c r="BT78" t="s">
        <v>92</v>
      </c>
      <c r="BU78" t="s">
        <v>92</v>
      </c>
      <c r="BV78" t="s">
        <v>92</v>
      </c>
      <c r="BW78" t="s">
        <v>92</v>
      </c>
      <c r="BX78" t="s">
        <v>92</v>
      </c>
      <c r="BY78" t="str">
        <f>IF(COUNTIF('Data Upload-prod'!E:E,F78)=0,"Missing","Exist")</f>
        <v>Missing</v>
      </c>
    </row>
    <row r="79" hidden="1" spans="1:77">
      <c r="A79" s="16">
        <v>45974</v>
      </c>
      <c r="B79" s="16">
        <v>45974.4478397685</v>
      </c>
      <c r="C79" t="s">
        <v>141</v>
      </c>
      <c r="D79" t="s">
        <v>120</v>
      </c>
      <c r="E79" t="s">
        <v>321</v>
      </c>
      <c r="F79" t="s">
        <v>324</v>
      </c>
      <c r="G79" t="s">
        <v>145</v>
      </c>
      <c r="H79" t="s">
        <v>311</v>
      </c>
      <c r="I79" t="s">
        <v>124</v>
      </c>
      <c r="J79" s="17">
        <v>78.94</v>
      </c>
      <c r="K79" s="17">
        <v>1616.66</v>
      </c>
      <c r="L79" s="17">
        <v>1616.58</v>
      </c>
      <c r="M79" s="17">
        <v>20700000</v>
      </c>
      <c r="N79" s="17">
        <v>24900000</v>
      </c>
      <c r="O79" s="17">
        <v>31.38</v>
      </c>
      <c r="P79" s="17">
        <v>41.93</v>
      </c>
      <c r="Q79" t="s">
        <v>84</v>
      </c>
      <c r="R79" t="s">
        <v>84</v>
      </c>
      <c r="S79" t="s">
        <v>85</v>
      </c>
      <c r="T79" t="s">
        <v>84</v>
      </c>
      <c r="U79" t="s">
        <v>86</v>
      </c>
      <c r="V79" s="16">
        <v>45416</v>
      </c>
      <c r="W79" s="18">
        <v>45410.5833333333</v>
      </c>
      <c r="X79" s="18">
        <v>45450.9375</v>
      </c>
      <c r="Y79" s="17">
        <v>1501.14</v>
      </c>
      <c r="Z79" t="s">
        <v>87</v>
      </c>
      <c r="AA79" s="17">
        <v>1616.66</v>
      </c>
      <c r="AB79" s="17">
        <v>1616.58</v>
      </c>
      <c r="AC79" s="17">
        <v>25250000</v>
      </c>
      <c r="AD79" t="s">
        <v>84</v>
      </c>
      <c r="AE79" s="17">
        <v>40.35</v>
      </c>
      <c r="AF79" t="s">
        <v>84</v>
      </c>
      <c r="AG79" s="17">
        <v>25250000</v>
      </c>
      <c r="AH79" s="17">
        <v>40.35</v>
      </c>
      <c r="AI79" s="17">
        <v>11.7</v>
      </c>
      <c r="AJ79" s="17">
        <v>11.2</v>
      </c>
      <c r="AK79" t="s">
        <v>323</v>
      </c>
      <c r="AM79" s="17">
        <v>4.4</v>
      </c>
      <c r="AN79" s="17"/>
      <c r="AO79" s="17">
        <v>1980</v>
      </c>
      <c r="AP79" s="17"/>
      <c r="AQ79" s="17">
        <v>2760</v>
      </c>
      <c r="AR79" s="17"/>
      <c r="AS79" s="17">
        <v>4.94</v>
      </c>
      <c r="AT79" s="17"/>
      <c r="AU79" s="17">
        <v>3467</v>
      </c>
      <c r="AV79" s="17"/>
      <c r="AW79" s="17">
        <v>5126</v>
      </c>
      <c r="AX79" s="17"/>
      <c r="AY79" t="s">
        <v>92</v>
      </c>
      <c r="AZ79" t="s">
        <v>92</v>
      </c>
      <c r="BA79" t="s">
        <v>92</v>
      </c>
      <c r="BB79" t="s">
        <v>92</v>
      </c>
      <c r="BC79" t="s">
        <v>92</v>
      </c>
      <c r="BD79" t="s">
        <v>92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92</v>
      </c>
      <c r="BM79" t="s">
        <v>92</v>
      </c>
      <c r="BN79" t="s">
        <v>92</v>
      </c>
      <c r="BO79" t="s">
        <v>92</v>
      </c>
      <c r="BP79" t="s">
        <v>92</v>
      </c>
      <c r="BQ79" t="s">
        <v>92</v>
      </c>
      <c r="BR79" t="s">
        <v>92</v>
      </c>
      <c r="BS79" t="s">
        <v>92</v>
      </c>
      <c r="BT79" t="s">
        <v>92</v>
      </c>
      <c r="BU79" t="s">
        <v>92</v>
      </c>
      <c r="BV79" t="s">
        <v>92</v>
      </c>
      <c r="BW79" t="s">
        <v>92</v>
      </c>
      <c r="BX79" t="s">
        <v>92</v>
      </c>
      <c r="BY79" t="str">
        <f>IF(COUNTIF('Data Upload-prod'!E:E,F79)=0,"Missing","Exist")</f>
        <v>Missing</v>
      </c>
    </row>
    <row r="80" hidden="1" spans="1:77">
      <c r="A80" s="16">
        <v>45974</v>
      </c>
      <c r="B80" s="16">
        <v>45974.4576263542</v>
      </c>
      <c r="C80" t="s">
        <v>141</v>
      </c>
      <c r="D80" t="s">
        <v>120</v>
      </c>
      <c r="E80" t="s">
        <v>321</v>
      </c>
      <c r="F80" t="s">
        <v>325</v>
      </c>
      <c r="G80" t="s">
        <v>145</v>
      </c>
      <c r="H80" t="s">
        <v>311</v>
      </c>
      <c r="I80" t="s">
        <v>124</v>
      </c>
      <c r="J80" s="17">
        <v>80.47</v>
      </c>
      <c r="K80" s="17">
        <v>2468.88</v>
      </c>
      <c r="L80" s="17">
        <v>2274.2</v>
      </c>
      <c r="M80" s="17">
        <v>23900000</v>
      </c>
      <c r="N80" s="17">
        <v>28100000</v>
      </c>
      <c r="O80" s="17">
        <v>35.42</v>
      </c>
      <c r="P80" s="17">
        <v>46.16</v>
      </c>
      <c r="Q80" t="s">
        <v>84</v>
      </c>
      <c r="R80" t="s">
        <v>84</v>
      </c>
      <c r="S80" t="s">
        <v>85</v>
      </c>
      <c r="T80" t="s">
        <v>84</v>
      </c>
      <c r="U80" t="s">
        <v>86</v>
      </c>
      <c r="V80" s="16">
        <v>45489</v>
      </c>
      <c r="W80" s="18">
        <v>45484.2291666667</v>
      </c>
      <c r="X80" s="18">
        <v>45528</v>
      </c>
      <c r="Y80" s="17">
        <v>2351.53</v>
      </c>
      <c r="Z80" t="s">
        <v>87</v>
      </c>
      <c r="AA80" s="17">
        <v>2468.88</v>
      </c>
      <c r="AB80" s="17">
        <v>2274.2</v>
      </c>
      <c r="AC80" s="17">
        <v>27690000</v>
      </c>
      <c r="AD80" t="s">
        <v>84</v>
      </c>
      <c r="AE80" s="17">
        <v>43.77</v>
      </c>
      <c r="AF80" t="s">
        <v>84</v>
      </c>
      <c r="AG80" s="17">
        <v>27690000</v>
      </c>
      <c r="AH80" s="17">
        <v>43.77</v>
      </c>
      <c r="AI80" s="17">
        <v>9.76</v>
      </c>
      <c r="AJ80" s="17">
        <v>9.21</v>
      </c>
      <c r="AK80" t="s">
        <v>323</v>
      </c>
      <c r="AM80" s="17">
        <v>4.4</v>
      </c>
      <c r="AN80" s="17"/>
      <c r="AO80" s="17">
        <v>1980</v>
      </c>
      <c r="AP80" s="17"/>
      <c r="AQ80" s="17">
        <v>2760</v>
      </c>
      <c r="AR80" s="17"/>
      <c r="AS80" s="17">
        <v>3.14</v>
      </c>
      <c r="AT80" s="17"/>
      <c r="AU80" s="17">
        <v>2196</v>
      </c>
      <c r="AV80" s="17"/>
      <c r="AW80" s="17">
        <v>3589</v>
      </c>
      <c r="AX80" s="17"/>
      <c r="AY80" t="s">
        <v>92</v>
      </c>
      <c r="AZ80" t="s">
        <v>92</v>
      </c>
      <c r="BA80" t="s">
        <v>92</v>
      </c>
      <c r="BB80" t="s">
        <v>92</v>
      </c>
      <c r="BC80" t="s">
        <v>92</v>
      </c>
      <c r="BD80" t="s">
        <v>92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92</v>
      </c>
      <c r="BM80" t="s">
        <v>92</v>
      </c>
      <c r="BN80" t="s">
        <v>92</v>
      </c>
      <c r="BO80" t="s">
        <v>92</v>
      </c>
      <c r="BP80" t="s">
        <v>92</v>
      </c>
      <c r="BQ80" t="s">
        <v>92</v>
      </c>
      <c r="BR80" t="s">
        <v>92</v>
      </c>
      <c r="BS80" t="s">
        <v>92</v>
      </c>
      <c r="BT80" t="s">
        <v>92</v>
      </c>
      <c r="BU80" t="s">
        <v>92</v>
      </c>
      <c r="BV80" t="s">
        <v>92</v>
      </c>
      <c r="BW80" t="s">
        <v>92</v>
      </c>
      <c r="BX80" t="s">
        <v>92</v>
      </c>
      <c r="BY80" t="str">
        <f>IF(COUNTIF('Data Upload-prod'!E:E,F80)=0,"Missing","Exist")</f>
        <v>Missing</v>
      </c>
    </row>
    <row r="81" hidden="1" spans="1:77">
      <c r="A81" s="16">
        <v>45972</v>
      </c>
      <c r="B81" s="16">
        <v>45972.6817642014</v>
      </c>
      <c r="C81" t="s">
        <v>132</v>
      </c>
      <c r="D81" t="s">
        <v>120</v>
      </c>
      <c r="E81" t="s">
        <v>326</v>
      </c>
      <c r="F81" t="s">
        <v>327</v>
      </c>
      <c r="G81" t="s">
        <v>81</v>
      </c>
      <c r="H81" t="s">
        <v>135</v>
      </c>
      <c r="I81" t="s">
        <v>124</v>
      </c>
      <c r="J81" s="17">
        <v>36.5</v>
      </c>
      <c r="K81" s="17">
        <v>2909</v>
      </c>
      <c r="L81" s="17">
        <v>1636.87</v>
      </c>
      <c r="M81" t="s">
        <v>84</v>
      </c>
      <c r="N81" t="s">
        <v>84</v>
      </c>
      <c r="O81" t="s">
        <v>84</v>
      </c>
      <c r="P81" t="s">
        <v>84</v>
      </c>
      <c r="Q81" s="17">
        <v>13486616.4</v>
      </c>
      <c r="R81" s="17">
        <v>24.52</v>
      </c>
      <c r="S81" t="s">
        <v>85</v>
      </c>
      <c r="T81" t="s">
        <v>84</v>
      </c>
      <c r="U81" t="s">
        <v>86</v>
      </c>
      <c r="V81" s="16">
        <v>45639</v>
      </c>
      <c r="W81" s="18">
        <v>45639.875</v>
      </c>
      <c r="X81" s="18">
        <v>45701.75</v>
      </c>
      <c r="Y81" s="17">
        <v>2882</v>
      </c>
      <c r="Z81" t="s">
        <v>87</v>
      </c>
      <c r="AA81" s="17">
        <v>2882</v>
      </c>
      <c r="AB81" s="17">
        <v>1638.13</v>
      </c>
      <c r="AC81" t="s">
        <v>84</v>
      </c>
      <c r="AD81" t="s">
        <v>84</v>
      </c>
      <c r="AE81" t="s">
        <v>84</v>
      </c>
      <c r="AF81" t="s">
        <v>84</v>
      </c>
      <c r="AG81" s="17">
        <v>12880451.49</v>
      </c>
      <c r="AH81" s="17">
        <v>29.25</v>
      </c>
      <c r="AI81" s="17">
        <v>0.71</v>
      </c>
      <c r="AJ81" s="17">
        <v>0.57</v>
      </c>
      <c r="AK81" t="s">
        <v>208</v>
      </c>
      <c r="AM81" s="17">
        <v>2.2</v>
      </c>
      <c r="AN81" s="17"/>
      <c r="AO81" s="17">
        <v>830</v>
      </c>
      <c r="AP81" s="17"/>
      <c r="AQ81" t="s">
        <v>92</v>
      </c>
      <c r="AS81" s="17">
        <v>1.11</v>
      </c>
      <c r="AT81" s="17"/>
      <c r="AU81" s="17">
        <v>622</v>
      </c>
      <c r="AV81" s="17"/>
      <c r="AW81" s="17">
        <v>1307</v>
      </c>
      <c r="AX81" s="17"/>
      <c r="AY81" t="s">
        <v>92</v>
      </c>
      <c r="AZ81" t="s">
        <v>92</v>
      </c>
      <c r="BA81" t="s">
        <v>92</v>
      </c>
      <c r="BB81" t="s">
        <v>92</v>
      </c>
      <c r="BC81" t="s">
        <v>92</v>
      </c>
      <c r="BD81" t="s">
        <v>92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92</v>
      </c>
      <c r="BM81" t="s">
        <v>92</v>
      </c>
      <c r="BN81" t="s">
        <v>92</v>
      </c>
      <c r="BO81" t="s">
        <v>92</v>
      </c>
      <c r="BP81" t="s">
        <v>92</v>
      </c>
      <c r="BQ81" t="s">
        <v>92</v>
      </c>
      <c r="BR81" t="s">
        <v>92</v>
      </c>
      <c r="BS81" t="s">
        <v>92</v>
      </c>
      <c r="BT81" t="s">
        <v>92</v>
      </c>
      <c r="BU81" t="s">
        <v>92</v>
      </c>
      <c r="BV81" t="s">
        <v>92</v>
      </c>
      <c r="BW81" t="s">
        <v>92</v>
      </c>
      <c r="BX81" t="s">
        <v>92</v>
      </c>
      <c r="BY81" t="str">
        <f>IF(COUNTIF('Data Upload-prod'!E:E,F81)=0,"Missing","Exist")</f>
        <v>Missing</v>
      </c>
    </row>
    <row r="82" hidden="1" spans="1:77">
      <c r="A82" s="16">
        <v>45972</v>
      </c>
      <c r="B82" s="16">
        <v>45972.6354611227</v>
      </c>
      <c r="C82" t="s">
        <v>132</v>
      </c>
      <c r="D82" t="s">
        <v>120</v>
      </c>
      <c r="E82" t="s">
        <v>326</v>
      </c>
      <c r="F82" t="s">
        <v>328</v>
      </c>
      <c r="G82" t="s">
        <v>81</v>
      </c>
      <c r="H82" t="s">
        <v>135</v>
      </c>
      <c r="I82" t="s">
        <v>124</v>
      </c>
      <c r="J82" s="17">
        <v>35</v>
      </c>
      <c r="K82" s="17">
        <v>2221</v>
      </c>
      <c r="L82" s="17">
        <v>1839</v>
      </c>
      <c r="M82" t="s">
        <v>84</v>
      </c>
      <c r="N82" t="s">
        <v>84</v>
      </c>
      <c r="O82" t="s">
        <v>84</v>
      </c>
      <c r="P82" t="s">
        <v>84</v>
      </c>
      <c r="Q82" s="17">
        <v>15671794.69</v>
      </c>
      <c r="R82" s="17">
        <v>26.33</v>
      </c>
      <c r="S82" t="s">
        <v>85</v>
      </c>
      <c r="T82" t="s">
        <v>84</v>
      </c>
      <c r="U82" t="s">
        <v>86</v>
      </c>
      <c r="V82" s="16">
        <v>45549</v>
      </c>
      <c r="W82" s="18">
        <v>45546.75</v>
      </c>
      <c r="X82" s="18">
        <v>45584.5</v>
      </c>
      <c r="Y82" s="17">
        <v>1953</v>
      </c>
      <c r="Z82" t="s">
        <v>87</v>
      </c>
      <c r="AA82" s="17">
        <v>1953</v>
      </c>
      <c r="AB82" s="17">
        <v>1662.88</v>
      </c>
      <c r="AC82" t="s">
        <v>84</v>
      </c>
      <c r="AD82" t="s">
        <v>84</v>
      </c>
      <c r="AE82" t="s">
        <v>84</v>
      </c>
      <c r="AF82" t="s">
        <v>84</v>
      </c>
      <c r="AG82" s="17">
        <v>12383323.13</v>
      </c>
      <c r="AH82" s="17">
        <v>27.12</v>
      </c>
      <c r="AI82" s="17">
        <v>16.09</v>
      </c>
      <c r="AJ82" s="17">
        <v>12</v>
      </c>
      <c r="AK82" t="s">
        <v>208</v>
      </c>
      <c r="AM82" s="17">
        <v>2.2</v>
      </c>
      <c r="AN82" s="17"/>
      <c r="AO82" s="17">
        <v>830</v>
      </c>
      <c r="AP82" s="17"/>
      <c r="AQ82" t="s">
        <v>92</v>
      </c>
      <c r="AS82" s="17">
        <v>2.31</v>
      </c>
      <c r="AT82" s="17"/>
      <c r="AU82" s="17">
        <v>812</v>
      </c>
      <c r="AV82" s="17"/>
      <c r="AW82" s="17">
        <v>1865</v>
      </c>
      <c r="AX82" s="17"/>
      <c r="AY82" t="s">
        <v>92</v>
      </c>
      <c r="AZ82" t="s">
        <v>92</v>
      </c>
      <c r="BA82" t="s">
        <v>92</v>
      </c>
      <c r="BB82" t="s">
        <v>92</v>
      </c>
      <c r="BC82" t="s">
        <v>92</v>
      </c>
      <c r="BD82" t="s">
        <v>92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92</v>
      </c>
      <c r="BM82" t="s">
        <v>92</v>
      </c>
      <c r="BN82" t="s">
        <v>92</v>
      </c>
      <c r="BO82" t="s">
        <v>92</v>
      </c>
      <c r="BP82" t="s">
        <v>92</v>
      </c>
      <c r="BQ82" t="s">
        <v>92</v>
      </c>
      <c r="BR82" t="s">
        <v>92</v>
      </c>
      <c r="BS82" t="s">
        <v>92</v>
      </c>
      <c r="BT82" t="s">
        <v>92</v>
      </c>
      <c r="BU82" t="s">
        <v>92</v>
      </c>
      <c r="BV82" t="s">
        <v>92</v>
      </c>
      <c r="BW82" t="s">
        <v>92</v>
      </c>
      <c r="BX82" t="s">
        <v>92</v>
      </c>
      <c r="BY82" t="str">
        <f>IF(COUNTIF('Data Upload-prod'!E:E,F82)=0,"Missing","Exist")</f>
        <v>Missing</v>
      </c>
    </row>
    <row r="83" hidden="1" spans="1:77">
      <c r="A83" s="16">
        <v>45972</v>
      </c>
      <c r="B83" s="16">
        <v>45973.4665061343</v>
      </c>
      <c r="C83" t="s">
        <v>132</v>
      </c>
      <c r="D83" t="s">
        <v>120</v>
      </c>
      <c r="E83" t="s">
        <v>326</v>
      </c>
      <c r="F83" t="s">
        <v>329</v>
      </c>
      <c r="G83" t="s">
        <v>81</v>
      </c>
      <c r="H83" t="s">
        <v>135</v>
      </c>
      <c r="I83" t="s">
        <v>124</v>
      </c>
      <c r="J83" s="17">
        <v>36.5</v>
      </c>
      <c r="K83" s="17">
        <v>2666</v>
      </c>
      <c r="L83" s="17">
        <v>1628.92</v>
      </c>
      <c r="M83" t="s">
        <v>84</v>
      </c>
      <c r="N83" t="s">
        <v>84</v>
      </c>
      <c r="O83" t="s">
        <v>84</v>
      </c>
      <c r="P83" t="s">
        <v>84</v>
      </c>
      <c r="Q83" s="17">
        <v>15903912.72</v>
      </c>
      <c r="R83" s="17">
        <v>27.01</v>
      </c>
      <c r="S83" t="s">
        <v>85</v>
      </c>
      <c r="T83" t="s">
        <v>84</v>
      </c>
      <c r="U83" t="s">
        <v>86</v>
      </c>
      <c r="V83" s="16">
        <v>45643</v>
      </c>
      <c r="W83" s="18">
        <v>45643.375</v>
      </c>
      <c r="X83" s="18">
        <v>45780.75</v>
      </c>
      <c r="Y83" s="17">
        <v>2626</v>
      </c>
      <c r="Z83" t="s">
        <v>87</v>
      </c>
      <c r="AA83" s="17">
        <v>2626</v>
      </c>
      <c r="AB83" s="17">
        <v>1592.69</v>
      </c>
      <c r="AC83" t="s">
        <v>84</v>
      </c>
      <c r="AD83" t="s">
        <v>84</v>
      </c>
      <c r="AE83" t="s">
        <v>84</v>
      </c>
      <c r="AF83" t="s">
        <v>84</v>
      </c>
      <c r="AG83" s="17">
        <v>13072854.89</v>
      </c>
      <c r="AH83" s="17">
        <v>34.12</v>
      </c>
      <c r="AI83" s="17">
        <v>7.23</v>
      </c>
      <c r="AJ83" s="17">
        <v>5.4</v>
      </c>
      <c r="AK83" t="s">
        <v>208</v>
      </c>
      <c r="AM83" s="17">
        <v>2.2</v>
      </c>
      <c r="AN83" s="17"/>
      <c r="AO83" s="17">
        <v>830</v>
      </c>
      <c r="AP83" s="17"/>
      <c r="AQ83" t="s">
        <v>92</v>
      </c>
      <c r="AS83" s="17">
        <v>1.72</v>
      </c>
      <c r="AT83" s="17"/>
      <c r="AU83" s="17">
        <v>766</v>
      </c>
      <c r="AV83" s="17"/>
      <c r="AW83" s="17">
        <v>1441</v>
      </c>
      <c r="AX83" s="17"/>
      <c r="AY83" t="s">
        <v>92</v>
      </c>
      <c r="AZ83" t="s">
        <v>92</v>
      </c>
      <c r="BA83" t="s">
        <v>92</v>
      </c>
      <c r="BB83" t="s">
        <v>92</v>
      </c>
      <c r="BC83" t="s">
        <v>92</v>
      </c>
      <c r="BD83" t="s">
        <v>92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92</v>
      </c>
      <c r="BM83" t="s">
        <v>92</v>
      </c>
      <c r="BN83" t="s">
        <v>92</v>
      </c>
      <c r="BO83" t="s">
        <v>92</v>
      </c>
      <c r="BP83" t="s">
        <v>92</v>
      </c>
      <c r="BQ83" t="s">
        <v>92</v>
      </c>
      <c r="BR83" t="s">
        <v>92</v>
      </c>
      <c r="BS83" t="s">
        <v>92</v>
      </c>
      <c r="BT83" t="s">
        <v>92</v>
      </c>
      <c r="BU83" t="s">
        <v>92</v>
      </c>
      <c r="BV83" t="s">
        <v>92</v>
      </c>
      <c r="BW83" t="s">
        <v>92</v>
      </c>
      <c r="BX83" t="s">
        <v>92</v>
      </c>
      <c r="BY83" t="str">
        <f>IF(COUNTIF('Data Upload-prod'!E:E,F83)=0,"Missing","Exist")</f>
        <v>Missing</v>
      </c>
    </row>
    <row r="84" hidden="1" spans="1:77">
      <c r="A84" s="16">
        <v>45972</v>
      </c>
      <c r="B84" s="16">
        <v>45973.4749777431</v>
      </c>
      <c r="C84" t="s">
        <v>132</v>
      </c>
      <c r="D84" t="s">
        <v>120</v>
      </c>
      <c r="E84" t="s">
        <v>326</v>
      </c>
      <c r="F84" t="s">
        <v>330</v>
      </c>
      <c r="G84" t="s">
        <v>81</v>
      </c>
      <c r="H84" t="s">
        <v>135</v>
      </c>
      <c r="I84" t="s">
        <v>124</v>
      </c>
      <c r="J84" s="17">
        <v>36.5</v>
      </c>
      <c r="K84" s="17">
        <v>3610</v>
      </c>
      <c r="L84" s="17">
        <v>1548</v>
      </c>
      <c r="M84" t="s">
        <v>84</v>
      </c>
      <c r="N84" t="s">
        <v>84</v>
      </c>
      <c r="O84" t="s">
        <v>84</v>
      </c>
      <c r="P84" t="s">
        <v>84</v>
      </c>
      <c r="Q84" s="17">
        <v>16623102.78</v>
      </c>
      <c r="R84" s="17">
        <v>27.34</v>
      </c>
      <c r="S84" t="s">
        <v>85</v>
      </c>
      <c r="T84" t="s">
        <v>84</v>
      </c>
      <c r="U84" t="s">
        <v>86</v>
      </c>
      <c r="V84" s="16">
        <v>45647</v>
      </c>
      <c r="W84" s="18">
        <v>45647</v>
      </c>
      <c r="X84" s="18">
        <v>45760.25</v>
      </c>
      <c r="Y84" s="17">
        <v>3854</v>
      </c>
      <c r="Z84" t="s">
        <v>87</v>
      </c>
      <c r="AA84" s="17">
        <v>3854</v>
      </c>
      <c r="AB84" s="17">
        <v>1620.9</v>
      </c>
      <c r="AC84" t="s">
        <v>84</v>
      </c>
      <c r="AD84" t="s">
        <v>84</v>
      </c>
      <c r="AE84" t="s">
        <v>84</v>
      </c>
      <c r="AF84" t="s">
        <v>84</v>
      </c>
      <c r="AG84" s="17">
        <v>17781645.14</v>
      </c>
      <c r="AH84" s="17">
        <v>44.61</v>
      </c>
      <c r="AI84" s="17">
        <v>3.06</v>
      </c>
      <c r="AJ84" s="17">
        <v>3.25</v>
      </c>
      <c r="AK84" t="s">
        <v>208</v>
      </c>
      <c r="AM84" s="17">
        <v>2.2</v>
      </c>
      <c r="AN84" s="17"/>
      <c r="AO84" s="17">
        <v>830</v>
      </c>
      <c r="AP84" s="17"/>
      <c r="AQ84" t="s">
        <v>92</v>
      </c>
      <c r="AS84" s="17">
        <v>1.48</v>
      </c>
      <c r="AT84" s="17"/>
      <c r="AU84" s="17">
        <v>707</v>
      </c>
      <c r="AV84" s="17"/>
      <c r="AW84" s="17">
        <v>1489</v>
      </c>
      <c r="AX84" s="17"/>
      <c r="AY84" t="s">
        <v>92</v>
      </c>
      <c r="AZ84" t="s">
        <v>92</v>
      </c>
      <c r="BA84" t="s">
        <v>92</v>
      </c>
      <c r="BB84" t="s">
        <v>92</v>
      </c>
      <c r="BC84" t="s">
        <v>92</v>
      </c>
      <c r="BD84" t="s">
        <v>92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92</v>
      </c>
      <c r="BM84" t="s">
        <v>92</v>
      </c>
      <c r="BN84" t="s">
        <v>92</v>
      </c>
      <c r="BO84" t="s">
        <v>92</v>
      </c>
      <c r="BP84" t="s">
        <v>92</v>
      </c>
      <c r="BQ84" t="s">
        <v>92</v>
      </c>
      <c r="BR84" t="s">
        <v>92</v>
      </c>
      <c r="BS84" t="s">
        <v>92</v>
      </c>
      <c r="BT84" t="s">
        <v>92</v>
      </c>
      <c r="BU84" t="s">
        <v>92</v>
      </c>
      <c r="BV84" t="s">
        <v>92</v>
      </c>
      <c r="BW84" t="s">
        <v>92</v>
      </c>
      <c r="BX84" t="s">
        <v>92</v>
      </c>
      <c r="BY84" t="str">
        <f>IF(COUNTIF('Data Upload-prod'!E:E,F84)=0,"Missing","Exist")</f>
        <v>Missing</v>
      </c>
    </row>
    <row r="85" hidden="1" spans="1:77">
      <c r="A85" s="16">
        <v>45972</v>
      </c>
      <c r="B85" s="16">
        <v>45972.8188712847</v>
      </c>
      <c r="C85" t="s">
        <v>132</v>
      </c>
      <c r="D85" t="s">
        <v>120</v>
      </c>
      <c r="E85" t="s">
        <v>331</v>
      </c>
      <c r="F85" t="s">
        <v>332</v>
      </c>
      <c r="G85" t="s">
        <v>145</v>
      </c>
      <c r="H85" t="s">
        <v>319</v>
      </c>
      <c r="I85" t="s">
        <v>231</v>
      </c>
      <c r="J85" s="17">
        <v>116</v>
      </c>
      <c r="K85" s="17">
        <v>3275</v>
      </c>
      <c r="L85" s="17">
        <v>2065</v>
      </c>
      <c r="M85" s="17">
        <v>45130000</v>
      </c>
      <c r="N85" s="17">
        <v>54460000</v>
      </c>
      <c r="O85" s="17">
        <v>89.39</v>
      </c>
      <c r="P85" s="17">
        <v>115.77</v>
      </c>
      <c r="Q85" t="s">
        <v>84</v>
      </c>
      <c r="R85" t="s">
        <v>84</v>
      </c>
      <c r="S85" t="s">
        <v>85</v>
      </c>
      <c r="T85" t="s">
        <v>84</v>
      </c>
      <c r="U85" t="s">
        <v>86</v>
      </c>
      <c r="V85" s="16">
        <v>45439</v>
      </c>
      <c r="W85" s="18">
        <v>45432</v>
      </c>
      <c r="X85" s="18">
        <v>45524.375</v>
      </c>
      <c r="Y85" s="17">
        <v>2263</v>
      </c>
      <c r="Z85" t="s">
        <v>87</v>
      </c>
      <c r="AA85" s="17">
        <v>2379</v>
      </c>
      <c r="AB85" s="17">
        <v>1517.55</v>
      </c>
      <c r="AC85" s="17">
        <v>45245959.35</v>
      </c>
      <c r="AD85" t="s">
        <v>84</v>
      </c>
      <c r="AE85" s="17">
        <v>92</v>
      </c>
      <c r="AF85" t="s">
        <v>84</v>
      </c>
      <c r="AG85" s="17">
        <v>45245959.35</v>
      </c>
      <c r="AH85" s="17">
        <v>92</v>
      </c>
      <c r="AI85" s="17">
        <v>4.1</v>
      </c>
      <c r="AJ85" s="17">
        <v>4.1</v>
      </c>
      <c r="AK85" t="s">
        <v>333</v>
      </c>
      <c r="AM85" s="17">
        <v>3.8</v>
      </c>
      <c r="AN85" s="17"/>
      <c r="AO85" s="17">
        <v>2125</v>
      </c>
      <c r="AP85" s="17"/>
      <c r="AQ85" s="17">
        <v>3315</v>
      </c>
      <c r="AR85" s="17"/>
      <c r="AS85" s="17">
        <v>2.99</v>
      </c>
      <c r="AT85" s="17"/>
      <c r="AU85" s="17">
        <v>1325</v>
      </c>
      <c r="AV85" s="17"/>
      <c r="AW85" s="17">
        <v>3635</v>
      </c>
      <c r="AX85" s="17"/>
      <c r="AY85" t="s">
        <v>92</v>
      </c>
      <c r="AZ85" t="s">
        <v>92</v>
      </c>
      <c r="BA85" t="s">
        <v>92</v>
      </c>
      <c r="BB85" t="s">
        <v>92</v>
      </c>
      <c r="BC85" t="s">
        <v>92</v>
      </c>
      <c r="BD85" t="s">
        <v>92</v>
      </c>
      <c r="BE85" t="s">
        <v>92</v>
      </c>
      <c r="BF85" t="s">
        <v>92</v>
      </c>
      <c r="BG85" t="s">
        <v>92</v>
      </c>
      <c r="BH85" t="s">
        <v>92</v>
      </c>
      <c r="BI85" t="s">
        <v>92</v>
      </c>
      <c r="BJ85" t="s">
        <v>92</v>
      </c>
      <c r="BK85" t="s">
        <v>92</v>
      </c>
      <c r="BL85" t="s">
        <v>92</v>
      </c>
      <c r="BM85" t="s">
        <v>92</v>
      </c>
      <c r="BN85" t="s">
        <v>92</v>
      </c>
      <c r="BO85" t="s">
        <v>92</v>
      </c>
      <c r="BP85" t="s">
        <v>92</v>
      </c>
      <c r="BQ85" t="s">
        <v>92</v>
      </c>
      <c r="BR85" t="s">
        <v>92</v>
      </c>
      <c r="BS85" t="s">
        <v>92</v>
      </c>
      <c r="BT85" t="s">
        <v>92</v>
      </c>
      <c r="BU85" t="s">
        <v>92</v>
      </c>
      <c r="BV85" t="s">
        <v>92</v>
      </c>
      <c r="BW85" t="s">
        <v>92</v>
      </c>
      <c r="BX85" t="s">
        <v>92</v>
      </c>
      <c r="BY85" t="str">
        <f>IF(COUNTIF('Data Upload-prod'!E:E,F85)=0,"Missing","Exist")</f>
        <v>Missing</v>
      </c>
    </row>
    <row r="86" hidden="1" spans="1:77">
      <c r="A86" s="16">
        <v>45972</v>
      </c>
      <c r="B86" s="16">
        <v>45972.6698402199</v>
      </c>
      <c r="C86" t="s">
        <v>132</v>
      </c>
      <c r="D86" t="s">
        <v>120</v>
      </c>
      <c r="E86" t="s">
        <v>326</v>
      </c>
      <c r="F86" t="s">
        <v>334</v>
      </c>
      <c r="G86" t="s">
        <v>81</v>
      </c>
      <c r="H86" t="s">
        <v>135</v>
      </c>
      <c r="I86" t="s">
        <v>124</v>
      </c>
      <c r="J86" s="17">
        <v>36.5</v>
      </c>
      <c r="K86" s="17">
        <v>2835</v>
      </c>
      <c r="L86" s="17">
        <v>2093</v>
      </c>
      <c r="M86" t="s">
        <v>84</v>
      </c>
      <c r="N86" t="s">
        <v>84</v>
      </c>
      <c r="O86" t="s">
        <v>84</v>
      </c>
      <c r="P86" t="s">
        <v>84</v>
      </c>
      <c r="Q86" s="17">
        <v>14678307.9</v>
      </c>
      <c r="R86" s="17">
        <v>25.08</v>
      </c>
      <c r="S86" t="s">
        <v>85</v>
      </c>
      <c r="T86" t="s">
        <v>84</v>
      </c>
      <c r="U86" t="s">
        <v>86</v>
      </c>
      <c r="V86" s="16">
        <v>45636</v>
      </c>
      <c r="W86" s="18">
        <v>45636</v>
      </c>
      <c r="X86" s="18">
        <v>45727.125</v>
      </c>
      <c r="Y86" s="17">
        <v>2929</v>
      </c>
      <c r="Z86" t="s">
        <v>87</v>
      </c>
      <c r="AA86" s="17">
        <v>2929</v>
      </c>
      <c r="AB86" s="17">
        <v>2157.55</v>
      </c>
      <c r="AC86" t="s">
        <v>84</v>
      </c>
      <c r="AD86" t="s">
        <v>84</v>
      </c>
      <c r="AE86" t="s">
        <v>84</v>
      </c>
      <c r="AF86" t="s">
        <v>84</v>
      </c>
      <c r="AG86" s="17">
        <v>13766596.32</v>
      </c>
      <c r="AH86" s="17">
        <v>36.75</v>
      </c>
      <c r="AI86" s="17">
        <v>16.58</v>
      </c>
      <c r="AJ86" s="17">
        <v>16.13</v>
      </c>
      <c r="AK86" t="s">
        <v>208</v>
      </c>
      <c r="AM86" s="17">
        <v>2.2</v>
      </c>
      <c r="AN86" s="17"/>
      <c r="AO86" s="17">
        <v>830</v>
      </c>
      <c r="AP86" s="17"/>
      <c r="AQ86" t="s">
        <v>92</v>
      </c>
      <c r="AS86" s="17">
        <v>1.21</v>
      </c>
      <c r="AT86" s="17"/>
      <c r="AU86" s="17">
        <v>663</v>
      </c>
      <c r="AV86" s="17"/>
      <c r="AW86" s="17">
        <v>1413</v>
      </c>
      <c r="AX86" s="17"/>
      <c r="AY86" t="s">
        <v>92</v>
      </c>
      <c r="AZ86" t="s">
        <v>92</v>
      </c>
      <c r="BA86" t="s">
        <v>92</v>
      </c>
      <c r="BB86" t="s">
        <v>92</v>
      </c>
      <c r="BC86" t="s">
        <v>92</v>
      </c>
      <c r="BD86" t="s">
        <v>92</v>
      </c>
      <c r="BE86" t="s">
        <v>92</v>
      </c>
      <c r="BF86" t="s">
        <v>92</v>
      </c>
      <c r="BG86" t="s">
        <v>92</v>
      </c>
      <c r="BH86" t="s">
        <v>92</v>
      </c>
      <c r="BI86" t="s">
        <v>92</v>
      </c>
      <c r="BJ86" t="s">
        <v>92</v>
      </c>
      <c r="BK86" t="s">
        <v>92</v>
      </c>
      <c r="BL86" t="s">
        <v>92</v>
      </c>
      <c r="BM86" t="s">
        <v>92</v>
      </c>
      <c r="BN86" t="s">
        <v>92</v>
      </c>
      <c r="BO86" t="s">
        <v>92</v>
      </c>
      <c r="BP86" t="s">
        <v>92</v>
      </c>
      <c r="BQ86" t="s">
        <v>92</v>
      </c>
      <c r="BR86" t="s">
        <v>92</v>
      </c>
      <c r="BS86" t="s">
        <v>92</v>
      </c>
      <c r="BT86" t="s">
        <v>92</v>
      </c>
      <c r="BU86" t="s">
        <v>92</v>
      </c>
      <c r="BV86" t="s">
        <v>92</v>
      </c>
      <c r="BW86" t="s">
        <v>92</v>
      </c>
      <c r="BX86" t="s">
        <v>92</v>
      </c>
      <c r="BY86" t="str">
        <f>IF(COUNTIF('Data Upload-prod'!E:E,F86)=0,"Missing","Exist")</f>
        <v>Missing</v>
      </c>
    </row>
    <row r="87" hidden="1" spans="1:77">
      <c r="A87" s="16">
        <v>45971</v>
      </c>
      <c r="B87" s="16">
        <v>45971.7010653819</v>
      </c>
      <c r="C87" t="s">
        <v>132</v>
      </c>
      <c r="D87" t="s">
        <v>120</v>
      </c>
      <c r="E87" t="s">
        <v>326</v>
      </c>
      <c r="F87" t="s">
        <v>335</v>
      </c>
      <c r="G87" t="s">
        <v>81</v>
      </c>
      <c r="H87" t="s">
        <v>135</v>
      </c>
      <c r="I87" t="s">
        <v>124</v>
      </c>
      <c r="J87" s="17">
        <v>35</v>
      </c>
      <c r="K87" s="17">
        <v>2341</v>
      </c>
      <c r="L87" s="17">
        <v>1740</v>
      </c>
      <c r="M87" t="s">
        <v>84</v>
      </c>
      <c r="N87" t="s">
        <v>84</v>
      </c>
      <c r="O87" t="s">
        <v>84</v>
      </c>
      <c r="P87" t="s">
        <v>84</v>
      </c>
      <c r="Q87" s="17">
        <v>12465003.2</v>
      </c>
      <c r="R87" s="17">
        <v>23.23</v>
      </c>
      <c r="S87" t="s">
        <v>85</v>
      </c>
      <c r="T87" t="s">
        <v>84</v>
      </c>
      <c r="U87" t="s">
        <v>86</v>
      </c>
      <c r="V87" s="16">
        <v>45555</v>
      </c>
      <c r="W87" s="18">
        <v>45555.25</v>
      </c>
      <c r="X87" s="18">
        <v>45604.9993055556</v>
      </c>
      <c r="Y87" s="17">
        <v>2700</v>
      </c>
      <c r="Z87" t="s">
        <v>87</v>
      </c>
      <c r="AA87" s="17">
        <v>2700</v>
      </c>
      <c r="AB87" s="17">
        <v>1925.46</v>
      </c>
      <c r="AC87" t="s">
        <v>84</v>
      </c>
      <c r="AD87" t="s">
        <v>84</v>
      </c>
      <c r="AE87" t="s">
        <v>84</v>
      </c>
      <c r="AF87" t="s">
        <v>84</v>
      </c>
      <c r="AG87" s="17">
        <v>12030367.22</v>
      </c>
      <c r="AH87" s="17">
        <v>28.12</v>
      </c>
      <c r="AI87" s="17">
        <v>11.59</v>
      </c>
      <c r="AJ87" s="17">
        <v>11.59</v>
      </c>
      <c r="AK87" t="s">
        <v>208</v>
      </c>
      <c r="AM87" s="17">
        <v>2.2</v>
      </c>
      <c r="AN87" s="17"/>
      <c r="AO87" s="17">
        <v>830</v>
      </c>
      <c r="AP87" s="17"/>
      <c r="AQ87" s="17">
        <v>1395</v>
      </c>
      <c r="AR87" s="17"/>
      <c r="AS87" s="17">
        <v>1.51</v>
      </c>
      <c r="AT87" s="17"/>
      <c r="AU87" s="17">
        <v>510</v>
      </c>
      <c r="AV87" s="17"/>
      <c r="AW87" s="17">
        <v>1313</v>
      </c>
      <c r="AX87" s="17"/>
      <c r="AY87" s="17">
        <v>7.94</v>
      </c>
      <c r="AZ87" t="s">
        <v>92</v>
      </c>
      <c r="BA87" t="s">
        <v>272</v>
      </c>
      <c r="BB87" s="17">
        <v>1</v>
      </c>
      <c r="BC87" s="17">
        <v>390</v>
      </c>
      <c r="BD87" s="17">
        <v>123</v>
      </c>
      <c r="BE87" s="17">
        <v>952908.59</v>
      </c>
      <c r="BF87" s="17">
        <v>123</v>
      </c>
      <c r="BG87" s="17">
        <v>123</v>
      </c>
      <c r="BH87" t="s">
        <v>92</v>
      </c>
      <c r="BI87" t="s">
        <v>94</v>
      </c>
      <c r="BJ87" t="s">
        <v>173</v>
      </c>
      <c r="BK87" t="s">
        <v>336</v>
      </c>
      <c r="BL87" t="s">
        <v>266</v>
      </c>
      <c r="BM87" t="s">
        <v>190</v>
      </c>
      <c r="BN87" t="s">
        <v>337</v>
      </c>
      <c r="BO87" t="s">
        <v>216</v>
      </c>
      <c r="BP87" t="s">
        <v>103</v>
      </c>
      <c r="BQ87" s="17">
        <v>121</v>
      </c>
      <c r="BR87" t="s">
        <v>138</v>
      </c>
      <c r="BS87" t="s">
        <v>338</v>
      </c>
      <c r="BT87" t="s">
        <v>339</v>
      </c>
      <c r="BU87" t="s">
        <v>92</v>
      </c>
      <c r="BV87" t="s">
        <v>340</v>
      </c>
      <c r="BW87" t="s">
        <v>341</v>
      </c>
      <c r="BX87" t="s">
        <v>342</v>
      </c>
      <c r="BY87" t="str">
        <f>IF(COUNTIF('Data Upload-prod'!E:E,F87)=0,"Missing","Exist")</f>
        <v>Missing</v>
      </c>
    </row>
    <row r="88" hidden="1" spans="1:77">
      <c r="A88" s="16">
        <v>45967</v>
      </c>
      <c r="B88" s="16">
        <v>45967.419471169</v>
      </c>
      <c r="C88" t="s">
        <v>141</v>
      </c>
      <c r="D88" t="s">
        <v>120</v>
      </c>
      <c r="E88" t="s">
        <v>343</v>
      </c>
      <c r="F88" t="s">
        <v>344</v>
      </c>
      <c r="G88" t="s">
        <v>145</v>
      </c>
      <c r="H88" t="s">
        <v>311</v>
      </c>
      <c r="I88" t="s">
        <v>124</v>
      </c>
      <c r="J88" s="17">
        <v>93.27</v>
      </c>
      <c r="K88" s="17">
        <v>2983.5</v>
      </c>
      <c r="L88" s="17">
        <v>2827.3</v>
      </c>
      <c r="M88" s="17">
        <v>23350000</v>
      </c>
      <c r="N88" s="17">
        <v>30110000</v>
      </c>
      <c r="O88" s="17">
        <v>31.75</v>
      </c>
      <c r="P88" s="17">
        <v>45.29</v>
      </c>
      <c r="Q88" t="s">
        <v>84</v>
      </c>
      <c r="R88" t="s">
        <v>84</v>
      </c>
      <c r="S88" t="s">
        <v>85</v>
      </c>
      <c r="T88" t="s">
        <v>84</v>
      </c>
      <c r="U88" t="s">
        <v>86</v>
      </c>
      <c r="V88" s="16">
        <v>45783</v>
      </c>
      <c r="W88" s="18">
        <v>45778</v>
      </c>
      <c r="X88" s="18">
        <v>45825.2291666667</v>
      </c>
      <c r="Y88" s="17">
        <v>2073.55</v>
      </c>
      <c r="Z88" t="s">
        <v>87</v>
      </c>
      <c r="AA88" s="17">
        <v>2203.7</v>
      </c>
      <c r="AB88" s="17">
        <v>2096.1</v>
      </c>
      <c r="AC88" t="s">
        <v>84</v>
      </c>
      <c r="AD88" s="17">
        <v>26660000</v>
      </c>
      <c r="AE88" t="s">
        <v>84</v>
      </c>
      <c r="AF88" s="17">
        <v>47.23</v>
      </c>
      <c r="AG88" s="17">
        <v>26660000</v>
      </c>
      <c r="AH88" s="17">
        <v>47.23</v>
      </c>
      <c r="AI88" s="17">
        <v>5.47</v>
      </c>
      <c r="AJ88" s="17">
        <v>5.34</v>
      </c>
      <c r="AK88" t="s">
        <v>323</v>
      </c>
      <c r="AM88" s="17">
        <v>4.4</v>
      </c>
      <c r="AN88" s="17"/>
      <c r="AO88" s="17">
        <v>1980</v>
      </c>
      <c r="AP88" s="17"/>
      <c r="AQ88" s="17">
        <v>2760</v>
      </c>
      <c r="AR88" s="17"/>
      <c r="AS88" s="17">
        <v>4.66</v>
      </c>
      <c r="AT88" s="17"/>
      <c r="AU88" s="17">
        <v>2697</v>
      </c>
      <c r="AV88" s="17"/>
      <c r="AW88" s="17">
        <v>3919</v>
      </c>
      <c r="AX88" s="17"/>
      <c r="AY88" t="s">
        <v>92</v>
      </c>
      <c r="AZ88" t="s">
        <v>92</v>
      </c>
      <c r="BA88" t="s">
        <v>92</v>
      </c>
      <c r="BB88" t="s">
        <v>92</v>
      </c>
      <c r="BC88" t="s">
        <v>92</v>
      </c>
      <c r="BD88" t="s">
        <v>92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92</v>
      </c>
      <c r="BM88" t="s">
        <v>92</v>
      </c>
      <c r="BN88" t="s">
        <v>92</v>
      </c>
      <c r="BO88" t="s">
        <v>92</v>
      </c>
      <c r="BP88" t="s">
        <v>92</v>
      </c>
      <c r="BQ88" t="s">
        <v>92</v>
      </c>
      <c r="BR88" t="s">
        <v>92</v>
      </c>
      <c r="BS88" t="s">
        <v>92</v>
      </c>
      <c r="BT88" t="s">
        <v>92</v>
      </c>
      <c r="BU88" t="s">
        <v>92</v>
      </c>
      <c r="BV88" t="s">
        <v>92</v>
      </c>
      <c r="BW88" t="s">
        <v>92</v>
      </c>
      <c r="BX88" t="s">
        <v>92</v>
      </c>
      <c r="BY88" t="str">
        <f>IF(COUNTIF('Data Upload-prod'!E:E,F88)=0,"Missing","Exist")</f>
        <v>Missing</v>
      </c>
    </row>
    <row r="89" hidden="1" spans="1:77">
      <c r="A89" s="16">
        <v>45967</v>
      </c>
      <c r="B89" s="16">
        <v>45967.6368116667</v>
      </c>
      <c r="C89" t="s">
        <v>132</v>
      </c>
      <c r="D89" t="s">
        <v>78</v>
      </c>
      <c r="E89" t="s">
        <v>306</v>
      </c>
      <c r="F89" t="s">
        <v>345</v>
      </c>
      <c r="G89" t="s">
        <v>81</v>
      </c>
      <c r="H89" t="s">
        <v>289</v>
      </c>
      <c r="I89" t="s">
        <v>124</v>
      </c>
      <c r="J89" s="17">
        <v>65.7</v>
      </c>
      <c r="K89" s="17">
        <v>1540</v>
      </c>
      <c r="L89" s="17">
        <v>858</v>
      </c>
      <c r="M89" t="s">
        <v>84</v>
      </c>
      <c r="N89" t="s">
        <v>84</v>
      </c>
      <c r="O89" t="s">
        <v>84</v>
      </c>
      <c r="P89" t="s">
        <v>84</v>
      </c>
      <c r="Q89" s="17">
        <v>11522157</v>
      </c>
      <c r="R89" s="17">
        <v>23.42</v>
      </c>
      <c r="S89" t="s">
        <v>106</v>
      </c>
      <c r="T89" t="s">
        <v>84</v>
      </c>
      <c r="U89" t="s">
        <v>86</v>
      </c>
      <c r="V89" s="16">
        <v>45907</v>
      </c>
      <c r="W89" s="18">
        <v>45755.8541666667</v>
      </c>
      <c r="X89" s="18">
        <v>45914.6666666667</v>
      </c>
      <c r="Y89" s="17">
        <v>990</v>
      </c>
      <c r="Z89" t="s">
        <v>87</v>
      </c>
      <c r="AA89" s="17">
        <v>1540</v>
      </c>
      <c r="AB89" s="17">
        <v>858.66</v>
      </c>
      <c r="AC89" t="s">
        <v>84</v>
      </c>
      <c r="AD89" t="s">
        <v>84</v>
      </c>
      <c r="AE89" t="s">
        <v>84</v>
      </c>
      <c r="AF89" t="s">
        <v>84</v>
      </c>
      <c r="AG89" s="17">
        <v>6241112.62</v>
      </c>
      <c r="AH89" s="17">
        <v>13.31</v>
      </c>
      <c r="AI89" s="17">
        <v>0</v>
      </c>
      <c r="AJ89" s="17">
        <v>0</v>
      </c>
      <c r="AK89" t="s">
        <v>298</v>
      </c>
      <c r="AM89" s="17">
        <v>1.8</v>
      </c>
      <c r="AN89" s="17"/>
      <c r="AO89" s="17">
        <v>600</v>
      </c>
      <c r="AP89" s="17"/>
      <c r="AQ89" s="17">
        <v>1160</v>
      </c>
      <c r="AR89" s="17"/>
      <c r="AS89" s="17">
        <v>2.09</v>
      </c>
      <c r="AT89" s="17"/>
      <c r="AU89" s="17">
        <v>896.44</v>
      </c>
      <c r="AV89" s="17"/>
      <c r="AW89" s="17">
        <v>1737.69</v>
      </c>
      <c r="AX89" s="17"/>
      <c r="AY89" s="17">
        <v>9.01</v>
      </c>
      <c r="AZ89" s="17">
        <v>5650791</v>
      </c>
      <c r="BA89" t="s">
        <v>265</v>
      </c>
      <c r="BB89" s="17">
        <v>0.7</v>
      </c>
      <c r="BC89" s="17">
        <v>373</v>
      </c>
      <c r="BD89" s="17">
        <v>2.15</v>
      </c>
      <c r="BE89" s="17">
        <v>1951974</v>
      </c>
      <c r="BF89" s="17">
        <v>0.42</v>
      </c>
      <c r="BG89" s="17">
        <v>395.98</v>
      </c>
      <c r="BH89" t="s">
        <v>93</v>
      </c>
      <c r="BI89" t="s">
        <v>94</v>
      </c>
      <c r="BJ89" t="s">
        <v>128</v>
      </c>
      <c r="BK89" t="s">
        <v>85</v>
      </c>
      <c r="BL89" t="s">
        <v>85</v>
      </c>
      <c r="BM89" t="s">
        <v>96</v>
      </c>
      <c r="BN89" t="s">
        <v>129</v>
      </c>
      <c r="BO89" t="s">
        <v>98</v>
      </c>
      <c r="BP89" t="s">
        <v>103</v>
      </c>
      <c r="BQ89" s="17">
        <v>327</v>
      </c>
      <c r="BR89" t="s">
        <v>92</v>
      </c>
      <c r="BS89" t="s">
        <v>130</v>
      </c>
      <c r="BT89" t="s">
        <v>99</v>
      </c>
      <c r="BU89" s="17">
        <v>8.7</v>
      </c>
      <c r="BV89" t="s">
        <v>308</v>
      </c>
      <c r="BW89" t="s">
        <v>85</v>
      </c>
      <c r="BX89" t="s">
        <v>92</v>
      </c>
      <c r="BY89" t="str">
        <f>IF(COUNTIF('Data Upload-prod'!E:E,F89)=0,"Missing","Exist")</f>
        <v>Missing</v>
      </c>
    </row>
    <row r="90" hidden="1" spans="1:77">
      <c r="A90" s="16">
        <v>45963</v>
      </c>
      <c r="B90" s="16">
        <v>45966.8347235648</v>
      </c>
      <c r="C90" t="s">
        <v>346</v>
      </c>
      <c r="D90" t="s">
        <v>142</v>
      </c>
      <c r="E90" t="s">
        <v>209</v>
      </c>
      <c r="F90" t="s">
        <v>347</v>
      </c>
      <c r="G90" t="s">
        <v>81</v>
      </c>
      <c r="H90" t="s">
        <v>154</v>
      </c>
      <c r="I90" t="s">
        <v>124</v>
      </c>
      <c r="J90" s="17">
        <v>17.7</v>
      </c>
      <c r="K90" s="17">
        <v>1027.31</v>
      </c>
      <c r="L90" s="17">
        <v>860.3</v>
      </c>
      <c r="M90" t="s">
        <v>84</v>
      </c>
      <c r="N90" t="s">
        <v>84</v>
      </c>
      <c r="O90" t="s">
        <v>84</v>
      </c>
      <c r="P90" t="s">
        <v>84</v>
      </c>
      <c r="Q90" s="17">
        <v>6806517.3</v>
      </c>
      <c r="R90" s="17">
        <v>7</v>
      </c>
      <c r="S90" t="s">
        <v>85</v>
      </c>
      <c r="T90" t="s">
        <v>84</v>
      </c>
      <c r="U90" t="s">
        <v>86</v>
      </c>
      <c r="V90" s="16">
        <v>45616</v>
      </c>
      <c r="W90" s="18">
        <v>45615.5625</v>
      </c>
      <c r="X90" s="18">
        <v>45626.5</v>
      </c>
      <c r="Y90" s="17">
        <v>3144</v>
      </c>
      <c r="Z90" t="s">
        <v>87</v>
      </c>
      <c r="AA90" s="17">
        <v>1006</v>
      </c>
      <c r="AB90" s="17">
        <v>2320</v>
      </c>
      <c r="AC90" t="s">
        <v>84</v>
      </c>
      <c r="AD90" t="s">
        <v>84</v>
      </c>
      <c r="AE90" t="s">
        <v>84</v>
      </c>
      <c r="AF90" t="s">
        <v>84</v>
      </c>
      <c r="AG90" s="17">
        <v>4897287</v>
      </c>
      <c r="AH90" s="17">
        <v>10.9</v>
      </c>
      <c r="AI90" s="17">
        <v>0</v>
      </c>
      <c r="AJ90" s="17">
        <v>0</v>
      </c>
      <c r="AK90" t="s">
        <v>165</v>
      </c>
      <c r="AM90" s="17">
        <v>2.5</v>
      </c>
      <c r="AN90" s="17"/>
      <c r="AO90" s="17">
        <v>1440</v>
      </c>
      <c r="AP90" s="17"/>
      <c r="AQ90" s="17">
        <v>1995</v>
      </c>
      <c r="AR90" s="17"/>
      <c r="AS90" s="17">
        <v>1.9</v>
      </c>
      <c r="AT90" s="17"/>
      <c r="AU90" s="17">
        <v>793.1</v>
      </c>
      <c r="AV90" s="17"/>
      <c r="AW90" s="17">
        <v>1484</v>
      </c>
      <c r="AX90" s="17"/>
      <c r="AY90" s="17">
        <v>3.55</v>
      </c>
      <c r="AZ90" s="17">
        <v>2384074.06</v>
      </c>
      <c r="BA90" t="s">
        <v>265</v>
      </c>
      <c r="BB90" s="17">
        <v>0.7</v>
      </c>
      <c r="BC90" s="17">
        <v>373</v>
      </c>
      <c r="BD90" s="17">
        <v>4.2</v>
      </c>
      <c r="BE90" s="17">
        <v>2279939</v>
      </c>
      <c r="BF90" s="17">
        <v>1.3</v>
      </c>
      <c r="BG90" s="17">
        <v>690.9</v>
      </c>
      <c r="BH90" t="s">
        <v>93</v>
      </c>
      <c r="BI90" t="s">
        <v>94</v>
      </c>
      <c r="BJ90" t="s">
        <v>128</v>
      </c>
      <c r="BK90" t="s">
        <v>85</v>
      </c>
      <c r="BL90" t="s">
        <v>85</v>
      </c>
      <c r="BM90" t="s">
        <v>96</v>
      </c>
      <c r="BN90" t="s">
        <v>266</v>
      </c>
      <c r="BO90" t="s">
        <v>98</v>
      </c>
      <c r="BP90" t="s">
        <v>103</v>
      </c>
      <c r="BQ90" s="17">
        <v>265</v>
      </c>
      <c r="BR90" t="s">
        <v>138</v>
      </c>
      <c r="BS90" t="s">
        <v>285</v>
      </c>
      <c r="BT90" t="s">
        <v>103</v>
      </c>
      <c r="BU90" s="17">
        <v>8.6</v>
      </c>
      <c r="BV90" t="s">
        <v>110</v>
      </c>
      <c r="BW90" t="s">
        <v>85</v>
      </c>
      <c r="BX90" t="s">
        <v>85</v>
      </c>
      <c r="BY90" t="str">
        <f>IF(COUNTIF('Data Upload-prod'!E:E,F90)=0,"Missing","Exist")</f>
        <v>Missing</v>
      </c>
    </row>
    <row r="91" hidden="1" spans="1:77">
      <c r="A91" s="16">
        <v>45963</v>
      </c>
      <c r="B91" s="16">
        <v>45966.8424589352</v>
      </c>
      <c r="C91" t="s">
        <v>346</v>
      </c>
      <c r="D91" t="s">
        <v>142</v>
      </c>
      <c r="E91" t="s">
        <v>209</v>
      </c>
      <c r="F91" t="s">
        <v>348</v>
      </c>
      <c r="G91" t="s">
        <v>81</v>
      </c>
      <c r="H91" t="s">
        <v>154</v>
      </c>
      <c r="I91" t="s">
        <v>124</v>
      </c>
      <c r="J91" s="17">
        <v>17.7</v>
      </c>
      <c r="K91" s="17">
        <v>1823.68</v>
      </c>
      <c r="L91" s="17">
        <v>721.27</v>
      </c>
      <c r="M91" t="s">
        <v>84</v>
      </c>
      <c r="N91" t="s">
        <v>84</v>
      </c>
      <c r="O91" t="s">
        <v>84</v>
      </c>
      <c r="P91" t="s">
        <v>84</v>
      </c>
      <c r="Q91" s="17">
        <v>7983611.8</v>
      </c>
      <c r="R91" s="17">
        <v>14.54</v>
      </c>
      <c r="S91" t="s">
        <v>85</v>
      </c>
      <c r="T91" t="s">
        <v>84</v>
      </c>
      <c r="U91" t="s">
        <v>86</v>
      </c>
      <c r="V91" s="16">
        <v>45602</v>
      </c>
      <c r="W91" s="18">
        <v>45601.25</v>
      </c>
      <c r="X91" s="18">
        <v>46014</v>
      </c>
      <c r="Y91" s="17">
        <v>1689.9</v>
      </c>
      <c r="Z91" t="s">
        <v>87</v>
      </c>
      <c r="AA91" s="17">
        <v>1749.5</v>
      </c>
      <c r="AB91" s="17">
        <v>701.3</v>
      </c>
      <c r="AC91" t="s">
        <v>84</v>
      </c>
      <c r="AD91" t="s">
        <v>84</v>
      </c>
      <c r="AE91" t="s">
        <v>84</v>
      </c>
      <c r="AF91" t="s">
        <v>84</v>
      </c>
      <c r="AG91" s="17">
        <v>10493732</v>
      </c>
      <c r="AH91" s="17">
        <v>30.31</v>
      </c>
      <c r="AI91" s="17">
        <v>16.6</v>
      </c>
      <c r="AJ91" s="17">
        <v>16.6</v>
      </c>
      <c r="AK91" t="s">
        <v>165</v>
      </c>
      <c r="AM91" s="17">
        <v>2.5</v>
      </c>
      <c r="AN91" s="17"/>
      <c r="AO91" s="17">
        <v>1440</v>
      </c>
      <c r="AP91" s="17"/>
      <c r="AQ91" s="17">
        <v>1995</v>
      </c>
      <c r="AR91" s="17"/>
      <c r="AS91" s="17">
        <v>4.4</v>
      </c>
      <c r="AT91" s="17"/>
      <c r="AU91" s="17">
        <v>1341</v>
      </c>
      <c r="AV91" s="17"/>
      <c r="AW91" s="17">
        <v>1828.2</v>
      </c>
      <c r="AX91" s="17"/>
      <c r="AY91" s="17">
        <v>4.56</v>
      </c>
      <c r="AZ91" s="17">
        <v>2631371.54</v>
      </c>
      <c r="BA91" t="s">
        <v>265</v>
      </c>
      <c r="BB91" s="17">
        <v>0.7</v>
      </c>
      <c r="BC91" s="17">
        <v>373</v>
      </c>
      <c r="BD91" s="17">
        <v>5</v>
      </c>
      <c r="BE91" s="17">
        <v>2796573</v>
      </c>
      <c r="BF91" s="17">
        <v>0.87</v>
      </c>
      <c r="BG91" s="17">
        <v>487</v>
      </c>
      <c r="BH91" t="s">
        <v>93</v>
      </c>
      <c r="BI91" t="s">
        <v>94</v>
      </c>
      <c r="BJ91" t="s">
        <v>128</v>
      </c>
      <c r="BK91" t="s">
        <v>85</v>
      </c>
      <c r="BL91" t="s">
        <v>85</v>
      </c>
      <c r="BM91" t="s">
        <v>96</v>
      </c>
      <c r="BN91" t="s">
        <v>266</v>
      </c>
      <c r="BO91" t="s">
        <v>98</v>
      </c>
      <c r="BP91" t="s">
        <v>103</v>
      </c>
      <c r="BQ91" s="17">
        <v>1084</v>
      </c>
      <c r="BR91" t="s">
        <v>138</v>
      </c>
      <c r="BS91" t="s">
        <v>156</v>
      </c>
      <c r="BT91" t="s">
        <v>103</v>
      </c>
      <c r="BU91" s="17">
        <v>8.7</v>
      </c>
      <c r="BV91" t="s">
        <v>110</v>
      </c>
      <c r="BW91" t="s">
        <v>85</v>
      </c>
      <c r="BX91" t="s">
        <v>85</v>
      </c>
      <c r="BY91" t="str">
        <f>IF(COUNTIF('Data Upload-prod'!E:E,F91)=0,"Missing","Exist")</f>
        <v>Missing</v>
      </c>
    </row>
    <row r="92" hidden="1" spans="1:77">
      <c r="A92" s="16">
        <v>45963</v>
      </c>
      <c r="B92" s="16">
        <v>45966.9351005208</v>
      </c>
      <c r="C92" t="s">
        <v>346</v>
      </c>
      <c r="D92" t="s">
        <v>142</v>
      </c>
      <c r="E92" t="s">
        <v>209</v>
      </c>
      <c r="F92" t="s">
        <v>349</v>
      </c>
      <c r="G92" t="s">
        <v>81</v>
      </c>
      <c r="H92" t="s">
        <v>154</v>
      </c>
      <c r="I92" t="s">
        <v>124</v>
      </c>
      <c r="J92" s="17">
        <v>17.7</v>
      </c>
      <c r="K92" s="17">
        <v>1316.12</v>
      </c>
      <c r="L92" s="17">
        <v>8840</v>
      </c>
      <c r="M92" t="s">
        <v>84</v>
      </c>
      <c r="N92" t="s">
        <v>84</v>
      </c>
      <c r="O92" t="s">
        <v>84</v>
      </c>
      <c r="P92" t="s">
        <v>84</v>
      </c>
      <c r="Q92" s="17">
        <v>6805901.29</v>
      </c>
      <c r="R92" s="17">
        <v>11.94</v>
      </c>
      <c r="S92" t="s">
        <v>85</v>
      </c>
      <c r="T92" t="s">
        <v>84</v>
      </c>
      <c r="U92" t="s">
        <v>86</v>
      </c>
      <c r="V92" s="16">
        <v>45719</v>
      </c>
      <c r="W92" s="18">
        <v>45718.2916666667</v>
      </c>
      <c r="X92" s="18">
        <v>45731.125</v>
      </c>
      <c r="Y92" s="17">
        <v>1234.4</v>
      </c>
      <c r="Z92" t="s">
        <v>87</v>
      </c>
      <c r="AA92" s="17">
        <v>1294</v>
      </c>
      <c r="AB92" s="17">
        <v>834</v>
      </c>
      <c r="AC92" t="s">
        <v>84</v>
      </c>
      <c r="AD92" t="s">
        <v>84</v>
      </c>
      <c r="AE92" t="s">
        <v>84</v>
      </c>
      <c r="AF92" t="s">
        <v>84</v>
      </c>
      <c r="AG92" s="17">
        <v>5622057.8</v>
      </c>
      <c r="AH92" s="17">
        <v>18.9</v>
      </c>
      <c r="AI92" t="s">
        <v>92</v>
      </c>
      <c r="AJ92" s="17">
        <v>0</v>
      </c>
      <c r="AK92" t="s">
        <v>165</v>
      </c>
      <c r="AM92" s="17">
        <v>2.5</v>
      </c>
      <c r="AN92" s="17"/>
      <c r="AO92" s="17">
        <v>1440</v>
      </c>
      <c r="AP92" s="17"/>
      <c r="AQ92" s="17">
        <v>1995</v>
      </c>
      <c r="AR92" s="17"/>
      <c r="AS92" s="17">
        <v>2.3</v>
      </c>
      <c r="AT92" s="17"/>
      <c r="AU92" s="17">
        <v>806.1</v>
      </c>
      <c r="AV92" s="17"/>
      <c r="AW92" s="17">
        <v>1323.9</v>
      </c>
      <c r="AX92" s="17"/>
      <c r="AY92" s="17">
        <v>3.31</v>
      </c>
      <c r="AZ92" s="17">
        <v>2069301.01</v>
      </c>
      <c r="BA92" t="s">
        <v>265</v>
      </c>
      <c r="BB92" s="17">
        <v>0.7</v>
      </c>
      <c r="BC92" s="17">
        <v>373</v>
      </c>
      <c r="BD92" s="17">
        <v>3.3</v>
      </c>
      <c r="BE92" s="17">
        <v>2199057.8</v>
      </c>
      <c r="BF92" s="17">
        <v>0.8</v>
      </c>
      <c r="BG92" s="17">
        <v>517.8</v>
      </c>
      <c r="BH92" t="s">
        <v>93</v>
      </c>
      <c r="BI92" t="s">
        <v>94</v>
      </c>
      <c r="BJ92" t="s">
        <v>128</v>
      </c>
      <c r="BK92" t="s">
        <v>85</v>
      </c>
      <c r="BL92" t="s">
        <v>85</v>
      </c>
      <c r="BM92" t="s">
        <v>96</v>
      </c>
      <c r="BN92" t="s">
        <v>129</v>
      </c>
      <c r="BO92" t="s">
        <v>98</v>
      </c>
      <c r="BP92" t="s">
        <v>350</v>
      </c>
      <c r="BQ92" s="17">
        <v>361</v>
      </c>
      <c r="BR92" t="s">
        <v>138</v>
      </c>
      <c r="BS92" t="s">
        <v>156</v>
      </c>
      <c r="BT92" t="s">
        <v>350</v>
      </c>
      <c r="BU92" s="17">
        <v>8.7</v>
      </c>
      <c r="BV92" t="s">
        <v>110</v>
      </c>
      <c r="BW92" t="s">
        <v>85</v>
      </c>
      <c r="BX92" t="s">
        <v>85</v>
      </c>
      <c r="BY92" t="str">
        <f>IF(COUNTIF('Data Upload-prod'!E:E,F92)=0,"Missing","Exist")</f>
        <v>Missing</v>
      </c>
    </row>
    <row r="93" hidden="1" spans="1:77">
      <c r="A93" s="16">
        <v>45963</v>
      </c>
      <c r="B93" s="16">
        <v>45966.9458598148</v>
      </c>
      <c r="C93" t="s">
        <v>346</v>
      </c>
      <c r="D93" t="s">
        <v>142</v>
      </c>
      <c r="E93" t="s">
        <v>209</v>
      </c>
      <c r="F93" t="s">
        <v>351</v>
      </c>
      <c r="G93" t="s">
        <v>81</v>
      </c>
      <c r="H93" t="s">
        <v>154</v>
      </c>
      <c r="I93" t="s">
        <v>124</v>
      </c>
      <c r="J93" s="17">
        <v>17.7</v>
      </c>
      <c r="K93" s="17">
        <v>1121.64</v>
      </c>
      <c r="L93" s="17">
        <v>896.5</v>
      </c>
      <c r="M93" t="s">
        <v>84</v>
      </c>
      <c r="N93" t="s">
        <v>84</v>
      </c>
      <c r="O93" t="s">
        <v>84</v>
      </c>
      <c r="P93" t="s">
        <v>84</v>
      </c>
      <c r="Q93" s="17">
        <v>8354179.44</v>
      </c>
      <c r="R93" s="17">
        <v>18.5</v>
      </c>
      <c r="S93" t="s">
        <v>85</v>
      </c>
      <c r="T93" t="s">
        <v>84</v>
      </c>
      <c r="U93" t="s">
        <v>86</v>
      </c>
      <c r="V93" s="16">
        <v>45552</v>
      </c>
      <c r="W93" s="18">
        <v>45549.6458333333</v>
      </c>
      <c r="X93" s="18">
        <v>45589</v>
      </c>
      <c r="Y93" s="17">
        <v>1044</v>
      </c>
      <c r="Z93" t="s">
        <v>87</v>
      </c>
      <c r="AA93" s="17">
        <v>1103</v>
      </c>
      <c r="AB93" s="17">
        <v>884.2</v>
      </c>
      <c r="AC93" t="s">
        <v>84</v>
      </c>
      <c r="AD93" t="s">
        <v>84</v>
      </c>
      <c r="AE93" t="s">
        <v>84</v>
      </c>
      <c r="AF93" t="s">
        <v>84</v>
      </c>
      <c r="AG93" s="17">
        <v>9979862</v>
      </c>
      <c r="AH93" s="17">
        <v>26.9</v>
      </c>
      <c r="AI93" s="17">
        <v>11.4</v>
      </c>
      <c r="AJ93" s="17">
        <v>11.4</v>
      </c>
      <c r="AK93" t="s">
        <v>165</v>
      </c>
      <c r="AM93" s="17">
        <v>2.5</v>
      </c>
      <c r="AN93" s="17"/>
      <c r="AO93" s="17">
        <v>1440</v>
      </c>
      <c r="AP93" s="17"/>
      <c r="AQ93" s="17">
        <v>1995</v>
      </c>
      <c r="AR93" s="17"/>
      <c r="AS93" s="17">
        <v>3</v>
      </c>
      <c r="AT93" s="17"/>
      <c r="AU93" s="17">
        <v>2.8</v>
      </c>
      <c r="AV93" s="17"/>
      <c r="AW93" s="17">
        <v>2283.7</v>
      </c>
      <c r="AX93" s="17"/>
      <c r="AY93" s="17">
        <v>3.56</v>
      </c>
      <c r="AZ93" s="17">
        <v>3005763</v>
      </c>
      <c r="BA93" t="s">
        <v>265</v>
      </c>
      <c r="BB93" s="17">
        <v>0.7</v>
      </c>
      <c r="BC93" s="17">
        <v>373</v>
      </c>
      <c r="BD93" s="17">
        <v>9.2</v>
      </c>
      <c r="BE93" s="17">
        <v>3928602</v>
      </c>
      <c r="BF93" s="17">
        <v>1384.7</v>
      </c>
      <c r="BG93" s="17">
        <v>1085</v>
      </c>
      <c r="BH93" t="s">
        <v>93</v>
      </c>
      <c r="BI93" t="s">
        <v>94</v>
      </c>
      <c r="BJ93" t="s">
        <v>128</v>
      </c>
      <c r="BK93" t="s">
        <v>85</v>
      </c>
      <c r="BL93" t="s">
        <v>85</v>
      </c>
      <c r="BM93" t="s">
        <v>96</v>
      </c>
      <c r="BN93" t="s">
        <v>266</v>
      </c>
      <c r="BO93" t="s">
        <v>98</v>
      </c>
      <c r="BP93" t="s">
        <v>350</v>
      </c>
      <c r="BQ93" s="17">
        <v>749</v>
      </c>
      <c r="BR93" t="s">
        <v>138</v>
      </c>
      <c r="BS93" t="s">
        <v>285</v>
      </c>
      <c r="BT93" t="s">
        <v>350</v>
      </c>
      <c r="BU93" s="17">
        <v>8.7</v>
      </c>
      <c r="BV93" t="s">
        <v>110</v>
      </c>
      <c r="BW93" t="s">
        <v>85</v>
      </c>
      <c r="BX93" t="s">
        <v>85</v>
      </c>
      <c r="BY93" t="str">
        <f>IF(COUNTIF('Data Upload-prod'!E:E,F93)=0,"Missing","Exist")</f>
        <v>Missing</v>
      </c>
    </row>
    <row r="94" hidden="1" spans="1:77">
      <c r="A94" s="16">
        <v>45963</v>
      </c>
      <c r="B94" s="16">
        <v>45966.8252226157</v>
      </c>
      <c r="C94" t="s">
        <v>346</v>
      </c>
      <c r="D94" t="s">
        <v>142</v>
      </c>
      <c r="E94" t="s">
        <v>209</v>
      </c>
      <c r="F94" t="s">
        <v>352</v>
      </c>
      <c r="G94" t="s">
        <v>81</v>
      </c>
      <c r="H94" t="s">
        <v>154</v>
      </c>
      <c r="I94" t="s">
        <v>124</v>
      </c>
      <c r="J94" s="17">
        <v>17.7</v>
      </c>
      <c r="K94" s="17">
        <v>1153.4</v>
      </c>
      <c r="L94" s="17">
        <v>896.5</v>
      </c>
      <c r="M94" t="s">
        <v>84</v>
      </c>
      <c r="N94" t="s">
        <v>84</v>
      </c>
      <c r="O94" t="s">
        <v>84</v>
      </c>
      <c r="P94" t="s">
        <v>84</v>
      </c>
      <c r="Q94" s="17">
        <v>9361904.85</v>
      </c>
      <c r="R94" s="17">
        <v>18.5</v>
      </c>
      <c r="S94" t="s">
        <v>85</v>
      </c>
      <c r="T94" t="s">
        <v>84</v>
      </c>
      <c r="U94" t="s">
        <v>86</v>
      </c>
      <c r="V94" s="16">
        <v>45561</v>
      </c>
      <c r="W94" s="18">
        <v>45561</v>
      </c>
      <c r="X94" s="18">
        <v>45633</v>
      </c>
      <c r="Y94" s="17">
        <v>1071</v>
      </c>
      <c r="Z94" t="s">
        <v>87</v>
      </c>
      <c r="AA94" s="17">
        <v>1131</v>
      </c>
      <c r="AB94" s="17">
        <v>896</v>
      </c>
      <c r="AC94" t="s">
        <v>84</v>
      </c>
      <c r="AD94" t="s">
        <v>84</v>
      </c>
      <c r="AE94" t="s">
        <v>84</v>
      </c>
      <c r="AF94" t="s">
        <v>84</v>
      </c>
      <c r="AG94" s="17">
        <v>7046945.1</v>
      </c>
      <c r="AH94" s="17">
        <v>16.75</v>
      </c>
      <c r="AI94" s="17">
        <v>0</v>
      </c>
      <c r="AJ94" s="17">
        <v>0</v>
      </c>
      <c r="AK94" t="s">
        <v>165</v>
      </c>
      <c r="AM94" s="17">
        <v>2.5</v>
      </c>
      <c r="AN94" s="17"/>
      <c r="AO94" s="17">
        <v>1440</v>
      </c>
      <c r="AP94" s="17"/>
      <c r="AQ94" s="17">
        <v>1995</v>
      </c>
      <c r="AR94" s="17"/>
      <c r="AS94" s="17">
        <v>2.4</v>
      </c>
      <c r="AT94" s="17"/>
      <c r="AU94" s="17">
        <v>851</v>
      </c>
      <c r="AV94" s="17"/>
      <c r="AW94" s="17">
        <v>1359.9</v>
      </c>
      <c r="AX94" s="17"/>
      <c r="AY94" s="17">
        <v>3.7</v>
      </c>
      <c r="AZ94" s="17">
        <v>2331027.97</v>
      </c>
      <c r="BA94" t="s">
        <v>265</v>
      </c>
      <c r="BB94" s="17">
        <v>0.7</v>
      </c>
      <c r="BC94" s="17">
        <v>373</v>
      </c>
      <c r="BD94" s="17">
        <v>4.3</v>
      </c>
      <c r="BE94" s="17">
        <v>2637161</v>
      </c>
      <c r="BF94" s="17">
        <v>0.8</v>
      </c>
      <c r="BG94" s="17">
        <v>508.9</v>
      </c>
      <c r="BH94" t="s">
        <v>93</v>
      </c>
      <c r="BI94" t="s">
        <v>94</v>
      </c>
      <c r="BJ94" t="s">
        <v>353</v>
      </c>
      <c r="BK94" t="s">
        <v>85</v>
      </c>
      <c r="BL94" t="s">
        <v>85</v>
      </c>
      <c r="BM94" t="s">
        <v>96</v>
      </c>
      <c r="BN94" t="s">
        <v>266</v>
      </c>
      <c r="BO94" t="s">
        <v>98</v>
      </c>
      <c r="BP94" t="s">
        <v>103</v>
      </c>
      <c r="BQ94" s="17">
        <v>218</v>
      </c>
      <c r="BR94" t="s">
        <v>138</v>
      </c>
      <c r="BS94" t="s">
        <v>285</v>
      </c>
      <c r="BT94" t="s">
        <v>103</v>
      </c>
      <c r="BU94" s="17">
        <v>8.7</v>
      </c>
      <c r="BV94" t="s">
        <v>110</v>
      </c>
      <c r="BW94" t="s">
        <v>85</v>
      </c>
      <c r="BX94" t="s">
        <v>85</v>
      </c>
      <c r="BY94" t="str">
        <f>IF(COUNTIF('Data Upload-prod'!E:E,F94)=0,"Missing","Exist")</f>
        <v>Missing</v>
      </c>
    </row>
    <row r="95" hidden="1" spans="1:77">
      <c r="A95" s="16">
        <v>45963</v>
      </c>
      <c r="B95" s="16">
        <v>45966.8678265625</v>
      </c>
      <c r="C95" t="s">
        <v>346</v>
      </c>
      <c r="D95" t="s">
        <v>142</v>
      </c>
      <c r="E95" t="s">
        <v>209</v>
      </c>
      <c r="F95" t="s">
        <v>354</v>
      </c>
      <c r="G95" t="s">
        <v>81</v>
      </c>
      <c r="H95" t="s">
        <v>154</v>
      </c>
      <c r="I95" t="s">
        <v>124</v>
      </c>
      <c r="J95" s="17">
        <v>17.7</v>
      </c>
      <c r="K95" s="17">
        <v>1883.94</v>
      </c>
      <c r="L95" s="17">
        <v>1014.7</v>
      </c>
      <c r="M95" t="s">
        <v>84</v>
      </c>
      <c r="N95" t="s">
        <v>84</v>
      </c>
      <c r="O95" t="s">
        <v>84</v>
      </c>
      <c r="P95" t="s">
        <v>84</v>
      </c>
      <c r="Q95" s="17">
        <v>8953806.06</v>
      </c>
      <c r="R95" s="17">
        <v>19.9</v>
      </c>
      <c r="S95" t="s">
        <v>85</v>
      </c>
      <c r="T95" t="s">
        <v>84</v>
      </c>
      <c r="U95" t="s">
        <v>86</v>
      </c>
      <c r="V95" s="16">
        <v>45649</v>
      </c>
      <c r="W95" s="18">
        <v>45649</v>
      </c>
      <c r="X95" s="18">
        <v>45710.5</v>
      </c>
      <c r="Y95" s="17">
        <v>1836.4</v>
      </c>
      <c r="Z95" t="s">
        <v>87</v>
      </c>
      <c r="AA95" s="17">
        <v>1896</v>
      </c>
      <c r="AB95" s="17">
        <v>895</v>
      </c>
      <c r="AC95" t="s">
        <v>84</v>
      </c>
      <c r="AD95" t="s">
        <v>84</v>
      </c>
      <c r="AE95" t="s">
        <v>84</v>
      </c>
      <c r="AF95" t="s">
        <v>84</v>
      </c>
      <c r="AG95" s="17">
        <v>9308160</v>
      </c>
      <c r="AH95" s="17">
        <v>25.9</v>
      </c>
      <c r="AI95" s="17">
        <v>7</v>
      </c>
      <c r="AJ95" s="17">
        <v>5</v>
      </c>
      <c r="AK95" t="s">
        <v>165</v>
      </c>
      <c r="AM95" s="17">
        <v>2.5</v>
      </c>
      <c r="AN95" s="17"/>
      <c r="AO95" s="17">
        <v>1440</v>
      </c>
      <c r="AP95" s="17"/>
      <c r="AQ95" s="17">
        <v>1995</v>
      </c>
      <c r="AR95" s="17"/>
      <c r="AS95" s="17">
        <v>3.5</v>
      </c>
      <c r="AT95" s="17"/>
      <c r="AU95" s="17">
        <v>857.8</v>
      </c>
      <c r="AV95" s="17"/>
      <c r="AW95" s="17">
        <v>1261.7</v>
      </c>
      <c r="AX95" s="17"/>
      <c r="AY95" s="17">
        <v>3.95</v>
      </c>
      <c r="AZ95" s="17">
        <v>2307879.8</v>
      </c>
      <c r="BA95" t="s">
        <v>265</v>
      </c>
      <c r="BB95" s="17">
        <v>0.7</v>
      </c>
      <c r="BC95" s="17">
        <v>373</v>
      </c>
      <c r="BD95" s="17">
        <v>4.3</v>
      </c>
      <c r="BE95" s="17">
        <v>2979588</v>
      </c>
      <c r="BF95" s="17">
        <v>0.6</v>
      </c>
      <c r="BG95" s="17">
        <v>403.9</v>
      </c>
      <c r="BH95" t="s">
        <v>93</v>
      </c>
      <c r="BI95" t="s">
        <v>94</v>
      </c>
      <c r="BJ95" t="s">
        <v>128</v>
      </c>
      <c r="BK95" t="s">
        <v>85</v>
      </c>
      <c r="BL95" t="s">
        <v>85</v>
      </c>
      <c r="BM95" t="s">
        <v>96</v>
      </c>
      <c r="BN95" t="s">
        <v>266</v>
      </c>
      <c r="BO95" t="s">
        <v>98</v>
      </c>
      <c r="BP95" t="s">
        <v>103</v>
      </c>
      <c r="BQ95" s="17">
        <v>2045</v>
      </c>
      <c r="BR95" t="s">
        <v>138</v>
      </c>
      <c r="BS95" t="s">
        <v>156</v>
      </c>
      <c r="BT95" t="s">
        <v>103</v>
      </c>
      <c r="BU95" s="17">
        <v>8.7</v>
      </c>
      <c r="BV95" t="s">
        <v>110</v>
      </c>
      <c r="BW95" t="s">
        <v>85</v>
      </c>
      <c r="BX95" t="s">
        <v>85</v>
      </c>
      <c r="BY95" t="str">
        <f>IF(COUNTIF('Data Upload-prod'!E:E,F95)=0,"Missing","Exist")</f>
        <v>Missing</v>
      </c>
    </row>
    <row r="96" hidden="1" spans="1:77">
      <c r="A96" s="16">
        <v>45963</v>
      </c>
      <c r="B96" s="16">
        <v>45966.8505164236</v>
      </c>
      <c r="C96" t="s">
        <v>346</v>
      </c>
      <c r="D96" t="s">
        <v>142</v>
      </c>
      <c r="E96" t="s">
        <v>209</v>
      </c>
      <c r="F96" t="s">
        <v>355</v>
      </c>
      <c r="G96" t="s">
        <v>81</v>
      </c>
      <c r="H96" t="s">
        <v>154</v>
      </c>
      <c r="I96" t="s">
        <v>124</v>
      </c>
      <c r="J96" s="17">
        <v>17.7</v>
      </c>
      <c r="K96" s="17">
        <v>1415.94</v>
      </c>
      <c r="L96" s="17">
        <v>1086.41</v>
      </c>
      <c r="M96" t="s">
        <v>84</v>
      </c>
      <c r="N96" t="s">
        <v>84</v>
      </c>
      <c r="O96" t="s">
        <v>84</v>
      </c>
      <c r="P96" t="s">
        <v>84</v>
      </c>
      <c r="Q96" s="17">
        <v>8452276.03</v>
      </c>
      <c r="R96" s="17">
        <v>17.77</v>
      </c>
      <c r="S96" t="s">
        <v>85</v>
      </c>
      <c r="T96" t="s">
        <v>84</v>
      </c>
      <c r="U96" t="s">
        <v>86</v>
      </c>
      <c r="V96" s="16">
        <v>45653</v>
      </c>
      <c r="W96" s="18">
        <v>45653.4375</v>
      </c>
      <c r="X96" s="18">
        <v>45696.1666666667</v>
      </c>
      <c r="Y96" s="17">
        <v>1377.5</v>
      </c>
      <c r="Z96" t="s">
        <v>87</v>
      </c>
      <c r="AA96" s="17">
        <v>1437</v>
      </c>
      <c r="AB96" s="17">
        <v>1105</v>
      </c>
      <c r="AC96" t="s">
        <v>84</v>
      </c>
      <c r="AD96" t="s">
        <v>84</v>
      </c>
      <c r="AE96" t="s">
        <v>84</v>
      </c>
      <c r="AF96" t="s">
        <v>84</v>
      </c>
      <c r="AG96" s="17">
        <v>7627922</v>
      </c>
      <c r="AH96" s="17">
        <v>19.2</v>
      </c>
      <c r="AI96" s="17">
        <v>0</v>
      </c>
      <c r="AJ96" s="17">
        <v>0</v>
      </c>
      <c r="AK96" t="s">
        <v>165</v>
      </c>
      <c r="AM96" s="17">
        <v>2.5</v>
      </c>
      <c r="AN96" s="17"/>
      <c r="AO96" s="17">
        <v>1440</v>
      </c>
      <c r="AP96" s="17"/>
      <c r="AQ96" s="17">
        <v>1995</v>
      </c>
      <c r="AR96" s="17"/>
      <c r="AS96" s="17">
        <v>2.2</v>
      </c>
      <c r="AT96" s="17"/>
      <c r="AU96" s="17">
        <v>715.1</v>
      </c>
      <c r="AV96" s="17"/>
      <c r="AW96" s="17">
        <v>1091.6</v>
      </c>
      <c r="AX96" s="17"/>
      <c r="AY96" t="s">
        <v>92</v>
      </c>
      <c r="AZ96" t="s">
        <v>92</v>
      </c>
      <c r="BA96" t="s">
        <v>265</v>
      </c>
      <c r="BB96" s="17">
        <v>0.7</v>
      </c>
      <c r="BC96" s="17">
        <v>373</v>
      </c>
      <c r="BD96" s="17">
        <v>5.3</v>
      </c>
      <c r="BE96" s="17">
        <v>3183510</v>
      </c>
      <c r="BF96" s="17">
        <v>0.9</v>
      </c>
      <c r="BG96" s="17">
        <v>512.2</v>
      </c>
      <c r="BH96" t="s">
        <v>93</v>
      </c>
      <c r="BI96" t="s">
        <v>94</v>
      </c>
      <c r="BJ96" t="s">
        <v>128</v>
      </c>
      <c r="BK96" t="s">
        <v>85</v>
      </c>
      <c r="BL96" t="s">
        <v>85</v>
      </c>
      <c r="BM96" t="s">
        <v>96</v>
      </c>
      <c r="BN96" t="s">
        <v>92</v>
      </c>
      <c r="BO96" t="s">
        <v>92</v>
      </c>
      <c r="BP96" t="s">
        <v>103</v>
      </c>
      <c r="BQ96" s="17">
        <v>1492</v>
      </c>
      <c r="BR96" t="s">
        <v>138</v>
      </c>
      <c r="BS96" t="s">
        <v>285</v>
      </c>
      <c r="BT96" t="s">
        <v>103</v>
      </c>
      <c r="BU96" s="17">
        <v>8.7</v>
      </c>
      <c r="BV96" t="s">
        <v>110</v>
      </c>
      <c r="BW96" t="s">
        <v>85</v>
      </c>
      <c r="BX96" t="s">
        <v>85</v>
      </c>
      <c r="BY96" t="str">
        <f>IF(COUNTIF('Data Upload-prod'!E:E,F96)=0,"Missing","Exist")</f>
        <v>Missing</v>
      </c>
    </row>
    <row r="97" hidden="1" spans="1:77">
      <c r="A97" s="16">
        <v>45963</v>
      </c>
      <c r="B97" s="16">
        <v>45966.9298995949</v>
      </c>
      <c r="C97" t="s">
        <v>346</v>
      </c>
      <c r="D97" t="s">
        <v>142</v>
      </c>
      <c r="E97" t="s">
        <v>209</v>
      </c>
      <c r="F97" t="s">
        <v>356</v>
      </c>
      <c r="G97" t="s">
        <v>81</v>
      </c>
      <c r="H97" t="s">
        <v>154</v>
      </c>
      <c r="I97" t="s">
        <v>124</v>
      </c>
      <c r="J97" s="17">
        <v>17.7</v>
      </c>
      <c r="K97" s="17">
        <v>1316.12</v>
      </c>
      <c r="L97" s="17">
        <v>840.75</v>
      </c>
      <c r="M97" t="s">
        <v>84</v>
      </c>
      <c r="N97" t="s">
        <v>84</v>
      </c>
      <c r="O97" t="s">
        <v>84</v>
      </c>
      <c r="P97" t="s">
        <v>84</v>
      </c>
      <c r="Q97" s="17">
        <v>6805901.29</v>
      </c>
      <c r="R97" s="17">
        <v>11.94</v>
      </c>
      <c r="S97" t="s">
        <v>85</v>
      </c>
      <c r="T97" t="s">
        <v>84</v>
      </c>
      <c r="U97" t="s">
        <v>86</v>
      </c>
      <c r="V97" s="16">
        <v>45658</v>
      </c>
      <c r="W97" s="18">
        <v>45657.3541666667</v>
      </c>
      <c r="X97" s="18">
        <v>45741.875</v>
      </c>
      <c r="Y97" s="17">
        <v>1564.4</v>
      </c>
      <c r="Z97" t="s">
        <v>87</v>
      </c>
      <c r="AA97" s="17">
        <v>1624</v>
      </c>
      <c r="AB97" s="17">
        <v>939</v>
      </c>
      <c r="AC97" t="s">
        <v>84</v>
      </c>
      <c r="AD97" t="s">
        <v>84</v>
      </c>
      <c r="AE97" t="s">
        <v>84</v>
      </c>
      <c r="AF97" t="s">
        <v>84</v>
      </c>
      <c r="AG97" s="17">
        <v>7890699.4</v>
      </c>
      <c r="AH97" s="17">
        <v>18.9</v>
      </c>
      <c r="AI97" s="17">
        <v>14.2</v>
      </c>
      <c r="AJ97" s="17">
        <v>14.2</v>
      </c>
      <c r="AK97" t="s">
        <v>165</v>
      </c>
      <c r="AM97" s="17">
        <v>2.5</v>
      </c>
      <c r="AN97" s="17"/>
      <c r="AO97" s="17">
        <v>1440</v>
      </c>
      <c r="AP97" s="17"/>
      <c r="AQ97" s="17">
        <v>1995</v>
      </c>
      <c r="AR97" s="17"/>
      <c r="AS97" s="17">
        <v>2.7</v>
      </c>
      <c r="AT97" s="17"/>
      <c r="AU97" s="17">
        <v>901.4</v>
      </c>
      <c r="AV97" s="17"/>
      <c r="AW97" s="17">
        <v>1480.4</v>
      </c>
      <c r="AX97" s="17"/>
      <c r="AY97" s="17">
        <v>3.31</v>
      </c>
      <c r="AZ97" s="17">
        <v>2069301.01</v>
      </c>
      <c r="BA97" t="s">
        <v>265</v>
      </c>
      <c r="BB97" s="17">
        <v>0.7</v>
      </c>
      <c r="BC97" s="17">
        <v>373</v>
      </c>
      <c r="BD97" s="17">
        <v>4.3</v>
      </c>
      <c r="BE97" s="17">
        <v>3086410.3</v>
      </c>
      <c r="BF97" s="17">
        <v>0.8</v>
      </c>
      <c r="BG97" s="17">
        <v>579.1</v>
      </c>
      <c r="BH97" t="s">
        <v>93</v>
      </c>
      <c r="BI97" t="s">
        <v>94</v>
      </c>
      <c r="BJ97" t="s">
        <v>128</v>
      </c>
      <c r="BK97" t="s">
        <v>85</v>
      </c>
      <c r="BL97" t="s">
        <v>85</v>
      </c>
      <c r="BM97" t="s">
        <v>96</v>
      </c>
      <c r="BN97" t="s">
        <v>266</v>
      </c>
      <c r="BO97" t="s">
        <v>98</v>
      </c>
      <c r="BP97" t="s">
        <v>350</v>
      </c>
      <c r="BQ97" s="17">
        <v>792</v>
      </c>
      <c r="BR97" t="s">
        <v>138</v>
      </c>
      <c r="BS97" t="s">
        <v>156</v>
      </c>
      <c r="BT97" t="s">
        <v>350</v>
      </c>
      <c r="BU97" s="17">
        <v>8.7</v>
      </c>
      <c r="BV97" t="s">
        <v>110</v>
      </c>
      <c r="BW97" t="s">
        <v>85</v>
      </c>
      <c r="BX97" t="s">
        <v>85</v>
      </c>
      <c r="BY97" t="str">
        <f>IF(COUNTIF('Data Upload-prod'!E:E,F97)=0,"Missing","Exist")</f>
        <v>Missing</v>
      </c>
    </row>
    <row r="98" hidden="1" spans="1:77">
      <c r="A98" s="16">
        <v>45963</v>
      </c>
      <c r="B98" s="16">
        <v>45966.8573931713</v>
      </c>
      <c r="C98" t="s">
        <v>346</v>
      </c>
      <c r="D98" t="s">
        <v>142</v>
      </c>
      <c r="E98" t="s">
        <v>209</v>
      </c>
      <c r="F98" t="s">
        <v>357</v>
      </c>
      <c r="G98" t="s">
        <v>81</v>
      </c>
      <c r="H98" t="s">
        <v>154</v>
      </c>
      <c r="I98" t="s">
        <v>124</v>
      </c>
      <c r="J98" s="17">
        <v>17.7</v>
      </c>
      <c r="K98" s="17">
        <v>1993.8</v>
      </c>
      <c r="L98" s="17">
        <v>1004.4</v>
      </c>
      <c r="M98" t="s">
        <v>84</v>
      </c>
      <c r="N98" t="s">
        <v>84</v>
      </c>
      <c r="O98" t="s">
        <v>84</v>
      </c>
      <c r="P98" t="s">
        <v>84</v>
      </c>
      <c r="Q98" s="17">
        <v>7764513.67</v>
      </c>
      <c r="R98" s="17">
        <v>15.04</v>
      </c>
      <c r="S98" t="s">
        <v>85</v>
      </c>
      <c r="T98" t="s">
        <v>84</v>
      </c>
      <c r="U98" t="s">
        <v>86</v>
      </c>
      <c r="V98" s="16">
        <v>45673</v>
      </c>
      <c r="W98" s="18">
        <v>45672.375</v>
      </c>
      <c r="X98" s="18">
        <v>46083.2916666667</v>
      </c>
      <c r="Y98" s="17">
        <v>1921.5</v>
      </c>
      <c r="Z98" t="s">
        <v>87</v>
      </c>
      <c r="AA98" s="17">
        <v>1981</v>
      </c>
      <c r="AB98" s="17">
        <v>1004</v>
      </c>
      <c r="AC98" t="s">
        <v>84</v>
      </c>
      <c r="AD98" t="s">
        <v>84</v>
      </c>
      <c r="AE98" t="s">
        <v>84</v>
      </c>
      <c r="AF98" t="s">
        <v>84</v>
      </c>
      <c r="AG98" s="17">
        <v>6604148.9</v>
      </c>
      <c r="AH98" s="17">
        <v>15.98</v>
      </c>
      <c r="AI98" s="17">
        <v>0</v>
      </c>
      <c r="AJ98" s="17">
        <v>0</v>
      </c>
      <c r="AK98" t="s">
        <v>165</v>
      </c>
      <c r="AM98" s="17">
        <v>2.5</v>
      </c>
      <c r="AN98" s="17"/>
      <c r="AO98" s="17">
        <v>1440</v>
      </c>
      <c r="AP98" s="17"/>
      <c r="AQ98" s="17">
        <v>1995</v>
      </c>
      <c r="AR98" s="17"/>
      <c r="AS98" s="17">
        <v>1.8</v>
      </c>
      <c r="AT98" s="17"/>
      <c r="AU98" s="17">
        <v>611.1</v>
      </c>
      <c r="AV98" s="17"/>
      <c r="AW98" s="17">
        <v>1016</v>
      </c>
      <c r="AX98" s="17"/>
      <c r="AY98" s="17">
        <v>4.19</v>
      </c>
      <c r="AZ98" s="17">
        <v>2207965.25</v>
      </c>
      <c r="BA98" t="s">
        <v>265</v>
      </c>
      <c r="BB98" s="17">
        <v>0.7</v>
      </c>
      <c r="BC98" s="17">
        <v>373</v>
      </c>
      <c r="BD98" s="17">
        <v>4.2</v>
      </c>
      <c r="BE98" s="17">
        <v>2632032.01</v>
      </c>
      <c r="BF98" s="17">
        <v>0.7</v>
      </c>
      <c r="BG98" s="17">
        <v>404.7</v>
      </c>
      <c r="BH98" t="s">
        <v>93</v>
      </c>
      <c r="BI98" t="s">
        <v>94</v>
      </c>
      <c r="BJ98" t="s">
        <v>128</v>
      </c>
      <c r="BK98" t="s">
        <v>85</v>
      </c>
      <c r="BL98" t="s">
        <v>85</v>
      </c>
      <c r="BM98" t="s">
        <v>96</v>
      </c>
      <c r="BN98" t="s">
        <v>266</v>
      </c>
      <c r="BO98" t="s">
        <v>98</v>
      </c>
      <c r="BP98" t="s">
        <v>103</v>
      </c>
      <c r="BQ98" s="17">
        <v>833</v>
      </c>
      <c r="BR98" t="s">
        <v>138</v>
      </c>
      <c r="BS98" t="s">
        <v>156</v>
      </c>
      <c r="BT98" t="s">
        <v>103</v>
      </c>
      <c r="BU98" s="17">
        <v>8.7</v>
      </c>
      <c r="BV98" t="s">
        <v>110</v>
      </c>
      <c r="BW98" t="s">
        <v>85</v>
      </c>
      <c r="BX98" t="s">
        <v>85</v>
      </c>
      <c r="BY98" t="str">
        <f>IF(COUNTIF('Data Upload-prod'!E:E,F98)=0,"Missing","Exist")</f>
        <v>Missing</v>
      </c>
    </row>
    <row r="99" hidden="1" spans="1:77">
      <c r="A99" s="16">
        <v>45961</v>
      </c>
      <c r="B99" s="16">
        <v>45967.4261645023</v>
      </c>
      <c r="C99" t="s">
        <v>141</v>
      </c>
      <c r="D99" t="s">
        <v>120</v>
      </c>
      <c r="E99" t="s">
        <v>358</v>
      </c>
      <c r="F99" t="s">
        <v>359</v>
      </c>
      <c r="G99" t="s">
        <v>145</v>
      </c>
      <c r="H99" t="s">
        <v>311</v>
      </c>
      <c r="I99" t="s">
        <v>124</v>
      </c>
      <c r="J99" s="17">
        <v>80</v>
      </c>
      <c r="K99" s="17">
        <v>2174</v>
      </c>
      <c r="L99" s="17">
        <v>2174</v>
      </c>
      <c r="M99" s="17">
        <v>22600000</v>
      </c>
      <c r="N99" s="17">
        <v>28200000</v>
      </c>
      <c r="O99" s="17">
        <v>31</v>
      </c>
      <c r="P99" s="17">
        <v>41.75</v>
      </c>
      <c r="Q99" t="s">
        <v>84</v>
      </c>
      <c r="R99" t="s">
        <v>84</v>
      </c>
      <c r="S99" t="s">
        <v>85</v>
      </c>
      <c r="T99" t="s">
        <v>84</v>
      </c>
      <c r="U99" t="s">
        <v>86</v>
      </c>
      <c r="V99" s="16">
        <v>45751</v>
      </c>
      <c r="W99" s="18">
        <v>45746.53125</v>
      </c>
      <c r="X99" s="18">
        <v>45778</v>
      </c>
      <c r="Y99" s="17">
        <v>1248.2</v>
      </c>
      <c r="Z99" t="s">
        <v>87</v>
      </c>
      <c r="AA99" s="17">
        <v>1365.5</v>
      </c>
      <c r="AB99" s="17">
        <v>1365.5</v>
      </c>
      <c r="AC99" s="17">
        <v>21660000</v>
      </c>
      <c r="AD99" t="s">
        <v>84</v>
      </c>
      <c r="AE99" s="17">
        <v>31.47</v>
      </c>
      <c r="AF99" t="s">
        <v>84</v>
      </c>
      <c r="AG99" s="17">
        <v>21660000</v>
      </c>
      <c r="AH99" s="17">
        <v>31.47</v>
      </c>
      <c r="AI99" s="17">
        <v>14.39</v>
      </c>
      <c r="AJ99" s="17">
        <v>14.11</v>
      </c>
      <c r="AK99" t="s">
        <v>323</v>
      </c>
      <c r="AM99" s="17">
        <v>4.4</v>
      </c>
      <c r="AN99" s="17"/>
      <c r="AO99" s="17">
        <v>1980</v>
      </c>
      <c r="AP99" s="17"/>
      <c r="AQ99" s="17">
        <v>2760</v>
      </c>
      <c r="AR99" s="17"/>
      <c r="AS99" s="17">
        <v>4.36</v>
      </c>
      <c r="AT99" s="17"/>
      <c r="AU99" s="17">
        <v>3529</v>
      </c>
      <c r="AV99" s="17"/>
      <c r="AW99" s="17">
        <v>5288</v>
      </c>
      <c r="AX99" s="17"/>
      <c r="AY99" t="s">
        <v>92</v>
      </c>
      <c r="AZ99" t="s">
        <v>92</v>
      </c>
      <c r="BA99" t="s">
        <v>92</v>
      </c>
      <c r="BB99" t="s">
        <v>92</v>
      </c>
      <c r="BC99" t="s">
        <v>92</v>
      </c>
      <c r="BD99" t="s">
        <v>92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92</v>
      </c>
      <c r="BM99" t="s">
        <v>92</v>
      </c>
      <c r="BN99" t="s">
        <v>92</v>
      </c>
      <c r="BO99" t="s">
        <v>92</v>
      </c>
      <c r="BP99" t="s">
        <v>92</v>
      </c>
      <c r="BQ99" t="s">
        <v>92</v>
      </c>
      <c r="BR99" t="s">
        <v>92</v>
      </c>
      <c r="BS99" t="s">
        <v>92</v>
      </c>
      <c r="BT99" t="s">
        <v>92</v>
      </c>
      <c r="BU99" t="s">
        <v>92</v>
      </c>
      <c r="BV99" t="s">
        <v>92</v>
      </c>
      <c r="BW99" t="s">
        <v>92</v>
      </c>
      <c r="BX99" t="s">
        <v>92</v>
      </c>
      <c r="BY99" t="str">
        <f>IF(COUNTIF('Data Upload-prod'!E:E,F99)=0,"Missing","Exist")</f>
        <v>Missing</v>
      </c>
    </row>
    <row r="100" hidden="1" spans="1:77">
      <c r="A100" s="16">
        <v>45959</v>
      </c>
      <c r="B100" s="16">
        <v>45959.6072936458</v>
      </c>
      <c r="C100" t="s">
        <v>360</v>
      </c>
      <c r="D100" t="s">
        <v>120</v>
      </c>
      <c r="E100" t="s">
        <v>361</v>
      </c>
      <c r="F100" t="s">
        <v>362</v>
      </c>
      <c r="G100" t="s">
        <v>145</v>
      </c>
      <c r="H100" t="s">
        <v>363</v>
      </c>
      <c r="I100" t="s">
        <v>124</v>
      </c>
      <c r="J100" s="17">
        <v>48</v>
      </c>
      <c r="K100" s="17">
        <v>1342</v>
      </c>
      <c r="L100" s="17">
        <v>1317</v>
      </c>
      <c r="M100" s="17">
        <v>16991457</v>
      </c>
      <c r="N100" s="17">
        <v>17416457</v>
      </c>
      <c r="O100" s="17">
        <v>32.8</v>
      </c>
      <c r="P100" s="17">
        <v>33.63</v>
      </c>
      <c r="Q100" t="s">
        <v>84</v>
      </c>
      <c r="R100" t="s">
        <v>84</v>
      </c>
      <c r="S100" t="s">
        <v>85</v>
      </c>
      <c r="T100" t="s">
        <v>84</v>
      </c>
      <c r="U100" t="s">
        <v>84</v>
      </c>
      <c r="V100" s="16">
        <v>45640</v>
      </c>
      <c r="W100" s="18">
        <v>45655.6666666667</v>
      </c>
      <c r="X100" s="18">
        <v>46067.7083333333</v>
      </c>
      <c r="Y100" s="17">
        <v>1262</v>
      </c>
      <c r="Z100" t="s">
        <v>87</v>
      </c>
      <c r="AA100" s="17">
        <v>1342</v>
      </c>
      <c r="AB100" s="17">
        <v>1317</v>
      </c>
      <c r="AC100" t="s">
        <v>84</v>
      </c>
      <c r="AD100" s="17">
        <v>23460848</v>
      </c>
      <c r="AE100" t="s">
        <v>84</v>
      </c>
      <c r="AF100" s="17">
        <v>62.39</v>
      </c>
      <c r="AG100" s="17">
        <v>23460848</v>
      </c>
      <c r="AH100" s="17">
        <v>62.39</v>
      </c>
      <c r="AI100" s="17">
        <v>60.3</v>
      </c>
      <c r="AJ100" s="17">
        <v>2.5</v>
      </c>
      <c r="AK100" t="s">
        <v>300</v>
      </c>
      <c r="AM100" s="17">
        <v>2.4</v>
      </c>
      <c r="AN100" s="17"/>
      <c r="AO100" s="17">
        <v>1375</v>
      </c>
      <c r="AP100" s="17"/>
      <c r="AQ100" s="17">
        <v>3025</v>
      </c>
      <c r="AR100" s="17"/>
      <c r="AS100" s="17">
        <v>2.4</v>
      </c>
      <c r="AT100" s="17"/>
      <c r="AU100" s="17">
        <v>1131</v>
      </c>
      <c r="AV100" s="17"/>
      <c r="AW100" s="17">
        <v>5666</v>
      </c>
      <c r="AX100" s="17"/>
      <c r="AY100" t="s">
        <v>92</v>
      </c>
      <c r="AZ100" t="s">
        <v>92</v>
      </c>
      <c r="BA100" t="s">
        <v>92</v>
      </c>
      <c r="BB100" t="s">
        <v>92</v>
      </c>
      <c r="BC100" t="s">
        <v>92</v>
      </c>
      <c r="BD100" t="s">
        <v>92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92</v>
      </c>
      <c r="BM100" t="s">
        <v>92</v>
      </c>
      <c r="BN100" t="s">
        <v>92</v>
      </c>
      <c r="BO100" t="s">
        <v>92</v>
      </c>
      <c r="BP100" t="s">
        <v>92</v>
      </c>
      <c r="BQ100" t="s">
        <v>92</v>
      </c>
      <c r="BR100" t="s">
        <v>92</v>
      </c>
      <c r="BS100" t="s">
        <v>92</v>
      </c>
      <c r="BT100" t="s">
        <v>92</v>
      </c>
      <c r="BU100" t="s">
        <v>92</v>
      </c>
      <c r="BV100" t="s">
        <v>92</v>
      </c>
      <c r="BW100" t="s">
        <v>92</v>
      </c>
      <c r="BX100" t="s">
        <v>92</v>
      </c>
      <c r="BY100" t="str">
        <f>IF(COUNTIF('Data Upload-prod'!E:E,F100)=0,"Missing","Exist")</f>
        <v>Missing</v>
      </c>
    </row>
    <row r="101" hidden="1" spans="1:77">
      <c r="A101" s="16">
        <v>45959</v>
      </c>
      <c r="B101" s="16">
        <v>45966.463543831</v>
      </c>
      <c r="C101" t="s">
        <v>132</v>
      </c>
      <c r="D101" t="s">
        <v>78</v>
      </c>
      <c r="E101" t="s">
        <v>306</v>
      </c>
      <c r="F101" t="s">
        <v>364</v>
      </c>
      <c r="G101" t="s">
        <v>81</v>
      </c>
      <c r="H101" t="s">
        <v>365</v>
      </c>
      <c r="I101" t="s">
        <v>124</v>
      </c>
      <c r="J101" s="17">
        <v>61</v>
      </c>
      <c r="K101" s="17">
        <v>3363</v>
      </c>
      <c r="L101" s="17">
        <v>1058</v>
      </c>
      <c r="M101" t="s">
        <v>84</v>
      </c>
      <c r="N101" t="s">
        <v>84</v>
      </c>
      <c r="O101" t="s">
        <v>84</v>
      </c>
      <c r="P101" t="s">
        <v>84</v>
      </c>
      <c r="Q101" t="s">
        <v>84</v>
      </c>
      <c r="R101" s="17">
        <v>36.4</v>
      </c>
      <c r="S101" t="s">
        <v>106</v>
      </c>
      <c r="T101" t="s">
        <v>84</v>
      </c>
      <c r="U101" t="s">
        <v>86</v>
      </c>
      <c r="V101" s="16">
        <v>45858</v>
      </c>
      <c r="W101" s="18">
        <v>45773.5</v>
      </c>
      <c r="X101" s="18">
        <v>45905</v>
      </c>
      <c r="Y101" s="17">
        <v>2145.2</v>
      </c>
      <c r="Z101" t="s">
        <v>87</v>
      </c>
      <c r="AA101" s="17">
        <v>3134.2</v>
      </c>
      <c r="AB101" s="17">
        <v>1038.39</v>
      </c>
      <c r="AC101" t="s">
        <v>84</v>
      </c>
      <c r="AD101" t="s">
        <v>84</v>
      </c>
      <c r="AE101" t="s">
        <v>84</v>
      </c>
      <c r="AF101" t="s">
        <v>84</v>
      </c>
      <c r="AG101" s="17">
        <v>23641247.58</v>
      </c>
      <c r="AH101" s="17">
        <v>50.65</v>
      </c>
      <c r="AI101" s="17">
        <v>44.61</v>
      </c>
      <c r="AJ101" s="17">
        <v>44.61</v>
      </c>
      <c r="AK101" t="s">
        <v>89</v>
      </c>
      <c r="AM101" s="17">
        <v>2.4</v>
      </c>
      <c r="AN101" s="17"/>
      <c r="AO101" s="17">
        <v>795</v>
      </c>
      <c r="AP101" s="17"/>
      <c r="AQ101" s="17">
        <v>1550</v>
      </c>
      <c r="AR101" s="17"/>
      <c r="AS101" s="17">
        <v>2.65</v>
      </c>
      <c r="AT101" s="17"/>
      <c r="AU101" s="17">
        <v>1301.53</v>
      </c>
      <c r="AV101" s="17"/>
      <c r="AW101" s="17">
        <v>3080.21</v>
      </c>
      <c r="AX101" s="17"/>
      <c r="AY101" s="17">
        <v>4.82</v>
      </c>
      <c r="AZ101" s="17">
        <v>13100000</v>
      </c>
      <c r="BA101" t="s">
        <v>366</v>
      </c>
      <c r="BB101" s="17">
        <v>1</v>
      </c>
      <c r="BC101" s="17">
        <v>451</v>
      </c>
      <c r="BD101" t="s">
        <v>92</v>
      </c>
      <c r="BE101" t="s">
        <v>92</v>
      </c>
      <c r="BF101" s="17">
        <v>2.72</v>
      </c>
      <c r="BG101" s="17">
        <v>1267.36</v>
      </c>
      <c r="BH101" t="s">
        <v>93</v>
      </c>
      <c r="BI101" t="s">
        <v>94</v>
      </c>
      <c r="BJ101" t="s">
        <v>367</v>
      </c>
      <c r="BK101" t="s">
        <v>85</v>
      </c>
      <c r="BL101" t="s">
        <v>85</v>
      </c>
      <c r="BM101" t="s">
        <v>96</v>
      </c>
      <c r="BN101" t="s">
        <v>266</v>
      </c>
      <c r="BO101" t="s">
        <v>98</v>
      </c>
      <c r="BP101" t="s">
        <v>103</v>
      </c>
      <c r="BQ101" t="s">
        <v>92</v>
      </c>
      <c r="BR101" t="s">
        <v>100</v>
      </c>
      <c r="BS101" t="s">
        <v>156</v>
      </c>
      <c r="BT101" t="s">
        <v>103</v>
      </c>
      <c r="BU101" s="17">
        <v>8.7</v>
      </c>
      <c r="BV101" t="s">
        <v>308</v>
      </c>
      <c r="BW101" t="s">
        <v>85</v>
      </c>
      <c r="BX101" t="s">
        <v>85</v>
      </c>
      <c r="BY101" t="str">
        <f>IF(COUNTIF('Data Upload-prod'!E:E,F101)=0,"Missing","Exist")</f>
        <v>Missing</v>
      </c>
    </row>
    <row r="102" hidden="1" spans="1:77">
      <c r="A102" s="16">
        <v>45957</v>
      </c>
      <c r="B102" s="16">
        <v>45957.6884616898</v>
      </c>
      <c r="C102" t="s">
        <v>360</v>
      </c>
      <c r="D102" t="s">
        <v>120</v>
      </c>
      <c r="E102" t="s">
        <v>368</v>
      </c>
      <c r="F102" t="s">
        <v>369</v>
      </c>
      <c r="G102" t="s">
        <v>145</v>
      </c>
      <c r="H102" t="s">
        <v>363</v>
      </c>
      <c r="I102" t="s">
        <v>124</v>
      </c>
      <c r="J102" s="17">
        <v>34.1</v>
      </c>
      <c r="K102" s="17">
        <v>3235</v>
      </c>
      <c r="L102" s="17">
        <v>3235</v>
      </c>
      <c r="M102" t="s">
        <v>84</v>
      </c>
      <c r="N102" s="17">
        <v>28621700</v>
      </c>
      <c r="O102" t="s">
        <v>84</v>
      </c>
      <c r="P102" s="17">
        <v>56.55</v>
      </c>
      <c r="Q102" t="s">
        <v>84</v>
      </c>
      <c r="R102" t="s">
        <v>84</v>
      </c>
      <c r="S102" t="s">
        <v>85</v>
      </c>
      <c r="T102" t="s">
        <v>84</v>
      </c>
      <c r="U102" t="s">
        <v>86</v>
      </c>
      <c r="V102" s="16">
        <v>45709</v>
      </c>
      <c r="W102" s="18">
        <v>45702.7083333333</v>
      </c>
      <c r="X102" s="18">
        <v>45746.3854166667</v>
      </c>
      <c r="Y102" s="17">
        <v>3116.7</v>
      </c>
      <c r="Z102" t="s">
        <v>87</v>
      </c>
      <c r="AA102" s="17">
        <v>3181</v>
      </c>
      <c r="AB102" s="17">
        <v>3180</v>
      </c>
      <c r="AC102" t="s">
        <v>84</v>
      </c>
      <c r="AD102" s="17">
        <v>22528386</v>
      </c>
      <c r="AE102" t="s">
        <v>84</v>
      </c>
      <c r="AF102" s="17">
        <v>43.68</v>
      </c>
      <c r="AG102" s="17">
        <v>22528386</v>
      </c>
      <c r="AH102" s="17">
        <v>43.68</v>
      </c>
      <c r="AI102" s="17">
        <v>1.53</v>
      </c>
      <c r="AJ102" s="17">
        <v>1.43</v>
      </c>
      <c r="AK102" t="s">
        <v>295</v>
      </c>
      <c r="AM102" s="17">
        <v>2.7</v>
      </c>
      <c r="AN102" s="17"/>
      <c r="AO102" s="17">
        <v>1490</v>
      </c>
      <c r="AP102" s="17"/>
      <c r="AQ102" s="17">
        <v>2760</v>
      </c>
      <c r="AR102" s="17"/>
      <c r="AS102" s="17">
        <v>1.89</v>
      </c>
      <c r="AT102" s="17"/>
      <c r="AU102" s="17">
        <v>892</v>
      </c>
      <c r="AV102" s="17"/>
      <c r="AW102" s="17">
        <v>2203</v>
      </c>
      <c r="AX102" s="17"/>
      <c r="AY102" t="s">
        <v>92</v>
      </c>
      <c r="AZ102" t="s">
        <v>92</v>
      </c>
      <c r="BA102" t="s">
        <v>92</v>
      </c>
      <c r="BB102" t="s">
        <v>92</v>
      </c>
      <c r="BC102" t="s">
        <v>92</v>
      </c>
      <c r="BD102" t="s">
        <v>92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92</v>
      </c>
      <c r="BL102" t="s">
        <v>92</v>
      </c>
      <c r="BM102" t="s">
        <v>92</v>
      </c>
      <c r="BN102" t="s">
        <v>92</v>
      </c>
      <c r="BO102" t="s">
        <v>92</v>
      </c>
      <c r="BP102" t="s">
        <v>92</v>
      </c>
      <c r="BQ102" t="s">
        <v>92</v>
      </c>
      <c r="BR102" t="s">
        <v>92</v>
      </c>
      <c r="BS102" t="s">
        <v>92</v>
      </c>
      <c r="BT102" t="s">
        <v>92</v>
      </c>
      <c r="BU102" t="s">
        <v>92</v>
      </c>
      <c r="BV102" t="s">
        <v>92</v>
      </c>
      <c r="BW102" t="s">
        <v>92</v>
      </c>
      <c r="BX102" t="s">
        <v>92</v>
      </c>
      <c r="BY102" t="str">
        <f>IF(COUNTIF('Data Upload-prod'!E:E,F102)=0,"Missing","Exist")</f>
        <v>Missing</v>
      </c>
    </row>
    <row r="103" hidden="1" spans="1:77">
      <c r="A103" s="16">
        <v>45957</v>
      </c>
      <c r="B103" s="16">
        <v>45973.4428159606</v>
      </c>
      <c r="C103" t="s">
        <v>360</v>
      </c>
      <c r="D103" t="s">
        <v>120</v>
      </c>
      <c r="E103" t="s">
        <v>370</v>
      </c>
      <c r="F103" t="s">
        <v>371</v>
      </c>
      <c r="G103" t="s">
        <v>145</v>
      </c>
      <c r="H103" t="s">
        <v>289</v>
      </c>
      <c r="I103" t="s">
        <v>124</v>
      </c>
      <c r="J103" s="17">
        <v>70.7</v>
      </c>
      <c r="K103" s="17">
        <v>4668</v>
      </c>
      <c r="L103" s="17">
        <v>3273</v>
      </c>
      <c r="M103" s="17">
        <v>53382212</v>
      </c>
      <c r="N103" t="s">
        <v>84</v>
      </c>
      <c r="O103" s="17">
        <v>106.8</v>
      </c>
      <c r="P103" t="s">
        <v>84</v>
      </c>
      <c r="Q103" t="s">
        <v>84</v>
      </c>
      <c r="R103" t="s">
        <v>84</v>
      </c>
      <c r="S103" t="s">
        <v>85</v>
      </c>
      <c r="T103" t="s">
        <v>84</v>
      </c>
      <c r="U103" t="s">
        <v>86</v>
      </c>
      <c r="V103" s="16">
        <v>45427</v>
      </c>
      <c r="W103" s="18">
        <v>45420.4375</v>
      </c>
      <c r="X103" s="18">
        <v>45520</v>
      </c>
      <c r="Y103" s="17">
        <v>4647.8</v>
      </c>
      <c r="Z103" t="s">
        <v>87</v>
      </c>
      <c r="AA103" s="17">
        <v>4751</v>
      </c>
      <c r="AB103" s="17">
        <v>3313.46</v>
      </c>
      <c r="AC103" t="s">
        <v>84</v>
      </c>
      <c r="AD103" s="17">
        <v>50591368.87</v>
      </c>
      <c r="AE103" t="s">
        <v>84</v>
      </c>
      <c r="AF103" s="17">
        <v>99.56</v>
      </c>
      <c r="AG103" s="17">
        <v>50591368.87</v>
      </c>
      <c r="AH103" s="17">
        <v>99.56</v>
      </c>
      <c r="AI103" s="17">
        <v>23.54</v>
      </c>
      <c r="AJ103" s="17">
        <v>23.5</v>
      </c>
      <c r="AK103" t="s">
        <v>333</v>
      </c>
      <c r="AM103" s="17">
        <v>3.8</v>
      </c>
      <c r="AN103" s="17"/>
      <c r="AO103" s="17">
        <v>2125</v>
      </c>
      <c r="AP103" s="17"/>
      <c r="AQ103" s="17">
        <v>3315</v>
      </c>
      <c r="AR103" s="17"/>
      <c r="AS103" s="17">
        <v>3.7</v>
      </c>
      <c r="AT103" s="17"/>
      <c r="AU103" s="17">
        <v>1562</v>
      </c>
      <c r="AV103" s="17"/>
      <c r="AW103" s="17">
        <v>3246</v>
      </c>
      <c r="AX103" s="17"/>
      <c r="AY103" t="s">
        <v>92</v>
      </c>
      <c r="AZ103" t="s">
        <v>92</v>
      </c>
      <c r="BA103" t="s">
        <v>92</v>
      </c>
      <c r="BB103" t="s">
        <v>92</v>
      </c>
      <c r="BC103" t="s">
        <v>92</v>
      </c>
      <c r="BD103" t="s">
        <v>92</v>
      </c>
      <c r="BE103" t="s">
        <v>92</v>
      </c>
      <c r="BF103" t="s">
        <v>92</v>
      </c>
      <c r="BG103" t="s">
        <v>92</v>
      </c>
      <c r="BH103" t="s">
        <v>92</v>
      </c>
      <c r="BI103" t="s">
        <v>92</v>
      </c>
      <c r="BJ103" t="s">
        <v>92</v>
      </c>
      <c r="BK103" t="s">
        <v>92</v>
      </c>
      <c r="BL103" t="s">
        <v>92</v>
      </c>
      <c r="BM103" t="s">
        <v>92</v>
      </c>
      <c r="BN103" t="s">
        <v>92</v>
      </c>
      <c r="BO103" t="s">
        <v>92</v>
      </c>
      <c r="BP103" t="s">
        <v>92</v>
      </c>
      <c r="BQ103" t="s">
        <v>92</v>
      </c>
      <c r="BR103" t="s">
        <v>92</v>
      </c>
      <c r="BS103" t="s">
        <v>92</v>
      </c>
      <c r="BT103" t="s">
        <v>92</v>
      </c>
      <c r="BU103" t="s">
        <v>92</v>
      </c>
      <c r="BV103" t="s">
        <v>92</v>
      </c>
      <c r="BW103" t="s">
        <v>92</v>
      </c>
      <c r="BX103" t="s">
        <v>92</v>
      </c>
      <c r="BY103" t="str">
        <f>IF(COUNTIF('Data Upload-prod'!E:E,F103)=0,"Missing","Exist")</f>
        <v>Missing</v>
      </c>
    </row>
    <row r="104" hidden="1" spans="1:77">
      <c r="A104" s="16">
        <v>45953</v>
      </c>
      <c r="B104" s="16">
        <v>45953.4535437847</v>
      </c>
      <c r="C104" t="s">
        <v>132</v>
      </c>
      <c r="D104" t="s">
        <v>142</v>
      </c>
      <c r="E104" t="s">
        <v>372</v>
      </c>
      <c r="F104" t="s">
        <v>373</v>
      </c>
      <c r="G104" t="s">
        <v>145</v>
      </c>
      <c r="H104" t="s">
        <v>202</v>
      </c>
      <c r="I104" t="s">
        <v>124</v>
      </c>
      <c r="J104" s="17">
        <v>46.7</v>
      </c>
      <c r="K104" s="17">
        <v>1980</v>
      </c>
      <c r="L104" s="17">
        <v>1830</v>
      </c>
      <c r="M104" t="s">
        <v>84</v>
      </c>
      <c r="N104" s="17">
        <v>35222520.29</v>
      </c>
      <c r="O104" t="s">
        <v>84</v>
      </c>
      <c r="P104" s="17">
        <v>66.56</v>
      </c>
      <c r="Q104" t="s">
        <v>84</v>
      </c>
      <c r="R104" t="s">
        <v>84</v>
      </c>
      <c r="S104" t="s">
        <v>106</v>
      </c>
      <c r="T104" t="s">
        <v>84</v>
      </c>
      <c r="U104" t="s">
        <v>84</v>
      </c>
      <c r="V104" s="16">
        <v>45605</v>
      </c>
      <c r="W104" s="18">
        <v>45599.875</v>
      </c>
      <c r="X104" s="18">
        <v>45680.8645833333</v>
      </c>
      <c r="Y104" s="17">
        <v>1810.3</v>
      </c>
      <c r="Z104" t="s">
        <v>87</v>
      </c>
      <c r="AA104" s="17">
        <v>1888.42</v>
      </c>
      <c r="AB104" s="17">
        <v>1629.93</v>
      </c>
      <c r="AC104" t="s">
        <v>84</v>
      </c>
      <c r="AD104" s="17">
        <v>37488717.23</v>
      </c>
      <c r="AE104" t="s">
        <v>84</v>
      </c>
      <c r="AF104" s="17">
        <v>80.99</v>
      </c>
      <c r="AG104" s="17">
        <v>37488717.23</v>
      </c>
      <c r="AH104" s="17">
        <v>80.99</v>
      </c>
      <c r="AI104" s="17">
        <v>19.84</v>
      </c>
      <c r="AJ104" s="17">
        <v>9.25</v>
      </c>
      <c r="AK104" t="s">
        <v>374</v>
      </c>
      <c r="AM104" s="17">
        <v>5</v>
      </c>
      <c r="AN104" s="17"/>
      <c r="AO104" s="17">
        <v>2360</v>
      </c>
      <c r="AP104" s="17"/>
      <c r="AQ104" s="17">
        <v>4280</v>
      </c>
      <c r="AR104" s="17"/>
      <c r="AS104" s="17">
        <v>4.19</v>
      </c>
      <c r="AT104" s="17"/>
      <c r="AU104" s="17">
        <v>2057.33</v>
      </c>
      <c r="AV104" s="17"/>
      <c r="AW104" s="17">
        <v>2841.78</v>
      </c>
      <c r="AX104" s="17"/>
      <c r="AY104" t="s">
        <v>92</v>
      </c>
      <c r="AZ104" t="s">
        <v>92</v>
      </c>
      <c r="BA104" t="s">
        <v>92</v>
      </c>
      <c r="BB104" t="s">
        <v>92</v>
      </c>
      <c r="BC104" t="s">
        <v>92</v>
      </c>
      <c r="BD104" t="s">
        <v>92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92</v>
      </c>
      <c r="BM104" t="s">
        <v>92</v>
      </c>
      <c r="BN104" t="s">
        <v>92</v>
      </c>
      <c r="BO104" t="s">
        <v>92</v>
      </c>
      <c r="BP104" t="s">
        <v>92</v>
      </c>
      <c r="BQ104" t="s">
        <v>92</v>
      </c>
      <c r="BR104" t="s">
        <v>92</v>
      </c>
      <c r="BS104" t="s">
        <v>92</v>
      </c>
      <c r="BT104" t="s">
        <v>92</v>
      </c>
      <c r="BU104" t="s">
        <v>92</v>
      </c>
      <c r="BV104" t="s">
        <v>92</v>
      </c>
      <c r="BW104" t="s">
        <v>92</v>
      </c>
      <c r="BX104" t="s">
        <v>92</v>
      </c>
      <c r="BY104" t="str">
        <f>IF(COUNTIF('Data Upload-prod'!E:E,F104)=0,"Missing","Exist")</f>
        <v>Missing</v>
      </c>
    </row>
    <row r="105" hidden="1" spans="1:77">
      <c r="A105" s="16">
        <v>45953</v>
      </c>
      <c r="B105" s="16">
        <v>45953.4380442245</v>
      </c>
      <c r="C105" t="s">
        <v>132</v>
      </c>
      <c r="D105" t="s">
        <v>142</v>
      </c>
      <c r="E105" t="s">
        <v>375</v>
      </c>
      <c r="F105" t="s">
        <v>376</v>
      </c>
      <c r="G105" t="s">
        <v>145</v>
      </c>
      <c r="H105" t="s">
        <v>377</v>
      </c>
      <c r="I105" t="s">
        <v>147</v>
      </c>
      <c r="J105" s="17">
        <v>2810.6</v>
      </c>
      <c r="K105" s="17">
        <v>5448</v>
      </c>
      <c r="L105" s="17">
        <v>5448</v>
      </c>
      <c r="M105" s="17">
        <v>91803738.13</v>
      </c>
      <c r="N105" s="17">
        <v>124014523.71</v>
      </c>
      <c r="O105" s="17">
        <v>73.55</v>
      </c>
      <c r="P105" s="17">
        <v>109.31</v>
      </c>
      <c r="Q105" t="s">
        <v>84</v>
      </c>
      <c r="R105" t="s">
        <v>84</v>
      </c>
      <c r="S105" t="s">
        <v>85</v>
      </c>
      <c r="T105" t="s">
        <v>84</v>
      </c>
      <c r="U105" t="s">
        <v>84</v>
      </c>
      <c r="V105" s="16">
        <v>45619</v>
      </c>
      <c r="W105" s="18">
        <v>45606</v>
      </c>
      <c r="X105" s="18">
        <v>45720.2916666667</v>
      </c>
      <c r="Y105" s="17">
        <v>2363.4</v>
      </c>
      <c r="Z105" t="s">
        <v>148</v>
      </c>
      <c r="AA105" s="17">
        <v>5200</v>
      </c>
      <c r="AB105" s="17">
        <v>5199.91</v>
      </c>
      <c r="AC105" t="s">
        <v>84</v>
      </c>
      <c r="AD105" s="17">
        <v>112347131.85</v>
      </c>
      <c r="AE105" t="s">
        <v>84</v>
      </c>
      <c r="AF105" s="17">
        <v>114.29</v>
      </c>
      <c r="AG105" s="17">
        <v>112347131.85</v>
      </c>
      <c r="AH105" s="17">
        <v>114.29</v>
      </c>
      <c r="AI105" s="17">
        <v>32.9</v>
      </c>
      <c r="AJ105" s="17">
        <v>31.58</v>
      </c>
      <c r="AK105" t="s">
        <v>378</v>
      </c>
      <c r="AM105" s="17">
        <v>5.4</v>
      </c>
      <c r="AN105" s="17"/>
      <c r="AO105" s="17">
        <v>5090</v>
      </c>
      <c r="AP105" s="17"/>
      <c r="AQ105" s="17">
        <v>7920</v>
      </c>
      <c r="AR105" s="17"/>
      <c r="AS105" s="17">
        <v>5.63</v>
      </c>
      <c r="AT105" s="17"/>
      <c r="AU105" s="17">
        <v>5287</v>
      </c>
      <c r="AV105" s="17"/>
      <c r="AW105" s="17">
        <v>9886</v>
      </c>
      <c r="AX105" s="17"/>
      <c r="AY105" t="s">
        <v>92</v>
      </c>
      <c r="AZ105" t="s">
        <v>92</v>
      </c>
      <c r="BA105" t="s">
        <v>92</v>
      </c>
      <c r="BB105" t="s">
        <v>92</v>
      </c>
      <c r="BC105" t="s">
        <v>92</v>
      </c>
      <c r="BD105" t="s">
        <v>92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92</v>
      </c>
      <c r="BM105" t="s">
        <v>92</v>
      </c>
      <c r="BN105" t="s">
        <v>92</v>
      </c>
      <c r="BO105" t="s">
        <v>92</v>
      </c>
      <c r="BP105" t="s">
        <v>92</v>
      </c>
      <c r="BQ105" t="s">
        <v>92</v>
      </c>
      <c r="BR105" t="s">
        <v>92</v>
      </c>
      <c r="BS105" t="s">
        <v>92</v>
      </c>
      <c r="BT105" t="s">
        <v>92</v>
      </c>
      <c r="BU105" t="s">
        <v>92</v>
      </c>
      <c r="BV105" t="s">
        <v>92</v>
      </c>
      <c r="BW105" t="s">
        <v>92</v>
      </c>
      <c r="BX105" t="s">
        <v>92</v>
      </c>
      <c r="BY105" t="str">
        <f>IF(COUNTIF('Data Upload-prod'!E:E,F105)=0,"Missing","Exist")</f>
        <v>Missing</v>
      </c>
    </row>
    <row r="106" hidden="1" spans="1:77">
      <c r="A106" s="16">
        <v>45953</v>
      </c>
      <c r="B106" s="16">
        <v>45953.4083756944</v>
      </c>
      <c r="C106" t="s">
        <v>132</v>
      </c>
      <c r="D106" t="s">
        <v>142</v>
      </c>
      <c r="E106" t="s">
        <v>84</v>
      </c>
      <c r="F106" t="s">
        <v>379</v>
      </c>
      <c r="G106" t="s">
        <v>145</v>
      </c>
      <c r="H106" t="s">
        <v>202</v>
      </c>
      <c r="I106" t="s">
        <v>124</v>
      </c>
      <c r="J106" s="17">
        <v>55.6</v>
      </c>
      <c r="K106" s="17">
        <v>3058</v>
      </c>
      <c r="L106" s="17">
        <v>2405</v>
      </c>
      <c r="M106" t="s">
        <v>84</v>
      </c>
      <c r="N106" s="17">
        <v>39083800.55</v>
      </c>
      <c r="O106" t="s">
        <v>84</v>
      </c>
      <c r="P106" s="17">
        <v>79.9</v>
      </c>
      <c r="Q106" t="s">
        <v>84</v>
      </c>
      <c r="R106" t="s">
        <v>84</v>
      </c>
      <c r="S106" t="s">
        <v>85</v>
      </c>
      <c r="T106" t="s">
        <v>84</v>
      </c>
      <c r="U106" t="s">
        <v>84</v>
      </c>
      <c r="V106" s="16">
        <v>45685</v>
      </c>
      <c r="W106" s="18">
        <v>45680.3645833333</v>
      </c>
      <c r="X106" s="18">
        <v>45742</v>
      </c>
      <c r="Y106" s="17">
        <v>3023.02</v>
      </c>
      <c r="Z106" t="s">
        <v>87</v>
      </c>
      <c r="AA106" s="17">
        <v>3110</v>
      </c>
      <c r="AB106" s="17">
        <v>2405.66</v>
      </c>
      <c r="AC106" t="s">
        <v>84</v>
      </c>
      <c r="AD106" s="17">
        <v>27097532.67</v>
      </c>
      <c r="AE106" t="s">
        <v>84</v>
      </c>
      <c r="AF106" s="17">
        <v>61.14</v>
      </c>
      <c r="AG106" s="17">
        <v>27097532.67</v>
      </c>
      <c r="AH106" s="17">
        <v>61.14</v>
      </c>
      <c r="AI106" s="17">
        <v>7.77</v>
      </c>
      <c r="AJ106" s="17">
        <v>2.1</v>
      </c>
      <c r="AK106" t="s">
        <v>295</v>
      </c>
      <c r="AM106" s="17">
        <v>2.7</v>
      </c>
      <c r="AN106" s="17"/>
      <c r="AO106" s="17">
        <v>1490</v>
      </c>
      <c r="AP106" s="17"/>
      <c r="AQ106" s="17">
        <v>2760</v>
      </c>
      <c r="AR106" s="17"/>
      <c r="AS106" s="17">
        <v>2.08</v>
      </c>
      <c r="AT106" s="17"/>
      <c r="AU106" s="17">
        <v>1206</v>
      </c>
      <c r="AV106" s="17"/>
      <c r="AW106" s="17">
        <v>2150</v>
      </c>
      <c r="AX106" s="17"/>
      <c r="AY106" t="s">
        <v>92</v>
      </c>
      <c r="AZ106" t="s">
        <v>92</v>
      </c>
      <c r="BA106" t="s">
        <v>92</v>
      </c>
      <c r="BB106" t="s">
        <v>92</v>
      </c>
      <c r="BC106" t="s">
        <v>92</v>
      </c>
      <c r="BD106" t="s">
        <v>92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92</v>
      </c>
      <c r="BM106" t="s">
        <v>92</v>
      </c>
      <c r="BN106" t="s">
        <v>92</v>
      </c>
      <c r="BO106" t="s">
        <v>92</v>
      </c>
      <c r="BP106" t="s">
        <v>92</v>
      </c>
      <c r="BQ106" t="s">
        <v>92</v>
      </c>
      <c r="BR106" t="s">
        <v>92</v>
      </c>
      <c r="BS106" t="s">
        <v>92</v>
      </c>
      <c r="BT106" t="s">
        <v>92</v>
      </c>
      <c r="BU106" t="s">
        <v>92</v>
      </c>
      <c r="BV106" t="s">
        <v>92</v>
      </c>
      <c r="BW106" t="s">
        <v>92</v>
      </c>
      <c r="BX106" t="s">
        <v>92</v>
      </c>
      <c r="BY106" t="str">
        <f>IF(COUNTIF('Data Upload-prod'!E:E,F106)=0,"Missing","Exist")</f>
        <v>Missing</v>
      </c>
    </row>
    <row r="107" hidden="1" spans="1:77">
      <c r="A107" s="16">
        <v>45946</v>
      </c>
      <c r="B107" s="16">
        <v>45946.3292262616</v>
      </c>
      <c r="C107" t="s">
        <v>178</v>
      </c>
      <c r="D107" t="s">
        <v>120</v>
      </c>
      <c r="E107" t="s">
        <v>182</v>
      </c>
      <c r="F107" t="s">
        <v>380</v>
      </c>
      <c r="G107" t="s">
        <v>81</v>
      </c>
      <c r="H107" t="s">
        <v>289</v>
      </c>
      <c r="I107" t="s">
        <v>124</v>
      </c>
      <c r="J107" s="17">
        <v>50.6</v>
      </c>
      <c r="K107" s="17">
        <v>4195</v>
      </c>
      <c r="L107" s="17">
        <v>2103</v>
      </c>
      <c r="M107" t="s">
        <v>84</v>
      </c>
      <c r="N107" t="s">
        <v>84</v>
      </c>
      <c r="O107" t="s">
        <v>84</v>
      </c>
      <c r="P107" t="s">
        <v>84</v>
      </c>
      <c r="Q107" s="17">
        <v>19968000</v>
      </c>
      <c r="R107" s="17">
        <v>40.53</v>
      </c>
      <c r="S107" t="s">
        <v>381</v>
      </c>
      <c r="T107" t="s">
        <v>84</v>
      </c>
      <c r="U107" t="s">
        <v>86</v>
      </c>
      <c r="V107" s="16">
        <v>25569</v>
      </c>
      <c r="W107" s="18">
        <v>45369.25</v>
      </c>
      <c r="X107" s="18">
        <v>45407</v>
      </c>
      <c r="Y107" t="s">
        <v>92</v>
      </c>
      <c r="Z107" t="s">
        <v>87</v>
      </c>
      <c r="AA107" t="s">
        <v>92</v>
      </c>
      <c r="AB107" t="s">
        <v>92</v>
      </c>
      <c r="AC107" t="s">
        <v>84</v>
      </c>
      <c r="AD107" t="s">
        <v>84</v>
      </c>
      <c r="AE107" t="s">
        <v>84</v>
      </c>
      <c r="AF107" t="s">
        <v>84</v>
      </c>
      <c r="AG107" s="17">
        <v>11733630</v>
      </c>
      <c r="AH107" s="17">
        <v>18.8</v>
      </c>
      <c r="AI107" s="17">
        <v>7.3</v>
      </c>
      <c r="AJ107" s="17">
        <v>7.3</v>
      </c>
      <c r="AK107" t="s">
        <v>89</v>
      </c>
      <c r="AM107" s="17">
        <v>2.4</v>
      </c>
      <c r="AN107" s="17"/>
      <c r="AO107" s="17">
        <v>795</v>
      </c>
      <c r="AP107" s="17"/>
      <c r="AQ107" s="17">
        <v>1400</v>
      </c>
      <c r="AR107" s="17"/>
      <c r="AS107" s="13" t="s">
        <v>150</v>
      </c>
      <c r="AT107" s="13"/>
      <c r="AU107" s="13" t="s">
        <v>150</v>
      </c>
      <c r="AW107" s="13" t="s">
        <v>150</v>
      </c>
      <c r="AY107" s="17">
        <v>8.75</v>
      </c>
      <c r="AZ107" s="17">
        <v>5693000</v>
      </c>
      <c r="BA107" t="s">
        <v>265</v>
      </c>
      <c r="BB107" s="17">
        <v>0.7</v>
      </c>
      <c r="BC107" s="17">
        <v>373</v>
      </c>
      <c r="BD107" t="s">
        <v>92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92</v>
      </c>
      <c r="BL107" t="s">
        <v>92</v>
      </c>
      <c r="BM107" t="s">
        <v>92</v>
      </c>
      <c r="BN107" t="s">
        <v>92</v>
      </c>
      <c r="BO107" t="s">
        <v>92</v>
      </c>
      <c r="BP107" t="s">
        <v>92</v>
      </c>
      <c r="BQ107" t="s">
        <v>92</v>
      </c>
      <c r="BR107" t="s">
        <v>92</v>
      </c>
      <c r="BS107" t="s">
        <v>92</v>
      </c>
      <c r="BT107" t="s">
        <v>92</v>
      </c>
      <c r="BU107" t="s">
        <v>92</v>
      </c>
      <c r="BV107" t="s">
        <v>92</v>
      </c>
      <c r="BW107" t="s">
        <v>92</v>
      </c>
      <c r="BX107" t="s">
        <v>92</v>
      </c>
      <c r="BY107" t="str">
        <f>IF(COUNTIF('Data Upload-prod'!E:E,F107)=0,"Missing","Exist")</f>
        <v>Missing</v>
      </c>
    </row>
    <row r="108" hidden="1" spans="1:77">
      <c r="A108" s="16">
        <v>45937</v>
      </c>
      <c r="B108" s="16">
        <v>45937.7628623843</v>
      </c>
      <c r="C108" t="s">
        <v>132</v>
      </c>
      <c r="D108" t="s">
        <v>120</v>
      </c>
      <c r="E108" t="s">
        <v>382</v>
      </c>
      <c r="F108" t="s">
        <v>383</v>
      </c>
      <c r="G108" t="s">
        <v>81</v>
      </c>
      <c r="H108" t="s">
        <v>247</v>
      </c>
      <c r="I108" t="s">
        <v>83</v>
      </c>
      <c r="J108" s="17">
        <v>108</v>
      </c>
      <c r="K108" s="17">
        <v>3134</v>
      </c>
      <c r="L108" s="17">
        <v>2627</v>
      </c>
      <c r="M108" t="s">
        <v>84</v>
      </c>
      <c r="N108" t="s">
        <v>84</v>
      </c>
      <c r="O108" t="s">
        <v>84</v>
      </c>
      <c r="P108" t="s">
        <v>84</v>
      </c>
      <c r="Q108" s="17">
        <v>67140690.64</v>
      </c>
      <c r="R108" s="17">
        <v>94.54</v>
      </c>
      <c r="S108" t="s">
        <v>92</v>
      </c>
      <c r="T108" t="s">
        <v>84</v>
      </c>
      <c r="U108" t="s">
        <v>86</v>
      </c>
      <c r="V108" s="16">
        <v>45413</v>
      </c>
      <c r="W108" s="18">
        <v>45412.4166666667</v>
      </c>
      <c r="X108" s="18">
        <v>45507.125</v>
      </c>
      <c r="Y108" s="17">
        <v>2837.2</v>
      </c>
      <c r="Z108" t="s">
        <v>87</v>
      </c>
      <c r="AA108" s="17">
        <v>3222</v>
      </c>
      <c r="AB108" s="17">
        <v>2759.07</v>
      </c>
      <c r="AC108" t="s">
        <v>84</v>
      </c>
      <c r="AD108" t="s">
        <v>84</v>
      </c>
      <c r="AE108" t="s">
        <v>84</v>
      </c>
      <c r="AF108" t="s">
        <v>84</v>
      </c>
      <c r="AG108" s="17">
        <v>55562607.49</v>
      </c>
      <c r="AH108" s="17">
        <v>84.59</v>
      </c>
      <c r="AI108" t="s">
        <v>92</v>
      </c>
      <c r="AJ108" t="s">
        <v>92</v>
      </c>
      <c r="AK108" t="s">
        <v>276</v>
      </c>
      <c r="AM108" s="17">
        <v>3.7</v>
      </c>
      <c r="AN108" s="17"/>
      <c r="AO108" s="17">
        <v>1585</v>
      </c>
      <c r="AP108" s="17"/>
      <c r="AQ108" s="17">
        <v>3400</v>
      </c>
      <c r="AR108" s="17"/>
      <c r="AS108" s="17">
        <v>5.1</v>
      </c>
      <c r="AT108" s="17"/>
      <c r="AU108" s="17">
        <v>3180</v>
      </c>
      <c r="AV108" s="17"/>
      <c r="AW108" s="17">
        <v>4713</v>
      </c>
      <c r="AX108" s="17"/>
      <c r="AY108" t="s">
        <v>92</v>
      </c>
      <c r="AZ108" t="s">
        <v>92</v>
      </c>
      <c r="BA108" t="s">
        <v>272</v>
      </c>
      <c r="BB108" s="17">
        <v>1</v>
      </c>
      <c r="BC108" s="17">
        <v>390</v>
      </c>
      <c r="BD108" t="s">
        <v>92</v>
      </c>
      <c r="BE108" t="s">
        <v>92</v>
      </c>
      <c r="BF108" s="17">
        <v>1.42</v>
      </c>
      <c r="BG108" s="17">
        <v>1462</v>
      </c>
      <c r="BH108" t="s">
        <v>92</v>
      </c>
      <c r="BI108" t="s">
        <v>92</v>
      </c>
      <c r="BJ108" t="s">
        <v>92</v>
      </c>
      <c r="BK108" t="s">
        <v>92</v>
      </c>
      <c r="BL108" t="s">
        <v>92</v>
      </c>
      <c r="BM108" t="s">
        <v>92</v>
      </c>
      <c r="BN108" t="s">
        <v>92</v>
      </c>
      <c r="BO108" t="s">
        <v>92</v>
      </c>
      <c r="BP108" t="s">
        <v>92</v>
      </c>
      <c r="BQ108" t="s">
        <v>92</v>
      </c>
      <c r="BR108" t="s">
        <v>92</v>
      </c>
      <c r="BS108" t="s">
        <v>92</v>
      </c>
      <c r="BT108" t="s">
        <v>92</v>
      </c>
      <c r="BU108" t="s">
        <v>92</v>
      </c>
      <c r="BV108" t="s">
        <v>92</v>
      </c>
      <c r="BW108" t="s">
        <v>92</v>
      </c>
      <c r="BX108" t="s">
        <v>92</v>
      </c>
      <c r="BY108" t="str">
        <f>IF(COUNTIF('Data Upload-prod'!E:E,F108)=0,"Missing","Exist")</f>
        <v>Missing</v>
      </c>
    </row>
    <row r="109" hidden="1" spans="1:77">
      <c r="A109" s="16">
        <v>45933</v>
      </c>
      <c r="B109" s="16">
        <v>46002.4778562037</v>
      </c>
      <c r="C109" t="s">
        <v>132</v>
      </c>
      <c r="D109" t="s">
        <v>120</v>
      </c>
      <c r="E109" t="s">
        <v>384</v>
      </c>
      <c r="F109" t="s">
        <v>385</v>
      </c>
      <c r="G109" t="s">
        <v>145</v>
      </c>
      <c r="H109" t="s">
        <v>294</v>
      </c>
      <c r="I109" t="s">
        <v>124</v>
      </c>
      <c r="J109" s="17">
        <v>49.5</v>
      </c>
      <c r="K109" s="17">
        <v>3019</v>
      </c>
      <c r="L109" s="17">
        <v>2295</v>
      </c>
      <c r="M109" t="s">
        <v>84</v>
      </c>
      <c r="N109" s="17">
        <v>20671452.88</v>
      </c>
      <c r="O109" t="s">
        <v>84</v>
      </c>
      <c r="P109" s="17">
        <v>51</v>
      </c>
      <c r="Q109" t="s">
        <v>84</v>
      </c>
      <c r="R109" t="s">
        <v>84</v>
      </c>
      <c r="S109" t="s">
        <v>85</v>
      </c>
      <c r="T109" t="s">
        <v>84</v>
      </c>
      <c r="U109" t="s">
        <v>86</v>
      </c>
      <c r="V109" s="16">
        <v>45916</v>
      </c>
      <c r="W109" s="18">
        <v>45903.625</v>
      </c>
      <c r="X109" s="18">
        <v>45946.75</v>
      </c>
      <c r="Y109" s="17">
        <v>4464</v>
      </c>
      <c r="Z109" t="s">
        <v>87</v>
      </c>
      <c r="AA109" s="17">
        <v>3019</v>
      </c>
      <c r="AB109" s="17">
        <v>2293.09</v>
      </c>
      <c r="AC109" t="s">
        <v>84</v>
      </c>
      <c r="AD109" s="17">
        <v>17217536.72</v>
      </c>
      <c r="AE109" t="s">
        <v>84</v>
      </c>
      <c r="AF109" s="17">
        <v>43.12</v>
      </c>
      <c r="AG109" s="17">
        <v>17217536.72</v>
      </c>
      <c r="AH109" s="17">
        <v>43.12</v>
      </c>
      <c r="AI109" s="17">
        <v>4.81</v>
      </c>
      <c r="AJ109" s="17">
        <v>4.18</v>
      </c>
      <c r="AK109" t="s">
        <v>300</v>
      </c>
      <c r="AM109" s="17">
        <v>2.4</v>
      </c>
      <c r="AN109" s="17"/>
      <c r="AO109" s="17">
        <v>1375</v>
      </c>
      <c r="AP109" s="17"/>
      <c r="AQ109" s="17">
        <v>3025</v>
      </c>
      <c r="AR109" s="17"/>
      <c r="AS109" s="17">
        <v>0.81</v>
      </c>
      <c r="AT109" s="17"/>
      <c r="AU109" s="17">
        <v>466</v>
      </c>
      <c r="AV109" s="17"/>
      <c r="AW109" s="17">
        <v>808</v>
      </c>
      <c r="AX109" s="17"/>
      <c r="AY109" t="s">
        <v>92</v>
      </c>
      <c r="AZ109" t="s">
        <v>92</v>
      </c>
      <c r="BA109" t="s">
        <v>92</v>
      </c>
      <c r="BB109" t="s">
        <v>92</v>
      </c>
      <c r="BC109" t="s">
        <v>92</v>
      </c>
      <c r="BD109" t="s">
        <v>92</v>
      </c>
      <c r="BE109" t="s">
        <v>92</v>
      </c>
      <c r="BF109" t="s">
        <v>92</v>
      </c>
      <c r="BG109" t="s">
        <v>92</v>
      </c>
      <c r="BH109" t="s">
        <v>92</v>
      </c>
      <c r="BI109" t="s">
        <v>92</v>
      </c>
      <c r="BJ109" t="s">
        <v>92</v>
      </c>
      <c r="BK109" t="s">
        <v>92</v>
      </c>
      <c r="BL109" t="s">
        <v>92</v>
      </c>
      <c r="BM109" t="s">
        <v>92</v>
      </c>
      <c r="BN109" t="s">
        <v>92</v>
      </c>
      <c r="BO109" t="s">
        <v>92</v>
      </c>
      <c r="BP109" t="s">
        <v>92</v>
      </c>
      <c r="BQ109" t="s">
        <v>92</v>
      </c>
      <c r="BR109" t="s">
        <v>92</v>
      </c>
      <c r="BS109" t="s">
        <v>92</v>
      </c>
      <c r="BT109" t="s">
        <v>92</v>
      </c>
      <c r="BU109" t="s">
        <v>92</v>
      </c>
      <c r="BV109" t="s">
        <v>92</v>
      </c>
      <c r="BW109" t="s">
        <v>92</v>
      </c>
      <c r="BX109" t="s">
        <v>92</v>
      </c>
      <c r="BY109" t="str">
        <f>IF(COUNTIF('Data Upload-prod'!E:E,F109)=0,"Missing","Exist")</f>
        <v>Missing</v>
      </c>
    </row>
    <row r="110" hidden="1" spans="1:77">
      <c r="A110" s="16">
        <v>45932</v>
      </c>
      <c r="B110" s="16">
        <v>46015.9320904861</v>
      </c>
      <c r="C110" t="s">
        <v>346</v>
      </c>
      <c r="D110" t="s">
        <v>78</v>
      </c>
      <c r="E110" t="s">
        <v>386</v>
      </c>
      <c r="F110" t="s">
        <v>387</v>
      </c>
      <c r="G110" t="s">
        <v>81</v>
      </c>
      <c r="H110" t="s">
        <v>202</v>
      </c>
      <c r="I110" t="s">
        <v>124</v>
      </c>
      <c r="J110" s="17">
        <v>53</v>
      </c>
      <c r="K110" s="17">
        <v>4641</v>
      </c>
      <c r="L110" s="17">
        <v>2011</v>
      </c>
      <c r="M110" t="s">
        <v>84</v>
      </c>
      <c r="N110" t="s">
        <v>84</v>
      </c>
      <c r="O110" t="s">
        <v>84</v>
      </c>
      <c r="P110" t="s">
        <v>84</v>
      </c>
      <c r="Q110" s="17">
        <v>16777835.36</v>
      </c>
      <c r="R110" s="17">
        <v>37.05</v>
      </c>
      <c r="S110" t="s">
        <v>85</v>
      </c>
      <c r="T110" t="s">
        <v>84</v>
      </c>
      <c r="U110" t="s">
        <v>86</v>
      </c>
      <c r="V110" s="16">
        <v>45943</v>
      </c>
      <c r="W110" s="18">
        <v>45867.6770833333</v>
      </c>
      <c r="X110" s="18">
        <v>45957</v>
      </c>
      <c r="Y110" s="17">
        <v>1633</v>
      </c>
      <c r="Z110" t="s">
        <v>87</v>
      </c>
      <c r="AA110" s="17">
        <v>2236</v>
      </c>
      <c r="AB110" s="17">
        <v>2136</v>
      </c>
      <c r="AC110" t="s">
        <v>84</v>
      </c>
      <c r="AD110" t="s">
        <v>84</v>
      </c>
      <c r="AE110" t="s">
        <v>84</v>
      </c>
      <c r="AF110" t="s">
        <v>84</v>
      </c>
      <c r="AG110" s="17">
        <v>14058573.4</v>
      </c>
      <c r="AH110" s="17">
        <v>33.58</v>
      </c>
      <c r="AI110" s="17">
        <v>12.4</v>
      </c>
      <c r="AJ110" s="17">
        <v>12.4</v>
      </c>
      <c r="AK110" t="s">
        <v>208</v>
      </c>
      <c r="AM110" s="17">
        <v>2.1</v>
      </c>
      <c r="AN110" s="17"/>
      <c r="AO110" s="17">
        <v>700</v>
      </c>
      <c r="AP110" s="17"/>
      <c r="AQ110" s="17">
        <v>1220</v>
      </c>
      <c r="AR110" s="17"/>
      <c r="AS110" s="17">
        <v>1.29</v>
      </c>
      <c r="AT110" s="17"/>
      <c r="AU110" s="17">
        <v>599</v>
      </c>
      <c r="AV110" s="17"/>
      <c r="AW110" s="17">
        <v>2624</v>
      </c>
      <c r="AX110" s="17"/>
      <c r="AY110" s="17">
        <v>5.02</v>
      </c>
      <c r="AZ110" s="17">
        <v>3389499</v>
      </c>
      <c r="BA110" t="s">
        <v>272</v>
      </c>
      <c r="BB110" s="17">
        <v>1</v>
      </c>
      <c r="BC110" s="17">
        <v>390</v>
      </c>
      <c r="BD110" s="17">
        <v>4.63</v>
      </c>
      <c r="BE110" s="17">
        <v>1977929.66</v>
      </c>
      <c r="BF110" s="17">
        <v>0.5</v>
      </c>
      <c r="BG110" s="17">
        <v>369</v>
      </c>
      <c r="BH110" t="s">
        <v>93</v>
      </c>
      <c r="BI110" t="s">
        <v>94</v>
      </c>
      <c r="BJ110" t="s">
        <v>173</v>
      </c>
      <c r="BK110" t="s">
        <v>85</v>
      </c>
      <c r="BL110" t="s">
        <v>85</v>
      </c>
      <c r="BM110" t="s">
        <v>96</v>
      </c>
      <c r="BN110" t="s">
        <v>129</v>
      </c>
      <c r="BO110" t="s">
        <v>98</v>
      </c>
      <c r="BP110" t="s">
        <v>99</v>
      </c>
      <c r="BQ110" s="17">
        <v>113</v>
      </c>
      <c r="BR110" t="s">
        <v>138</v>
      </c>
      <c r="BS110" t="s">
        <v>156</v>
      </c>
      <c r="BT110" t="s">
        <v>99</v>
      </c>
      <c r="BU110" s="17">
        <v>6.8</v>
      </c>
      <c r="BV110" t="s">
        <v>110</v>
      </c>
      <c r="BW110" t="s">
        <v>85</v>
      </c>
      <c r="BX110" t="s">
        <v>85</v>
      </c>
      <c r="BY110" t="str">
        <f>IF(COUNTIF('Data Upload-prod'!E:E,F110)=0,"Missing","Exist")</f>
        <v>Missing</v>
      </c>
    </row>
    <row r="111" hidden="1" spans="1:77">
      <c r="A111" s="16">
        <v>45931</v>
      </c>
      <c r="B111" s="16">
        <v>46012.9670052315</v>
      </c>
      <c r="C111" t="s">
        <v>132</v>
      </c>
      <c r="D111" t="s">
        <v>78</v>
      </c>
      <c r="E111" t="s">
        <v>296</v>
      </c>
      <c r="F111" t="s">
        <v>388</v>
      </c>
      <c r="G111" t="s">
        <v>81</v>
      </c>
      <c r="H111" t="s">
        <v>82</v>
      </c>
      <c r="I111" t="s">
        <v>83</v>
      </c>
      <c r="J111" s="17">
        <v>63.7</v>
      </c>
      <c r="K111" s="17">
        <v>4100</v>
      </c>
      <c r="L111" s="17">
        <v>1892</v>
      </c>
      <c r="M111" t="s">
        <v>84</v>
      </c>
      <c r="N111" t="s">
        <v>84</v>
      </c>
      <c r="O111" t="s">
        <v>84</v>
      </c>
      <c r="P111" t="s">
        <v>84</v>
      </c>
      <c r="Q111" s="17">
        <v>7000000</v>
      </c>
      <c r="R111" s="17">
        <v>20.5</v>
      </c>
      <c r="S111" t="s">
        <v>85</v>
      </c>
      <c r="T111" t="s">
        <v>84</v>
      </c>
      <c r="U111" t="s">
        <v>86</v>
      </c>
      <c r="V111" s="16">
        <v>45933</v>
      </c>
      <c r="W111" s="18">
        <v>45822.3333333333</v>
      </c>
      <c r="X111" s="18">
        <v>45952.375</v>
      </c>
      <c r="Y111" s="17">
        <v>2171</v>
      </c>
      <c r="Z111" t="s">
        <v>87</v>
      </c>
      <c r="AA111" s="17">
        <v>4115</v>
      </c>
      <c r="AB111" s="17">
        <v>1895.91</v>
      </c>
      <c r="AC111" t="s">
        <v>84</v>
      </c>
      <c r="AD111" t="s">
        <v>84</v>
      </c>
      <c r="AE111" t="s">
        <v>84</v>
      </c>
      <c r="AF111" t="s">
        <v>84</v>
      </c>
      <c r="AG111" s="17">
        <v>23322518.38</v>
      </c>
      <c r="AH111" s="17">
        <v>53.73</v>
      </c>
      <c r="AI111" s="17">
        <v>29.19</v>
      </c>
      <c r="AJ111" s="17">
        <v>28.57</v>
      </c>
      <c r="AK111" t="s">
        <v>89</v>
      </c>
      <c r="AM111" s="17">
        <v>2.4</v>
      </c>
      <c r="AN111" s="17"/>
      <c r="AO111" s="17">
        <v>795</v>
      </c>
      <c r="AP111" s="17"/>
      <c r="AQ111" s="17">
        <v>1400</v>
      </c>
      <c r="AR111" s="17"/>
      <c r="AS111" s="17">
        <v>5.45</v>
      </c>
      <c r="AT111" s="17"/>
      <c r="AU111" s="17">
        <v>2381.37</v>
      </c>
      <c r="AV111" s="17"/>
      <c r="AW111" s="17">
        <v>3359</v>
      </c>
      <c r="AX111" s="17"/>
      <c r="AY111" s="17">
        <v>7</v>
      </c>
      <c r="AZ111" s="17">
        <v>2802641.52</v>
      </c>
      <c r="BA111" t="s">
        <v>265</v>
      </c>
      <c r="BB111" s="17">
        <v>0.7</v>
      </c>
      <c r="BC111" s="17">
        <v>373</v>
      </c>
      <c r="BD111" s="17">
        <v>9.62</v>
      </c>
      <c r="BE111" s="17">
        <v>3380715.42</v>
      </c>
      <c r="BF111" s="17">
        <v>0.85</v>
      </c>
      <c r="BG111" s="17">
        <v>481.7</v>
      </c>
      <c r="BH111" t="s">
        <v>93</v>
      </c>
      <c r="BI111" t="s">
        <v>94</v>
      </c>
      <c r="BJ111" t="s">
        <v>109</v>
      </c>
      <c r="BK111" t="s">
        <v>85</v>
      </c>
      <c r="BL111" t="s">
        <v>85</v>
      </c>
      <c r="BM111" t="s">
        <v>96</v>
      </c>
      <c r="BN111" t="s">
        <v>266</v>
      </c>
      <c r="BO111" t="s">
        <v>98</v>
      </c>
      <c r="BP111" t="s">
        <v>103</v>
      </c>
      <c r="BQ111" t="s">
        <v>92</v>
      </c>
      <c r="BR111" t="s">
        <v>100</v>
      </c>
      <c r="BS111" t="s">
        <v>285</v>
      </c>
      <c r="BT111" t="s">
        <v>103</v>
      </c>
      <c r="BU111" s="17">
        <v>8.6</v>
      </c>
      <c r="BV111" t="s">
        <v>191</v>
      </c>
      <c r="BW111" t="s">
        <v>85</v>
      </c>
      <c r="BX111" t="s">
        <v>85</v>
      </c>
      <c r="BY111" t="str">
        <f>IF(COUNTIF('Data Upload-prod'!E:E,F111)=0,"Missing","Exist")</f>
        <v>Missing</v>
      </c>
    </row>
    <row r="112" hidden="1" spans="1:77">
      <c r="A112" s="16">
        <v>45929</v>
      </c>
      <c r="B112" s="16">
        <v>45929.4930379398</v>
      </c>
      <c r="C112" t="s">
        <v>132</v>
      </c>
      <c r="D112" t="s">
        <v>120</v>
      </c>
      <c r="E112" t="s">
        <v>389</v>
      </c>
      <c r="F112" t="s">
        <v>390</v>
      </c>
      <c r="G112" t="s">
        <v>145</v>
      </c>
      <c r="H112" t="s">
        <v>391</v>
      </c>
      <c r="I112" t="s">
        <v>124</v>
      </c>
      <c r="J112" s="17">
        <v>60.6</v>
      </c>
      <c r="K112" s="17">
        <v>1430</v>
      </c>
      <c r="L112" s="17">
        <v>1430</v>
      </c>
      <c r="M112" s="17">
        <v>26127715.1</v>
      </c>
      <c r="N112" s="17">
        <v>28527116.52</v>
      </c>
      <c r="O112" s="17">
        <v>46.12</v>
      </c>
      <c r="P112" s="17">
        <v>52.16</v>
      </c>
      <c r="Q112" t="s">
        <v>84</v>
      </c>
      <c r="R112" t="s">
        <v>84</v>
      </c>
      <c r="S112" t="s">
        <v>85</v>
      </c>
      <c r="T112" t="s">
        <v>84</v>
      </c>
      <c r="U112" t="s">
        <v>84</v>
      </c>
      <c r="V112" s="16">
        <v>45471</v>
      </c>
      <c r="W112" s="18">
        <v>45460</v>
      </c>
      <c r="X112" s="18">
        <v>45494.65625</v>
      </c>
      <c r="Y112" s="17">
        <v>939.2</v>
      </c>
      <c r="Z112" t="s">
        <v>87</v>
      </c>
      <c r="AA112" s="17">
        <v>1030</v>
      </c>
      <c r="AB112" s="17">
        <v>1030</v>
      </c>
      <c r="AC112" s="17">
        <v>17115824.7</v>
      </c>
      <c r="AD112" t="s">
        <v>84</v>
      </c>
      <c r="AE112" s="17">
        <v>33.91</v>
      </c>
      <c r="AF112" t="s">
        <v>84</v>
      </c>
      <c r="AG112" s="17">
        <v>17115824.7</v>
      </c>
      <c r="AH112" s="17">
        <v>33.91</v>
      </c>
      <c r="AI112" s="17">
        <v>3.51</v>
      </c>
      <c r="AJ112" s="17">
        <v>0.03</v>
      </c>
      <c r="AK112" t="s">
        <v>323</v>
      </c>
      <c r="AM112" s="17">
        <v>4.4</v>
      </c>
      <c r="AN112" s="17"/>
      <c r="AO112" s="17">
        <v>1980</v>
      </c>
      <c r="AP112" s="17"/>
      <c r="AQ112" s="17">
        <v>2760</v>
      </c>
      <c r="AR112" s="17"/>
      <c r="AS112" s="17">
        <v>4.95</v>
      </c>
      <c r="AT112" s="17"/>
      <c r="AU112" s="17">
        <v>2936</v>
      </c>
      <c r="AV112" s="17"/>
      <c r="AW112" s="17">
        <v>3719</v>
      </c>
      <c r="AX112" s="17"/>
      <c r="AY112" t="s">
        <v>92</v>
      </c>
      <c r="AZ112" t="s">
        <v>92</v>
      </c>
      <c r="BA112" t="s">
        <v>92</v>
      </c>
      <c r="BB112" t="s">
        <v>92</v>
      </c>
      <c r="BC112" t="s">
        <v>92</v>
      </c>
      <c r="BD112" t="s">
        <v>92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92</v>
      </c>
      <c r="BM112" t="s">
        <v>92</v>
      </c>
      <c r="BN112" t="s">
        <v>92</v>
      </c>
      <c r="BO112" t="s">
        <v>92</v>
      </c>
      <c r="BP112" t="s">
        <v>92</v>
      </c>
      <c r="BQ112" t="s">
        <v>92</v>
      </c>
      <c r="BR112" t="s">
        <v>92</v>
      </c>
      <c r="BS112" t="s">
        <v>92</v>
      </c>
      <c r="BT112" t="s">
        <v>92</v>
      </c>
      <c r="BU112" t="s">
        <v>92</v>
      </c>
      <c r="BV112" t="s">
        <v>92</v>
      </c>
      <c r="BW112" t="s">
        <v>92</v>
      </c>
      <c r="BX112" t="s">
        <v>92</v>
      </c>
      <c r="BY112" t="str">
        <f>IF(COUNTIF('Data Upload-prod'!E:E,F112)=0,"Missing","Exist")</f>
        <v>Missing</v>
      </c>
    </row>
    <row r="113" hidden="1" spans="1:77">
      <c r="A113" s="16">
        <v>45929</v>
      </c>
      <c r="B113" s="16">
        <v>45929.7604899074</v>
      </c>
      <c r="C113" t="s">
        <v>132</v>
      </c>
      <c r="D113" t="s">
        <v>78</v>
      </c>
      <c r="E113" t="s">
        <v>392</v>
      </c>
      <c r="F113" t="s">
        <v>393</v>
      </c>
      <c r="G113" t="s">
        <v>145</v>
      </c>
      <c r="H113" t="s">
        <v>294</v>
      </c>
      <c r="I113" t="s">
        <v>124</v>
      </c>
      <c r="J113" s="17">
        <v>63</v>
      </c>
      <c r="K113" s="17">
        <v>1992</v>
      </c>
      <c r="L113" s="17">
        <v>1911.7</v>
      </c>
      <c r="M113" s="17">
        <v>16671418.06</v>
      </c>
      <c r="N113" s="17">
        <v>18079671</v>
      </c>
      <c r="O113" s="17">
        <v>23.93</v>
      </c>
      <c r="P113" s="17">
        <v>21.93</v>
      </c>
      <c r="Q113" t="s">
        <v>84</v>
      </c>
      <c r="R113" t="s">
        <v>84</v>
      </c>
      <c r="S113" t="s">
        <v>85</v>
      </c>
      <c r="T113" t="s">
        <v>84</v>
      </c>
      <c r="U113" t="s">
        <v>84</v>
      </c>
      <c r="V113" s="16">
        <v>45546</v>
      </c>
      <c r="W113" s="18">
        <v>45546</v>
      </c>
      <c r="X113" s="18">
        <v>45564.75</v>
      </c>
      <c r="Y113" s="17">
        <v>1955.3</v>
      </c>
      <c r="Z113" t="s">
        <v>87</v>
      </c>
      <c r="AA113" s="17">
        <v>2050</v>
      </c>
      <c r="AB113" s="17">
        <v>1967.5</v>
      </c>
      <c r="AC113" s="17">
        <v>13289463.07</v>
      </c>
      <c r="AD113" t="s">
        <v>84</v>
      </c>
      <c r="AE113" s="17">
        <v>18.25</v>
      </c>
      <c r="AF113" t="s">
        <v>84</v>
      </c>
      <c r="AG113" s="17">
        <v>13289463.07</v>
      </c>
      <c r="AH113" s="17">
        <v>18.25</v>
      </c>
      <c r="AI113" s="17">
        <v>1.26</v>
      </c>
      <c r="AJ113" s="17">
        <v>1.26</v>
      </c>
      <c r="AK113" t="s">
        <v>300</v>
      </c>
      <c r="AM113" s="17">
        <v>1.9</v>
      </c>
      <c r="AN113" s="17"/>
      <c r="AO113" s="17">
        <v>720</v>
      </c>
      <c r="AP113" s="17"/>
      <c r="AQ113" s="17">
        <v>1370</v>
      </c>
      <c r="AR113" s="17"/>
      <c r="AS113" s="17">
        <v>1.44</v>
      </c>
      <c r="AT113" s="17"/>
      <c r="AU113" s="17">
        <v>1035</v>
      </c>
      <c r="AV113" s="17"/>
      <c r="AW113" s="17">
        <v>1585</v>
      </c>
      <c r="AX113" s="17"/>
      <c r="AY113" t="s">
        <v>92</v>
      </c>
      <c r="AZ113" t="s">
        <v>92</v>
      </c>
      <c r="BA113" t="s">
        <v>92</v>
      </c>
      <c r="BB113" t="s">
        <v>92</v>
      </c>
      <c r="BC113" t="s">
        <v>92</v>
      </c>
      <c r="BD113" t="s">
        <v>92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92</v>
      </c>
      <c r="BM113" t="s">
        <v>92</v>
      </c>
      <c r="BN113" t="s">
        <v>92</v>
      </c>
      <c r="BO113" t="s">
        <v>92</v>
      </c>
      <c r="BP113" t="s">
        <v>92</v>
      </c>
      <c r="BQ113" t="s">
        <v>92</v>
      </c>
      <c r="BR113" t="s">
        <v>92</v>
      </c>
      <c r="BS113" t="s">
        <v>92</v>
      </c>
      <c r="BT113" t="s">
        <v>92</v>
      </c>
      <c r="BU113" t="s">
        <v>92</v>
      </c>
      <c r="BV113" t="s">
        <v>92</v>
      </c>
      <c r="BW113" t="s">
        <v>92</v>
      </c>
      <c r="BX113" t="s">
        <v>92</v>
      </c>
      <c r="BY113" t="str">
        <f>IF(COUNTIF('Data Upload-prod'!E:E,F113)=0,"Missing","Exist")</f>
        <v>Missing</v>
      </c>
    </row>
    <row r="114" hidden="1" spans="1:77">
      <c r="A114" s="16">
        <v>45929</v>
      </c>
      <c r="B114" s="16">
        <v>45929.7856678241</v>
      </c>
      <c r="C114" t="s">
        <v>132</v>
      </c>
      <c r="D114" t="s">
        <v>120</v>
      </c>
      <c r="E114" t="s">
        <v>394</v>
      </c>
      <c r="F114" t="s">
        <v>395</v>
      </c>
      <c r="G114" t="s">
        <v>145</v>
      </c>
      <c r="H114" t="s">
        <v>172</v>
      </c>
      <c r="I114" t="s">
        <v>124</v>
      </c>
      <c r="J114" s="17">
        <v>80</v>
      </c>
      <c r="K114" s="17">
        <v>2780</v>
      </c>
      <c r="L114" s="17">
        <v>2780</v>
      </c>
      <c r="M114" s="17">
        <v>38724972.79</v>
      </c>
      <c r="N114" s="17">
        <v>46857596.69</v>
      </c>
      <c r="O114" s="17">
        <v>71.7</v>
      </c>
      <c r="P114" s="17">
        <v>81.2</v>
      </c>
      <c r="Q114" t="s">
        <v>84</v>
      </c>
      <c r="R114" t="s">
        <v>84</v>
      </c>
      <c r="S114" t="s">
        <v>106</v>
      </c>
      <c r="T114" t="s">
        <v>84</v>
      </c>
      <c r="U114" t="s">
        <v>84</v>
      </c>
      <c r="V114" s="16">
        <v>45451</v>
      </c>
      <c r="W114" s="18">
        <v>45810.7083333333</v>
      </c>
      <c r="X114" s="18">
        <v>45535.375</v>
      </c>
      <c r="Y114" s="17">
        <v>4462.5</v>
      </c>
      <c r="Z114" t="s">
        <v>87</v>
      </c>
      <c r="AA114" s="17">
        <v>2425</v>
      </c>
      <c r="AB114" s="17">
        <v>2424.17</v>
      </c>
      <c r="AC114" s="17">
        <v>41581244.76</v>
      </c>
      <c r="AD114" t="s">
        <v>84</v>
      </c>
      <c r="AE114" s="17">
        <v>89.67</v>
      </c>
      <c r="AF114" t="s">
        <v>84</v>
      </c>
      <c r="AG114" s="17">
        <v>41581244.76</v>
      </c>
      <c r="AH114" s="17">
        <v>89.67</v>
      </c>
      <c r="AI114" s="17">
        <v>17.77</v>
      </c>
      <c r="AJ114" s="17">
        <v>14.9</v>
      </c>
      <c r="AK114" t="s">
        <v>323</v>
      </c>
      <c r="AM114" s="17">
        <v>4.4</v>
      </c>
      <c r="AN114" s="17"/>
      <c r="AO114" s="17">
        <v>1980</v>
      </c>
      <c r="AP114" s="17"/>
      <c r="AQ114" s="17">
        <v>2760</v>
      </c>
      <c r="AR114" s="17"/>
      <c r="AS114" s="17">
        <v>4.01</v>
      </c>
      <c r="AT114" s="17"/>
      <c r="AU114" s="17">
        <v>2062</v>
      </c>
      <c r="AV114" s="17"/>
      <c r="AW114" s="17">
        <v>2659</v>
      </c>
      <c r="AX114" s="17"/>
      <c r="AY114" t="s">
        <v>92</v>
      </c>
      <c r="AZ114" t="s">
        <v>92</v>
      </c>
      <c r="BA114" t="s">
        <v>92</v>
      </c>
      <c r="BB114" t="s">
        <v>92</v>
      </c>
      <c r="BC114" t="s">
        <v>92</v>
      </c>
      <c r="BD114" t="s">
        <v>92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92</v>
      </c>
      <c r="BM114" t="s">
        <v>92</v>
      </c>
      <c r="BN114" t="s">
        <v>92</v>
      </c>
      <c r="BO114" t="s">
        <v>92</v>
      </c>
      <c r="BP114" t="s">
        <v>92</v>
      </c>
      <c r="BQ114" t="s">
        <v>92</v>
      </c>
      <c r="BR114" t="s">
        <v>92</v>
      </c>
      <c r="BS114" t="s">
        <v>92</v>
      </c>
      <c r="BT114" t="s">
        <v>92</v>
      </c>
      <c r="BU114" t="s">
        <v>92</v>
      </c>
      <c r="BV114" t="s">
        <v>92</v>
      </c>
      <c r="BW114" t="s">
        <v>92</v>
      </c>
      <c r="BX114" t="s">
        <v>92</v>
      </c>
      <c r="BY114" t="str">
        <f>IF(COUNTIF('Data Upload-prod'!E:E,F114)=0,"Missing","Exist")</f>
        <v>Missing</v>
      </c>
    </row>
    <row r="115" hidden="1" spans="1:77">
      <c r="A115" s="16">
        <v>45929</v>
      </c>
      <c r="B115" s="16">
        <v>45929.7496577778</v>
      </c>
      <c r="C115" t="s">
        <v>132</v>
      </c>
      <c r="D115" t="s">
        <v>78</v>
      </c>
      <c r="E115" t="s">
        <v>392</v>
      </c>
      <c r="F115" t="s">
        <v>396</v>
      </c>
      <c r="G115" t="s">
        <v>145</v>
      </c>
      <c r="H115" t="s">
        <v>397</v>
      </c>
      <c r="I115" t="s">
        <v>124</v>
      </c>
      <c r="J115" s="17">
        <v>63</v>
      </c>
      <c r="K115" s="17">
        <v>2340</v>
      </c>
      <c r="L115" s="17">
        <v>1930</v>
      </c>
      <c r="M115" s="17">
        <v>26805261.15</v>
      </c>
      <c r="N115" s="17">
        <v>31692656.14</v>
      </c>
      <c r="O115" s="17">
        <v>52.99</v>
      </c>
      <c r="P115" s="17">
        <v>65.75</v>
      </c>
      <c r="Q115" t="s">
        <v>84</v>
      </c>
      <c r="R115" t="s">
        <v>84</v>
      </c>
      <c r="S115" t="s">
        <v>92</v>
      </c>
      <c r="T115" t="s">
        <v>84</v>
      </c>
      <c r="U115" t="s">
        <v>84</v>
      </c>
      <c r="V115" s="16">
        <v>45521</v>
      </c>
      <c r="W115" s="18">
        <v>45517.5416666667</v>
      </c>
      <c r="X115" s="18">
        <v>45567.875</v>
      </c>
      <c r="Y115" s="17">
        <v>2118.8</v>
      </c>
      <c r="Z115" t="s">
        <v>87</v>
      </c>
      <c r="AA115" s="17">
        <v>2213.5</v>
      </c>
      <c r="AB115" s="17">
        <v>1862.01</v>
      </c>
      <c r="AC115" s="17">
        <v>18150404.23</v>
      </c>
      <c r="AD115" t="s">
        <v>84</v>
      </c>
      <c r="AE115" s="17">
        <v>32.08</v>
      </c>
      <c r="AF115" t="s">
        <v>84</v>
      </c>
      <c r="AG115" s="17">
        <v>18150404.23</v>
      </c>
      <c r="AH115" s="17">
        <v>32.08</v>
      </c>
      <c r="AI115" s="17">
        <v>4.64</v>
      </c>
      <c r="AJ115" s="17">
        <v>3.86</v>
      </c>
      <c r="AK115" t="s">
        <v>300</v>
      </c>
      <c r="AM115" s="17">
        <v>1.9</v>
      </c>
      <c r="AN115" s="17"/>
      <c r="AO115" s="17">
        <v>720</v>
      </c>
      <c r="AP115" s="17"/>
      <c r="AQ115" s="17">
        <v>1370</v>
      </c>
      <c r="AR115" s="17"/>
      <c r="AS115" s="17">
        <v>1.92</v>
      </c>
      <c r="AT115" s="17"/>
      <c r="AU115" s="17">
        <v>1288</v>
      </c>
      <c r="AV115" s="17"/>
      <c r="AW115" s="17">
        <v>1409</v>
      </c>
      <c r="AX115" s="17"/>
      <c r="AY115" t="s">
        <v>92</v>
      </c>
      <c r="AZ115" t="s">
        <v>92</v>
      </c>
      <c r="BA115" t="s">
        <v>92</v>
      </c>
      <c r="BB115" t="s">
        <v>92</v>
      </c>
      <c r="BC115" t="s">
        <v>92</v>
      </c>
      <c r="BD115" t="s">
        <v>92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92</v>
      </c>
      <c r="BM115" t="s">
        <v>92</v>
      </c>
      <c r="BN115" t="s">
        <v>92</v>
      </c>
      <c r="BO115" t="s">
        <v>92</v>
      </c>
      <c r="BP115" t="s">
        <v>92</v>
      </c>
      <c r="BQ115" t="s">
        <v>92</v>
      </c>
      <c r="BR115" t="s">
        <v>92</v>
      </c>
      <c r="BS115" t="s">
        <v>92</v>
      </c>
      <c r="BT115" t="s">
        <v>92</v>
      </c>
      <c r="BU115" t="s">
        <v>92</v>
      </c>
      <c r="BV115" t="s">
        <v>92</v>
      </c>
      <c r="BW115" t="s">
        <v>92</v>
      </c>
      <c r="BX115" t="s">
        <v>92</v>
      </c>
      <c r="BY115" t="str">
        <f>IF(COUNTIF('Data Upload-prod'!E:E,F115)=0,"Missing","Exist")</f>
        <v>Missing</v>
      </c>
    </row>
    <row r="116" hidden="1" spans="1:77">
      <c r="A116" s="16">
        <v>45929</v>
      </c>
      <c r="B116" s="16">
        <v>45929.5056809143</v>
      </c>
      <c r="C116" t="s">
        <v>132</v>
      </c>
      <c r="D116" t="s">
        <v>78</v>
      </c>
      <c r="E116" t="s">
        <v>398</v>
      </c>
      <c r="F116" t="s">
        <v>399</v>
      </c>
      <c r="G116" t="s">
        <v>145</v>
      </c>
      <c r="H116" t="s">
        <v>294</v>
      </c>
      <c r="I116" t="s">
        <v>124</v>
      </c>
      <c r="J116" s="17">
        <v>63.1</v>
      </c>
      <c r="K116" s="17">
        <v>1851</v>
      </c>
      <c r="L116" s="17">
        <v>1765</v>
      </c>
      <c r="M116" s="17">
        <v>22011317.7</v>
      </c>
      <c r="N116" s="17">
        <v>32624226.33</v>
      </c>
      <c r="O116" s="17">
        <v>27.04</v>
      </c>
      <c r="P116" s="17">
        <v>54.19</v>
      </c>
      <c r="Q116" t="s">
        <v>84</v>
      </c>
      <c r="R116" t="s">
        <v>84</v>
      </c>
      <c r="S116" t="s">
        <v>106</v>
      </c>
      <c r="T116" t="s">
        <v>84</v>
      </c>
      <c r="U116" t="s">
        <v>84</v>
      </c>
      <c r="V116" s="16">
        <v>45479</v>
      </c>
      <c r="W116" s="18">
        <v>45472.7083333333</v>
      </c>
      <c r="X116" s="18">
        <v>45517.5416666667</v>
      </c>
      <c r="Y116" s="17">
        <v>3947</v>
      </c>
      <c r="Z116" t="s">
        <v>87</v>
      </c>
      <c r="AA116" s="17">
        <v>2670</v>
      </c>
      <c r="AB116" s="17">
        <v>1691.42</v>
      </c>
      <c r="AC116" s="17">
        <v>24569844.31</v>
      </c>
      <c r="AD116" t="s">
        <v>84</v>
      </c>
      <c r="AE116" s="17">
        <v>44.83</v>
      </c>
      <c r="AF116" t="s">
        <v>84</v>
      </c>
      <c r="AG116" s="17">
        <v>24569844.31</v>
      </c>
      <c r="AH116" s="17">
        <v>44.83</v>
      </c>
      <c r="AI116" s="17">
        <v>0.61</v>
      </c>
      <c r="AJ116" s="17">
        <v>0.61</v>
      </c>
      <c r="AK116" t="s">
        <v>300</v>
      </c>
      <c r="AM116" s="17">
        <v>1.9</v>
      </c>
      <c r="AN116" s="17"/>
      <c r="AO116" s="17">
        <v>720</v>
      </c>
      <c r="AP116" s="17"/>
      <c r="AQ116" s="17">
        <v>1370</v>
      </c>
      <c r="AR116" s="17"/>
      <c r="AS116" s="17">
        <v>1.29</v>
      </c>
      <c r="AT116" s="17"/>
      <c r="AU116" s="17">
        <v>635</v>
      </c>
      <c r="AV116" s="17"/>
      <c r="AW116" s="17">
        <v>1408</v>
      </c>
      <c r="AX116" s="17"/>
      <c r="AY116" t="s">
        <v>92</v>
      </c>
      <c r="AZ116" t="s">
        <v>92</v>
      </c>
      <c r="BA116" t="s">
        <v>92</v>
      </c>
      <c r="BB116" t="s">
        <v>92</v>
      </c>
      <c r="BC116" t="s">
        <v>92</v>
      </c>
      <c r="BD116" t="s">
        <v>92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92</v>
      </c>
      <c r="BM116" t="s">
        <v>92</v>
      </c>
      <c r="BN116" t="s">
        <v>92</v>
      </c>
      <c r="BO116" t="s">
        <v>92</v>
      </c>
      <c r="BP116" t="s">
        <v>92</v>
      </c>
      <c r="BQ116" t="s">
        <v>92</v>
      </c>
      <c r="BR116" t="s">
        <v>92</v>
      </c>
      <c r="BS116" t="s">
        <v>92</v>
      </c>
      <c r="BT116" t="s">
        <v>92</v>
      </c>
      <c r="BU116" t="s">
        <v>92</v>
      </c>
      <c r="BV116" t="s">
        <v>92</v>
      </c>
      <c r="BW116" t="s">
        <v>92</v>
      </c>
      <c r="BX116" t="s">
        <v>92</v>
      </c>
      <c r="BY116" t="str">
        <f>IF(COUNTIF('Data Upload-prod'!E:E,F116)=0,"Missing","Exist")</f>
        <v>Missing</v>
      </c>
    </row>
    <row r="117" hidden="1" spans="1:77">
      <c r="A117" s="16">
        <v>45925</v>
      </c>
      <c r="B117" s="16">
        <v>45925.7951920023</v>
      </c>
      <c r="C117" t="s">
        <v>132</v>
      </c>
      <c r="D117" t="s">
        <v>120</v>
      </c>
      <c r="E117" t="s">
        <v>400</v>
      </c>
      <c r="F117" t="s">
        <v>401</v>
      </c>
      <c r="G117" t="s">
        <v>145</v>
      </c>
      <c r="H117" t="s">
        <v>363</v>
      </c>
      <c r="I117" t="s">
        <v>124</v>
      </c>
      <c r="J117" s="17">
        <v>62</v>
      </c>
      <c r="K117" s="17">
        <v>1230</v>
      </c>
      <c r="L117" s="17">
        <v>1230</v>
      </c>
      <c r="M117" s="17">
        <v>24796362.04</v>
      </c>
      <c r="N117" s="17">
        <v>39341642.04</v>
      </c>
      <c r="O117" s="17">
        <v>51.32</v>
      </c>
      <c r="P117" s="17">
        <v>84.84</v>
      </c>
      <c r="Q117" t="s">
        <v>84</v>
      </c>
      <c r="R117" t="s">
        <v>84</v>
      </c>
      <c r="S117" t="s">
        <v>85</v>
      </c>
      <c r="T117" t="s">
        <v>84</v>
      </c>
      <c r="U117" t="s">
        <v>84</v>
      </c>
      <c r="V117" s="16">
        <v>45436</v>
      </c>
      <c r="W117" s="18">
        <v>45570.6666666667</v>
      </c>
      <c r="X117" s="18">
        <v>45460.75</v>
      </c>
      <c r="Y117" s="17">
        <v>1057.48</v>
      </c>
      <c r="Z117" t="s">
        <v>87</v>
      </c>
      <c r="AA117" s="17">
        <v>1230.42</v>
      </c>
      <c r="AB117" s="17">
        <v>1230.35</v>
      </c>
      <c r="AC117" s="17">
        <v>17780943.53</v>
      </c>
      <c r="AD117" t="s">
        <v>84</v>
      </c>
      <c r="AE117" s="17">
        <v>38.08</v>
      </c>
      <c r="AF117" t="s">
        <v>84</v>
      </c>
      <c r="AG117" s="17">
        <v>17780943.53</v>
      </c>
      <c r="AH117" s="17">
        <v>38.08</v>
      </c>
      <c r="AI117" s="17">
        <v>0.68</v>
      </c>
      <c r="AJ117" s="17">
        <v>0.68</v>
      </c>
      <c r="AK117" t="s">
        <v>323</v>
      </c>
      <c r="AM117" s="17">
        <v>4.4</v>
      </c>
      <c r="AN117" s="17"/>
      <c r="AO117" s="17">
        <v>1980</v>
      </c>
      <c r="AP117" s="17"/>
      <c r="AQ117" s="17">
        <v>2760</v>
      </c>
      <c r="AR117" s="17"/>
      <c r="AS117" s="17">
        <v>3.02</v>
      </c>
      <c r="AT117" s="17"/>
      <c r="AU117" s="17">
        <v>2012</v>
      </c>
      <c r="AV117" s="17"/>
      <c r="AW117" s="17">
        <v>3373</v>
      </c>
      <c r="AX117" s="17"/>
      <c r="AY117" t="s">
        <v>92</v>
      </c>
      <c r="AZ117" t="s">
        <v>92</v>
      </c>
      <c r="BA117" t="s">
        <v>92</v>
      </c>
      <c r="BB117" t="s">
        <v>92</v>
      </c>
      <c r="BC117" t="s">
        <v>92</v>
      </c>
      <c r="BD117" t="s">
        <v>92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92</v>
      </c>
      <c r="BM117" t="s">
        <v>92</v>
      </c>
      <c r="BN117" t="s">
        <v>92</v>
      </c>
      <c r="BO117" t="s">
        <v>92</v>
      </c>
      <c r="BP117" t="s">
        <v>92</v>
      </c>
      <c r="BQ117" t="s">
        <v>92</v>
      </c>
      <c r="BR117" t="s">
        <v>92</v>
      </c>
      <c r="BS117" t="s">
        <v>92</v>
      </c>
      <c r="BT117" t="s">
        <v>92</v>
      </c>
      <c r="BU117" t="s">
        <v>92</v>
      </c>
      <c r="BV117" t="s">
        <v>92</v>
      </c>
      <c r="BW117" t="s">
        <v>92</v>
      </c>
      <c r="BX117" t="s">
        <v>92</v>
      </c>
      <c r="BY117" t="str">
        <f>IF(COUNTIF('Data Upload-prod'!E:E,F117)=0,"Missing","Exist")</f>
        <v>Missing</v>
      </c>
    </row>
    <row r="118" hidden="1" spans="1:77">
      <c r="A118" s="16">
        <v>45917</v>
      </c>
      <c r="B118" s="16">
        <v>45918.647128831</v>
      </c>
      <c r="C118" t="s">
        <v>132</v>
      </c>
      <c r="D118" t="s">
        <v>78</v>
      </c>
      <c r="E118" t="s">
        <v>306</v>
      </c>
      <c r="F118" t="s">
        <v>402</v>
      </c>
      <c r="G118" t="s">
        <v>81</v>
      </c>
      <c r="H118" t="s">
        <v>365</v>
      </c>
      <c r="I118" t="s">
        <v>124</v>
      </c>
      <c r="J118" s="17">
        <v>65.7</v>
      </c>
      <c r="K118" s="17">
        <v>3852</v>
      </c>
      <c r="L118" s="17">
        <v>1164</v>
      </c>
      <c r="M118" t="s">
        <v>84</v>
      </c>
      <c r="N118" t="s">
        <v>84</v>
      </c>
      <c r="O118" t="s">
        <v>84</v>
      </c>
      <c r="P118" t="s">
        <v>84</v>
      </c>
      <c r="Q118" s="17">
        <v>16635000</v>
      </c>
      <c r="R118" s="17">
        <v>38.79</v>
      </c>
      <c r="S118" t="s">
        <v>92</v>
      </c>
      <c r="T118" t="s">
        <v>84</v>
      </c>
      <c r="U118" t="s">
        <v>86</v>
      </c>
      <c r="V118" s="16">
        <v>45832</v>
      </c>
      <c r="W118" s="18">
        <v>45762.1770833333</v>
      </c>
      <c r="X118" s="18">
        <v>45858</v>
      </c>
      <c r="Y118" s="17">
        <v>2112</v>
      </c>
      <c r="Z118" t="s">
        <v>87</v>
      </c>
      <c r="AA118" s="17">
        <v>3997</v>
      </c>
      <c r="AB118" s="17">
        <v>1199.31</v>
      </c>
      <c r="AC118" t="s">
        <v>84</v>
      </c>
      <c r="AD118" t="s">
        <v>84</v>
      </c>
      <c r="AE118" t="s">
        <v>84</v>
      </c>
      <c r="AF118" t="s">
        <v>84</v>
      </c>
      <c r="AG118" s="17">
        <v>16634029.94</v>
      </c>
      <c r="AH118" s="17">
        <v>38.7</v>
      </c>
      <c r="AI118" s="17">
        <v>23.55</v>
      </c>
      <c r="AJ118" s="17">
        <v>23.45</v>
      </c>
      <c r="AK118" t="s">
        <v>298</v>
      </c>
      <c r="AM118" s="17">
        <v>1.8</v>
      </c>
      <c r="AN118" s="17"/>
      <c r="AO118" s="17">
        <v>600</v>
      </c>
      <c r="AP118" s="17"/>
      <c r="AQ118" s="17">
        <v>1580</v>
      </c>
      <c r="AR118" s="17"/>
      <c r="AS118" s="17">
        <v>1.95</v>
      </c>
      <c r="AT118" s="17"/>
      <c r="AU118" s="17">
        <v>938.96</v>
      </c>
      <c r="AV118" s="17"/>
      <c r="AW118" s="17">
        <v>2271.77</v>
      </c>
      <c r="AX118" s="17"/>
      <c r="AY118" s="17">
        <v>17.58</v>
      </c>
      <c r="AZ118" s="17">
        <v>10315000</v>
      </c>
      <c r="BA118" t="s">
        <v>366</v>
      </c>
      <c r="BB118" s="17">
        <v>1</v>
      </c>
      <c r="BC118" s="17">
        <v>451</v>
      </c>
      <c r="BD118" s="17">
        <v>14.11</v>
      </c>
      <c r="BE118" s="17">
        <v>3050853.15</v>
      </c>
      <c r="BF118" s="17">
        <v>1.68</v>
      </c>
      <c r="BG118" s="17">
        <v>808.09</v>
      </c>
      <c r="BH118" t="s">
        <v>93</v>
      </c>
      <c r="BI118" t="s">
        <v>94</v>
      </c>
      <c r="BJ118" t="s">
        <v>367</v>
      </c>
      <c r="BK118" t="s">
        <v>85</v>
      </c>
      <c r="BL118" t="s">
        <v>85</v>
      </c>
      <c r="BM118" t="s">
        <v>96</v>
      </c>
      <c r="BN118" t="s">
        <v>129</v>
      </c>
      <c r="BO118" t="s">
        <v>98</v>
      </c>
      <c r="BP118" t="s">
        <v>103</v>
      </c>
      <c r="BQ118" s="17">
        <v>50</v>
      </c>
      <c r="BR118" t="s">
        <v>100</v>
      </c>
      <c r="BS118" t="s">
        <v>156</v>
      </c>
      <c r="BT118" t="s">
        <v>103</v>
      </c>
      <c r="BU118" s="17">
        <v>9.1</v>
      </c>
      <c r="BV118" t="s">
        <v>308</v>
      </c>
      <c r="BW118" t="s">
        <v>85</v>
      </c>
      <c r="BX118" t="s">
        <v>85</v>
      </c>
      <c r="BY118" t="str">
        <f>IF(COUNTIF('Data Upload-prod'!E:E,F118)=0,"Missing","Exist")</f>
        <v>Missing</v>
      </c>
    </row>
    <row r="119" hidden="1" spans="1:77">
      <c r="A119" s="16">
        <v>45913</v>
      </c>
      <c r="B119" s="16">
        <v>45913.5789847917</v>
      </c>
      <c r="C119" t="s">
        <v>132</v>
      </c>
      <c r="D119" t="s">
        <v>78</v>
      </c>
      <c r="E119" t="s">
        <v>296</v>
      </c>
      <c r="F119" t="s">
        <v>403</v>
      </c>
      <c r="G119" t="s">
        <v>81</v>
      </c>
      <c r="H119" t="s">
        <v>82</v>
      </c>
      <c r="I119" t="s">
        <v>83</v>
      </c>
      <c r="J119" s="17">
        <v>63.7</v>
      </c>
      <c r="K119" s="17">
        <v>2136</v>
      </c>
      <c r="L119" s="17">
        <v>1949</v>
      </c>
      <c r="M119" t="s">
        <v>84</v>
      </c>
      <c r="N119" t="s">
        <v>84</v>
      </c>
      <c r="O119" t="s">
        <v>84</v>
      </c>
      <c r="P119" t="s">
        <v>84</v>
      </c>
      <c r="Q119" s="17">
        <v>8469087.75</v>
      </c>
      <c r="R119" s="17">
        <v>20.2</v>
      </c>
      <c r="S119" t="s">
        <v>92</v>
      </c>
      <c r="T119" t="s">
        <v>84</v>
      </c>
      <c r="U119" t="s">
        <v>86</v>
      </c>
      <c r="V119" s="16">
        <v>45843</v>
      </c>
      <c r="W119" s="18">
        <v>45805.8958333333</v>
      </c>
      <c r="X119" s="18">
        <v>45858</v>
      </c>
      <c r="Y119" s="17">
        <v>670</v>
      </c>
      <c r="Z119" t="s">
        <v>87</v>
      </c>
      <c r="AA119" s="17">
        <v>2140</v>
      </c>
      <c r="AB119" s="17">
        <v>1952</v>
      </c>
      <c r="AC119" t="s">
        <v>84</v>
      </c>
      <c r="AD119" t="s">
        <v>84</v>
      </c>
      <c r="AE119" t="s">
        <v>84</v>
      </c>
      <c r="AF119" t="s">
        <v>84</v>
      </c>
      <c r="AG119" s="17">
        <v>9231065.62</v>
      </c>
      <c r="AH119" s="17">
        <v>25.77</v>
      </c>
      <c r="AI119" s="17">
        <v>9.12</v>
      </c>
      <c r="AJ119" s="17">
        <v>8.54</v>
      </c>
      <c r="AK119" t="s">
        <v>298</v>
      </c>
      <c r="AM119" s="17">
        <v>1.8</v>
      </c>
      <c r="AN119" s="17"/>
      <c r="AO119" s="17">
        <v>600</v>
      </c>
      <c r="AP119" s="17"/>
      <c r="AQ119" s="17">
        <v>1670</v>
      </c>
      <c r="AR119" s="17"/>
      <c r="AS119" s="17">
        <v>3.93</v>
      </c>
      <c r="AT119" s="17"/>
      <c r="AU119" s="17">
        <v>1890.42</v>
      </c>
      <c r="AV119" s="17"/>
      <c r="AW119" s="17">
        <v>4175.5</v>
      </c>
      <c r="AX119" s="17"/>
      <c r="AY119" s="17">
        <v>6.7</v>
      </c>
      <c r="AZ119" s="17">
        <v>2733184</v>
      </c>
      <c r="BA119" t="s">
        <v>272</v>
      </c>
      <c r="BB119" s="17">
        <v>1</v>
      </c>
      <c r="BC119" s="17">
        <v>390</v>
      </c>
      <c r="BD119" s="17">
        <v>7.4</v>
      </c>
      <c r="BE119" s="17">
        <v>2493142.78</v>
      </c>
      <c r="BF119" s="17">
        <v>1.13</v>
      </c>
      <c r="BG119" s="17">
        <v>383.77</v>
      </c>
      <c r="BH119" t="s">
        <v>93</v>
      </c>
      <c r="BI119" t="s">
        <v>94</v>
      </c>
      <c r="BJ119" t="s">
        <v>173</v>
      </c>
      <c r="BK119" t="s">
        <v>85</v>
      </c>
      <c r="BL119" t="s">
        <v>85</v>
      </c>
      <c r="BM119" t="s">
        <v>96</v>
      </c>
      <c r="BN119" t="s">
        <v>341</v>
      </c>
      <c r="BO119" t="s">
        <v>98</v>
      </c>
      <c r="BP119" t="s">
        <v>103</v>
      </c>
      <c r="BQ119" s="17">
        <v>203.422</v>
      </c>
      <c r="BR119" t="s">
        <v>100</v>
      </c>
      <c r="BS119" t="s">
        <v>156</v>
      </c>
      <c r="BT119" t="s">
        <v>103</v>
      </c>
      <c r="BU119" s="17">
        <v>8.6</v>
      </c>
      <c r="BV119" t="s">
        <v>191</v>
      </c>
      <c r="BW119" t="s">
        <v>85</v>
      </c>
      <c r="BX119" t="s">
        <v>85</v>
      </c>
      <c r="BY119" t="str">
        <f>IF(COUNTIF('Data Upload-prod'!E:E,F119)=0,"Missing","Exist")</f>
        <v>Missing</v>
      </c>
    </row>
    <row r="120" hidden="1" spans="1:77">
      <c r="A120" s="16">
        <v>45912</v>
      </c>
      <c r="B120" s="16">
        <v>46000.4310417245</v>
      </c>
      <c r="C120" t="s">
        <v>132</v>
      </c>
      <c r="D120" t="s">
        <v>142</v>
      </c>
      <c r="E120" t="s">
        <v>170</v>
      </c>
      <c r="F120" t="s">
        <v>404</v>
      </c>
      <c r="G120" t="s">
        <v>81</v>
      </c>
      <c r="H120" t="s">
        <v>405</v>
      </c>
      <c r="I120" t="s">
        <v>124</v>
      </c>
      <c r="J120" s="17">
        <v>10.9</v>
      </c>
      <c r="K120" s="17">
        <v>1641</v>
      </c>
      <c r="L120" s="17">
        <v>1424</v>
      </c>
      <c r="M120" t="s">
        <v>84</v>
      </c>
      <c r="N120" t="s">
        <v>84</v>
      </c>
      <c r="O120" t="s">
        <v>84</v>
      </c>
      <c r="P120" t="s">
        <v>84</v>
      </c>
      <c r="Q120" s="17">
        <v>11513121.35</v>
      </c>
      <c r="R120" s="17">
        <v>20.07</v>
      </c>
      <c r="S120" t="s">
        <v>85</v>
      </c>
      <c r="T120" t="s">
        <v>84</v>
      </c>
      <c r="U120" t="s">
        <v>86</v>
      </c>
      <c r="V120" s="16">
        <v>45936</v>
      </c>
      <c r="W120" s="18">
        <v>45931</v>
      </c>
      <c r="X120" s="18">
        <v>45944.6666666667</v>
      </c>
      <c r="Y120" s="17">
        <v>1264.25</v>
      </c>
      <c r="Z120" t="s">
        <v>87</v>
      </c>
      <c r="AA120" s="17">
        <v>1624</v>
      </c>
      <c r="AB120" s="17">
        <v>1433</v>
      </c>
      <c r="AC120" t="s">
        <v>84</v>
      </c>
      <c r="AD120" t="s">
        <v>84</v>
      </c>
      <c r="AE120" t="s">
        <v>84</v>
      </c>
      <c r="AF120" t="s">
        <v>84</v>
      </c>
      <c r="AG120" s="17">
        <v>5462933.62</v>
      </c>
      <c r="AH120" s="17">
        <v>11.58</v>
      </c>
      <c r="AI120" s="17">
        <v>5.2</v>
      </c>
      <c r="AJ120" s="17">
        <v>5.2</v>
      </c>
      <c r="AK120" t="s">
        <v>89</v>
      </c>
      <c r="AM120" s="17">
        <v>2.4</v>
      </c>
      <c r="AN120" s="17"/>
      <c r="AO120" s="17">
        <v>795</v>
      </c>
      <c r="AP120" s="17"/>
      <c r="AQ120" s="17">
        <v>1200</v>
      </c>
      <c r="AR120" s="17"/>
      <c r="AS120" s="17">
        <v>1.36</v>
      </c>
      <c r="AT120" s="17"/>
      <c r="AU120" s="17">
        <v>553</v>
      </c>
      <c r="AV120" s="17"/>
      <c r="AW120" s="17">
        <v>1317</v>
      </c>
      <c r="AX120" s="17"/>
      <c r="AY120" s="17">
        <v>1.78</v>
      </c>
      <c r="AZ120" t="s">
        <v>92</v>
      </c>
      <c r="BA120" t="s">
        <v>277</v>
      </c>
      <c r="BB120" s="17">
        <v>0.3</v>
      </c>
      <c r="BC120" s="17">
        <v>159</v>
      </c>
      <c r="BD120" s="17">
        <v>1.42</v>
      </c>
      <c r="BE120" s="17">
        <v>1262340.82</v>
      </c>
      <c r="BF120" s="17">
        <v>0.27</v>
      </c>
      <c r="BG120" s="17">
        <v>225</v>
      </c>
      <c r="BH120" t="s">
        <v>93</v>
      </c>
      <c r="BI120" t="s">
        <v>94</v>
      </c>
      <c r="BJ120" t="s">
        <v>95</v>
      </c>
      <c r="BK120" t="s">
        <v>85</v>
      </c>
      <c r="BL120" t="s">
        <v>85</v>
      </c>
      <c r="BM120" t="s">
        <v>96</v>
      </c>
      <c r="BN120" t="s">
        <v>406</v>
      </c>
      <c r="BO120" t="s">
        <v>98</v>
      </c>
      <c r="BP120" t="s">
        <v>99</v>
      </c>
      <c r="BQ120" s="17">
        <v>1283</v>
      </c>
      <c r="BR120" t="s">
        <v>100</v>
      </c>
      <c r="BS120" t="s">
        <v>156</v>
      </c>
      <c r="BT120" t="s">
        <v>99</v>
      </c>
      <c r="BU120" s="17">
        <v>8.5</v>
      </c>
      <c r="BV120" t="s">
        <v>110</v>
      </c>
      <c r="BW120" t="s">
        <v>85</v>
      </c>
      <c r="BX120" t="s">
        <v>85</v>
      </c>
      <c r="BY120" t="str">
        <f>IF(COUNTIF('Data Upload-prod'!E:E,F120)=0,"Missing","Exist")</f>
        <v>Missing</v>
      </c>
    </row>
    <row r="121" hidden="1" spans="1:77">
      <c r="A121" s="16">
        <v>45912</v>
      </c>
      <c r="B121" s="16">
        <v>45912.9587970023</v>
      </c>
      <c r="C121" t="s">
        <v>233</v>
      </c>
      <c r="D121" t="s">
        <v>78</v>
      </c>
      <c r="E121" t="s">
        <v>239</v>
      </c>
      <c r="F121" t="s">
        <v>407</v>
      </c>
      <c r="G121" t="s">
        <v>81</v>
      </c>
      <c r="H121" t="s">
        <v>363</v>
      </c>
      <c r="I121" t="s">
        <v>124</v>
      </c>
      <c r="J121" s="17">
        <v>74.7</v>
      </c>
      <c r="K121" s="17">
        <v>5089</v>
      </c>
      <c r="L121" s="17">
        <v>1656</v>
      </c>
      <c r="M121" t="s">
        <v>84</v>
      </c>
      <c r="N121" t="s">
        <v>84</v>
      </c>
      <c r="O121" t="s">
        <v>84</v>
      </c>
      <c r="P121" t="s">
        <v>84</v>
      </c>
      <c r="Q121" s="17">
        <v>22953673</v>
      </c>
      <c r="R121" s="17">
        <v>56</v>
      </c>
      <c r="S121" t="s">
        <v>85</v>
      </c>
      <c r="T121" t="s">
        <v>84</v>
      </c>
      <c r="U121" t="s">
        <v>86</v>
      </c>
      <c r="V121" s="16">
        <v>45784</v>
      </c>
      <c r="W121" s="18">
        <v>45784.5416666667</v>
      </c>
      <c r="X121" s="18">
        <v>45851.1666666667</v>
      </c>
      <c r="Y121" s="17">
        <v>5084</v>
      </c>
      <c r="Z121" t="s">
        <v>87</v>
      </c>
      <c r="AA121" s="17">
        <v>5202</v>
      </c>
      <c r="AB121" s="17">
        <v>1651</v>
      </c>
      <c r="AC121" t="s">
        <v>84</v>
      </c>
      <c r="AD121" t="s">
        <v>84</v>
      </c>
      <c r="AE121" t="s">
        <v>84</v>
      </c>
      <c r="AF121" t="s">
        <v>84</v>
      </c>
      <c r="AG121" s="17">
        <v>24611055</v>
      </c>
      <c r="AH121" s="17">
        <v>69.63</v>
      </c>
      <c r="AI121" s="17">
        <v>0.9</v>
      </c>
      <c r="AJ121" s="17">
        <v>0.9</v>
      </c>
      <c r="AK121" t="s">
        <v>114</v>
      </c>
      <c r="AM121" s="17">
        <v>2.2</v>
      </c>
      <c r="AN121" s="17"/>
      <c r="AO121" s="17">
        <v>915</v>
      </c>
      <c r="AP121" s="17"/>
      <c r="AQ121" s="17">
        <v>1450</v>
      </c>
      <c r="AR121" s="17"/>
      <c r="AS121" s="17">
        <v>3.3</v>
      </c>
      <c r="AT121" s="17"/>
      <c r="AU121" s="17">
        <v>1129</v>
      </c>
      <c r="AV121" s="17"/>
      <c r="AW121" s="17">
        <v>1442</v>
      </c>
      <c r="AX121" s="17"/>
      <c r="AY121" s="17">
        <v>11.7</v>
      </c>
      <c r="AZ121" s="17">
        <v>5909954</v>
      </c>
      <c r="BA121" t="s">
        <v>265</v>
      </c>
      <c r="BB121" s="17">
        <v>0.7</v>
      </c>
      <c r="BC121" s="17">
        <v>373</v>
      </c>
      <c r="BD121" s="17">
        <v>10.96</v>
      </c>
      <c r="BE121" s="17">
        <v>4620836</v>
      </c>
      <c r="BF121" s="17">
        <v>0.64</v>
      </c>
      <c r="BG121" s="17">
        <v>271</v>
      </c>
      <c r="BH121" t="s">
        <v>93</v>
      </c>
      <c r="BI121" t="s">
        <v>94</v>
      </c>
      <c r="BJ121" t="s">
        <v>128</v>
      </c>
      <c r="BK121" t="s">
        <v>85</v>
      </c>
      <c r="BL121" t="s">
        <v>129</v>
      </c>
      <c r="BM121" t="s">
        <v>96</v>
      </c>
      <c r="BN121" t="s">
        <v>129</v>
      </c>
      <c r="BO121" t="s">
        <v>98</v>
      </c>
      <c r="BP121" t="s">
        <v>103</v>
      </c>
      <c r="BQ121" s="17">
        <v>500</v>
      </c>
      <c r="BR121" t="s">
        <v>100</v>
      </c>
      <c r="BS121" t="s">
        <v>130</v>
      </c>
      <c r="BT121" t="s">
        <v>103</v>
      </c>
      <c r="BU121" s="17">
        <v>8.3</v>
      </c>
      <c r="BV121" t="s">
        <v>131</v>
      </c>
      <c r="BW121" t="s">
        <v>85</v>
      </c>
      <c r="BX121" t="s">
        <v>85</v>
      </c>
      <c r="BY121" t="str">
        <f>IF(COUNTIF('Data Upload-prod'!E:E,F121)=0,"Missing","Exist")</f>
        <v>Missing</v>
      </c>
    </row>
    <row r="122" hidden="1" spans="1:77">
      <c r="A122" s="16">
        <v>45910</v>
      </c>
      <c r="B122" s="16">
        <v>45989.9777715741</v>
      </c>
      <c r="C122" t="s">
        <v>346</v>
      </c>
      <c r="D122" t="s">
        <v>78</v>
      </c>
      <c r="E122" t="s">
        <v>386</v>
      </c>
      <c r="F122" t="s">
        <v>408</v>
      </c>
      <c r="G122" t="s">
        <v>81</v>
      </c>
      <c r="H122" t="s">
        <v>202</v>
      </c>
      <c r="I122" t="s">
        <v>124</v>
      </c>
      <c r="J122" s="17">
        <v>53</v>
      </c>
      <c r="K122" s="17">
        <v>4619</v>
      </c>
      <c r="L122" s="17">
        <v>1981</v>
      </c>
      <c r="M122" t="s">
        <v>84</v>
      </c>
      <c r="N122" t="s">
        <v>84</v>
      </c>
      <c r="O122" t="s">
        <v>84</v>
      </c>
      <c r="P122" t="s">
        <v>84</v>
      </c>
      <c r="Q122" s="17">
        <v>4481905.42</v>
      </c>
      <c r="R122" s="17">
        <v>11.81</v>
      </c>
      <c r="S122" t="s">
        <v>85</v>
      </c>
      <c r="T122" t="s">
        <v>84</v>
      </c>
      <c r="U122" t="s">
        <v>86</v>
      </c>
      <c r="V122" s="16">
        <v>45879</v>
      </c>
      <c r="W122" s="18">
        <v>45878.7083333333</v>
      </c>
      <c r="X122" s="18">
        <v>45934</v>
      </c>
      <c r="Y122" s="17">
        <v>5630</v>
      </c>
      <c r="Z122" t="s">
        <v>87</v>
      </c>
      <c r="AA122" s="17">
        <v>4642</v>
      </c>
      <c r="AB122" s="17">
        <v>2011</v>
      </c>
      <c r="AC122" t="s">
        <v>84</v>
      </c>
      <c r="AD122" t="s">
        <v>84</v>
      </c>
      <c r="AE122" t="s">
        <v>84</v>
      </c>
      <c r="AF122" t="s">
        <v>84</v>
      </c>
      <c r="AG122" s="17">
        <v>21663681.47</v>
      </c>
      <c r="AH122" t="s">
        <v>84</v>
      </c>
      <c r="AI122" s="17">
        <v>0.0004</v>
      </c>
      <c r="AJ122" s="17">
        <v>0</v>
      </c>
      <c r="AK122" t="s">
        <v>208</v>
      </c>
      <c r="AM122" s="17">
        <v>2.1</v>
      </c>
      <c r="AN122" s="17"/>
      <c r="AO122" s="17">
        <v>700</v>
      </c>
      <c r="AP122" s="17"/>
      <c r="AQ122" s="17">
        <v>1830</v>
      </c>
      <c r="AR122" s="17"/>
      <c r="AS122" s="17">
        <v>1.97</v>
      </c>
      <c r="AT122" s="17"/>
      <c r="AU122" s="17">
        <v>791</v>
      </c>
      <c r="AV122" s="17"/>
      <c r="AW122" s="17">
        <v>1191</v>
      </c>
      <c r="AX122" s="17"/>
      <c r="AY122" s="17">
        <v>5.02</v>
      </c>
      <c r="AZ122" s="17">
        <v>4472275.99</v>
      </c>
      <c r="BA122" t="s">
        <v>272</v>
      </c>
      <c r="BB122" s="17">
        <v>1</v>
      </c>
      <c r="BC122" s="17">
        <v>390</v>
      </c>
      <c r="BD122" t="s">
        <v>92</v>
      </c>
      <c r="BE122" t="s">
        <v>92</v>
      </c>
      <c r="BF122" s="17">
        <v>0.3</v>
      </c>
      <c r="BG122" s="17">
        <v>192</v>
      </c>
      <c r="BH122" t="s">
        <v>93</v>
      </c>
      <c r="BI122" t="s">
        <v>94</v>
      </c>
      <c r="BJ122" t="s">
        <v>173</v>
      </c>
      <c r="BK122" t="s">
        <v>85</v>
      </c>
      <c r="BL122" t="s">
        <v>85</v>
      </c>
      <c r="BM122" t="s">
        <v>96</v>
      </c>
      <c r="BN122" t="s">
        <v>129</v>
      </c>
      <c r="BO122" t="s">
        <v>98</v>
      </c>
      <c r="BP122" t="s">
        <v>99</v>
      </c>
      <c r="BQ122" s="17">
        <v>105</v>
      </c>
      <c r="BR122" t="s">
        <v>138</v>
      </c>
      <c r="BS122" t="s">
        <v>156</v>
      </c>
      <c r="BT122" t="s">
        <v>99</v>
      </c>
      <c r="BU122" s="17">
        <v>8.9</v>
      </c>
      <c r="BV122" t="s">
        <v>110</v>
      </c>
      <c r="BW122" t="s">
        <v>85</v>
      </c>
      <c r="BX122" t="s">
        <v>85</v>
      </c>
      <c r="BY122" t="str">
        <f>IF(COUNTIF('Data Upload-prod'!E:E,F122)=0,"Missing","Exist")</f>
        <v>Missing</v>
      </c>
    </row>
    <row r="123" hidden="1" spans="1:77">
      <c r="A123" s="16">
        <v>45909</v>
      </c>
      <c r="B123" s="16">
        <v>45966.9406361921</v>
      </c>
      <c r="C123" t="s">
        <v>346</v>
      </c>
      <c r="D123" t="s">
        <v>142</v>
      </c>
      <c r="E123" t="s">
        <v>209</v>
      </c>
      <c r="F123" t="s">
        <v>409</v>
      </c>
      <c r="G123" t="s">
        <v>81</v>
      </c>
      <c r="H123" t="s">
        <v>154</v>
      </c>
      <c r="I123" t="s">
        <v>124</v>
      </c>
      <c r="J123" s="17">
        <v>17.7</v>
      </c>
      <c r="K123" s="17">
        <v>952</v>
      </c>
      <c r="L123" s="17">
        <v>885.8</v>
      </c>
      <c r="M123" t="s">
        <v>84</v>
      </c>
      <c r="N123" t="s">
        <v>84</v>
      </c>
      <c r="O123" t="s">
        <v>84</v>
      </c>
      <c r="P123" t="s">
        <v>84</v>
      </c>
      <c r="Q123" s="17">
        <v>6732123.42</v>
      </c>
      <c r="R123" s="17">
        <v>10.8</v>
      </c>
      <c r="S123" t="s">
        <v>85</v>
      </c>
      <c r="T123" t="s">
        <v>84</v>
      </c>
      <c r="U123" t="s">
        <v>86</v>
      </c>
      <c r="V123" s="16">
        <v>45566</v>
      </c>
      <c r="W123" s="18">
        <v>45565</v>
      </c>
      <c r="X123" s="18">
        <v>45595</v>
      </c>
      <c r="Y123" s="17">
        <v>876.4</v>
      </c>
      <c r="Z123" t="s">
        <v>87</v>
      </c>
      <c r="AA123" s="17">
        <v>936</v>
      </c>
      <c r="AB123" s="17">
        <v>877.5</v>
      </c>
      <c r="AC123" t="s">
        <v>84</v>
      </c>
      <c r="AD123" t="s">
        <v>84</v>
      </c>
      <c r="AE123" t="s">
        <v>84</v>
      </c>
      <c r="AF123" t="s">
        <v>84</v>
      </c>
      <c r="AG123" s="17">
        <v>5181611.9</v>
      </c>
      <c r="AH123" s="17">
        <v>12.3</v>
      </c>
      <c r="AI123" s="17">
        <v>2</v>
      </c>
      <c r="AJ123" s="17">
        <v>2</v>
      </c>
      <c r="AK123" t="s">
        <v>165</v>
      </c>
      <c r="AM123" s="17">
        <v>2.5</v>
      </c>
      <c r="AN123" s="17"/>
      <c r="AO123" s="17">
        <v>1440</v>
      </c>
      <c r="AP123" s="17"/>
      <c r="AQ123" s="17">
        <v>1995</v>
      </c>
      <c r="AR123" s="17"/>
      <c r="AS123" s="17">
        <v>2.5</v>
      </c>
      <c r="AT123" s="17"/>
      <c r="AU123" s="17">
        <v>961.8</v>
      </c>
      <c r="AV123" s="17"/>
      <c r="AW123" s="17">
        <v>1687.8</v>
      </c>
      <c r="AX123" s="17"/>
      <c r="AY123" s="17">
        <v>3.5</v>
      </c>
      <c r="AZ123" s="17">
        <v>2137522.63</v>
      </c>
      <c r="BA123" t="s">
        <v>265</v>
      </c>
      <c r="BB123" s="17">
        <v>0.7</v>
      </c>
      <c r="BC123" s="17">
        <v>373</v>
      </c>
      <c r="BD123" s="17">
        <v>3.7</v>
      </c>
      <c r="BE123" s="17">
        <v>2228748</v>
      </c>
      <c r="BF123" s="17">
        <v>1.3</v>
      </c>
      <c r="BG123" s="17">
        <v>726</v>
      </c>
      <c r="BH123" t="s">
        <v>93</v>
      </c>
      <c r="BI123" t="s">
        <v>94</v>
      </c>
      <c r="BJ123" t="s">
        <v>128</v>
      </c>
      <c r="BK123" t="s">
        <v>85</v>
      </c>
      <c r="BL123" t="s">
        <v>85</v>
      </c>
      <c r="BM123" t="s">
        <v>96</v>
      </c>
      <c r="BN123" t="s">
        <v>266</v>
      </c>
      <c r="BO123" t="s">
        <v>98</v>
      </c>
      <c r="BP123" t="s">
        <v>350</v>
      </c>
      <c r="BQ123" s="17">
        <v>777</v>
      </c>
      <c r="BR123" t="s">
        <v>138</v>
      </c>
      <c r="BS123" t="s">
        <v>285</v>
      </c>
      <c r="BT123" t="s">
        <v>350</v>
      </c>
      <c r="BU123" s="17">
        <v>8.7</v>
      </c>
      <c r="BV123" t="s">
        <v>110</v>
      </c>
      <c r="BW123" t="s">
        <v>85</v>
      </c>
      <c r="BX123" t="s">
        <v>85</v>
      </c>
      <c r="BY123" t="str">
        <f>IF(COUNTIF('Data Upload-prod'!E:E,F123)=0,"Missing","Exist")</f>
        <v>Missing</v>
      </c>
    </row>
    <row r="124" hidden="1" spans="1:77">
      <c r="A124" s="16">
        <v>45909</v>
      </c>
      <c r="B124" s="16">
        <v>45909.7452285995</v>
      </c>
      <c r="C124" t="s">
        <v>178</v>
      </c>
      <c r="D124" t="s">
        <v>120</v>
      </c>
      <c r="E124" t="s">
        <v>182</v>
      </c>
      <c r="F124" t="s">
        <v>410</v>
      </c>
      <c r="G124" t="s">
        <v>81</v>
      </c>
      <c r="H124" t="s">
        <v>289</v>
      </c>
      <c r="I124" t="s">
        <v>124</v>
      </c>
      <c r="J124" s="17">
        <v>50.6</v>
      </c>
      <c r="K124" s="17">
        <v>3342</v>
      </c>
      <c r="L124" s="17">
        <v>2154</v>
      </c>
      <c r="M124" t="s">
        <v>84</v>
      </c>
      <c r="N124" t="s">
        <v>84</v>
      </c>
      <c r="O124" t="s">
        <v>84</v>
      </c>
      <c r="P124" t="s">
        <v>84</v>
      </c>
      <c r="Q124" s="17">
        <v>15855000</v>
      </c>
      <c r="R124" s="17">
        <v>33.8</v>
      </c>
      <c r="S124" t="s">
        <v>85</v>
      </c>
      <c r="T124" t="s">
        <v>84</v>
      </c>
      <c r="U124" t="s">
        <v>86</v>
      </c>
      <c r="V124" s="16">
        <v>45341</v>
      </c>
      <c r="W124" s="18">
        <v>45320.625</v>
      </c>
      <c r="X124" s="18">
        <v>45364</v>
      </c>
      <c r="Y124" s="17">
        <v>2635</v>
      </c>
      <c r="Z124" t="s">
        <v>87</v>
      </c>
      <c r="AA124" s="17">
        <v>3393</v>
      </c>
      <c r="AB124" s="17">
        <v>2182</v>
      </c>
      <c r="AC124" t="s">
        <v>84</v>
      </c>
      <c r="AD124" t="s">
        <v>84</v>
      </c>
      <c r="AE124" t="s">
        <v>84</v>
      </c>
      <c r="AF124" t="s">
        <v>84</v>
      </c>
      <c r="AG124" s="17">
        <v>17213820</v>
      </c>
      <c r="AH124" s="17">
        <v>41.53</v>
      </c>
      <c r="AI124" s="17">
        <v>19</v>
      </c>
      <c r="AJ124" s="17">
        <v>17.6</v>
      </c>
      <c r="AK124" t="s">
        <v>89</v>
      </c>
      <c r="AM124" s="17">
        <v>2.4</v>
      </c>
      <c r="AN124" s="17"/>
      <c r="AO124" s="17">
        <v>795</v>
      </c>
      <c r="AP124" s="17"/>
      <c r="AQ124" s="17">
        <v>1580</v>
      </c>
      <c r="AR124" s="17"/>
      <c r="AS124" s="17">
        <v>1.52</v>
      </c>
      <c r="AT124" s="17"/>
      <c r="AU124" s="17">
        <v>720</v>
      </c>
      <c r="AV124" s="17"/>
      <c r="AW124" s="17">
        <v>1991</v>
      </c>
      <c r="AX124" s="17"/>
      <c r="AY124" s="17">
        <v>9.6</v>
      </c>
      <c r="AZ124" s="17">
        <v>4743837</v>
      </c>
      <c r="BA124" t="s">
        <v>272</v>
      </c>
      <c r="BB124" s="17">
        <v>1</v>
      </c>
      <c r="BC124" s="17">
        <v>390</v>
      </c>
      <c r="BD124" s="17">
        <v>7.57</v>
      </c>
      <c r="BE124" s="17">
        <v>3765352</v>
      </c>
      <c r="BF124" s="17">
        <v>0.68</v>
      </c>
      <c r="BG124" s="17">
        <v>436</v>
      </c>
      <c r="BH124" t="s">
        <v>93</v>
      </c>
      <c r="BI124" t="s">
        <v>94</v>
      </c>
      <c r="BJ124" t="s">
        <v>173</v>
      </c>
      <c r="BK124" t="s">
        <v>85</v>
      </c>
      <c r="BL124" t="s">
        <v>85</v>
      </c>
      <c r="BM124" t="s">
        <v>96</v>
      </c>
      <c r="BN124" t="s">
        <v>266</v>
      </c>
      <c r="BO124" t="s">
        <v>98</v>
      </c>
      <c r="BP124" t="s">
        <v>99</v>
      </c>
      <c r="BQ124" s="17">
        <v>67</v>
      </c>
      <c r="BR124" t="s">
        <v>138</v>
      </c>
      <c r="BS124" t="s">
        <v>156</v>
      </c>
      <c r="BT124" t="s">
        <v>99</v>
      </c>
      <c r="BU124" s="17">
        <v>10</v>
      </c>
      <c r="BV124" t="s">
        <v>340</v>
      </c>
      <c r="BW124" t="s">
        <v>92</v>
      </c>
      <c r="BX124" t="s">
        <v>92</v>
      </c>
      <c r="BY124" t="str">
        <f>IF(COUNTIF('Data Upload-prod'!E:E,F124)=0,"Missing","Exist")</f>
        <v>Missing</v>
      </c>
    </row>
    <row r="125" hidden="1" spans="1:77">
      <c r="A125" s="16">
        <v>45909</v>
      </c>
      <c r="B125" s="16">
        <v>45988.7434915972</v>
      </c>
      <c r="C125" t="s">
        <v>178</v>
      </c>
      <c r="D125" t="s">
        <v>120</v>
      </c>
      <c r="E125" t="s">
        <v>182</v>
      </c>
      <c r="F125" t="s">
        <v>411</v>
      </c>
      <c r="G125" t="s">
        <v>81</v>
      </c>
      <c r="H125" t="s">
        <v>289</v>
      </c>
      <c r="I125" t="s">
        <v>124</v>
      </c>
      <c r="J125" s="17">
        <v>50.6</v>
      </c>
      <c r="K125" s="17">
        <v>2835</v>
      </c>
      <c r="L125" s="17">
        <v>2182</v>
      </c>
      <c r="M125" t="s">
        <v>84</v>
      </c>
      <c r="N125" t="s">
        <v>84</v>
      </c>
      <c r="O125" t="s">
        <v>84</v>
      </c>
      <c r="P125" t="s">
        <v>84</v>
      </c>
      <c r="Q125" s="17">
        <v>13470000</v>
      </c>
      <c r="R125" s="17">
        <v>28.63</v>
      </c>
      <c r="S125" t="s">
        <v>85</v>
      </c>
      <c r="T125" t="s">
        <v>84</v>
      </c>
      <c r="U125" t="s">
        <v>86</v>
      </c>
      <c r="V125" s="16">
        <v>45379</v>
      </c>
      <c r="W125" s="18">
        <v>45332</v>
      </c>
      <c r="X125" s="18">
        <v>45396.0833333333</v>
      </c>
      <c r="Y125" s="17">
        <v>1203</v>
      </c>
      <c r="Z125" t="s">
        <v>87</v>
      </c>
      <c r="AA125" s="17">
        <v>2850</v>
      </c>
      <c r="AB125" s="17">
        <v>2196</v>
      </c>
      <c r="AC125" t="s">
        <v>84</v>
      </c>
      <c r="AD125" t="s">
        <v>84</v>
      </c>
      <c r="AE125" t="s">
        <v>84</v>
      </c>
      <c r="AF125" t="s">
        <v>84</v>
      </c>
      <c r="AG125" s="17">
        <v>10957337.74</v>
      </c>
      <c r="AH125" s="17">
        <v>25.04</v>
      </c>
      <c r="AI125" s="17">
        <v>6.2</v>
      </c>
      <c r="AJ125" s="17">
        <v>6.2</v>
      </c>
      <c r="AK125" t="s">
        <v>298</v>
      </c>
      <c r="AM125" s="17">
        <v>1.8</v>
      </c>
      <c r="AN125" s="17"/>
      <c r="AO125" s="17">
        <v>600</v>
      </c>
      <c r="AP125" s="17"/>
      <c r="AQ125" s="17">
        <v>1670</v>
      </c>
      <c r="AR125" s="17"/>
      <c r="AS125" s="17">
        <v>1.43</v>
      </c>
      <c r="AT125" s="17"/>
      <c r="AU125" s="17">
        <v>721</v>
      </c>
      <c r="AV125" s="17"/>
      <c r="AW125" s="17">
        <v>2685</v>
      </c>
      <c r="AX125" s="17"/>
      <c r="AY125" s="17">
        <v>8.6</v>
      </c>
      <c r="AZ125" s="17">
        <v>4493672</v>
      </c>
      <c r="BA125" t="s">
        <v>272</v>
      </c>
      <c r="BB125" s="17">
        <v>1</v>
      </c>
      <c r="BC125" s="17">
        <v>390</v>
      </c>
      <c r="BD125" s="17">
        <v>7.07</v>
      </c>
      <c r="BE125" s="17">
        <v>3493929.61</v>
      </c>
      <c r="BF125" s="17">
        <v>0.8</v>
      </c>
      <c r="BG125" s="17">
        <v>374</v>
      </c>
      <c r="BH125" t="s">
        <v>93</v>
      </c>
      <c r="BI125" t="s">
        <v>94</v>
      </c>
      <c r="BJ125" t="s">
        <v>173</v>
      </c>
      <c r="BK125" t="s">
        <v>85</v>
      </c>
      <c r="BL125" t="s">
        <v>85</v>
      </c>
      <c r="BM125" t="s">
        <v>96</v>
      </c>
      <c r="BN125" t="s">
        <v>266</v>
      </c>
      <c r="BO125" t="s">
        <v>98</v>
      </c>
      <c r="BP125" t="s">
        <v>99</v>
      </c>
      <c r="BQ125" t="s">
        <v>92</v>
      </c>
      <c r="BR125" t="s">
        <v>138</v>
      </c>
      <c r="BS125" t="s">
        <v>156</v>
      </c>
      <c r="BT125" t="s">
        <v>99</v>
      </c>
      <c r="BU125" s="17">
        <v>9.6</v>
      </c>
      <c r="BV125" t="s">
        <v>256</v>
      </c>
      <c r="BW125" t="s">
        <v>92</v>
      </c>
      <c r="BX125" t="s">
        <v>92</v>
      </c>
      <c r="BY125" t="str">
        <f>IF(COUNTIF('Data Upload-prod'!E:E,F125)=0,"Missing","Exist")</f>
        <v>Missing</v>
      </c>
    </row>
    <row r="126" hidden="1" spans="1:77">
      <c r="A126" s="16">
        <v>45904</v>
      </c>
      <c r="B126" s="16">
        <v>46057.9014661343</v>
      </c>
      <c r="C126" t="s">
        <v>77</v>
      </c>
      <c r="D126" t="s">
        <v>78</v>
      </c>
      <c r="E126" t="s">
        <v>412</v>
      </c>
      <c r="F126" t="s">
        <v>413</v>
      </c>
      <c r="G126" t="s">
        <v>81</v>
      </c>
      <c r="H126" t="s">
        <v>202</v>
      </c>
      <c r="I126" t="s">
        <v>124</v>
      </c>
      <c r="J126" s="17">
        <v>71.5</v>
      </c>
      <c r="K126" s="17">
        <v>2999.27</v>
      </c>
      <c r="L126" s="17">
        <v>2810</v>
      </c>
      <c r="M126" t="s">
        <v>84</v>
      </c>
      <c r="N126" t="s">
        <v>84</v>
      </c>
      <c r="O126" t="s">
        <v>84</v>
      </c>
      <c r="P126" t="s">
        <v>84</v>
      </c>
      <c r="Q126" s="17">
        <v>8308169.65</v>
      </c>
      <c r="R126" s="17">
        <v>13.37</v>
      </c>
      <c r="S126" t="s">
        <v>85</v>
      </c>
      <c r="T126" t="s">
        <v>84</v>
      </c>
      <c r="U126" t="s">
        <v>86</v>
      </c>
      <c r="V126" s="16">
        <v>45976</v>
      </c>
      <c r="W126" s="18">
        <v>45975.1666666667</v>
      </c>
      <c r="X126" s="18">
        <v>46004.1666666667</v>
      </c>
      <c r="Y126" s="17">
        <v>2858.72</v>
      </c>
      <c r="Z126" t="s">
        <v>87</v>
      </c>
      <c r="AA126" s="17">
        <v>2975</v>
      </c>
      <c r="AB126" s="17">
        <v>2822.02</v>
      </c>
      <c r="AC126" t="s">
        <v>84</v>
      </c>
      <c r="AD126" t="s">
        <v>84</v>
      </c>
      <c r="AE126" t="s">
        <v>84</v>
      </c>
      <c r="AF126" t="s">
        <v>84</v>
      </c>
      <c r="AG126" s="17">
        <v>7828516</v>
      </c>
      <c r="AH126" s="17">
        <v>19.44</v>
      </c>
      <c r="AI126" s="17">
        <v>30</v>
      </c>
      <c r="AJ126" s="17">
        <v>1</v>
      </c>
      <c r="AK126" t="s">
        <v>414</v>
      </c>
      <c r="AM126" s="17">
        <v>1.1</v>
      </c>
      <c r="AN126" s="17"/>
      <c r="AO126" s="17">
        <v>420</v>
      </c>
      <c r="AP126" s="17"/>
      <c r="AQ126" s="17">
        <v>555</v>
      </c>
      <c r="AR126" s="17"/>
      <c r="AS126" s="17">
        <v>1.25</v>
      </c>
      <c r="AT126" s="17"/>
      <c r="AU126" s="17">
        <v>479</v>
      </c>
      <c r="AV126" s="17"/>
      <c r="AW126" s="17">
        <v>865</v>
      </c>
      <c r="AX126" s="17"/>
      <c r="AY126" s="17">
        <v>1.58</v>
      </c>
      <c r="AZ126" s="17">
        <v>2339486</v>
      </c>
      <c r="BA126" t="s">
        <v>277</v>
      </c>
      <c r="BB126" s="17">
        <v>0.3</v>
      </c>
      <c r="BC126" s="17">
        <v>159</v>
      </c>
      <c r="BD126" s="17">
        <v>1.22</v>
      </c>
      <c r="BE126" s="17">
        <v>1975957</v>
      </c>
      <c r="BF126" s="17">
        <v>0.12</v>
      </c>
      <c r="BG126" s="17">
        <v>202</v>
      </c>
      <c r="BH126" t="s">
        <v>93</v>
      </c>
      <c r="BI126" t="s">
        <v>94</v>
      </c>
      <c r="BJ126" t="s">
        <v>95</v>
      </c>
      <c r="BK126" t="s">
        <v>85</v>
      </c>
      <c r="BL126" t="s">
        <v>85</v>
      </c>
      <c r="BM126" t="s">
        <v>273</v>
      </c>
      <c r="BN126" t="s">
        <v>92</v>
      </c>
      <c r="BO126" t="s">
        <v>98</v>
      </c>
      <c r="BP126" t="s">
        <v>99</v>
      </c>
      <c r="BQ126" t="s">
        <v>92</v>
      </c>
      <c r="BR126" t="s">
        <v>100</v>
      </c>
      <c r="BS126" t="s">
        <v>156</v>
      </c>
      <c r="BT126" t="s">
        <v>99</v>
      </c>
      <c r="BU126" s="17">
        <v>6.8</v>
      </c>
      <c r="BV126" t="s">
        <v>101</v>
      </c>
      <c r="BW126" t="s">
        <v>85</v>
      </c>
      <c r="BX126" t="s">
        <v>85</v>
      </c>
      <c r="BY126" t="str">
        <f>IF(COUNTIF('Data Upload-prod'!E:E,F126)=0,"Missing","Exist")</f>
        <v>Missing</v>
      </c>
    </row>
    <row r="127" hidden="1" spans="1:77">
      <c r="A127" s="16">
        <v>45904</v>
      </c>
      <c r="B127" s="16">
        <v>45994.4306699768</v>
      </c>
      <c r="C127" t="s">
        <v>132</v>
      </c>
      <c r="D127" t="s">
        <v>142</v>
      </c>
      <c r="E127" t="s">
        <v>170</v>
      </c>
      <c r="F127" t="s">
        <v>415</v>
      </c>
      <c r="G127" t="s">
        <v>81</v>
      </c>
      <c r="H127" t="s">
        <v>405</v>
      </c>
      <c r="I127" t="s">
        <v>124</v>
      </c>
      <c r="J127" s="17">
        <v>10.91</v>
      </c>
      <c r="K127" s="17">
        <v>2340.44</v>
      </c>
      <c r="L127" s="17">
        <v>1801.58</v>
      </c>
      <c r="M127" t="s">
        <v>84</v>
      </c>
      <c r="N127" t="s">
        <v>84</v>
      </c>
      <c r="O127" t="s">
        <v>84</v>
      </c>
      <c r="P127" t="s">
        <v>84</v>
      </c>
      <c r="Q127" s="17">
        <v>13572596.94</v>
      </c>
      <c r="R127" s="17">
        <v>27.34</v>
      </c>
      <c r="S127" t="s">
        <v>106</v>
      </c>
      <c r="T127" t="s">
        <v>84</v>
      </c>
      <c r="U127" t="s">
        <v>86</v>
      </c>
      <c r="V127" s="16">
        <v>45924</v>
      </c>
      <c r="W127" s="18">
        <v>45911.21875</v>
      </c>
      <c r="X127" s="18">
        <v>45944.7916666667</v>
      </c>
      <c r="Y127" s="17">
        <v>1902.2</v>
      </c>
      <c r="Z127" t="s">
        <v>87</v>
      </c>
      <c r="AA127" s="17">
        <v>2318.2</v>
      </c>
      <c r="AB127" s="17">
        <v>1781.4</v>
      </c>
      <c r="AC127" t="s">
        <v>84</v>
      </c>
      <c r="AD127" t="s">
        <v>84</v>
      </c>
      <c r="AE127" t="s">
        <v>84</v>
      </c>
      <c r="AF127" t="s">
        <v>84</v>
      </c>
      <c r="AG127" s="17">
        <v>6444621.28</v>
      </c>
      <c r="AH127" s="17">
        <v>16.91</v>
      </c>
      <c r="AI127" s="17">
        <v>6.41</v>
      </c>
      <c r="AJ127" s="17">
        <v>6.41</v>
      </c>
      <c r="AK127" t="s">
        <v>89</v>
      </c>
      <c r="AM127" s="17">
        <v>2.4</v>
      </c>
      <c r="AN127" s="17"/>
      <c r="AO127" s="17">
        <v>795</v>
      </c>
      <c r="AP127" s="17"/>
      <c r="AQ127" s="17">
        <v>2160</v>
      </c>
      <c r="AR127" s="17"/>
      <c r="AS127" s="17">
        <v>0.91</v>
      </c>
      <c r="AT127" s="17"/>
      <c r="AU127" s="17">
        <v>430</v>
      </c>
      <c r="AV127" s="17"/>
      <c r="AW127" s="17">
        <v>1574</v>
      </c>
      <c r="AX127" s="17"/>
      <c r="AY127" s="17">
        <v>2.08</v>
      </c>
      <c r="AZ127" s="17">
        <v>1204819</v>
      </c>
      <c r="BA127" t="s">
        <v>416</v>
      </c>
      <c r="BB127" s="17">
        <v>2</v>
      </c>
      <c r="BC127" s="17">
        <v>789</v>
      </c>
      <c r="BD127" s="17">
        <v>1.82</v>
      </c>
      <c r="BE127" s="17">
        <v>1131194</v>
      </c>
      <c r="BF127" s="17">
        <v>0.24</v>
      </c>
      <c r="BG127" s="17">
        <v>149</v>
      </c>
      <c r="BH127" t="s">
        <v>93</v>
      </c>
      <c r="BI127" t="s">
        <v>94</v>
      </c>
      <c r="BJ127" t="s">
        <v>173</v>
      </c>
      <c r="BK127" t="s">
        <v>85</v>
      </c>
      <c r="BL127" t="s">
        <v>85</v>
      </c>
      <c r="BM127" t="s">
        <v>96</v>
      </c>
      <c r="BN127" t="s">
        <v>341</v>
      </c>
      <c r="BO127" t="s">
        <v>98</v>
      </c>
      <c r="BP127" t="s">
        <v>99</v>
      </c>
      <c r="BQ127" s="17">
        <v>80</v>
      </c>
      <c r="BR127" t="s">
        <v>100</v>
      </c>
      <c r="BS127" t="s">
        <v>156</v>
      </c>
      <c r="BT127" t="s">
        <v>99</v>
      </c>
      <c r="BU127" s="17">
        <v>8.5</v>
      </c>
      <c r="BV127" t="s">
        <v>191</v>
      </c>
      <c r="BW127" t="s">
        <v>85</v>
      </c>
      <c r="BX127" t="s">
        <v>85</v>
      </c>
      <c r="BY127" t="str">
        <f>IF(COUNTIF('Data Upload-prod'!E:E,F127)=0,"Missing","Exist")</f>
        <v>Missing</v>
      </c>
    </row>
    <row r="128" hidden="1" spans="1:77">
      <c r="A128" s="16">
        <v>45904</v>
      </c>
      <c r="B128" s="16">
        <v>46057.9125243171</v>
      </c>
      <c r="C128" t="s">
        <v>77</v>
      </c>
      <c r="D128" t="s">
        <v>78</v>
      </c>
      <c r="E128" t="s">
        <v>412</v>
      </c>
      <c r="F128" t="s">
        <v>417</v>
      </c>
      <c r="G128" t="s">
        <v>81</v>
      </c>
      <c r="H128" t="s">
        <v>202</v>
      </c>
      <c r="I128" t="s">
        <v>124</v>
      </c>
      <c r="J128" s="17">
        <v>71.5</v>
      </c>
      <c r="K128" s="17">
        <v>3008.99</v>
      </c>
      <c r="L128" s="17">
        <v>2809</v>
      </c>
      <c r="M128" t="s">
        <v>84</v>
      </c>
      <c r="N128" t="s">
        <v>84</v>
      </c>
      <c r="O128" t="s">
        <v>84</v>
      </c>
      <c r="P128" t="s">
        <v>84</v>
      </c>
      <c r="Q128" s="17">
        <v>8911407.65</v>
      </c>
      <c r="R128" s="17">
        <v>13.55</v>
      </c>
      <c r="S128" t="s">
        <v>85</v>
      </c>
      <c r="T128" t="s">
        <v>84</v>
      </c>
      <c r="U128" t="s">
        <v>86</v>
      </c>
      <c r="V128" s="16">
        <v>45981</v>
      </c>
      <c r="W128" s="18">
        <v>45980.9791666667</v>
      </c>
      <c r="X128" s="18">
        <v>46000.5833333333</v>
      </c>
      <c r="Y128" s="17">
        <v>2889.72</v>
      </c>
      <c r="Z128" t="s">
        <v>87</v>
      </c>
      <c r="AA128" s="17">
        <v>3006</v>
      </c>
      <c r="AB128" s="17">
        <v>2821.16</v>
      </c>
      <c r="AC128" t="s">
        <v>84</v>
      </c>
      <c r="AD128" t="s">
        <v>84</v>
      </c>
      <c r="AE128" t="s">
        <v>84</v>
      </c>
      <c r="AF128" t="s">
        <v>84</v>
      </c>
      <c r="AG128" s="17">
        <v>5537649</v>
      </c>
      <c r="AH128" s="17">
        <v>9.56</v>
      </c>
      <c r="AI128" s="17">
        <v>2</v>
      </c>
      <c r="AJ128" s="17">
        <v>2</v>
      </c>
      <c r="AK128" t="s">
        <v>414</v>
      </c>
      <c r="AM128" s="17">
        <v>1.1</v>
      </c>
      <c r="AN128" s="17"/>
      <c r="AO128" s="17">
        <v>420</v>
      </c>
      <c r="AP128" s="17"/>
      <c r="AQ128" s="17">
        <v>555</v>
      </c>
      <c r="AR128" s="17"/>
      <c r="AS128" s="17">
        <v>0.78</v>
      </c>
      <c r="AT128" s="17"/>
      <c r="AU128" s="17">
        <v>386</v>
      </c>
      <c r="AV128" s="17"/>
      <c r="AW128" s="17">
        <v>614</v>
      </c>
      <c r="AX128" s="17"/>
      <c r="AY128" s="17">
        <v>1.6</v>
      </c>
      <c r="AZ128" s="17">
        <v>2156264</v>
      </c>
      <c r="BA128" t="s">
        <v>277</v>
      </c>
      <c r="BB128" s="17">
        <v>0.3</v>
      </c>
      <c r="BC128" s="17">
        <v>159</v>
      </c>
      <c r="BD128" s="17">
        <v>1.86</v>
      </c>
      <c r="BE128" s="17">
        <v>2065920</v>
      </c>
      <c r="BF128" s="17">
        <v>0.19</v>
      </c>
      <c r="BG128" s="17">
        <v>209</v>
      </c>
      <c r="BH128" t="s">
        <v>93</v>
      </c>
      <c r="BI128" t="s">
        <v>94</v>
      </c>
      <c r="BJ128" t="s">
        <v>95</v>
      </c>
      <c r="BK128" t="s">
        <v>85</v>
      </c>
      <c r="BL128" t="s">
        <v>85</v>
      </c>
      <c r="BM128" t="s">
        <v>273</v>
      </c>
      <c r="BN128" t="s">
        <v>92</v>
      </c>
      <c r="BO128" t="s">
        <v>98</v>
      </c>
      <c r="BP128" t="s">
        <v>99</v>
      </c>
      <c r="BQ128" t="s">
        <v>92</v>
      </c>
      <c r="BR128" t="s">
        <v>100</v>
      </c>
      <c r="BS128" t="s">
        <v>156</v>
      </c>
      <c r="BT128" t="s">
        <v>99</v>
      </c>
      <c r="BU128" s="17">
        <v>6.8</v>
      </c>
      <c r="BV128" t="s">
        <v>101</v>
      </c>
      <c r="BW128" t="s">
        <v>85</v>
      </c>
      <c r="BX128" t="s">
        <v>85</v>
      </c>
      <c r="BY128" t="str">
        <f>IF(COUNTIF('Data Upload-prod'!E:E,F128)=0,"Missing","Exist")</f>
        <v>Missing</v>
      </c>
    </row>
    <row r="129" hidden="1" spans="1:77">
      <c r="A129" s="16">
        <v>45895</v>
      </c>
      <c r="B129" s="16">
        <v>45895.5705579745</v>
      </c>
      <c r="C129" t="s">
        <v>269</v>
      </c>
      <c r="D129" t="s">
        <v>78</v>
      </c>
      <c r="E129" t="s">
        <v>418</v>
      </c>
      <c r="F129" t="s">
        <v>419</v>
      </c>
      <c r="G129" t="s">
        <v>81</v>
      </c>
      <c r="H129" t="s">
        <v>168</v>
      </c>
      <c r="I129" t="s">
        <v>124</v>
      </c>
      <c r="J129" s="17">
        <v>64.9224</v>
      </c>
      <c r="K129" s="17">
        <v>4239.1584</v>
      </c>
      <c r="L129" s="17">
        <v>1898.904</v>
      </c>
      <c r="M129" t="s">
        <v>84</v>
      </c>
      <c r="N129" t="s">
        <v>84</v>
      </c>
      <c r="O129" t="s">
        <v>84</v>
      </c>
      <c r="P129" t="s">
        <v>84</v>
      </c>
      <c r="Q129" s="17">
        <v>17596713.87</v>
      </c>
      <c r="R129" s="17">
        <v>35.28</v>
      </c>
      <c r="S129" t="s">
        <v>85</v>
      </c>
      <c r="T129" t="s">
        <v>84</v>
      </c>
      <c r="U129" t="s">
        <v>86</v>
      </c>
      <c r="V129" s="16">
        <v>44969</v>
      </c>
      <c r="W129" s="18">
        <v>44969.25</v>
      </c>
      <c r="X129" s="18">
        <v>45832.7291666667</v>
      </c>
      <c r="Y129" s="17">
        <v>4172.43768</v>
      </c>
      <c r="Z129" t="s">
        <v>87</v>
      </c>
      <c r="AA129" s="17">
        <v>4282.44</v>
      </c>
      <c r="AB129" s="17">
        <v>1917.86866</v>
      </c>
      <c r="AC129" t="s">
        <v>84</v>
      </c>
      <c r="AD129" t="s">
        <v>84</v>
      </c>
      <c r="AE129" t="s">
        <v>84</v>
      </c>
      <c r="AF129" t="s">
        <v>84</v>
      </c>
      <c r="AG129" s="17">
        <v>27416870.86</v>
      </c>
      <c r="AH129" s="17">
        <v>216.41</v>
      </c>
      <c r="AI129" s="17">
        <v>27.98</v>
      </c>
      <c r="AJ129" s="17">
        <v>12.84</v>
      </c>
      <c r="AK129" t="s">
        <v>114</v>
      </c>
      <c r="AM129" s="17">
        <v>2.2</v>
      </c>
      <c r="AN129" s="17"/>
      <c r="AO129" s="17">
        <v>915</v>
      </c>
      <c r="AP129" s="17"/>
      <c r="AQ129" s="17">
        <v>1450</v>
      </c>
      <c r="AR129" s="17"/>
      <c r="AS129" s="17">
        <v>1.76</v>
      </c>
      <c r="AT129" s="17"/>
      <c r="AU129" s="17">
        <v>756</v>
      </c>
      <c r="AV129" s="17"/>
      <c r="AW129" s="17">
        <v>2076</v>
      </c>
      <c r="AX129" s="17"/>
      <c r="AY129" s="17">
        <v>10.02</v>
      </c>
      <c r="AZ129" s="17">
        <v>4510582</v>
      </c>
      <c r="BA129" t="s">
        <v>265</v>
      </c>
      <c r="BB129" s="17">
        <v>0.7</v>
      </c>
      <c r="BC129" s="17">
        <v>373</v>
      </c>
      <c r="BD129" s="17">
        <v>16.79</v>
      </c>
      <c r="BE129" s="17">
        <v>17662452.03</v>
      </c>
      <c r="BF129" s="17">
        <v>1.46</v>
      </c>
      <c r="BG129" s="17">
        <v>611</v>
      </c>
      <c r="BH129" t="s">
        <v>93</v>
      </c>
      <c r="BI129" t="s">
        <v>94</v>
      </c>
      <c r="BJ129" t="s">
        <v>173</v>
      </c>
      <c r="BK129" t="s">
        <v>85</v>
      </c>
      <c r="BL129" t="s">
        <v>85</v>
      </c>
      <c r="BM129" t="s">
        <v>273</v>
      </c>
      <c r="BN129" t="s">
        <v>129</v>
      </c>
      <c r="BO129" t="s">
        <v>98</v>
      </c>
      <c r="BP129" t="s">
        <v>99</v>
      </c>
      <c r="BQ129" s="17">
        <v>30</v>
      </c>
      <c r="BR129" t="s">
        <v>138</v>
      </c>
      <c r="BS129" t="s">
        <v>156</v>
      </c>
      <c r="BT129" t="s">
        <v>99</v>
      </c>
      <c r="BU129" s="17">
        <v>8.5</v>
      </c>
      <c r="BV129" t="s">
        <v>110</v>
      </c>
      <c r="BW129" t="s">
        <v>85</v>
      </c>
      <c r="BX129" t="s">
        <v>85</v>
      </c>
      <c r="BY129" t="str">
        <f>IF(COUNTIF('Data Upload-prod'!E:E,F129)=0,"Missing","Exist")</f>
        <v>Missing</v>
      </c>
    </row>
    <row r="130" hidden="1" spans="1:77">
      <c r="A130" s="16">
        <v>45889</v>
      </c>
      <c r="B130" s="16">
        <v>45890.4206013542</v>
      </c>
      <c r="C130" t="s">
        <v>132</v>
      </c>
      <c r="D130" t="s">
        <v>78</v>
      </c>
      <c r="E130" t="s">
        <v>306</v>
      </c>
      <c r="F130" t="s">
        <v>420</v>
      </c>
      <c r="G130" t="s">
        <v>81</v>
      </c>
      <c r="H130" t="s">
        <v>365</v>
      </c>
      <c r="I130" t="s">
        <v>124</v>
      </c>
      <c r="J130" s="17">
        <v>65.7</v>
      </c>
      <c r="K130" s="17">
        <v>3057</v>
      </c>
      <c r="L130" s="17">
        <v>1067</v>
      </c>
      <c r="M130" t="s">
        <v>84</v>
      </c>
      <c r="N130" t="s">
        <v>84</v>
      </c>
      <c r="O130" t="s">
        <v>84</v>
      </c>
      <c r="P130" t="s">
        <v>84</v>
      </c>
      <c r="Q130" s="17">
        <v>22573193</v>
      </c>
      <c r="R130" s="17">
        <v>46.21</v>
      </c>
      <c r="S130" t="s">
        <v>106</v>
      </c>
      <c r="T130" t="s">
        <v>84</v>
      </c>
      <c r="U130" t="s">
        <v>86</v>
      </c>
      <c r="V130" s="16">
        <v>45783</v>
      </c>
      <c r="W130" s="18">
        <v>45762</v>
      </c>
      <c r="X130" s="18">
        <v>45830.625</v>
      </c>
      <c r="Y130" s="17">
        <v>1560.54</v>
      </c>
      <c r="Z130" t="s">
        <v>87</v>
      </c>
      <c r="AA130" s="17">
        <v>3023.5</v>
      </c>
      <c r="AB130" s="17">
        <v>1067</v>
      </c>
      <c r="AC130" t="s">
        <v>84</v>
      </c>
      <c r="AD130" t="s">
        <v>84</v>
      </c>
      <c r="AE130" t="s">
        <v>84</v>
      </c>
      <c r="AF130" t="s">
        <v>84</v>
      </c>
      <c r="AG130" s="17">
        <v>26673494.62</v>
      </c>
      <c r="AH130" s="17">
        <v>52</v>
      </c>
      <c r="AI130" s="17">
        <v>43.81</v>
      </c>
      <c r="AJ130" s="17">
        <v>48.52</v>
      </c>
      <c r="AK130" t="s">
        <v>298</v>
      </c>
      <c r="AM130" s="17">
        <v>1.8</v>
      </c>
      <c r="AN130" s="17"/>
      <c r="AO130" s="17">
        <v>600</v>
      </c>
      <c r="AP130" s="17"/>
      <c r="AQ130" s="17">
        <v>1580</v>
      </c>
      <c r="AR130" s="17"/>
      <c r="AS130" s="17">
        <v>3.49</v>
      </c>
      <c r="AT130" s="17"/>
      <c r="AU130" s="17">
        <v>1425.86</v>
      </c>
      <c r="AV130" s="17"/>
      <c r="AW130" s="17">
        <v>2432.66</v>
      </c>
      <c r="AX130" s="17"/>
      <c r="AY130" s="17">
        <v>17.21</v>
      </c>
      <c r="AZ130" s="17">
        <v>9501217</v>
      </c>
      <c r="BA130" t="s">
        <v>366</v>
      </c>
      <c r="BB130" s="17">
        <v>1</v>
      </c>
      <c r="BC130" s="17">
        <v>451</v>
      </c>
      <c r="BD130" s="17">
        <v>11.06</v>
      </c>
      <c r="BE130" s="17">
        <v>6137292.27</v>
      </c>
      <c r="BF130" s="17">
        <v>1.11</v>
      </c>
      <c r="BG130" s="17">
        <v>949.91</v>
      </c>
      <c r="BH130" t="s">
        <v>93</v>
      </c>
      <c r="BI130" t="s">
        <v>94</v>
      </c>
      <c r="BJ130" t="s">
        <v>367</v>
      </c>
      <c r="BK130" t="s">
        <v>421</v>
      </c>
      <c r="BL130" t="s">
        <v>85</v>
      </c>
      <c r="BM130" t="s">
        <v>96</v>
      </c>
      <c r="BN130" t="s">
        <v>266</v>
      </c>
      <c r="BO130" t="s">
        <v>98</v>
      </c>
      <c r="BP130" t="s">
        <v>103</v>
      </c>
      <c r="BQ130" s="17">
        <v>500</v>
      </c>
      <c r="BR130" t="s">
        <v>100</v>
      </c>
      <c r="BS130" t="s">
        <v>92</v>
      </c>
      <c r="BT130" t="s">
        <v>103</v>
      </c>
      <c r="BU130" t="s">
        <v>92</v>
      </c>
      <c r="BV130" t="s">
        <v>92</v>
      </c>
      <c r="BW130" t="s">
        <v>92</v>
      </c>
      <c r="BX130" t="s">
        <v>266</v>
      </c>
      <c r="BY130" t="str">
        <f>IF(COUNTIF('Data Upload-prod'!E:E,F130)=0,"Missing","Exist")</f>
        <v>Missing</v>
      </c>
    </row>
    <row r="131" hidden="1" spans="1:77">
      <c r="A131" s="16">
        <v>45883</v>
      </c>
      <c r="B131" s="16">
        <v>45982.7141145718</v>
      </c>
      <c r="C131" t="s">
        <v>132</v>
      </c>
      <c r="D131" t="s">
        <v>78</v>
      </c>
      <c r="E131" t="s">
        <v>422</v>
      </c>
      <c r="F131" t="s">
        <v>423</v>
      </c>
      <c r="G131" t="s">
        <v>145</v>
      </c>
      <c r="H131" t="s">
        <v>363</v>
      </c>
      <c r="I131" t="s">
        <v>124</v>
      </c>
      <c r="J131" s="17">
        <v>70</v>
      </c>
      <c r="K131" s="17">
        <v>2821</v>
      </c>
      <c r="L131" s="17">
        <v>2801</v>
      </c>
      <c r="M131" t="s">
        <v>84</v>
      </c>
      <c r="N131" s="17">
        <v>27071469.72</v>
      </c>
      <c r="O131" t="s">
        <v>84</v>
      </c>
      <c r="P131" s="17">
        <v>50.51</v>
      </c>
      <c r="Q131" t="s">
        <v>84</v>
      </c>
      <c r="R131" t="s">
        <v>84</v>
      </c>
      <c r="S131" t="s">
        <v>85</v>
      </c>
      <c r="T131" t="s">
        <v>84</v>
      </c>
      <c r="U131" t="s">
        <v>86</v>
      </c>
      <c r="V131" s="16">
        <v>45892</v>
      </c>
      <c r="W131" s="18">
        <v>45882.34375</v>
      </c>
      <c r="X131" s="18">
        <v>45928.6354166667</v>
      </c>
      <c r="Y131" s="17">
        <v>2701.3</v>
      </c>
      <c r="Z131" t="s">
        <v>87</v>
      </c>
      <c r="AA131" s="17">
        <v>2803</v>
      </c>
      <c r="AB131" s="17">
        <v>2782.96</v>
      </c>
      <c r="AC131" t="s">
        <v>84</v>
      </c>
      <c r="AD131" s="17">
        <v>23496222.34</v>
      </c>
      <c r="AE131" t="s">
        <v>84</v>
      </c>
      <c r="AF131" s="17">
        <v>46.29</v>
      </c>
      <c r="AG131" s="17">
        <v>23496222.34</v>
      </c>
      <c r="AH131" s="17">
        <v>46.29</v>
      </c>
      <c r="AI131" s="17">
        <v>5.06</v>
      </c>
      <c r="AJ131" s="17">
        <v>1.69</v>
      </c>
      <c r="AK131" t="s">
        <v>424</v>
      </c>
      <c r="AM131" s="17">
        <v>3.5</v>
      </c>
      <c r="AN131" s="17"/>
      <c r="AO131" s="17">
        <v>2280</v>
      </c>
      <c r="AP131" s="17"/>
      <c r="AQ131" s="17">
        <v>3980</v>
      </c>
      <c r="AR131" s="17"/>
      <c r="AS131" s="17">
        <v>1.23</v>
      </c>
      <c r="AT131" s="17"/>
      <c r="AU131" s="17">
        <v>766</v>
      </c>
      <c r="AV131" s="17"/>
      <c r="AW131" s="17">
        <v>2201</v>
      </c>
      <c r="AX131" s="17"/>
      <c r="AY131" t="s">
        <v>92</v>
      </c>
      <c r="AZ131" t="s">
        <v>92</v>
      </c>
      <c r="BA131" t="s">
        <v>92</v>
      </c>
      <c r="BB131" t="s">
        <v>92</v>
      </c>
      <c r="BC131" t="s">
        <v>92</v>
      </c>
      <c r="BD131" t="s">
        <v>92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92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92</v>
      </c>
      <c r="BS131" t="s">
        <v>92</v>
      </c>
      <c r="BT131" t="s">
        <v>92</v>
      </c>
      <c r="BU131" t="s">
        <v>92</v>
      </c>
      <c r="BV131" t="s">
        <v>92</v>
      </c>
      <c r="BW131" t="s">
        <v>92</v>
      </c>
      <c r="BX131" t="s">
        <v>92</v>
      </c>
      <c r="BY131" t="str">
        <f>IF(COUNTIF('Data Upload-prod'!E:E,F131)=0,"Missing","Exist")</f>
        <v>Missing</v>
      </c>
    </row>
    <row r="132" hidden="1" spans="1:77">
      <c r="A132" s="16">
        <v>45883</v>
      </c>
      <c r="B132" s="16">
        <v>45972.8113070718</v>
      </c>
      <c r="C132" t="s">
        <v>132</v>
      </c>
      <c r="D132" t="s">
        <v>142</v>
      </c>
      <c r="E132" t="s">
        <v>170</v>
      </c>
      <c r="F132" t="s">
        <v>425</v>
      </c>
      <c r="G132" t="s">
        <v>81</v>
      </c>
      <c r="H132" t="s">
        <v>405</v>
      </c>
      <c r="I132" t="s">
        <v>124</v>
      </c>
      <c r="J132" s="17">
        <v>10.9</v>
      </c>
      <c r="K132" s="17">
        <v>2055.78</v>
      </c>
      <c r="L132" s="17">
        <v>1778.33</v>
      </c>
      <c r="M132" t="s">
        <v>84</v>
      </c>
      <c r="N132" t="s">
        <v>84</v>
      </c>
      <c r="O132" t="s">
        <v>84</v>
      </c>
      <c r="P132" t="s">
        <v>84</v>
      </c>
      <c r="Q132" s="17">
        <v>14956278.38</v>
      </c>
      <c r="R132" s="17">
        <v>26.15</v>
      </c>
      <c r="S132" t="s">
        <v>106</v>
      </c>
      <c r="T132" t="s">
        <v>84</v>
      </c>
      <c r="U132" t="s">
        <v>86</v>
      </c>
      <c r="V132" s="16">
        <v>45901</v>
      </c>
      <c r="W132" s="18">
        <v>45895</v>
      </c>
      <c r="X132" s="18">
        <v>45919.4166666667</v>
      </c>
      <c r="Y132" s="17">
        <v>1869.39</v>
      </c>
      <c r="Z132" t="s">
        <v>87</v>
      </c>
      <c r="AA132" s="17">
        <v>2061.26</v>
      </c>
      <c r="AB132" s="17">
        <v>1783.3</v>
      </c>
      <c r="AC132" t="s">
        <v>84</v>
      </c>
      <c r="AD132" t="s">
        <v>84</v>
      </c>
      <c r="AE132" t="s">
        <v>84</v>
      </c>
      <c r="AF132" t="s">
        <v>84</v>
      </c>
      <c r="AG132" s="17">
        <v>6668681.27</v>
      </c>
      <c r="AH132" s="17">
        <v>19.93</v>
      </c>
      <c r="AI132" s="17">
        <v>19.97</v>
      </c>
      <c r="AJ132" s="17">
        <v>19.65</v>
      </c>
      <c r="AK132" t="s">
        <v>89</v>
      </c>
      <c r="AM132" s="17">
        <v>2.4</v>
      </c>
      <c r="AN132" s="17"/>
      <c r="AO132" s="17">
        <v>795</v>
      </c>
      <c r="AP132" s="17"/>
      <c r="AQ132" s="17">
        <v>2160</v>
      </c>
      <c r="AR132" s="17"/>
      <c r="AS132" s="17">
        <v>1.1</v>
      </c>
      <c r="AT132" s="17"/>
      <c r="AU132" s="17">
        <v>408</v>
      </c>
      <c r="AV132" s="17"/>
      <c r="AW132" s="17">
        <v>1672.67</v>
      </c>
      <c r="AX132" s="17"/>
      <c r="AY132" s="17">
        <v>2.06</v>
      </c>
      <c r="AZ132" s="17">
        <v>1568611</v>
      </c>
      <c r="BA132" t="s">
        <v>416</v>
      </c>
      <c r="BB132" s="17">
        <v>2</v>
      </c>
      <c r="BC132" s="17">
        <v>789</v>
      </c>
      <c r="BD132" s="17">
        <v>5.8</v>
      </c>
      <c r="BE132" s="17">
        <v>1957413.38</v>
      </c>
      <c r="BF132" s="17">
        <v>0.81</v>
      </c>
      <c r="BG132" s="17">
        <v>289</v>
      </c>
      <c r="BH132" t="s">
        <v>93</v>
      </c>
      <c r="BI132" t="s">
        <v>94</v>
      </c>
      <c r="BJ132" t="s">
        <v>92</v>
      </c>
      <c r="BK132" t="s">
        <v>85</v>
      </c>
      <c r="BL132" t="s">
        <v>85</v>
      </c>
      <c r="BM132" t="s">
        <v>96</v>
      </c>
      <c r="BN132" t="s">
        <v>92</v>
      </c>
      <c r="BO132" t="s">
        <v>98</v>
      </c>
      <c r="BP132" t="s">
        <v>99</v>
      </c>
      <c r="BQ132" t="s">
        <v>92</v>
      </c>
      <c r="BR132" t="s">
        <v>100</v>
      </c>
      <c r="BS132" t="s">
        <v>92</v>
      </c>
      <c r="BT132" t="s">
        <v>92</v>
      </c>
      <c r="BU132" s="17">
        <v>8.5</v>
      </c>
      <c r="BV132" t="s">
        <v>131</v>
      </c>
      <c r="BW132" t="s">
        <v>92</v>
      </c>
      <c r="BX132" t="s">
        <v>92</v>
      </c>
      <c r="BY132" t="str">
        <f>IF(COUNTIF('Data Upload-prod'!E:E,F132)=0,"Missing","Exist")</f>
        <v>Missing</v>
      </c>
    </row>
    <row r="133" hidden="1" spans="1:77">
      <c r="A133" s="16">
        <v>45862</v>
      </c>
      <c r="B133" s="16">
        <v>45884.8563495486</v>
      </c>
      <c r="C133" t="s">
        <v>346</v>
      </c>
      <c r="D133" t="s">
        <v>78</v>
      </c>
      <c r="E133" t="s">
        <v>157</v>
      </c>
      <c r="F133" t="s">
        <v>426</v>
      </c>
      <c r="G133" t="s">
        <v>81</v>
      </c>
      <c r="H133" t="s">
        <v>427</v>
      </c>
      <c r="I133" t="s">
        <v>124</v>
      </c>
      <c r="J133" s="17">
        <v>58</v>
      </c>
      <c r="K133" s="17">
        <v>5315</v>
      </c>
      <c r="L133" s="17">
        <v>2635</v>
      </c>
      <c r="M133" t="s">
        <v>84</v>
      </c>
      <c r="N133" t="s">
        <v>84</v>
      </c>
      <c r="O133" t="s">
        <v>84</v>
      </c>
      <c r="P133" t="s">
        <v>84</v>
      </c>
      <c r="Q133" s="17">
        <v>25075234.9</v>
      </c>
      <c r="R133" s="17">
        <v>49.69</v>
      </c>
      <c r="S133" t="s">
        <v>92</v>
      </c>
      <c r="T133" t="s">
        <v>84</v>
      </c>
      <c r="U133" t="s">
        <v>86</v>
      </c>
      <c r="V133" s="16">
        <v>45781</v>
      </c>
      <c r="W133" s="18">
        <v>45781.375</v>
      </c>
      <c r="X133" s="18">
        <v>45823</v>
      </c>
      <c r="Y133" s="17">
        <v>5043</v>
      </c>
      <c r="Z133" t="s">
        <v>87</v>
      </c>
      <c r="AA133" s="17">
        <v>5250</v>
      </c>
      <c r="AB133" s="17">
        <v>2618</v>
      </c>
      <c r="AC133" t="s">
        <v>84</v>
      </c>
      <c r="AD133" t="s">
        <v>84</v>
      </c>
      <c r="AE133" t="s">
        <v>84</v>
      </c>
      <c r="AF133" t="s">
        <v>84</v>
      </c>
      <c r="AG133" s="17">
        <v>24011674.05</v>
      </c>
      <c r="AH133" s="17">
        <v>61.23</v>
      </c>
      <c r="AI133" s="17">
        <v>13.88</v>
      </c>
      <c r="AJ133" s="17">
        <v>13.88</v>
      </c>
      <c r="AK133" t="s">
        <v>208</v>
      </c>
      <c r="AM133" s="17">
        <v>2.1</v>
      </c>
      <c r="AN133" s="17"/>
      <c r="AO133" s="17">
        <v>700</v>
      </c>
      <c r="AP133" s="17"/>
      <c r="AQ133" s="17">
        <v>1220</v>
      </c>
      <c r="AR133" s="17"/>
      <c r="AS133" s="17">
        <v>1.9</v>
      </c>
      <c r="AT133" s="17"/>
      <c r="AU133" s="17">
        <v>718</v>
      </c>
      <c r="AV133" s="17"/>
      <c r="AW133" s="17">
        <v>1196.3</v>
      </c>
      <c r="AX133" s="17"/>
      <c r="AY133" s="17">
        <v>4.52</v>
      </c>
      <c r="AZ133" s="17">
        <v>4709214.96</v>
      </c>
      <c r="BA133" t="s">
        <v>272</v>
      </c>
      <c r="BB133" s="17">
        <v>1</v>
      </c>
      <c r="BC133" s="17">
        <v>390</v>
      </c>
      <c r="BD133" s="17">
        <v>5.6</v>
      </c>
      <c r="BE133" s="17">
        <v>5102919.16</v>
      </c>
      <c r="BF133" s="17">
        <v>0.33</v>
      </c>
      <c r="BG133" s="17">
        <v>302</v>
      </c>
      <c r="BH133" t="s">
        <v>93</v>
      </c>
      <c r="BI133" t="s">
        <v>94</v>
      </c>
      <c r="BJ133" t="s">
        <v>95</v>
      </c>
      <c r="BK133" t="s">
        <v>85</v>
      </c>
      <c r="BL133" t="s">
        <v>85</v>
      </c>
      <c r="BM133" t="s">
        <v>159</v>
      </c>
      <c r="BN133" t="s">
        <v>337</v>
      </c>
      <c r="BO133" t="s">
        <v>98</v>
      </c>
      <c r="BP133" t="s">
        <v>99</v>
      </c>
      <c r="BQ133" s="17">
        <v>68.3</v>
      </c>
      <c r="BR133" t="s">
        <v>100</v>
      </c>
      <c r="BS133" t="s">
        <v>156</v>
      </c>
      <c r="BT133" t="s">
        <v>99</v>
      </c>
      <c r="BU133" s="17">
        <v>6.8</v>
      </c>
      <c r="BV133" t="s">
        <v>101</v>
      </c>
      <c r="BW133" t="s">
        <v>85</v>
      </c>
      <c r="BX133" t="s">
        <v>85</v>
      </c>
      <c r="BY133" t="str">
        <f>IF(COUNTIF('Data Upload-prod'!E:E,F133)=0,"Missing","Exist")</f>
        <v>Missing</v>
      </c>
    </row>
    <row r="134" hidden="1" spans="1:77">
      <c r="A134" s="16">
        <v>45853</v>
      </c>
      <c r="B134" s="16">
        <v>45877.3892095718</v>
      </c>
      <c r="C134" t="s">
        <v>141</v>
      </c>
      <c r="D134" t="s">
        <v>120</v>
      </c>
      <c r="E134" t="s">
        <v>428</v>
      </c>
      <c r="F134" t="s">
        <v>429</v>
      </c>
      <c r="G134" t="s">
        <v>81</v>
      </c>
      <c r="H134" t="s">
        <v>377</v>
      </c>
      <c r="I134" t="s">
        <v>147</v>
      </c>
      <c r="J134" s="17">
        <v>887</v>
      </c>
      <c r="K134" s="17">
        <v>2682</v>
      </c>
      <c r="L134" s="17">
        <v>2066</v>
      </c>
      <c r="M134" t="s">
        <v>84</v>
      </c>
      <c r="N134" t="s">
        <v>84</v>
      </c>
      <c r="O134" t="s">
        <v>84</v>
      </c>
      <c r="P134" t="s">
        <v>84</v>
      </c>
      <c r="Q134" s="17">
        <v>78590000</v>
      </c>
      <c r="R134" s="17">
        <v>51.25</v>
      </c>
      <c r="S134" t="s">
        <v>85</v>
      </c>
      <c r="T134" t="s">
        <v>84</v>
      </c>
      <c r="U134" t="s">
        <v>320</v>
      </c>
      <c r="V134" s="16">
        <v>45732</v>
      </c>
      <c r="W134" s="18">
        <v>45732.6458333333</v>
      </c>
      <c r="X134" s="18">
        <v>45816.625</v>
      </c>
      <c r="Y134" s="17">
        <v>1850</v>
      </c>
      <c r="Z134" t="s">
        <v>148</v>
      </c>
      <c r="AA134" s="17">
        <v>2826</v>
      </c>
      <c r="AB134" s="17">
        <v>2097</v>
      </c>
      <c r="AC134" t="s">
        <v>84</v>
      </c>
      <c r="AD134" t="s">
        <v>84</v>
      </c>
      <c r="AE134" t="s">
        <v>84</v>
      </c>
      <c r="AF134" t="s">
        <v>84</v>
      </c>
      <c r="AG134" s="17">
        <v>61400000</v>
      </c>
      <c r="AH134" s="17">
        <v>40.42</v>
      </c>
      <c r="AI134" s="17">
        <v>15.6</v>
      </c>
      <c r="AJ134" s="17">
        <v>15.6</v>
      </c>
      <c r="AK134" t="s">
        <v>430</v>
      </c>
      <c r="AM134" s="17">
        <v>4</v>
      </c>
      <c r="AN134" s="17"/>
      <c r="AO134" s="17">
        <v>3640</v>
      </c>
      <c r="AP134" s="17"/>
      <c r="AQ134" s="17">
        <v>8010</v>
      </c>
      <c r="AR134" s="17"/>
      <c r="AS134" s="17">
        <v>3.09</v>
      </c>
      <c r="AT134" s="17"/>
      <c r="AU134" s="17">
        <v>3775</v>
      </c>
      <c r="AV134" s="17"/>
      <c r="AW134" s="17">
        <v>10119</v>
      </c>
      <c r="AX134" s="17"/>
      <c r="AY134" s="17">
        <v>11.01</v>
      </c>
      <c r="AZ134" s="17">
        <v>24710000</v>
      </c>
      <c r="BA134" t="s">
        <v>431</v>
      </c>
      <c r="BB134" s="17">
        <v>1.3</v>
      </c>
      <c r="BC134" s="17">
        <v>1449</v>
      </c>
      <c r="BD134" s="17">
        <v>13.9</v>
      </c>
      <c r="BE134" s="17">
        <v>24510000</v>
      </c>
      <c r="BF134" s="17">
        <v>1.5</v>
      </c>
      <c r="BG134" s="17">
        <v>2644</v>
      </c>
      <c r="BH134" t="s">
        <v>127</v>
      </c>
      <c r="BI134" t="s">
        <v>94</v>
      </c>
      <c r="BJ134" t="s">
        <v>109</v>
      </c>
      <c r="BK134" t="s">
        <v>85</v>
      </c>
      <c r="BL134" t="s">
        <v>85</v>
      </c>
      <c r="BM134" t="s">
        <v>137</v>
      </c>
      <c r="BN134" t="s">
        <v>129</v>
      </c>
      <c r="BO134" t="s">
        <v>98</v>
      </c>
      <c r="BP134" t="s">
        <v>255</v>
      </c>
      <c r="BQ134" s="17">
        <v>1481</v>
      </c>
      <c r="BR134" t="s">
        <v>138</v>
      </c>
      <c r="BS134" t="s">
        <v>156</v>
      </c>
      <c r="BT134" t="s">
        <v>255</v>
      </c>
      <c r="BU134" s="17">
        <v>10.2</v>
      </c>
      <c r="BV134" t="s">
        <v>256</v>
      </c>
      <c r="BW134" t="s">
        <v>85</v>
      </c>
      <c r="BX134" t="s">
        <v>85</v>
      </c>
      <c r="BY134" t="str">
        <f>IF(COUNTIF('Data Upload-prod'!E:E,F134)=0,"Missing","Exist")</f>
        <v>Missing</v>
      </c>
    </row>
    <row r="135" hidden="1" spans="1:77">
      <c r="A135" s="16">
        <v>45853</v>
      </c>
      <c r="B135" s="16">
        <v>45854.4702311574</v>
      </c>
      <c r="C135" t="s">
        <v>141</v>
      </c>
      <c r="D135" t="s">
        <v>120</v>
      </c>
      <c r="E135" t="s">
        <v>428</v>
      </c>
      <c r="F135" t="s">
        <v>432</v>
      </c>
      <c r="G135" t="s">
        <v>81</v>
      </c>
      <c r="H135" t="s">
        <v>377</v>
      </c>
      <c r="I135" t="s">
        <v>147</v>
      </c>
      <c r="J135" s="17">
        <v>891.6</v>
      </c>
      <c r="K135" s="17">
        <v>2750.5</v>
      </c>
      <c r="L135" s="17">
        <v>2134</v>
      </c>
      <c r="M135" t="s">
        <v>84</v>
      </c>
      <c r="N135" t="s">
        <v>84</v>
      </c>
      <c r="O135" t="s">
        <v>84</v>
      </c>
      <c r="P135" t="s">
        <v>84</v>
      </c>
      <c r="Q135" s="17">
        <v>77510000</v>
      </c>
      <c r="R135" s="17">
        <v>49</v>
      </c>
      <c r="S135" t="s">
        <v>85</v>
      </c>
      <c r="T135" t="s">
        <v>84</v>
      </c>
      <c r="U135" t="s">
        <v>320</v>
      </c>
      <c r="V135" s="16">
        <v>45730</v>
      </c>
      <c r="W135" s="18">
        <v>45720.2916666667</v>
      </c>
      <c r="X135" s="18">
        <v>45793.8958333333</v>
      </c>
      <c r="Y135" s="17">
        <v>1872</v>
      </c>
      <c r="Z135" t="s">
        <v>148</v>
      </c>
      <c r="AA135" s="17">
        <v>2789</v>
      </c>
      <c r="AB135" s="17">
        <v>2134</v>
      </c>
      <c r="AC135" t="s">
        <v>84</v>
      </c>
      <c r="AD135" t="s">
        <v>84</v>
      </c>
      <c r="AE135" t="s">
        <v>84</v>
      </c>
      <c r="AF135" t="s">
        <v>84</v>
      </c>
      <c r="AG135" s="17">
        <v>75600000</v>
      </c>
      <c r="AH135" s="17">
        <v>55.92</v>
      </c>
      <c r="AI135" s="17">
        <v>18.56</v>
      </c>
      <c r="AJ135" s="17">
        <v>18.27</v>
      </c>
      <c r="AK135" t="s">
        <v>430</v>
      </c>
      <c r="AM135" s="17">
        <v>4</v>
      </c>
      <c r="AN135" s="17"/>
      <c r="AO135" s="17">
        <v>3640</v>
      </c>
      <c r="AP135" s="17"/>
      <c r="AQ135" s="17">
        <v>8010</v>
      </c>
      <c r="AR135" s="17"/>
      <c r="AS135" s="17">
        <v>2.55</v>
      </c>
      <c r="AT135" s="17"/>
      <c r="AU135" s="17">
        <v>3436</v>
      </c>
      <c r="AV135" s="17"/>
      <c r="AW135" s="17">
        <v>12313</v>
      </c>
      <c r="AX135" s="17"/>
      <c r="AY135" s="17">
        <v>11.15</v>
      </c>
      <c r="AZ135" s="17">
        <v>25170000</v>
      </c>
      <c r="BA135" t="s">
        <v>431</v>
      </c>
      <c r="BB135" s="17">
        <v>1.3</v>
      </c>
      <c r="BC135" s="17">
        <v>1449</v>
      </c>
      <c r="BD135" s="17">
        <v>17.18</v>
      </c>
      <c r="BE135" s="17">
        <v>27640000</v>
      </c>
      <c r="BF135" s="17">
        <v>1.88</v>
      </c>
      <c r="BG135" s="17">
        <v>3021</v>
      </c>
      <c r="BH135" t="s">
        <v>127</v>
      </c>
      <c r="BI135" t="s">
        <v>94</v>
      </c>
      <c r="BJ135" t="s">
        <v>109</v>
      </c>
      <c r="BK135" t="s">
        <v>85</v>
      </c>
      <c r="BL135" t="s">
        <v>85</v>
      </c>
      <c r="BM135" t="s">
        <v>137</v>
      </c>
      <c r="BN135" t="s">
        <v>129</v>
      </c>
      <c r="BO135" t="s">
        <v>98</v>
      </c>
      <c r="BP135" t="s">
        <v>255</v>
      </c>
      <c r="BQ135" s="17">
        <v>1648</v>
      </c>
      <c r="BR135" t="s">
        <v>138</v>
      </c>
      <c r="BS135" t="s">
        <v>156</v>
      </c>
      <c r="BT135" t="s">
        <v>255</v>
      </c>
      <c r="BU135" s="17">
        <v>10.2</v>
      </c>
      <c r="BV135" t="s">
        <v>256</v>
      </c>
      <c r="BW135" t="s">
        <v>85</v>
      </c>
      <c r="BX135" t="s">
        <v>85</v>
      </c>
      <c r="BY135" t="str">
        <f>IF(COUNTIF('Data Upload-prod'!E:E,F135)=0,"Missing","Exist")</f>
        <v>Missing</v>
      </c>
    </row>
    <row r="136" hidden="1" spans="1:77">
      <c r="A136" s="16">
        <v>45849</v>
      </c>
      <c r="B136" s="16">
        <v>45932.5821539583</v>
      </c>
      <c r="C136" t="s">
        <v>281</v>
      </c>
      <c r="D136" t="s">
        <v>78</v>
      </c>
      <c r="E136" t="s">
        <v>282</v>
      </c>
      <c r="F136" t="s">
        <v>433</v>
      </c>
      <c r="G136" t="s">
        <v>81</v>
      </c>
      <c r="H136" t="s">
        <v>247</v>
      </c>
      <c r="I136" t="s">
        <v>231</v>
      </c>
      <c r="J136" s="17">
        <v>73</v>
      </c>
      <c r="K136" s="17">
        <v>2878.3</v>
      </c>
      <c r="L136" s="17">
        <v>2286</v>
      </c>
      <c r="M136" t="s">
        <v>84</v>
      </c>
      <c r="N136" t="s">
        <v>84</v>
      </c>
      <c r="O136" t="s">
        <v>84</v>
      </c>
      <c r="P136" t="s">
        <v>84</v>
      </c>
      <c r="Q136" s="17">
        <v>10669048.2</v>
      </c>
      <c r="R136" s="17">
        <v>26.39</v>
      </c>
      <c r="S136" t="s">
        <v>92</v>
      </c>
      <c r="T136" t="s">
        <v>84</v>
      </c>
      <c r="U136" t="s">
        <v>86</v>
      </c>
      <c r="V136" s="16">
        <v>45851</v>
      </c>
      <c r="W136" s="18">
        <v>45847.2395833333</v>
      </c>
      <c r="X136" s="18">
        <v>45895.7916666667</v>
      </c>
      <c r="Y136" s="17">
        <v>2640</v>
      </c>
      <c r="Z136" t="s">
        <v>87</v>
      </c>
      <c r="AA136" t="s">
        <v>92</v>
      </c>
      <c r="AB136" t="s">
        <v>92</v>
      </c>
      <c r="AC136" t="s">
        <v>84</v>
      </c>
      <c r="AD136" t="s">
        <v>84</v>
      </c>
      <c r="AE136" t="s">
        <v>84</v>
      </c>
      <c r="AF136" t="s">
        <v>84</v>
      </c>
      <c r="AG136" s="17">
        <v>9207561</v>
      </c>
      <c r="AH136" s="17">
        <v>24.32</v>
      </c>
      <c r="AI136" s="17">
        <v>6.94</v>
      </c>
      <c r="AJ136" s="17">
        <v>3.38</v>
      </c>
      <c r="AK136" t="s">
        <v>208</v>
      </c>
      <c r="AM136" s="17">
        <v>2.1</v>
      </c>
      <c r="AN136" s="17"/>
      <c r="AO136" s="17">
        <v>700</v>
      </c>
      <c r="AP136" s="17"/>
      <c r="AQ136" s="17">
        <v>1220</v>
      </c>
      <c r="AR136" s="17"/>
      <c r="AS136" s="17">
        <v>1.6</v>
      </c>
      <c r="AT136" s="17"/>
      <c r="AU136" s="17">
        <v>523</v>
      </c>
      <c r="AV136" s="17"/>
      <c r="AW136" s="17">
        <v>1032</v>
      </c>
      <c r="AX136" s="17"/>
      <c r="AY136" s="17">
        <v>10.39</v>
      </c>
      <c r="AZ136" s="17">
        <v>4192950.8</v>
      </c>
      <c r="BA136" t="s">
        <v>272</v>
      </c>
      <c r="BB136" s="17">
        <v>1</v>
      </c>
      <c r="BC136" s="17">
        <v>390</v>
      </c>
      <c r="BD136" s="17">
        <v>5.96</v>
      </c>
      <c r="BE136" s="17">
        <v>3038708.88</v>
      </c>
      <c r="BF136" s="17">
        <v>0.5</v>
      </c>
      <c r="BG136" s="17">
        <v>226</v>
      </c>
      <c r="BH136" t="s">
        <v>93</v>
      </c>
      <c r="BI136" t="s">
        <v>94</v>
      </c>
      <c r="BJ136" t="s">
        <v>173</v>
      </c>
      <c r="BK136" t="s">
        <v>85</v>
      </c>
      <c r="BL136" t="s">
        <v>85</v>
      </c>
      <c r="BM136" t="s">
        <v>96</v>
      </c>
      <c r="BN136" t="s">
        <v>266</v>
      </c>
      <c r="BO136" t="s">
        <v>98</v>
      </c>
      <c r="BP136" t="s">
        <v>103</v>
      </c>
      <c r="BQ136" s="17">
        <v>52.5</v>
      </c>
      <c r="BR136" t="s">
        <v>138</v>
      </c>
      <c r="BS136" t="s">
        <v>156</v>
      </c>
      <c r="BT136" t="s">
        <v>103</v>
      </c>
      <c r="BU136" s="17">
        <v>8.6</v>
      </c>
      <c r="BV136" t="s">
        <v>131</v>
      </c>
      <c r="BW136" t="s">
        <v>85</v>
      </c>
      <c r="BX136" t="s">
        <v>85</v>
      </c>
      <c r="BY136" t="str">
        <f>IF(COUNTIF('Data Upload-prod'!E:E,F136)=0,"Missing","Exist")</f>
        <v>Missing</v>
      </c>
    </row>
    <row r="137" hidden="1" spans="1:77">
      <c r="A137" s="16">
        <v>45849</v>
      </c>
      <c r="B137" s="16">
        <v>45931.5062119792</v>
      </c>
      <c r="C137" t="s">
        <v>281</v>
      </c>
      <c r="D137" t="s">
        <v>78</v>
      </c>
      <c r="E137" t="s">
        <v>282</v>
      </c>
      <c r="F137" t="s">
        <v>434</v>
      </c>
      <c r="G137" t="s">
        <v>81</v>
      </c>
      <c r="H137" t="s">
        <v>247</v>
      </c>
      <c r="I137" t="s">
        <v>231</v>
      </c>
      <c r="J137" s="17">
        <v>73</v>
      </c>
      <c r="K137" s="17">
        <v>3027.6</v>
      </c>
      <c r="L137" s="17">
        <v>1325</v>
      </c>
      <c r="M137" t="s">
        <v>84</v>
      </c>
      <c r="N137" t="s">
        <v>84</v>
      </c>
      <c r="O137" t="s">
        <v>84</v>
      </c>
      <c r="P137" t="s">
        <v>84</v>
      </c>
      <c r="Q137" s="17">
        <v>11011582</v>
      </c>
      <c r="R137" s="17">
        <v>28.16</v>
      </c>
      <c r="S137" t="s">
        <v>92</v>
      </c>
      <c r="T137" t="s">
        <v>84</v>
      </c>
      <c r="U137" t="s">
        <v>86</v>
      </c>
      <c r="V137" s="16">
        <v>45852</v>
      </c>
      <c r="W137" s="18">
        <v>45847</v>
      </c>
      <c r="X137" s="18">
        <v>45890.8333333333</v>
      </c>
      <c r="Y137" s="17">
        <v>2845</v>
      </c>
      <c r="Z137" t="s">
        <v>87</v>
      </c>
      <c r="AA137" s="17">
        <v>3032</v>
      </c>
      <c r="AB137" s="17">
        <v>1327.68</v>
      </c>
      <c r="AC137" t="s">
        <v>84</v>
      </c>
      <c r="AD137" t="s">
        <v>84</v>
      </c>
      <c r="AE137" t="s">
        <v>84</v>
      </c>
      <c r="AF137" t="s">
        <v>84</v>
      </c>
      <c r="AG137" s="17">
        <v>9358745</v>
      </c>
      <c r="AH137" s="17">
        <v>24.47</v>
      </c>
      <c r="AI137" s="17">
        <v>0.34</v>
      </c>
      <c r="AJ137" s="17">
        <v>0.34</v>
      </c>
      <c r="AK137" t="s">
        <v>208</v>
      </c>
      <c r="AM137" s="17">
        <v>2.1</v>
      </c>
      <c r="AN137" s="17"/>
      <c r="AO137" s="17">
        <v>700</v>
      </c>
      <c r="AP137" s="17"/>
      <c r="AQ137" s="17">
        <v>1220</v>
      </c>
      <c r="AR137" s="17"/>
      <c r="AS137" s="17">
        <v>1</v>
      </c>
      <c r="AT137" s="17"/>
      <c r="AU137" s="17">
        <v>352</v>
      </c>
      <c r="AV137" s="17"/>
      <c r="AW137" s="17">
        <v>976</v>
      </c>
      <c r="AX137" s="17"/>
      <c r="AY137" s="17">
        <v>11.7</v>
      </c>
      <c r="AZ137" s="17">
        <v>5038674</v>
      </c>
      <c r="BA137" t="s">
        <v>272</v>
      </c>
      <c r="BB137" s="17">
        <v>1</v>
      </c>
      <c r="BC137" s="17">
        <v>390</v>
      </c>
      <c r="BD137" s="17">
        <v>9.58</v>
      </c>
      <c r="BE137" s="17">
        <v>4372785</v>
      </c>
      <c r="BF137" s="17">
        <v>0.8</v>
      </c>
      <c r="BG137" s="17">
        <v>339</v>
      </c>
      <c r="BH137" t="s">
        <v>93</v>
      </c>
      <c r="BI137" t="s">
        <v>94</v>
      </c>
      <c r="BJ137" t="s">
        <v>173</v>
      </c>
      <c r="BK137" t="s">
        <v>85</v>
      </c>
      <c r="BL137" t="s">
        <v>85</v>
      </c>
      <c r="BM137" t="s">
        <v>96</v>
      </c>
      <c r="BN137" t="s">
        <v>266</v>
      </c>
      <c r="BO137" t="s">
        <v>216</v>
      </c>
      <c r="BP137" t="s">
        <v>103</v>
      </c>
      <c r="BQ137" s="17">
        <v>96</v>
      </c>
      <c r="BR137" t="s">
        <v>138</v>
      </c>
      <c r="BS137" t="s">
        <v>156</v>
      </c>
      <c r="BT137" t="s">
        <v>103</v>
      </c>
      <c r="BU137" s="17">
        <v>8.9</v>
      </c>
      <c r="BV137" t="s">
        <v>191</v>
      </c>
      <c r="BW137" t="s">
        <v>85</v>
      </c>
      <c r="BX137" t="s">
        <v>85</v>
      </c>
      <c r="BY137" t="str">
        <f>IF(COUNTIF('Data Upload-prod'!E:E,F137)=0,"Missing","Exist")</f>
        <v>Missing</v>
      </c>
    </row>
    <row r="138" hidden="1" spans="1:77">
      <c r="A138" s="16">
        <v>45849</v>
      </c>
      <c r="B138" s="16">
        <v>45862.6471709259</v>
      </c>
      <c r="C138" t="s">
        <v>281</v>
      </c>
      <c r="D138" t="s">
        <v>78</v>
      </c>
      <c r="E138" t="s">
        <v>282</v>
      </c>
      <c r="F138" t="s">
        <v>435</v>
      </c>
      <c r="G138" t="s">
        <v>81</v>
      </c>
      <c r="H138" t="s">
        <v>247</v>
      </c>
      <c r="I138" t="s">
        <v>231</v>
      </c>
      <c r="J138" s="17">
        <v>73</v>
      </c>
      <c r="K138" s="17">
        <v>3296.44</v>
      </c>
      <c r="L138" s="17">
        <v>1653.53</v>
      </c>
      <c r="M138" t="s">
        <v>84</v>
      </c>
      <c r="N138" t="s">
        <v>84</v>
      </c>
      <c r="O138" t="s">
        <v>84</v>
      </c>
      <c r="P138" t="s">
        <v>84</v>
      </c>
      <c r="Q138" s="17">
        <v>14276250</v>
      </c>
      <c r="R138" s="17">
        <v>32.36</v>
      </c>
      <c r="S138" t="s">
        <v>85</v>
      </c>
      <c r="T138" t="s">
        <v>84</v>
      </c>
      <c r="U138" t="s">
        <v>86</v>
      </c>
      <c r="V138" s="16">
        <v>45743</v>
      </c>
      <c r="W138" s="18">
        <v>45741.5</v>
      </c>
      <c r="X138" s="18">
        <v>45801.5625</v>
      </c>
      <c r="Y138" s="17">
        <v>3832</v>
      </c>
      <c r="Z138" t="s">
        <v>87</v>
      </c>
      <c r="AA138" s="17">
        <v>3356</v>
      </c>
      <c r="AB138" s="17">
        <v>1646.2</v>
      </c>
      <c r="AC138" t="s">
        <v>84</v>
      </c>
      <c r="AD138" t="s">
        <v>84</v>
      </c>
      <c r="AE138" t="s">
        <v>84</v>
      </c>
      <c r="AF138" t="s">
        <v>84</v>
      </c>
      <c r="AG138" s="17">
        <v>17540387</v>
      </c>
      <c r="AH138" s="17">
        <v>61</v>
      </c>
      <c r="AI138" s="17">
        <v>28.2</v>
      </c>
      <c r="AJ138" s="17">
        <v>26</v>
      </c>
      <c r="AK138" t="s">
        <v>208</v>
      </c>
      <c r="AM138" s="17">
        <v>2.1</v>
      </c>
      <c r="AN138" s="17"/>
      <c r="AO138" s="17">
        <v>700</v>
      </c>
      <c r="AP138" s="17"/>
      <c r="AQ138" s="17">
        <v>1220</v>
      </c>
      <c r="AR138" s="17"/>
      <c r="AS138" s="17">
        <v>2.5</v>
      </c>
      <c r="AT138" s="17"/>
      <c r="AU138" s="17">
        <v>725</v>
      </c>
      <c r="AV138" s="17"/>
      <c r="AW138" s="17">
        <v>1405</v>
      </c>
      <c r="AX138" s="17"/>
      <c r="AY138" s="17">
        <v>12.07</v>
      </c>
      <c r="AZ138" s="17">
        <v>5463640</v>
      </c>
      <c r="BA138" t="s">
        <v>272</v>
      </c>
      <c r="BB138" s="17">
        <v>1</v>
      </c>
      <c r="BC138" s="17">
        <v>390</v>
      </c>
      <c r="BD138" s="17">
        <v>23.71</v>
      </c>
      <c r="BE138" s="17">
        <v>6706188.6</v>
      </c>
      <c r="BF138" s="17">
        <v>2.2</v>
      </c>
      <c r="BG138" s="17">
        <v>620</v>
      </c>
      <c r="BH138" t="s">
        <v>93</v>
      </c>
      <c r="BI138" t="s">
        <v>94</v>
      </c>
      <c r="BJ138" t="s">
        <v>173</v>
      </c>
      <c r="BK138" t="s">
        <v>436</v>
      </c>
      <c r="BL138" t="s">
        <v>85</v>
      </c>
      <c r="BM138" t="s">
        <v>96</v>
      </c>
      <c r="BN138" t="s">
        <v>337</v>
      </c>
      <c r="BO138" t="s">
        <v>216</v>
      </c>
      <c r="BP138" t="s">
        <v>103</v>
      </c>
      <c r="BQ138" s="17">
        <v>134.5</v>
      </c>
      <c r="BR138" t="s">
        <v>92</v>
      </c>
      <c r="BS138" t="s">
        <v>156</v>
      </c>
      <c r="BT138" t="s">
        <v>103</v>
      </c>
      <c r="BU138" s="17">
        <v>8.6</v>
      </c>
      <c r="BV138" t="s">
        <v>131</v>
      </c>
      <c r="BW138" t="s">
        <v>85</v>
      </c>
      <c r="BX138" t="s">
        <v>85</v>
      </c>
      <c r="BY138" t="str">
        <f>IF(COUNTIF('Data Upload-prod'!E:E,F138)=0,"Missing","Exist")</f>
        <v>Missing</v>
      </c>
    </row>
    <row r="139" hidden="1" spans="1:77">
      <c r="A139" s="16">
        <v>45849</v>
      </c>
      <c r="B139" s="16">
        <v>45875.7277765394</v>
      </c>
      <c r="C139" t="s">
        <v>281</v>
      </c>
      <c r="D139" t="s">
        <v>78</v>
      </c>
      <c r="E139" t="s">
        <v>282</v>
      </c>
      <c r="F139" t="s">
        <v>437</v>
      </c>
      <c r="G139" t="s">
        <v>81</v>
      </c>
      <c r="H139" t="s">
        <v>247</v>
      </c>
      <c r="I139" t="s">
        <v>231</v>
      </c>
      <c r="J139" s="17">
        <v>73</v>
      </c>
      <c r="K139" s="17">
        <v>2800</v>
      </c>
      <c r="L139" s="17">
        <v>1974.5</v>
      </c>
      <c r="M139" t="s">
        <v>84</v>
      </c>
      <c r="N139" t="s">
        <v>84</v>
      </c>
      <c r="O139" t="s">
        <v>84</v>
      </c>
      <c r="P139" t="s">
        <v>84</v>
      </c>
      <c r="Q139" s="17">
        <v>13028501.41</v>
      </c>
      <c r="R139" s="17">
        <v>30.17</v>
      </c>
      <c r="S139" t="s">
        <v>106</v>
      </c>
      <c r="T139" t="s">
        <v>84</v>
      </c>
      <c r="U139" t="s">
        <v>86</v>
      </c>
      <c r="V139" s="16">
        <v>25569</v>
      </c>
      <c r="W139" s="18">
        <v>45813.9479166667</v>
      </c>
      <c r="X139" s="18">
        <v>45834</v>
      </c>
      <c r="Y139" s="17">
        <v>2143</v>
      </c>
      <c r="Z139" t="s">
        <v>87</v>
      </c>
      <c r="AA139" s="17">
        <v>2563</v>
      </c>
      <c r="AB139" s="17">
        <v>1891.42</v>
      </c>
      <c r="AC139" t="s">
        <v>84</v>
      </c>
      <c r="AD139" t="s">
        <v>84</v>
      </c>
      <c r="AE139" t="s">
        <v>84</v>
      </c>
      <c r="AF139" t="s">
        <v>84</v>
      </c>
      <c r="AG139" s="17">
        <v>12951846.08</v>
      </c>
      <c r="AH139" s="17">
        <v>32.46</v>
      </c>
      <c r="AI139" s="17">
        <v>2.1</v>
      </c>
      <c r="AJ139" s="17">
        <v>1.4</v>
      </c>
      <c r="AK139" t="s">
        <v>298</v>
      </c>
      <c r="AM139" s="17">
        <v>1.8</v>
      </c>
      <c r="AN139" s="17"/>
      <c r="AO139" s="17">
        <v>600</v>
      </c>
      <c r="AP139" s="17"/>
      <c r="AQ139" s="17">
        <v>1670</v>
      </c>
      <c r="AR139" s="17"/>
      <c r="AS139" s="17">
        <v>1.3</v>
      </c>
      <c r="AT139" s="17"/>
      <c r="AU139" s="17">
        <v>546</v>
      </c>
      <c r="AV139" s="17"/>
      <c r="AW139" s="17">
        <v>1842</v>
      </c>
      <c r="AX139" s="17"/>
      <c r="AY139" s="17">
        <v>12.49</v>
      </c>
      <c r="AZ139" s="17">
        <v>5648193.47</v>
      </c>
      <c r="BA139" t="s">
        <v>272</v>
      </c>
      <c r="BB139" s="17">
        <v>1</v>
      </c>
      <c r="BC139" s="17">
        <v>390</v>
      </c>
      <c r="BD139" s="17">
        <v>8.77</v>
      </c>
      <c r="BE139" s="17">
        <v>4778251.21</v>
      </c>
      <c r="BF139" s="17">
        <v>1.1</v>
      </c>
      <c r="BG139" s="17">
        <v>569</v>
      </c>
      <c r="BH139" t="s">
        <v>93</v>
      </c>
      <c r="BI139" t="s">
        <v>94</v>
      </c>
      <c r="BJ139" t="s">
        <v>173</v>
      </c>
      <c r="BK139" t="s">
        <v>85</v>
      </c>
      <c r="BL139" t="s">
        <v>85</v>
      </c>
      <c r="BM139" t="s">
        <v>96</v>
      </c>
      <c r="BN139" t="s">
        <v>341</v>
      </c>
      <c r="BO139" t="s">
        <v>216</v>
      </c>
      <c r="BP139" t="s">
        <v>103</v>
      </c>
      <c r="BQ139" t="s">
        <v>92</v>
      </c>
      <c r="BR139" t="s">
        <v>92</v>
      </c>
      <c r="BS139" t="s">
        <v>156</v>
      </c>
      <c r="BT139" t="s">
        <v>103</v>
      </c>
      <c r="BU139" t="s">
        <v>92</v>
      </c>
      <c r="BV139" t="s">
        <v>131</v>
      </c>
      <c r="BW139" t="s">
        <v>85</v>
      </c>
      <c r="BX139" t="s">
        <v>85</v>
      </c>
      <c r="BY139" t="str">
        <f>IF(COUNTIF('Data Upload-prod'!E:E,F139)=0,"Missing","Exist")</f>
        <v>Missing</v>
      </c>
    </row>
    <row r="140" hidden="1" spans="1:77">
      <c r="A140" s="16">
        <v>45838</v>
      </c>
      <c r="B140" s="16">
        <v>45925.9133371644</v>
      </c>
      <c r="C140" t="s">
        <v>132</v>
      </c>
      <c r="D140" t="s">
        <v>142</v>
      </c>
      <c r="E140" t="s">
        <v>170</v>
      </c>
      <c r="F140" t="s">
        <v>438</v>
      </c>
      <c r="G140" t="s">
        <v>81</v>
      </c>
      <c r="H140" t="s">
        <v>405</v>
      </c>
      <c r="I140" t="s">
        <v>124</v>
      </c>
      <c r="J140" s="17">
        <v>10.5</v>
      </c>
      <c r="K140" s="17">
        <v>2619</v>
      </c>
      <c r="L140" s="17">
        <v>2080</v>
      </c>
      <c r="M140" t="s">
        <v>84</v>
      </c>
      <c r="N140" t="s">
        <v>84</v>
      </c>
      <c r="O140" t="s">
        <v>84</v>
      </c>
      <c r="P140" t="s">
        <v>84</v>
      </c>
      <c r="Q140" s="17">
        <v>11368133.61</v>
      </c>
      <c r="R140" s="17">
        <v>26.59</v>
      </c>
      <c r="S140" t="s">
        <v>85</v>
      </c>
      <c r="T140" t="s">
        <v>84</v>
      </c>
      <c r="U140" t="s">
        <v>86</v>
      </c>
      <c r="V140" s="16">
        <v>45862</v>
      </c>
      <c r="W140" s="18">
        <v>45853.75</v>
      </c>
      <c r="X140" s="18">
        <v>45874.9479166667</v>
      </c>
      <c r="Y140" s="17">
        <v>1942</v>
      </c>
      <c r="Z140" t="s">
        <v>87</v>
      </c>
      <c r="AA140" s="17">
        <v>2605</v>
      </c>
      <c r="AB140" s="17">
        <v>2068</v>
      </c>
      <c r="AC140" t="s">
        <v>84</v>
      </c>
      <c r="AD140" t="s">
        <v>84</v>
      </c>
      <c r="AE140" t="s">
        <v>84</v>
      </c>
      <c r="AF140" t="s">
        <v>84</v>
      </c>
      <c r="AG140" s="17">
        <v>8766232.29</v>
      </c>
      <c r="AH140" s="17">
        <v>19.43</v>
      </c>
      <c r="AI140" s="17">
        <v>0</v>
      </c>
      <c r="AJ140" s="17">
        <v>0</v>
      </c>
      <c r="AK140" t="s">
        <v>89</v>
      </c>
      <c r="AM140" s="17">
        <v>2.4</v>
      </c>
      <c r="AN140" s="17"/>
      <c r="AO140" s="17">
        <v>795</v>
      </c>
      <c r="AP140" s="17"/>
      <c r="AQ140" s="17">
        <v>1200</v>
      </c>
      <c r="AR140" s="17"/>
      <c r="AS140" s="17">
        <v>1.06</v>
      </c>
      <c r="AT140" s="17"/>
      <c r="AU140" s="17">
        <v>554</v>
      </c>
      <c r="AV140" s="17"/>
      <c r="AW140" s="17">
        <v>1376</v>
      </c>
      <c r="AX140" s="17"/>
      <c r="AY140" s="17">
        <v>3.29</v>
      </c>
      <c r="AZ140" s="17">
        <v>1906817.68</v>
      </c>
      <c r="BA140" t="s">
        <v>277</v>
      </c>
      <c r="BB140" s="17">
        <v>0.3</v>
      </c>
      <c r="BC140" s="17">
        <v>159</v>
      </c>
      <c r="BD140" s="17">
        <v>1.89</v>
      </c>
      <c r="BE140" s="17">
        <v>1668832.44</v>
      </c>
      <c r="BF140" s="17">
        <v>0.22</v>
      </c>
      <c r="BG140" s="17">
        <v>195</v>
      </c>
      <c r="BH140" t="s">
        <v>93</v>
      </c>
      <c r="BI140" t="s">
        <v>94</v>
      </c>
      <c r="BJ140" t="s">
        <v>95</v>
      </c>
      <c r="BK140" t="s">
        <v>85</v>
      </c>
      <c r="BL140" t="s">
        <v>85</v>
      </c>
      <c r="BM140" t="s">
        <v>96</v>
      </c>
      <c r="BN140" t="s">
        <v>266</v>
      </c>
      <c r="BO140" t="s">
        <v>98</v>
      </c>
      <c r="BP140" t="s">
        <v>99</v>
      </c>
      <c r="BQ140" s="17">
        <v>535</v>
      </c>
      <c r="BR140" t="s">
        <v>100</v>
      </c>
      <c r="BS140" t="s">
        <v>156</v>
      </c>
      <c r="BT140" t="s">
        <v>99</v>
      </c>
      <c r="BU140" s="17">
        <v>8.5</v>
      </c>
      <c r="BV140" t="s">
        <v>131</v>
      </c>
      <c r="BW140" t="s">
        <v>85</v>
      </c>
      <c r="BX140" t="s">
        <v>85</v>
      </c>
      <c r="BY140" t="str">
        <f>IF(COUNTIF('Data Upload-prod'!E:E,F140)=0,"Missing","Exist")</f>
        <v>Missing</v>
      </c>
    </row>
    <row r="141" hidden="1" spans="1:77">
      <c r="A141" s="16">
        <v>45834</v>
      </c>
      <c r="B141" s="16">
        <v>45993.7474825463</v>
      </c>
      <c r="C141" t="s">
        <v>132</v>
      </c>
      <c r="D141" t="s">
        <v>78</v>
      </c>
      <c r="E141" t="s">
        <v>296</v>
      </c>
      <c r="F141" t="s">
        <v>439</v>
      </c>
      <c r="G141" t="s">
        <v>81</v>
      </c>
      <c r="H141" t="s">
        <v>82</v>
      </c>
      <c r="I141" t="s">
        <v>83</v>
      </c>
      <c r="J141" s="17">
        <v>63.3</v>
      </c>
      <c r="K141" s="17">
        <v>1867</v>
      </c>
      <c r="L141" s="17">
        <v>1714</v>
      </c>
      <c r="M141" t="s">
        <v>84</v>
      </c>
      <c r="N141" t="s">
        <v>84</v>
      </c>
      <c r="O141" t="s">
        <v>84</v>
      </c>
      <c r="P141" t="s">
        <v>84</v>
      </c>
      <c r="Q141" s="17">
        <v>8583873.16</v>
      </c>
      <c r="R141" s="17">
        <v>20.3</v>
      </c>
      <c r="S141" t="s">
        <v>85</v>
      </c>
      <c r="T141" t="s">
        <v>84</v>
      </c>
      <c r="U141" t="s">
        <v>86</v>
      </c>
      <c r="V141" s="16">
        <v>45835</v>
      </c>
      <c r="W141" s="18">
        <v>45835</v>
      </c>
      <c r="X141" s="18">
        <v>45933.3541666667</v>
      </c>
      <c r="Y141" s="17">
        <v>829</v>
      </c>
      <c r="Z141" t="s">
        <v>87</v>
      </c>
      <c r="AA141" s="17">
        <v>1820</v>
      </c>
      <c r="AB141" s="17">
        <v>1689.11</v>
      </c>
      <c r="AC141" t="s">
        <v>84</v>
      </c>
      <c r="AD141" t="s">
        <v>84</v>
      </c>
      <c r="AE141" t="s">
        <v>84</v>
      </c>
      <c r="AF141" t="s">
        <v>84</v>
      </c>
      <c r="AG141" s="17">
        <v>7875280.62</v>
      </c>
      <c r="AH141" s="17">
        <v>15.9</v>
      </c>
      <c r="AI141" s="17">
        <v>1.7</v>
      </c>
      <c r="AJ141" s="17">
        <v>0.26</v>
      </c>
      <c r="AK141" t="s">
        <v>298</v>
      </c>
      <c r="AM141" s="17">
        <v>1.8</v>
      </c>
      <c r="AN141" s="17"/>
      <c r="AO141" s="17">
        <v>600</v>
      </c>
      <c r="AP141" s="17"/>
      <c r="AQ141" s="17">
        <v>1670</v>
      </c>
      <c r="AR141" s="17"/>
      <c r="AS141" s="17">
        <v>2.54</v>
      </c>
      <c r="AT141" s="17"/>
      <c r="AU141" s="17">
        <v>1429.36</v>
      </c>
      <c r="AV141" s="17"/>
      <c r="AW141" s="17">
        <v>2994.21</v>
      </c>
      <c r="AX141" s="17"/>
      <c r="AY141" s="17">
        <v>6.5</v>
      </c>
      <c r="AZ141" t="s">
        <v>92</v>
      </c>
      <c r="BA141" t="s">
        <v>272</v>
      </c>
      <c r="BB141" s="17">
        <v>1</v>
      </c>
      <c r="BC141" s="17">
        <v>390</v>
      </c>
      <c r="BD141" s="17">
        <v>3.96</v>
      </c>
      <c r="BE141" s="17">
        <v>2257460.36</v>
      </c>
      <c r="BF141" s="17">
        <v>0.66</v>
      </c>
      <c r="BG141" s="17">
        <v>378.04</v>
      </c>
      <c r="BH141" t="s">
        <v>93</v>
      </c>
      <c r="BI141" t="s">
        <v>94</v>
      </c>
      <c r="BJ141" t="s">
        <v>173</v>
      </c>
      <c r="BK141" t="s">
        <v>85</v>
      </c>
      <c r="BL141" t="s">
        <v>85</v>
      </c>
      <c r="BM141" t="s">
        <v>96</v>
      </c>
      <c r="BN141" t="s">
        <v>266</v>
      </c>
      <c r="BO141" t="s">
        <v>98</v>
      </c>
      <c r="BP141" t="s">
        <v>103</v>
      </c>
      <c r="BQ141" t="s">
        <v>92</v>
      </c>
      <c r="BR141" t="s">
        <v>100</v>
      </c>
      <c r="BS141" t="s">
        <v>156</v>
      </c>
      <c r="BT141" t="s">
        <v>103</v>
      </c>
      <c r="BU141" s="17">
        <v>8.6</v>
      </c>
      <c r="BV141" t="s">
        <v>191</v>
      </c>
      <c r="BW141" t="s">
        <v>85</v>
      </c>
      <c r="BX141" t="s">
        <v>85</v>
      </c>
      <c r="BY141" t="str">
        <f>IF(COUNTIF('Data Upload-prod'!E:E,F141)=0,"Missing","Exist")</f>
        <v>Missing</v>
      </c>
    </row>
    <row r="142" hidden="1" spans="1:77">
      <c r="A142" s="16">
        <v>45833</v>
      </c>
      <c r="B142" s="16">
        <v>45833.5051925231</v>
      </c>
      <c r="C142" t="s">
        <v>269</v>
      </c>
      <c r="D142" t="s">
        <v>78</v>
      </c>
      <c r="E142" t="s">
        <v>440</v>
      </c>
      <c r="F142" t="s">
        <v>441</v>
      </c>
      <c r="G142" t="s">
        <v>81</v>
      </c>
      <c r="H142" t="s">
        <v>168</v>
      </c>
      <c r="I142" t="s">
        <v>124</v>
      </c>
      <c r="J142" s="17">
        <v>57.36336</v>
      </c>
      <c r="K142" s="17">
        <v>4364.43</v>
      </c>
      <c r="L142" s="17">
        <v>1165.86</v>
      </c>
      <c r="M142" t="s">
        <v>84</v>
      </c>
      <c r="N142" t="s">
        <v>84</v>
      </c>
      <c r="O142" t="s">
        <v>84</v>
      </c>
      <c r="P142" t="s">
        <v>84</v>
      </c>
      <c r="Q142" s="17">
        <v>26783985</v>
      </c>
      <c r="R142" s="17">
        <v>44.71</v>
      </c>
      <c r="S142" t="s">
        <v>85</v>
      </c>
      <c r="T142" t="s">
        <v>84</v>
      </c>
      <c r="U142" t="s">
        <v>86</v>
      </c>
      <c r="V142" s="16">
        <v>45479</v>
      </c>
      <c r="W142" s="18">
        <v>45479.4375</v>
      </c>
      <c r="X142" s="18">
        <v>45556.0625</v>
      </c>
      <c r="Y142" s="17">
        <v>4264.4568</v>
      </c>
      <c r="Z142" t="s">
        <v>87</v>
      </c>
      <c r="AA142" s="17">
        <v>4365</v>
      </c>
      <c r="AB142" s="17">
        <v>1180</v>
      </c>
      <c r="AC142" t="s">
        <v>84</v>
      </c>
      <c r="AD142" t="s">
        <v>84</v>
      </c>
      <c r="AE142" t="s">
        <v>84</v>
      </c>
      <c r="AF142" t="s">
        <v>84</v>
      </c>
      <c r="AG142" s="17">
        <v>40253798.75</v>
      </c>
      <c r="AH142" s="17">
        <v>75.69</v>
      </c>
      <c r="AI142" s="17">
        <v>2.2</v>
      </c>
      <c r="AJ142" s="17">
        <v>2</v>
      </c>
      <c r="AK142" t="s">
        <v>114</v>
      </c>
      <c r="AM142" s="17">
        <v>2.2</v>
      </c>
      <c r="AN142" s="17"/>
      <c r="AO142" s="17">
        <v>915</v>
      </c>
      <c r="AP142" s="17"/>
      <c r="AQ142" s="17">
        <v>1520</v>
      </c>
      <c r="AR142" s="17"/>
      <c r="AS142" s="17">
        <v>2.2</v>
      </c>
      <c r="AT142" s="17"/>
      <c r="AU142" s="17">
        <v>1084</v>
      </c>
      <c r="AV142" s="17"/>
      <c r="AW142" s="17">
        <v>2873</v>
      </c>
      <c r="AX142" s="17"/>
      <c r="AY142" s="17">
        <v>9.23</v>
      </c>
      <c r="AZ142" s="17">
        <v>9788284</v>
      </c>
      <c r="BA142" t="s">
        <v>272</v>
      </c>
      <c r="BB142" s="17">
        <v>1</v>
      </c>
      <c r="BC142" s="17">
        <v>390</v>
      </c>
      <c r="BD142" s="17">
        <v>19.43</v>
      </c>
      <c r="BE142" s="17">
        <v>13370462</v>
      </c>
      <c r="BF142" s="17">
        <v>1.3</v>
      </c>
      <c r="BG142" s="17">
        <v>932</v>
      </c>
      <c r="BH142" t="s">
        <v>93</v>
      </c>
      <c r="BI142" t="s">
        <v>94</v>
      </c>
      <c r="BJ142" t="s">
        <v>173</v>
      </c>
      <c r="BK142" t="s">
        <v>85</v>
      </c>
      <c r="BL142" t="s">
        <v>85</v>
      </c>
      <c r="BM142" t="s">
        <v>273</v>
      </c>
      <c r="BN142" t="s">
        <v>129</v>
      </c>
      <c r="BO142" t="s">
        <v>216</v>
      </c>
      <c r="BP142" t="s">
        <v>99</v>
      </c>
      <c r="BQ142" s="17">
        <v>1160</v>
      </c>
      <c r="BR142" t="s">
        <v>138</v>
      </c>
      <c r="BS142" t="s">
        <v>156</v>
      </c>
      <c r="BT142" t="s">
        <v>99</v>
      </c>
      <c r="BU142" s="17">
        <v>9.3</v>
      </c>
      <c r="BV142" t="s">
        <v>110</v>
      </c>
      <c r="BW142" t="s">
        <v>85</v>
      </c>
      <c r="BX142" t="s">
        <v>85</v>
      </c>
      <c r="BY142" t="str">
        <f>IF(COUNTIF('Data Upload-prod'!E:E,F142)=0,"Missing","Exist")</f>
        <v>Missing</v>
      </c>
    </row>
    <row r="143" hidden="1" spans="1:77">
      <c r="A143" s="16">
        <v>45833</v>
      </c>
      <c r="B143" s="16">
        <v>45952.4238396528</v>
      </c>
      <c r="C143" t="s">
        <v>132</v>
      </c>
      <c r="D143" t="s">
        <v>78</v>
      </c>
      <c r="E143" t="s">
        <v>296</v>
      </c>
      <c r="F143" t="s">
        <v>442</v>
      </c>
      <c r="G143" t="s">
        <v>81</v>
      </c>
      <c r="H143" t="s">
        <v>82</v>
      </c>
      <c r="I143" t="s">
        <v>83</v>
      </c>
      <c r="J143" s="17">
        <v>63.3</v>
      </c>
      <c r="K143" s="17">
        <v>2362</v>
      </c>
      <c r="L143" s="17">
        <v>1679</v>
      </c>
      <c r="M143" t="s">
        <v>84</v>
      </c>
      <c r="N143" t="s">
        <v>84</v>
      </c>
      <c r="O143" t="s">
        <v>84</v>
      </c>
      <c r="P143" t="s">
        <v>84</v>
      </c>
      <c r="Q143" s="17">
        <v>7697666.7</v>
      </c>
      <c r="R143" s="17">
        <v>18.5</v>
      </c>
      <c r="S143" t="s">
        <v>85</v>
      </c>
      <c r="T143" t="s">
        <v>84</v>
      </c>
      <c r="U143" t="s">
        <v>86</v>
      </c>
      <c r="V143" s="16">
        <v>45887</v>
      </c>
      <c r="W143" s="18">
        <v>45828.75</v>
      </c>
      <c r="X143" s="18">
        <v>45895.2916666667</v>
      </c>
      <c r="Y143" s="17">
        <v>661.08</v>
      </c>
      <c r="Z143" t="s">
        <v>87</v>
      </c>
      <c r="AA143" s="17">
        <v>2310</v>
      </c>
      <c r="AB143" s="17">
        <v>1662.85</v>
      </c>
      <c r="AC143" t="s">
        <v>84</v>
      </c>
      <c r="AD143" t="s">
        <v>84</v>
      </c>
      <c r="AE143" t="s">
        <v>84</v>
      </c>
      <c r="AF143" t="s">
        <v>84</v>
      </c>
      <c r="AG143" s="17">
        <v>7649479.36</v>
      </c>
      <c r="AH143" s="17">
        <v>15.25</v>
      </c>
      <c r="AI143" s="17">
        <v>1.43</v>
      </c>
      <c r="AJ143" s="17">
        <v>0.41</v>
      </c>
      <c r="AK143" t="s">
        <v>298</v>
      </c>
      <c r="AM143" s="17">
        <v>1.8</v>
      </c>
      <c r="AN143" s="17"/>
      <c r="AO143" s="17">
        <v>600</v>
      </c>
      <c r="AP143" s="17"/>
      <c r="AQ143" s="17">
        <v>1160</v>
      </c>
      <c r="AR143" s="17"/>
      <c r="AS143" s="17">
        <v>2.41</v>
      </c>
      <c r="AT143" s="17"/>
      <c r="AU143" s="17">
        <v>1433.86</v>
      </c>
      <c r="AV143" s="17"/>
      <c r="AW143" s="17">
        <v>3455.98</v>
      </c>
      <c r="AX143" s="17"/>
      <c r="AY143" s="17">
        <v>5.9</v>
      </c>
      <c r="AZ143" s="17">
        <v>2747241.57</v>
      </c>
      <c r="BA143" t="s">
        <v>265</v>
      </c>
      <c r="BB143" s="17">
        <v>0.7</v>
      </c>
      <c r="BC143" s="17">
        <v>373</v>
      </c>
      <c r="BD143" s="17">
        <v>3.66</v>
      </c>
      <c r="BE143" s="17">
        <v>2934937.05</v>
      </c>
      <c r="BF143" s="17">
        <v>0.48</v>
      </c>
      <c r="BG143" s="17">
        <v>387.24</v>
      </c>
      <c r="BH143" t="s">
        <v>93</v>
      </c>
      <c r="BI143" t="s">
        <v>94</v>
      </c>
      <c r="BJ143" t="s">
        <v>109</v>
      </c>
      <c r="BK143" t="s">
        <v>85</v>
      </c>
      <c r="BL143" t="s">
        <v>85</v>
      </c>
      <c r="BM143" t="s">
        <v>96</v>
      </c>
      <c r="BN143" t="s">
        <v>266</v>
      </c>
      <c r="BO143" t="s">
        <v>98</v>
      </c>
      <c r="BP143" t="s">
        <v>103</v>
      </c>
      <c r="BQ143" s="17">
        <v>164.64</v>
      </c>
      <c r="BR143" t="s">
        <v>100</v>
      </c>
      <c r="BS143" t="s">
        <v>156</v>
      </c>
      <c r="BT143" t="s">
        <v>103</v>
      </c>
      <c r="BU143" s="17">
        <v>8.6</v>
      </c>
      <c r="BV143" t="s">
        <v>191</v>
      </c>
      <c r="BW143" t="s">
        <v>85</v>
      </c>
      <c r="BX143" t="s">
        <v>85</v>
      </c>
      <c r="BY143" t="str">
        <f>IF(COUNTIF('Data Upload-prod'!E:E,F143)=0,"Missing","Exist")</f>
        <v>Missing</v>
      </c>
    </row>
    <row r="144" hidden="1" spans="1:77">
      <c r="A144" s="16">
        <v>45833</v>
      </c>
      <c r="B144" s="16">
        <v>45918.7087450694</v>
      </c>
      <c r="C144" t="s">
        <v>346</v>
      </c>
      <c r="D144" t="s">
        <v>78</v>
      </c>
      <c r="E144" t="s">
        <v>84</v>
      </c>
      <c r="F144" t="s">
        <v>443</v>
      </c>
      <c r="G144" t="s">
        <v>145</v>
      </c>
      <c r="H144" t="s">
        <v>427</v>
      </c>
      <c r="I144" t="s">
        <v>124</v>
      </c>
      <c r="J144" s="17">
        <v>56</v>
      </c>
      <c r="K144" s="17">
        <v>3033</v>
      </c>
      <c r="L144" s="17">
        <v>2420</v>
      </c>
      <c r="M144" s="17">
        <v>19999696.11</v>
      </c>
      <c r="N144" s="17">
        <v>19999696.11</v>
      </c>
      <c r="O144" s="17">
        <v>42</v>
      </c>
      <c r="P144" s="17">
        <v>42</v>
      </c>
      <c r="Q144" s="17">
        <v>0</v>
      </c>
      <c r="R144" s="17">
        <v>0</v>
      </c>
      <c r="S144" t="s">
        <v>92</v>
      </c>
      <c r="T144" t="s">
        <v>84</v>
      </c>
      <c r="U144" t="s">
        <v>86</v>
      </c>
      <c r="V144" s="16">
        <v>45838</v>
      </c>
      <c r="W144" s="18">
        <v>45918.2083333333</v>
      </c>
      <c r="X144" s="18">
        <v>45862.0833333333</v>
      </c>
      <c r="Y144" s="17">
        <v>2977</v>
      </c>
      <c r="Z144" t="s">
        <v>87</v>
      </c>
      <c r="AA144" s="17">
        <v>3064</v>
      </c>
      <c r="AB144" s="17">
        <v>2431</v>
      </c>
      <c r="AC144" t="s">
        <v>84</v>
      </c>
      <c r="AD144" s="17">
        <v>14428740.98</v>
      </c>
      <c r="AE144" t="s">
        <v>84</v>
      </c>
      <c r="AF144" s="17">
        <v>32.5</v>
      </c>
      <c r="AG144" s="17">
        <v>14428740.98</v>
      </c>
      <c r="AH144" s="17">
        <v>32.5</v>
      </c>
      <c r="AI144" s="17">
        <v>0.12</v>
      </c>
      <c r="AJ144" s="17">
        <v>0.12</v>
      </c>
      <c r="AK144" t="s">
        <v>300</v>
      </c>
      <c r="AM144" s="17">
        <v>1.9</v>
      </c>
      <c r="AN144" s="17"/>
      <c r="AO144" s="17">
        <v>720</v>
      </c>
      <c r="AP144" s="17"/>
      <c r="AQ144" s="17">
        <v>1370</v>
      </c>
      <c r="AR144" s="17"/>
      <c r="AS144" s="17">
        <v>1.07</v>
      </c>
      <c r="AT144" s="17"/>
      <c r="AU144" s="17">
        <v>474</v>
      </c>
      <c r="AV144" s="17"/>
      <c r="AW144" s="17">
        <v>1209</v>
      </c>
      <c r="AX144" s="17"/>
      <c r="AY144" s="17">
        <v>0</v>
      </c>
      <c r="AZ144" s="17">
        <v>0</v>
      </c>
      <c r="BA144" t="s">
        <v>92</v>
      </c>
      <c r="BB144" s="17">
        <v>0</v>
      </c>
      <c r="BC144" s="17">
        <v>0</v>
      </c>
      <c r="BD144" t="s">
        <v>92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92</v>
      </c>
      <c r="BM144" t="s">
        <v>92</v>
      </c>
      <c r="BN144" t="s">
        <v>92</v>
      </c>
      <c r="BO144" t="s">
        <v>92</v>
      </c>
      <c r="BP144" t="s">
        <v>92</v>
      </c>
      <c r="BQ144" t="s">
        <v>92</v>
      </c>
      <c r="BR144" t="s">
        <v>92</v>
      </c>
      <c r="BS144" t="s">
        <v>92</v>
      </c>
      <c r="BT144" t="s">
        <v>92</v>
      </c>
      <c r="BU144" t="s">
        <v>92</v>
      </c>
      <c r="BV144" t="s">
        <v>92</v>
      </c>
      <c r="BW144" t="s">
        <v>92</v>
      </c>
      <c r="BX144" t="s">
        <v>92</v>
      </c>
      <c r="BY144" t="str">
        <f>IF(COUNTIF('Data Upload-prod'!E:E,F144)=0,"Missing","Exist")</f>
        <v>Missing</v>
      </c>
    </row>
    <row r="145" hidden="1" spans="1:77">
      <c r="A145" s="16">
        <v>45831</v>
      </c>
      <c r="B145" s="16">
        <v>45831.6338185185</v>
      </c>
      <c r="C145" t="s">
        <v>269</v>
      </c>
      <c r="D145" t="s">
        <v>78</v>
      </c>
      <c r="E145" t="s">
        <v>270</v>
      </c>
      <c r="F145" t="s">
        <v>444</v>
      </c>
      <c r="G145" t="s">
        <v>81</v>
      </c>
      <c r="H145" t="s">
        <v>168</v>
      </c>
      <c r="I145" t="s">
        <v>124</v>
      </c>
      <c r="J145" s="17">
        <v>64</v>
      </c>
      <c r="K145" s="17">
        <v>5544.6168</v>
      </c>
      <c r="L145" s="17">
        <v>1910.182</v>
      </c>
      <c r="M145" t="s">
        <v>84</v>
      </c>
      <c r="N145" t="s">
        <v>84</v>
      </c>
      <c r="O145" t="s">
        <v>84</v>
      </c>
      <c r="P145" t="s">
        <v>84</v>
      </c>
      <c r="Q145" s="17">
        <v>19155460.74</v>
      </c>
      <c r="R145" s="17">
        <v>45.29</v>
      </c>
      <c r="S145" t="s">
        <v>85</v>
      </c>
      <c r="T145" t="s">
        <v>84</v>
      </c>
      <c r="U145" t="s">
        <v>86</v>
      </c>
      <c r="V145" s="16">
        <v>45209</v>
      </c>
      <c r="W145" s="18">
        <v>45208.7083333333</v>
      </c>
      <c r="X145" s="18">
        <v>45602.25</v>
      </c>
      <c r="Y145" s="17">
        <v>5505.88</v>
      </c>
      <c r="Z145" t="s">
        <v>87</v>
      </c>
      <c r="AA145" s="17">
        <v>5612.2824</v>
      </c>
      <c r="AB145" s="17">
        <v>1913.598</v>
      </c>
      <c r="AC145" t="s">
        <v>84</v>
      </c>
      <c r="AD145" t="s">
        <v>84</v>
      </c>
      <c r="AE145" t="s">
        <v>84</v>
      </c>
      <c r="AF145" t="s">
        <v>84</v>
      </c>
      <c r="AG145" s="17">
        <v>22990011.46</v>
      </c>
      <c r="AH145" s="17">
        <v>54.85</v>
      </c>
      <c r="AI145" s="17">
        <v>3.73</v>
      </c>
      <c r="AJ145" s="17">
        <v>3.73</v>
      </c>
      <c r="AK145" t="s">
        <v>114</v>
      </c>
      <c r="AM145" s="17">
        <v>2.2</v>
      </c>
      <c r="AN145" s="17"/>
      <c r="AO145" s="17">
        <v>915</v>
      </c>
      <c r="AP145" s="17"/>
      <c r="AQ145" s="17">
        <v>1520</v>
      </c>
      <c r="AR145" s="17"/>
      <c r="AS145" s="17">
        <v>1.49</v>
      </c>
      <c r="AT145" s="17"/>
      <c r="AU145" s="17">
        <v>622</v>
      </c>
      <c r="AV145" s="17"/>
      <c r="AW145" s="17">
        <v>1273</v>
      </c>
      <c r="AX145" s="17"/>
      <c r="AY145" s="17">
        <v>17.92</v>
      </c>
      <c r="AZ145" s="17">
        <v>6759917</v>
      </c>
      <c r="BA145" t="s">
        <v>272</v>
      </c>
      <c r="BB145" s="17">
        <v>1</v>
      </c>
      <c r="BC145" s="17">
        <v>390</v>
      </c>
      <c r="BD145" s="17">
        <v>16.69</v>
      </c>
      <c r="BE145" s="17">
        <v>5630422</v>
      </c>
      <c r="BF145" s="17">
        <v>1.25</v>
      </c>
      <c r="BG145" s="17">
        <v>510</v>
      </c>
      <c r="BH145" t="s">
        <v>93</v>
      </c>
      <c r="BI145" t="s">
        <v>94</v>
      </c>
      <c r="BJ145" t="s">
        <v>173</v>
      </c>
      <c r="BK145" t="s">
        <v>85</v>
      </c>
      <c r="BL145" t="s">
        <v>85</v>
      </c>
      <c r="BM145" t="s">
        <v>273</v>
      </c>
      <c r="BN145" t="s">
        <v>129</v>
      </c>
      <c r="BO145" t="s">
        <v>216</v>
      </c>
      <c r="BP145" t="s">
        <v>99</v>
      </c>
      <c r="BQ145" s="17">
        <v>110</v>
      </c>
      <c r="BR145" t="s">
        <v>138</v>
      </c>
      <c r="BS145" t="s">
        <v>156</v>
      </c>
      <c r="BT145" t="s">
        <v>99</v>
      </c>
      <c r="BU145" s="17">
        <v>8.8</v>
      </c>
      <c r="BV145" t="s">
        <v>110</v>
      </c>
      <c r="BW145" t="s">
        <v>85</v>
      </c>
      <c r="BX145" t="s">
        <v>85</v>
      </c>
      <c r="BY145" t="str">
        <f>IF(COUNTIF('Data Upload-prod'!E:E,F145)=0,"Missing","Exist")</f>
        <v>Missing</v>
      </c>
    </row>
    <row r="146" hidden="1" spans="1:77">
      <c r="A146" s="16">
        <v>45831</v>
      </c>
      <c r="B146" s="16">
        <v>45831.3808316088</v>
      </c>
      <c r="C146" t="s">
        <v>269</v>
      </c>
      <c r="D146" t="s">
        <v>78</v>
      </c>
      <c r="E146" t="s">
        <v>270</v>
      </c>
      <c r="F146" t="s">
        <v>445</v>
      </c>
      <c r="G146" t="s">
        <v>81</v>
      </c>
      <c r="H146" t="s">
        <v>168</v>
      </c>
      <c r="I146" t="s">
        <v>124</v>
      </c>
      <c r="J146" s="17">
        <v>64</v>
      </c>
      <c r="K146" s="17">
        <v>6049.67</v>
      </c>
      <c r="L146" s="17">
        <v>1892.2</v>
      </c>
      <c r="M146" t="s">
        <v>84</v>
      </c>
      <c r="N146" t="s">
        <v>84</v>
      </c>
      <c r="O146" t="s">
        <v>84</v>
      </c>
      <c r="P146" t="s">
        <v>84</v>
      </c>
      <c r="Q146" s="17">
        <v>20680233</v>
      </c>
      <c r="R146" s="17">
        <v>42.6</v>
      </c>
      <c r="S146" t="s">
        <v>85</v>
      </c>
      <c r="T146" t="s">
        <v>84</v>
      </c>
      <c r="U146" t="s">
        <v>86</v>
      </c>
      <c r="V146" s="16">
        <v>45211</v>
      </c>
      <c r="W146" s="18">
        <v>45211.3125</v>
      </c>
      <c r="X146" s="18">
        <v>45457.25</v>
      </c>
      <c r="Y146" s="17">
        <v>5921.94</v>
      </c>
      <c r="Z146" t="s">
        <v>87</v>
      </c>
      <c r="AA146" s="17">
        <v>6028.3344</v>
      </c>
      <c r="AB146" s="17">
        <v>1885.82</v>
      </c>
      <c r="AC146" t="s">
        <v>84</v>
      </c>
      <c r="AD146" t="s">
        <v>84</v>
      </c>
      <c r="AE146" t="s">
        <v>84</v>
      </c>
      <c r="AF146" t="s">
        <v>84</v>
      </c>
      <c r="AG146" s="17">
        <v>22195859.05</v>
      </c>
      <c r="AH146" s="17">
        <v>56.69</v>
      </c>
      <c r="AI146" s="17">
        <v>6.99</v>
      </c>
      <c r="AJ146" s="17">
        <v>7.02</v>
      </c>
      <c r="AK146" t="s">
        <v>114</v>
      </c>
      <c r="AM146" s="17">
        <v>2.2</v>
      </c>
      <c r="AN146" s="17"/>
      <c r="AO146" s="17">
        <v>915</v>
      </c>
      <c r="AP146" s="17"/>
      <c r="AQ146" s="17">
        <v>1520</v>
      </c>
      <c r="AR146" s="17"/>
      <c r="AS146" s="17">
        <v>1.83</v>
      </c>
      <c r="AT146" s="17"/>
      <c r="AU146" s="17">
        <v>622</v>
      </c>
      <c r="AV146" s="17"/>
      <c r="AW146" s="17">
        <v>1156</v>
      </c>
      <c r="AX146" s="17"/>
      <c r="AY146" s="17">
        <v>10.94</v>
      </c>
      <c r="AZ146" s="17">
        <v>5287055</v>
      </c>
      <c r="BA146" t="s">
        <v>272</v>
      </c>
      <c r="BB146" s="17">
        <v>1</v>
      </c>
      <c r="BC146" s="17">
        <v>390</v>
      </c>
      <c r="BD146" s="17">
        <v>12.71</v>
      </c>
      <c r="BE146" s="17">
        <v>6109969.33</v>
      </c>
      <c r="BF146" s="17">
        <v>0.73</v>
      </c>
      <c r="BG146" s="17">
        <v>332</v>
      </c>
      <c r="BH146" t="s">
        <v>93</v>
      </c>
      <c r="BI146" t="s">
        <v>94</v>
      </c>
      <c r="BJ146" t="s">
        <v>173</v>
      </c>
      <c r="BK146" t="s">
        <v>85</v>
      </c>
      <c r="BL146" t="s">
        <v>85</v>
      </c>
      <c r="BM146" t="s">
        <v>273</v>
      </c>
      <c r="BN146" t="s">
        <v>129</v>
      </c>
      <c r="BO146" t="s">
        <v>216</v>
      </c>
      <c r="BP146" t="s">
        <v>99</v>
      </c>
      <c r="BQ146" s="17">
        <v>7.8</v>
      </c>
      <c r="BR146" t="s">
        <v>138</v>
      </c>
      <c r="BS146" t="s">
        <v>156</v>
      </c>
      <c r="BT146" t="s">
        <v>99</v>
      </c>
      <c r="BU146" s="17">
        <v>8.8</v>
      </c>
      <c r="BV146" t="s">
        <v>110</v>
      </c>
      <c r="BW146" t="s">
        <v>85</v>
      </c>
      <c r="BX146" t="s">
        <v>85</v>
      </c>
      <c r="BY146" t="str">
        <f>IF(COUNTIF('Data Upload-prod'!E:E,F146)=0,"Missing","Exist")</f>
        <v>Missing</v>
      </c>
    </row>
    <row r="147" hidden="1" spans="1:77">
      <c r="A147" s="16">
        <v>45829</v>
      </c>
      <c r="B147" s="16">
        <v>45862.7261217593</v>
      </c>
      <c r="C147" t="s">
        <v>132</v>
      </c>
      <c r="D147" t="s">
        <v>78</v>
      </c>
      <c r="E147" t="s">
        <v>446</v>
      </c>
      <c r="F147" t="s">
        <v>447</v>
      </c>
      <c r="G147" t="s">
        <v>145</v>
      </c>
      <c r="H147" t="s">
        <v>294</v>
      </c>
      <c r="I147" t="s">
        <v>124</v>
      </c>
      <c r="J147" s="17">
        <v>60</v>
      </c>
      <c r="K147" s="17">
        <v>2723</v>
      </c>
      <c r="L147" s="17">
        <v>2705</v>
      </c>
      <c r="M147" s="17">
        <v>0</v>
      </c>
      <c r="N147" s="17">
        <v>40704140</v>
      </c>
      <c r="O147" s="17">
        <v>0</v>
      </c>
      <c r="P147" s="17">
        <v>59.73</v>
      </c>
      <c r="Q147" s="17">
        <v>0</v>
      </c>
      <c r="R147" s="17">
        <v>0</v>
      </c>
      <c r="S147" t="s">
        <v>106</v>
      </c>
      <c r="T147" t="s">
        <v>84</v>
      </c>
      <c r="U147" t="s">
        <v>86</v>
      </c>
      <c r="V147" s="16">
        <v>45795</v>
      </c>
      <c r="W147" s="18">
        <v>45789.8541666667</v>
      </c>
      <c r="X147" s="18">
        <v>45839.2083333333</v>
      </c>
      <c r="Y147" s="17">
        <v>3611.78</v>
      </c>
      <c r="Z147" t="s">
        <v>87</v>
      </c>
      <c r="AA147" s="17">
        <v>2547.75</v>
      </c>
      <c r="AB147" s="17">
        <v>2532.57</v>
      </c>
      <c r="AC147" t="s">
        <v>84</v>
      </c>
      <c r="AD147" s="17">
        <v>30027221.47</v>
      </c>
      <c r="AE147" t="s">
        <v>84</v>
      </c>
      <c r="AF147" s="17">
        <v>49.35</v>
      </c>
      <c r="AG147" s="17">
        <v>30027221.47</v>
      </c>
      <c r="AH147" s="17">
        <v>49.35</v>
      </c>
      <c r="AI147" s="17">
        <v>25.33</v>
      </c>
      <c r="AJ147" s="17">
        <v>25.33</v>
      </c>
      <c r="AK147" t="s">
        <v>424</v>
      </c>
      <c r="AM147" s="17">
        <v>3.5</v>
      </c>
      <c r="AN147" s="17"/>
      <c r="AO147" s="17">
        <v>2280</v>
      </c>
      <c r="AP147" s="17"/>
      <c r="AQ147" s="17">
        <v>3980</v>
      </c>
      <c r="AR147" s="17"/>
      <c r="AS147" s="17">
        <v>2.52</v>
      </c>
      <c r="AT147" s="17"/>
      <c r="AU147" s="17">
        <v>1800</v>
      </c>
      <c r="AV147" s="17"/>
      <c r="AW147" s="17">
        <v>1992</v>
      </c>
      <c r="AX147" s="17"/>
      <c r="AY147" s="17">
        <v>0</v>
      </c>
      <c r="AZ147" s="17">
        <v>0</v>
      </c>
      <c r="BA147" t="s">
        <v>92</v>
      </c>
      <c r="BB147" s="17">
        <v>0</v>
      </c>
      <c r="BC147" s="17">
        <v>0</v>
      </c>
      <c r="BD147" t="s">
        <v>92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92</v>
      </c>
      <c r="BM147" t="s">
        <v>92</v>
      </c>
      <c r="BN147" t="s">
        <v>92</v>
      </c>
      <c r="BO147" t="s">
        <v>92</v>
      </c>
      <c r="BP147" t="s">
        <v>92</v>
      </c>
      <c r="BQ147" t="s">
        <v>92</v>
      </c>
      <c r="BR147" t="s">
        <v>92</v>
      </c>
      <c r="BS147" t="s">
        <v>92</v>
      </c>
      <c r="BT147" t="s">
        <v>92</v>
      </c>
      <c r="BU147" t="s">
        <v>92</v>
      </c>
      <c r="BV147" t="s">
        <v>92</v>
      </c>
      <c r="BW147" t="s">
        <v>92</v>
      </c>
      <c r="BX147" t="s">
        <v>92</v>
      </c>
      <c r="BY147" t="str">
        <f>IF(COUNTIF('Data Upload-prod'!E:E,F147)=0,"Missing","Exist")</f>
        <v>Missing</v>
      </c>
    </row>
    <row r="148" hidden="1" spans="1:77">
      <c r="A148" s="16">
        <v>45827</v>
      </c>
      <c r="B148" s="16">
        <v>46076.4686960069</v>
      </c>
      <c r="C148" t="s">
        <v>346</v>
      </c>
      <c r="D148" t="s">
        <v>92</v>
      </c>
      <c r="E148" t="s">
        <v>152</v>
      </c>
      <c r="F148" t="s">
        <v>448</v>
      </c>
      <c r="G148" t="s">
        <v>81</v>
      </c>
      <c r="H148" t="s">
        <v>202</v>
      </c>
      <c r="I148" t="s">
        <v>124</v>
      </c>
      <c r="J148" s="17">
        <v>56</v>
      </c>
      <c r="K148" s="17">
        <v>7121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44344829.4</v>
      </c>
      <c r="R148" s="17">
        <v>99.19</v>
      </c>
      <c r="S148" t="s">
        <v>85</v>
      </c>
      <c r="T148" t="s">
        <v>84</v>
      </c>
      <c r="U148" t="s">
        <v>86</v>
      </c>
      <c r="V148" s="16">
        <v>45437</v>
      </c>
      <c r="W148" s="18">
        <v>45437.75</v>
      </c>
      <c r="X148" s="18">
        <v>45507.5</v>
      </c>
      <c r="Y148" s="17">
        <v>6800</v>
      </c>
      <c r="Z148" t="s">
        <v>87</v>
      </c>
      <c r="AA148" s="17">
        <v>6970</v>
      </c>
      <c r="AB148" s="17">
        <v>2000.3</v>
      </c>
      <c r="AC148" t="s">
        <v>84</v>
      </c>
      <c r="AD148" t="s">
        <v>84</v>
      </c>
      <c r="AE148" t="s">
        <v>84</v>
      </c>
      <c r="AF148" t="s">
        <v>84</v>
      </c>
      <c r="AG148" s="17">
        <v>40887362</v>
      </c>
      <c r="AH148" s="17">
        <v>83.52</v>
      </c>
      <c r="AI148" s="17">
        <v>6.32</v>
      </c>
      <c r="AJ148" s="17">
        <v>6.32</v>
      </c>
      <c r="AK148" t="s">
        <v>114</v>
      </c>
      <c r="AM148" s="17">
        <v>2.2</v>
      </c>
      <c r="AN148" s="17"/>
      <c r="AO148" s="17">
        <v>915</v>
      </c>
      <c r="AP148" s="17"/>
      <c r="AQ148" s="17">
        <v>1520</v>
      </c>
      <c r="AR148" s="17"/>
      <c r="AS148" s="17">
        <v>2.69</v>
      </c>
      <c r="AT148" s="17"/>
      <c r="AU148" s="17">
        <v>1230</v>
      </c>
      <c r="AV148" s="17"/>
      <c r="AW148" s="17">
        <v>1574</v>
      </c>
      <c r="AX148" s="17"/>
      <c r="AY148" s="17">
        <v>0</v>
      </c>
      <c r="AZ148" s="17">
        <v>0</v>
      </c>
      <c r="BA148" t="s">
        <v>272</v>
      </c>
      <c r="BB148" s="17">
        <v>1</v>
      </c>
      <c r="BC148" s="17">
        <v>390</v>
      </c>
      <c r="BD148" s="17">
        <v>9.79</v>
      </c>
      <c r="BE148" s="17">
        <v>7673956</v>
      </c>
      <c r="BF148" s="17">
        <v>0.44</v>
      </c>
      <c r="BG148" s="17">
        <v>344</v>
      </c>
      <c r="BH148" t="s">
        <v>92</v>
      </c>
      <c r="BI148" t="s">
        <v>94</v>
      </c>
      <c r="BJ148" t="s">
        <v>173</v>
      </c>
      <c r="BK148" t="s">
        <v>85</v>
      </c>
      <c r="BL148" t="s">
        <v>85</v>
      </c>
      <c r="BM148" t="s">
        <v>96</v>
      </c>
      <c r="BN148" t="s">
        <v>129</v>
      </c>
      <c r="BO148" t="s">
        <v>98</v>
      </c>
      <c r="BP148" t="s">
        <v>350</v>
      </c>
      <c r="BQ148" s="17">
        <v>646.36</v>
      </c>
      <c r="BR148" t="s">
        <v>138</v>
      </c>
      <c r="BS148" t="s">
        <v>92</v>
      </c>
      <c r="BT148" t="s">
        <v>99</v>
      </c>
      <c r="BU148" s="17">
        <v>8.9</v>
      </c>
      <c r="BV148" t="s">
        <v>131</v>
      </c>
      <c r="BW148" t="s">
        <v>85</v>
      </c>
      <c r="BX148" t="s">
        <v>85</v>
      </c>
      <c r="BY148" t="str">
        <f>IF(COUNTIF('Data Upload-prod'!E:E,F148)=0,"Missing","Exist")</f>
        <v>Missing</v>
      </c>
    </row>
    <row r="149" hidden="1" spans="1:77">
      <c r="A149" s="16">
        <v>45822</v>
      </c>
      <c r="B149" s="16">
        <v>45982.4350106019</v>
      </c>
      <c r="C149" t="s">
        <v>132</v>
      </c>
      <c r="D149" t="s">
        <v>78</v>
      </c>
      <c r="E149" t="s">
        <v>296</v>
      </c>
      <c r="F149" t="s">
        <v>449</v>
      </c>
      <c r="G149" t="s">
        <v>81</v>
      </c>
      <c r="H149" t="s">
        <v>82</v>
      </c>
      <c r="I149" t="s">
        <v>83</v>
      </c>
      <c r="J149" s="17">
        <v>63.3</v>
      </c>
      <c r="K149" s="17">
        <v>2881</v>
      </c>
      <c r="L149" s="17">
        <v>1942</v>
      </c>
      <c r="M149" s="17">
        <v>0</v>
      </c>
      <c r="N149" s="17">
        <v>0</v>
      </c>
      <c r="O149" s="17">
        <v>0</v>
      </c>
      <c r="P149" s="17">
        <v>0</v>
      </c>
      <c r="Q149" s="17">
        <v>11403926.63</v>
      </c>
      <c r="R149" s="17">
        <v>26.4</v>
      </c>
      <c r="S149" t="s">
        <v>85</v>
      </c>
      <c r="T149" t="s">
        <v>84</v>
      </c>
      <c r="U149" t="s">
        <v>86</v>
      </c>
      <c r="V149" s="16">
        <v>45898</v>
      </c>
      <c r="W149" s="18">
        <v>45813.9166666667</v>
      </c>
      <c r="X149" s="18">
        <v>45922.7083333333</v>
      </c>
      <c r="Y149" s="17">
        <v>1971</v>
      </c>
      <c r="Z149" t="s">
        <v>87</v>
      </c>
      <c r="AA149" s="17">
        <v>2961</v>
      </c>
      <c r="AB149" s="17">
        <v>1940.89</v>
      </c>
      <c r="AC149" t="s">
        <v>84</v>
      </c>
      <c r="AD149" t="s">
        <v>84</v>
      </c>
      <c r="AE149" t="s">
        <v>84</v>
      </c>
      <c r="AF149" t="s">
        <v>84</v>
      </c>
      <c r="AG149" s="17">
        <v>14572736.25</v>
      </c>
      <c r="AH149" s="17">
        <v>35.83</v>
      </c>
      <c r="AI149" s="17">
        <v>20.54</v>
      </c>
      <c r="AJ149" s="17">
        <v>20.26</v>
      </c>
      <c r="AK149" t="s">
        <v>89</v>
      </c>
      <c r="AM149" s="17">
        <v>2.4</v>
      </c>
      <c r="AN149" s="17"/>
      <c r="AO149" s="17">
        <v>795</v>
      </c>
      <c r="AP149" s="17"/>
      <c r="AQ149" s="17">
        <v>1400</v>
      </c>
      <c r="AR149" s="17"/>
      <c r="AS149" s="17">
        <v>2.63</v>
      </c>
      <c r="AT149" s="17"/>
      <c r="AU149" s="17">
        <v>1231.08</v>
      </c>
      <c r="AV149" s="17"/>
      <c r="AW149" s="17">
        <v>2233.63</v>
      </c>
      <c r="AX149" s="17"/>
      <c r="AY149" s="17">
        <v>6.7</v>
      </c>
      <c r="AZ149" s="17">
        <v>3873000</v>
      </c>
      <c r="BA149" t="s">
        <v>265</v>
      </c>
      <c r="BB149" s="17">
        <v>0.7</v>
      </c>
      <c r="BC149" s="17">
        <v>373</v>
      </c>
      <c r="BD149" s="17">
        <v>10.15</v>
      </c>
      <c r="BE149" s="17">
        <v>3006697.7</v>
      </c>
      <c r="BF149" s="17">
        <v>1.04</v>
      </c>
      <c r="BG149" s="17">
        <v>464.94</v>
      </c>
      <c r="BH149" t="s">
        <v>93</v>
      </c>
      <c r="BI149" t="s">
        <v>94</v>
      </c>
      <c r="BJ149" t="s">
        <v>109</v>
      </c>
      <c r="BK149" t="s">
        <v>85</v>
      </c>
      <c r="BL149" t="s">
        <v>85</v>
      </c>
      <c r="BM149" t="s">
        <v>96</v>
      </c>
      <c r="BN149" t="s">
        <v>129</v>
      </c>
      <c r="BO149" t="s">
        <v>98</v>
      </c>
      <c r="BP149" t="s">
        <v>103</v>
      </c>
      <c r="BQ149" t="s">
        <v>92</v>
      </c>
      <c r="BR149" t="s">
        <v>100</v>
      </c>
      <c r="BS149" t="s">
        <v>156</v>
      </c>
      <c r="BT149" t="s">
        <v>103</v>
      </c>
      <c r="BU149" s="17">
        <v>8.6</v>
      </c>
      <c r="BV149" t="s">
        <v>191</v>
      </c>
      <c r="BW149" t="s">
        <v>85</v>
      </c>
      <c r="BX149" t="s">
        <v>85</v>
      </c>
      <c r="BY149" t="str">
        <f>IF(COUNTIF('Data Upload-prod'!E:E,F149)=0,"Missing","Exist")</f>
        <v>Missing</v>
      </c>
    </row>
    <row r="150" hidden="1" spans="1:77">
      <c r="A150" s="16">
        <v>45821</v>
      </c>
      <c r="B150" s="16">
        <v>45937.7499001736</v>
      </c>
      <c r="C150" t="s">
        <v>132</v>
      </c>
      <c r="D150" t="s">
        <v>78</v>
      </c>
      <c r="E150" t="s">
        <v>422</v>
      </c>
      <c r="F150" t="s">
        <v>450</v>
      </c>
      <c r="G150" t="s">
        <v>81</v>
      </c>
      <c r="H150" t="s">
        <v>397</v>
      </c>
      <c r="I150" t="s">
        <v>124</v>
      </c>
      <c r="J150" s="17">
        <v>72</v>
      </c>
      <c r="K150" s="17">
        <v>2992</v>
      </c>
      <c r="L150" s="17">
        <v>1287</v>
      </c>
      <c r="M150" s="17">
        <v>0</v>
      </c>
      <c r="N150" s="17">
        <v>0</v>
      </c>
      <c r="O150" s="17">
        <v>0</v>
      </c>
      <c r="P150" s="17">
        <v>0</v>
      </c>
      <c r="Q150" s="17">
        <v>15470083.13</v>
      </c>
      <c r="R150" s="17">
        <v>36.65</v>
      </c>
      <c r="S150" t="s">
        <v>92</v>
      </c>
      <c r="T150" t="s">
        <v>84</v>
      </c>
      <c r="U150" t="s">
        <v>86</v>
      </c>
      <c r="V150" s="16">
        <v>45883</v>
      </c>
      <c r="W150" s="18">
        <v>45847.6875</v>
      </c>
      <c r="X150" s="18">
        <v>45897.6875</v>
      </c>
      <c r="Y150" s="17">
        <v>2413</v>
      </c>
      <c r="Z150" t="s">
        <v>87</v>
      </c>
      <c r="AA150" s="17">
        <v>3005</v>
      </c>
      <c r="AB150" s="17">
        <v>1279.96</v>
      </c>
      <c r="AC150" t="s">
        <v>84</v>
      </c>
      <c r="AD150" t="s">
        <v>84</v>
      </c>
      <c r="AE150" t="s">
        <v>84</v>
      </c>
      <c r="AF150" t="s">
        <v>84</v>
      </c>
      <c r="AG150" s="17">
        <v>9163213.03</v>
      </c>
      <c r="AH150" s="17">
        <v>20.58</v>
      </c>
      <c r="AI150" s="17">
        <v>0.3</v>
      </c>
      <c r="AJ150" s="17">
        <v>0.3</v>
      </c>
      <c r="AK150" t="s">
        <v>89</v>
      </c>
      <c r="AM150" s="17">
        <v>2.4</v>
      </c>
      <c r="AN150" s="17"/>
      <c r="AO150" s="17">
        <v>795</v>
      </c>
      <c r="AP150" s="17"/>
      <c r="AQ150" s="17">
        <v>1400</v>
      </c>
      <c r="AR150" s="17"/>
      <c r="AS150" s="17">
        <v>1.04</v>
      </c>
      <c r="AT150" s="17"/>
      <c r="AU150" s="17">
        <v>552.95</v>
      </c>
      <c r="AV150" s="17"/>
      <c r="AW150" s="17">
        <v>1165.61</v>
      </c>
      <c r="AX150" s="17"/>
      <c r="AY150" s="17">
        <v>7</v>
      </c>
      <c r="AZ150" s="17">
        <v>1882077</v>
      </c>
      <c r="BA150" t="s">
        <v>265</v>
      </c>
      <c r="BB150" s="17">
        <v>0.7</v>
      </c>
      <c r="BC150" s="17">
        <v>373</v>
      </c>
      <c r="BD150" s="17">
        <v>5.79</v>
      </c>
      <c r="BE150" s="17">
        <v>2020286</v>
      </c>
      <c r="BF150" s="17">
        <v>0.74</v>
      </c>
      <c r="BG150" s="17">
        <v>402.86</v>
      </c>
      <c r="BH150" t="s">
        <v>93</v>
      </c>
      <c r="BI150" t="s">
        <v>94</v>
      </c>
      <c r="BJ150" t="s">
        <v>128</v>
      </c>
      <c r="BK150" t="s">
        <v>291</v>
      </c>
      <c r="BL150" t="s">
        <v>92</v>
      </c>
      <c r="BM150" t="s">
        <v>96</v>
      </c>
      <c r="BN150" t="s">
        <v>129</v>
      </c>
      <c r="BO150" t="s">
        <v>98</v>
      </c>
      <c r="BP150" t="s">
        <v>99</v>
      </c>
      <c r="BQ150" s="17">
        <v>493</v>
      </c>
      <c r="BR150" t="s">
        <v>92</v>
      </c>
      <c r="BS150" t="s">
        <v>92</v>
      </c>
      <c r="BT150" t="s">
        <v>99</v>
      </c>
      <c r="BU150" s="17">
        <v>11.5</v>
      </c>
      <c r="BV150" t="s">
        <v>451</v>
      </c>
      <c r="BW150" t="s">
        <v>85</v>
      </c>
      <c r="BX150" t="s">
        <v>85</v>
      </c>
      <c r="BY150" t="str">
        <f>IF(COUNTIF('Data Upload-prod'!E:E,F150)=0,"Missing","Exist")</f>
        <v>Missing</v>
      </c>
    </row>
    <row r="151" hidden="1" spans="1:77">
      <c r="A151" s="16">
        <v>45818</v>
      </c>
      <c r="B151" s="16">
        <v>45911.9195191898</v>
      </c>
      <c r="C151" t="s">
        <v>132</v>
      </c>
      <c r="D151" t="s">
        <v>78</v>
      </c>
      <c r="E151" t="s">
        <v>422</v>
      </c>
      <c r="F151" t="s">
        <v>452</v>
      </c>
      <c r="G151" t="s">
        <v>81</v>
      </c>
      <c r="H151" t="s">
        <v>294</v>
      </c>
      <c r="I151" t="s">
        <v>124</v>
      </c>
      <c r="J151" s="17">
        <v>72</v>
      </c>
      <c r="K151" s="17">
        <v>3439.61</v>
      </c>
      <c r="L151" s="17">
        <v>1291.08</v>
      </c>
      <c r="M151" s="17">
        <v>0</v>
      </c>
      <c r="N151" s="17">
        <v>0</v>
      </c>
      <c r="O151" s="17">
        <v>0</v>
      </c>
      <c r="P151" s="17">
        <v>0</v>
      </c>
      <c r="Q151" s="17">
        <v>16140319.28</v>
      </c>
      <c r="R151" s="17">
        <v>36.85</v>
      </c>
      <c r="S151" t="s">
        <v>85</v>
      </c>
      <c r="T151" t="s">
        <v>84</v>
      </c>
      <c r="U151" t="s">
        <v>86</v>
      </c>
      <c r="V151" s="16">
        <v>45857</v>
      </c>
      <c r="W151" s="18">
        <v>45853.8333333333</v>
      </c>
      <c r="X151" s="18">
        <v>45883.25</v>
      </c>
      <c r="Y151" s="17">
        <v>2677</v>
      </c>
      <c r="Z151" t="s">
        <v>87</v>
      </c>
      <c r="AA151" s="17">
        <v>3243</v>
      </c>
      <c r="AB151" s="17">
        <v>1290.28</v>
      </c>
      <c r="AC151" t="s">
        <v>84</v>
      </c>
      <c r="AD151" t="s">
        <v>84</v>
      </c>
      <c r="AE151" t="s">
        <v>84</v>
      </c>
      <c r="AF151" t="s">
        <v>84</v>
      </c>
      <c r="AG151" s="17">
        <v>11766564.77</v>
      </c>
      <c r="AH151" s="17">
        <v>29.42</v>
      </c>
      <c r="AI151" s="17">
        <v>28.58</v>
      </c>
      <c r="AJ151" s="17">
        <v>28.58</v>
      </c>
      <c r="AK151" t="s">
        <v>89</v>
      </c>
      <c r="AM151" s="17">
        <v>2.4</v>
      </c>
      <c r="AN151" s="17"/>
      <c r="AO151" s="17">
        <v>795</v>
      </c>
      <c r="AP151" s="17"/>
      <c r="AQ151" s="17">
        <v>1400</v>
      </c>
      <c r="AR151" s="17"/>
      <c r="AS151" s="17">
        <v>1.15</v>
      </c>
      <c r="AT151" s="17"/>
      <c r="AU151" s="17">
        <v>548.68</v>
      </c>
      <c r="AV151" s="17"/>
      <c r="AW151" s="17">
        <v>1339.66</v>
      </c>
      <c r="AX151" s="17"/>
      <c r="AY151" s="17">
        <v>7</v>
      </c>
      <c r="AZ151" s="17">
        <v>2001214</v>
      </c>
      <c r="BA151" t="s">
        <v>265</v>
      </c>
      <c r="BB151" s="17">
        <v>0.7</v>
      </c>
      <c r="BC151" s="17">
        <v>373</v>
      </c>
      <c r="BD151" s="17">
        <v>2</v>
      </c>
      <c r="BE151" s="17">
        <v>16.09</v>
      </c>
      <c r="BF151" s="17">
        <v>1.83</v>
      </c>
      <c r="BG151" s="17">
        <v>686.23</v>
      </c>
      <c r="BH151" t="s">
        <v>93</v>
      </c>
      <c r="BI151" t="s">
        <v>94</v>
      </c>
      <c r="BJ151" t="s">
        <v>128</v>
      </c>
      <c r="BK151" t="s">
        <v>85</v>
      </c>
      <c r="BL151" t="s">
        <v>85</v>
      </c>
      <c r="BM151" t="s">
        <v>96</v>
      </c>
      <c r="BN151" t="s">
        <v>129</v>
      </c>
      <c r="BO151" t="s">
        <v>98</v>
      </c>
      <c r="BP151" t="s">
        <v>103</v>
      </c>
      <c r="BQ151" t="s">
        <v>92</v>
      </c>
      <c r="BR151" t="s">
        <v>92</v>
      </c>
      <c r="BS151" t="s">
        <v>92</v>
      </c>
      <c r="BT151" t="s">
        <v>103</v>
      </c>
      <c r="BU151" t="s">
        <v>92</v>
      </c>
      <c r="BV151" t="s">
        <v>92</v>
      </c>
      <c r="BW151" t="s">
        <v>92</v>
      </c>
      <c r="BX151" t="s">
        <v>92</v>
      </c>
      <c r="BY151" t="str">
        <f>IF(COUNTIF('Data Upload-prod'!E:E,F151)=0,"Missing","Exist")</f>
        <v>Missing</v>
      </c>
    </row>
    <row r="152" hidden="1" spans="1:77">
      <c r="A152" s="16">
        <v>45817</v>
      </c>
      <c r="B152" s="16">
        <v>45868.5108177431</v>
      </c>
      <c r="C152" t="s">
        <v>132</v>
      </c>
      <c r="D152" t="s">
        <v>142</v>
      </c>
      <c r="E152" t="s">
        <v>170</v>
      </c>
      <c r="F152" t="s">
        <v>453</v>
      </c>
      <c r="G152" t="s">
        <v>81</v>
      </c>
      <c r="H152" t="s">
        <v>405</v>
      </c>
      <c r="I152" t="s">
        <v>124</v>
      </c>
      <c r="J152" s="17">
        <v>47.5</v>
      </c>
      <c r="K152" s="17">
        <v>2485</v>
      </c>
      <c r="L152" s="17">
        <v>2063</v>
      </c>
      <c r="M152" s="17">
        <v>0</v>
      </c>
      <c r="N152" s="17">
        <v>0</v>
      </c>
      <c r="O152" s="17">
        <v>0</v>
      </c>
      <c r="P152" s="17">
        <v>0</v>
      </c>
      <c r="Q152" s="17">
        <v>13.18</v>
      </c>
      <c r="R152" s="17">
        <v>23.53</v>
      </c>
      <c r="S152" t="s">
        <v>85</v>
      </c>
      <c r="T152" t="s">
        <v>84</v>
      </c>
      <c r="U152" t="s">
        <v>86</v>
      </c>
      <c r="V152" s="16">
        <v>45781</v>
      </c>
      <c r="W152" s="18">
        <v>45781.0104166667</v>
      </c>
      <c r="X152" s="18">
        <v>45817.0833333333</v>
      </c>
      <c r="Y152" s="17">
        <v>2472</v>
      </c>
      <c r="Z152" t="s">
        <v>87</v>
      </c>
      <c r="AA152" s="17">
        <v>2472</v>
      </c>
      <c r="AB152" s="17">
        <v>2047</v>
      </c>
      <c r="AC152" t="s">
        <v>84</v>
      </c>
      <c r="AD152" t="s">
        <v>84</v>
      </c>
      <c r="AE152" t="s">
        <v>84</v>
      </c>
      <c r="AF152" t="s">
        <v>84</v>
      </c>
      <c r="AG152" s="17">
        <v>7650542.91</v>
      </c>
      <c r="AH152" s="17">
        <v>18.09</v>
      </c>
      <c r="AI152" s="17">
        <v>10.42</v>
      </c>
      <c r="AJ152" s="17">
        <v>10.42</v>
      </c>
      <c r="AK152" t="s">
        <v>208</v>
      </c>
      <c r="AM152" s="17">
        <v>1.7</v>
      </c>
      <c r="AN152" s="17"/>
      <c r="AO152" s="17">
        <v>720</v>
      </c>
      <c r="AP152" s="17"/>
      <c r="AQ152" s="17">
        <v>1285</v>
      </c>
      <c r="AR152" s="17"/>
      <c r="AS152" s="17">
        <v>1.7</v>
      </c>
      <c r="AT152" s="17"/>
      <c r="AU152" s="17">
        <v>675</v>
      </c>
      <c r="AV152" s="17"/>
      <c r="AW152" s="17">
        <v>1285</v>
      </c>
      <c r="AX152" s="17"/>
      <c r="AY152" s="17">
        <v>5.46</v>
      </c>
      <c r="AZ152" s="17">
        <v>2.65</v>
      </c>
      <c r="BA152" t="s">
        <v>272</v>
      </c>
      <c r="BB152" s="17">
        <v>1</v>
      </c>
      <c r="BC152" s="17">
        <v>390</v>
      </c>
      <c r="BD152" s="17">
        <v>4.75</v>
      </c>
      <c r="BE152" s="17">
        <v>1382819.22</v>
      </c>
      <c r="BF152" s="17">
        <v>0.48</v>
      </c>
      <c r="BG152" s="17">
        <v>171</v>
      </c>
      <c r="BH152" t="s">
        <v>93</v>
      </c>
      <c r="BI152" t="s">
        <v>94</v>
      </c>
      <c r="BJ152" t="s">
        <v>173</v>
      </c>
      <c r="BK152" t="s">
        <v>85</v>
      </c>
      <c r="BL152" t="s">
        <v>85</v>
      </c>
      <c r="BM152" t="s">
        <v>96</v>
      </c>
      <c r="BN152" t="s">
        <v>341</v>
      </c>
      <c r="BO152" t="s">
        <v>98</v>
      </c>
      <c r="BP152" t="s">
        <v>99</v>
      </c>
      <c r="BQ152" s="17">
        <v>59</v>
      </c>
      <c r="BR152" t="s">
        <v>100</v>
      </c>
      <c r="BS152" t="s">
        <v>156</v>
      </c>
      <c r="BT152" t="s">
        <v>99</v>
      </c>
      <c r="BU152" s="17">
        <v>9.6</v>
      </c>
      <c r="BV152" t="s">
        <v>110</v>
      </c>
      <c r="BW152" t="s">
        <v>85</v>
      </c>
      <c r="BX152" t="s">
        <v>85</v>
      </c>
      <c r="BY152" t="str">
        <f>IF(COUNTIF('Data Upload-prod'!E:E,F152)=0,"Missing","Exist")</f>
        <v>Missing</v>
      </c>
    </row>
    <row r="153" hidden="1" spans="1:77">
      <c r="A153" s="16">
        <v>45817</v>
      </c>
      <c r="B153" s="16">
        <v>45859.4379637731</v>
      </c>
      <c r="C153" t="s">
        <v>132</v>
      </c>
      <c r="D153" t="s">
        <v>142</v>
      </c>
      <c r="E153" t="s">
        <v>170</v>
      </c>
      <c r="F153" t="s">
        <v>454</v>
      </c>
      <c r="G153" t="s">
        <v>81</v>
      </c>
      <c r="H153" t="s">
        <v>405</v>
      </c>
      <c r="I153" t="s">
        <v>124</v>
      </c>
      <c r="J153" s="17">
        <v>47.5</v>
      </c>
      <c r="K153" s="17">
        <v>2392</v>
      </c>
      <c r="L153" s="17">
        <v>2087</v>
      </c>
      <c r="M153" s="17">
        <v>0</v>
      </c>
      <c r="N153" s="17">
        <v>0</v>
      </c>
      <c r="O153" s="17">
        <v>0</v>
      </c>
      <c r="P153" s="17">
        <v>0</v>
      </c>
      <c r="Q153" s="17">
        <v>13.58</v>
      </c>
      <c r="R153" s="17">
        <v>24.06</v>
      </c>
      <c r="S153" t="s">
        <v>92</v>
      </c>
      <c r="T153" t="s">
        <v>84</v>
      </c>
      <c r="U153" t="s">
        <v>86</v>
      </c>
      <c r="V153" s="16">
        <v>45780</v>
      </c>
      <c r="W153" s="18">
        <v>45841.0625</v>
      </c>
      <c r="X153" s="18">
        <v>45805.6597222222</v>
      </c>
      <c r="Y153" s="17">
        <v>2655</v>
      </c>
      <c r="Z153" t="s">
        <v>87</v>
      </c>
      <c r="AA153" s="17">
        <v>2645</v>
      </c>
      <c r="AB153" s="17">
        <v>2343</v>
      </c>
      <c r="AC153" t="s">
        <v>84</v>
      </c>
      <c r="AD153" t="s">
        <v>84</v>
      </c>
      <c r="AE153" t="s">
        <v>84</v>
      </c>
      <c r="AF153" t="s">
        <v>84</v>
      </c>
      <c r="AG153" s="17">
        <v>8975906.91</v>
      </c>
      <c r="AH153" s="17">
        <v>18.99</v>
      </c>
      <c r="AI153" s="17">
        <v>0.49</v>
      </c>
      <c r="AJ153" s="17">
        <v>0.49</v>
      </c>
      <c r="AK153" t="s">
        <v>208</v>
      </c>
      <c r="AM153" s="17">
        <v>1.7</v>
      </c>
      <c r="AN153" s="17"/>
      <c r="AO153" s="17">
        <v>720</v>
      </c>
      <c r="AP153" s="17"/>
      <c r="AQ153" s="17">
        <v>1285</v>
      </c>
      <c r="AR153" s="17"/>
      <c r="AS153" s="17">
        <v>1.26</v>
      </c>
      <c r="AT153" s="17"/>
      <c r="AU153" s="17">
        <v>541</v>
      </c>
      <c r="AV153" s="17"/>
      <c r="AW153" s="17">
        <v>1025.72</v>
      </c>
      <c r="AX153" s="17"/>
      <c r="AY153" s="17">
        <v>6.6</v>
      </c>
      <c r="AZ153" s="17">
        <v>2.89</v>
      </c>
      <c r="BA153" t="s">
        <v>272</v>
      </c>
      <c r="BB153" s="17">
        <v>1</v>
      </c>
      <c r="BC153" s="17">
        <v>390</v>
      </c>
      <c r="BD153" s="17">
        <v>6.26</v>
      </c>
      <c r="BE153" s="17">
        <v>2507571.55</v>
      </c>
      <c r="BF153" s="17">
        <v>0.62</v>
      </c>
      <c r="BG153" s="17">
        <v>288</v>
      </c>
      <c r="BH153" t="s">
        <v>93</v>
      </c>
      <c r="BI153" t="s">
        <v>94</v>
      </c>
      <c r="BJ153" t="s">
        <v>173</v>
      </c>
      <c r="BK153" t="s">
        <v>85</v>
      </c>
      <c r="BL153" t="s">
        <v>85</v>
      </c>
      <c r="BM153" t="s">
        <v>96</v>
      </c>
      <c r="BN153" t="s">
        <v>342</v>
      </c>
      <c r="BO153" t="s">
        <v>98</v>
      </c>
      <c r="BP153" t="s">
        <v>99</v>
      </c>
      <c r="BQ153" s="17">
        <v>215</v>
      </c>
      <c r="BR153" t="s">
        <v>100</v>
      </c>
      <c r="BS153" t="s">
        <v>156</v>
      </c>
      <c r="BT153" t="s">
        <v>99</v>
      </c>
      <c r="BU153" s="17">
        <v>9.6</v>
      </c>
      <c r="BV153" t="s">
        <v>110</v>
      </c>
      <c r="BW153" t="s">
        <v>85</v>
      </c>
      <c r="BX153" t="s">
        <v>85</v>
      </c>
      <c r="BY153" t="str">
        <f>IF(COUNTIF('Data Upload-prod'!E:E,F153)=0,"Missing","Exist")</f>
        <v>Missing</v>
      </c>
    </row>
    <row r="154" hidden="1" spans="1:77">
      <c r="A154" s="16">
        <v>45813</v>
      </c>
      <c r="B154" s="16">
        <v>45938.7081984954</v>
      </c>
      <c r="C154" t="s">
        <v>132</v>
      </c>
      <c r="D154" t="s">
        <v>92</v>
      </c>
      <c r="E154" t="s">
        <v>170</v>
      </c>
      <c r="F154" t="s">
        <v>455</v>
      </c>
      <c r="G154" t="s">
        <v>81</v>
      </c>
      <c r="H154" t="s">
        <v>405</v>
      </c>
      <c r="I154" t="s">
        <v>124</v>
      </c>
      <c r="J154" s="17">
        <v>10.73</v>
      </c>
      <c r="K154" s="17">
        <v>3869.18</v>
      </c>
      <c r="L154" s="17">
        <v>2203</v>
      </c>
      <c r="M154" t="s">
        <v>84</v>
      </c>
      <c r="N154" t="s">
        <v>84</v>
      </c>
      <c r="O154" t="s">
        <v>84</v>
      </c>
      <c r="P154" t="s">
        <v>84</v>
      </c>
      <c r="Q154" s="17">
        <v>13627821.48</v>
      </c>
      <c r="R154" s="17">
        <v>23.16</v>
      </c>
      <c r="S154" t="s">
        <v>106</v>
      </c>
      <c r="T154" t="s">
        <v>84</v>
      </c>
      <c r="U154" t="s">
        <v>86</v>
      </c>
      <c r="V154" s="16">
        <v>45829</v>
      </c>
      <c r="W154" s="18">
        <v>45828.5</v>
      </c>
      <c r="X154" s="18">
        <v>45887.8333333333</v>
      </c>
      <c r="Y154" s="17">
        <v>13776</v>
      </c>
      <c r="Z154" t="s">
        <v>87</v>
      </c>
      <c r="AA154" s="17">
        <v>3962.2</v>
      </c>
      <c r="AB154" s="17">
        <v>2413.8</v>
      </c>
      <c r="AC154" t="s">
        <v>84</v>
      </c>
      <c r="AD154" t="s">
        <v>84</v>
      </c>
      <c r="AE154" t="s">
        <v>84</v>
      </c>
      <c r="AF154" t="s">
        <v>84</v>
      </c>
      <c r="AG154" s="17">
        <v>21577601.45</v>
      </c>
      <c r="AH154" s="17">
        <v>34.4</v>
      </c>
      <c r="AI154" s="17">
        <v>56</v>
      </c>
      <c r="AJ154" s="17">
        <v>56</v>
      </c>
      <c r="AK154" t="s">
        <v>89</v>
      </c>
      <c r="AM154" s="17">
        <v>2.4</v>
      </c>
      <c r="AN154" s="17"/>
      <c r="AO154" s="17">
        <v>795</v>
      </c>
      <c r="AP154" s="17"/>
      <c r="AQ154" s="17">
        <v>1200</v>
      </c>
      <c r="AR154" s="17"/>
      <c r="AS154" s="17">
        <v>1.79</v>
      </c>
      <c r="AT154" s="17"/>
      <c r="AU154" s="17">
        <v>1193</v>
      </c>
      <c r="AV154" s="17"/>
      <c r="AW154" s="17">
        <v>1566</v>
      </c>
      <c r="AX154" s="17"/>
      <c r="AY154" s="17">
        <v>3.74</v>
      </c>
      <c r="AZ154" s="17">
        <v>2249315.26</v>
      </c>
      <c r="BA154" t="s">
        <v>277</v>
      </c>
      <c r="BB154" s="17">
        <v>0.3</v>
      </c>
      <c r="BC154" s="17">
        <v>159</v>
      </c>
      <c r="BD154" s="17">
        <v>2.48</v>
      </c>
      <c r="BE154" s="17">
        <v>2346235.68</v>
      </c>
      <c r="BF154" s="17">
        <v>0.16</v>
      </c>
      <c r="BG154" s="17">
        <v>263</v>
      </c>
      <c r="BH154" t="s">
        <v>93</v>
      </c>
      <c r="BI154" t="s">
        <v>94</v>
      </c>
      <c r="BJ154" t="s">
        <v>95</v>
      </c>
      <c r="BK154" t="s">
        <v>85</v>
      </c>
      <c r="BL154" t="s">
        <v>85</v>
      </c>
      <c r="BM154" t="s">
        <v>96</v>
      </c>
      <c r="BN154" t="s">
        <v>342</v>
      </c>
      <c r="BO154" t="s">
        <v>98</v>
      </c>
      <c r="BP154" t="s">
        <v>99</v>
      </c>
      <c r="BQ154" s="17">
        <v>1010</v>
      </c>
      <c r="BR154" t="s">
        <v>100</v>
      </c>
      <c r="BS154" t="s">
        <v>156</v>
      </c>
      <c r="BT154" t="s">
        <v>99</v>
      </c>
      <c r="BU154" s="17">
        <v>8.5</v>
      </c>
      <c r="BV154" t="s">
        <v>191</v>
      </c>
      <c r="BW154" t="s">
        <v>85</v>
      </c>
      <c r="BX154" t="s">
        <v>85</v>
      </c>
      <c r="BY154" t="str">
        <f>IF(COUNTIF('Data Upload-prod'!E:E,F154)=0,"Missing","Exist")</f>
        <v>Missing</v>
      </c>
    </row>
    <row r="155" hidden="1" spans="1:77">
      <c r="A155" s="16">
        <v>45807</v>
      </c>
      <c r="B155" s="16">
        <v>45811.5073333449</v>
      </c>
      <c r="C155" t="s">
        <v>132</v>
      </c>
      <c r="D155" t="s">
        <v>142</v>
      </c>
      <c r="E155" t="s">
        <v>166</v>
      </c>
      <c r="F155" t="s">
        <v>456</v>
      </c>
      <c r="G155" t="s">
        <v>81</v>
      </c>
      <c r="H155" t="s">
        <v>405</v>
      </c>
      <c r="I155" t="s">
        <v>124</v>
      </c>
      <c r="J155" s="17">
        <v>193.58</v>
      </c>
      <c r="K155" s="17">
        <v>15382.5</v>
      </c>
      <c r="L155" s="17">
        <v>14977.8</v>
      </c>
      <c r="M155" t="s">
        <v>84</v>
      </c>
      <c r="N155" t="s">
        <v>84</v>
      </c>
      <c r="O155" t="s">
        <v>84</v>
      </c>
      <c r="P155" t="s">
        <v>84</v>
      </c>
      <c r="Q155" s="17">
        <v>29288882.27</v>
      </c>
      <c r="R155" s="17">
        <v>58.42</v>
      </c>
      <c r="S155" t="s">
        <v>85</v>
      </c>
      <c r="T155" t="s">
        <v>84</v>
      </c>
      <c r="U155" t="s">
        <v>86</v>
      </c>
      <c r="V155" s="16">
        <v>45645</v>
      </c>
      <c r="W155" s="18">
        <v>45644.5833333333</v>
      </c>
      <c r="X155" s="18">
        <v>45759.9583333333</v>
      </c>
      <c r="Y155" s="17">
        <v>4569.34</v>
      </c>
      <c r="Z155" t="s">
        <v>87</v>
      </c>
      <c r="AA155" s="17">
        <v>4677.54</v>
      </c>
      <c r="AB155" s="17">
        <v>4555.23</v>
      </c>
      <c r="AC155" t="s">
        <v>84</v>
      </c>
      <c r="AD155" t="s">
        <v>84</v>
      </c>
      <c r="AE155" t="s">
        <v>84</v>
      </c>
      <c r="AF155" t="s">
        <v>84</v>
      </c>
      <c r="AG155" s="17">
        <v>27020441.03</v>
      </c>
      <c r="AH155" s="17">
        <v>58.12</v>
      </c>
      <c r="AI155" s="17">
        <v>19</v>
      </c>
      <c r="AJ155" s="17">
        <v>14</v>
      </c>
      <c r="AK155" t="s">
        <v>165</v>
      </c>
      <c r="AM155" s="17">
        <v>2.5</v>
      </c>
      <c r="AN155" s="17"/>
      <c r="AO155" s="17">
        <v>1440</v>
      </c>
      <c r="AP155" s="17"/>
      <c r="AQ155" s="17">
        <v>3040</v>
      </c>
      <c r="AR155" s="17"/>
      <c r="AS155" s="17">
        <v>2.69</v>
      </c>
      <c r="AT155" s="17"/>
      <c r="AU155" s="17">
        <v>1244</v>
      </c>
      <c r="AV155" s="17"/>
      <c r="AW155" s="17">
        <v>1745</v>
      </c>
      <c r="AX155" s="17"/>
      <c r="AY155" s="17">
        <v>12.08</v>
      </c>
      <c r="AZ155" s="17">
        <v>3407090.28</v>
      </c>
      <c r="BA155" t="s">
        <v>277</v>
      </c>
      <c r="BB155" s="17">
        <v>0.3</v>
      </c>
      <c r="BC155" s="17">
        <v>159</v>
      </c>
      <c r="BD155" s="17">
        <v>14.39</v>
      </c>
      <c r="BE155" s="17">
        <v>7178045</v>
      </c>
      <c r="BF155" s="17">
        <v>0.94</v>
      </c>
      <c r="BG155" s="17">
        <v>469</v>
      </c>
      <c r="BH155" t="s">
        <v>93</v>
      </c>
      <c r="BI155" t="s">
        <v>94</v>
      </c>
      <c r="BJ155" t="s">
        <v>95</v>
      </c>
      <c r="BK155" t="s">
        <v>85</v>
      </c>
      <c r="BL155" t="s">
        <v>85</v>
      </c>
      <c r="BM155" t="s">
        <v>159</v>
      </c>
      <c r="BN155" t="s">
        <v>129</v>
      </c>
      <c r="BO155" t="s">
        <v>98</v>
      </c>
      <c r="BP155" t="s">
        <v>99</v>
      </c>
      <c r="BQ155" s="17">
        <v>436</v>
      </c>
      <c r="BR155" t="s">
        <v>138</v>
      </c>
      <c r="BS155" t="s">
        <v>156</v>
      </c>
      <c r="BT155" t="s">
        <v>99</v>
      </c>
      <c r="BU155" s="17">
        <v>8.6</v>
      </c>
      <c r="BV155" t="s">
        <v>191</v>
      </c>
      <c r="BW155" t="s">
        <v>85</v>
      </c>
      <c r="BX155" t="s">
        <v>85</v>
      </c>
      <c r="BY155" t="str">
        <f>IF(COUNTIF('Data Upload-prod'!E:E,F155)=0,"Missing","Exist")</f>
        <v>Missing</v>
      </c>
    </row>
    <row r="156" hidden="1" spans="1:77">
      <c r="A156" s="16">
        <v>45807</v>
      </c>
      <c r="B156" s="16">
        <v>45812.8372940509</v>
      </c>
      <c r="C156" t="s">
        <v>132</v>
      </c>
      <c r="D156" t="s">
        <v>142</v>
      </c>
      <c r="E156" t="s">
        <v>166</v>
      </c>
      <c r="F156" t="s">
        <v>457</v>
      </c>
      <c r="G156" t="s">
        <v>81</v>
      </c>
      <c r="H156" t="s">
        <v>405</v>
      </c>
      <c r="I156" t="s">
        <v>124</v>
      </c>
      <c r="J156" s="17">
        <v>193.58</v>
      </c>
      <c r="K156" s="17">
        <v>15601</v>
      </c>
      <c r="L156" s="17">
        <v>14336.29</v>
      </c>
      <c r="M156" t="s">
        <v>84</v>
      </c>
      <c r="N156" t="s">
        <v>84</v>
      </c>
      <c r="O156" t="s">
        <v>84</v>
      </c>
      <c r="P156" t="s">
        <v>84</v>
      </c>
      <c r="Q156" s="17">
        <v>26343881.81</v>
      </c>
      <c r="R156" s="17">
        <v>62.46</v>
      </c>
      <c r="S156" t="s">
        <v>85</v>
      </c>
      <c r="T156" t="s">
        <v>84</v>
      </c>
      <c r="U156" t="s">
        <v>86</v>
      </c>
      <c r="V156" s="16">
        <v>45602</v>
      </c>
      <c r="W156" s="18">
        <v>45601.375</v>
      </c>
      <c r="X156" s="18">
        <v>45767.9993055556</v>
      </c>
      <c r="Y156" s="17">
        <v>4689.73</v>
      </c>
      <c r="Z156" t="s">
        <v>87</v>
      </c>
      <c r="AA156" s="17">
        <v>4797.93</v>
      </c>
      <c r="AB156" s="17">
        <v>4396.44</v>
      </c>
      <c r="AC156" t="s">
        <v>84</v>
      </c>
      <c r="AD156" t="s">
        <v>84</v>
      </c>
      <c r="AE156" t="s">
        <v>84</v>
      </c>
      <c r="AF156" t="s">
        <v>84</v>
      </c>
      <c r="AG156" s="17">
        <v>22740550.81</v>
      </c>
      <c r="AH156" s="17">
        <v>51.59</v>
      </c>
      <c r="AI156" s="17">
        <v>7</v>
      </c>
      <c r="AJ156" s="17">
        <v>7</v>
      </c>
      <c r="AK156" t="s">
        <v>165</v>
      </c>
      <c r="AM156" s="17">
        <v>2.5</v>
      </c>
      <c r="AN156" s="17"/>
      <c r="AO156" s="17">
        <v>1440</v>
      </c>
      <c r="AP156" s="17"/>
      <c r="AQ156" s="17">
        <v>1785</v>
      </c>
      <c r="AR156" s="17"/>
      <c r="AS156" s="17">
        <v>2.22</v>
      </c>
      <c r="AT156" s="17"/>
      <c r="AU156" s="17">
        <v>982</v>
      </c>
      <c r="AV156" s="17"/>
      <c r="AW156" s="17">
        <v>1421</v>
      </c>
      <c r="AX156" s="17"/>
      <c r="AY156" s="17">
        <v>11.75</v>
      </c>
      <c r="AZ156" s="17">
        <v>3183019.76</v>
      </c>
      <c r="BA156" t="s">
        <v>277</v>
      </c>
      <c r="BB156" s="17">
        <v>0.3</v>
      </c>
      <c r="BC156" s="17">
        <v>159</v>
      </c>
      <c r="BD156" s="17">
        <v>9.4</v>
      </c>
      <c r="BE156" s="17">
        <v>5637600</v>
      </c>
      <c r="BF156" s="17">
        <v>0.6</v>
      </c>
      <c r="BG156" s="17">
        <v>360</v>
      </c>
      <c r="BH156" t="s">
        <v>93</v>
      </c>
      <c r="BI156" t="s">
        <v>94</v>
      </c>
      <c r="BJ156" t="s">
        <v>95</v>
      </c>
      <c r="BK156" t="s">
        <v>85</v>
      </c>
      <c r="BL156" t="s">
        <v>85</v>
      </c>
      <c r="BM156" t="s">
        <v>159</v>
      </c>
      <c r="BN156" t="s">
        <v>129</v>
      </c>
      <c r="BO156" t="s">
        <v>98</v>
      </c>
      <c r="BP156" t="s">
        <v>99</v>
      </c>
      <c r="BQ156" s="17">
        <v>1404</v>
      </c>
      <c r="BR156" t="s">
        <v>100</v>
      </c>
      <c r="BS156" t="s">
        <v>156</v>
      </c>
      <c r="BT156" t="s">
        <v>99</v>
      </c>
      <c r="BU156" s="17">
        <v>8.6</v>
      </c>
      <c r="BV156" t="s">
        <v>191</v>
      </c>
      <c r="BW156" t="s">
        <v>85</v>
      </c>
      <c r="BX156" t="s">
        <v>85</v>
      </c>
      <c r="BY156" t="str">
        <f>IF(COUNTIF('Data Upload-prod'!E:E,F156)=0,"Missing","Exist")</f>
        <v>Missing</v>
      </c>
    </row>
    <row r="157" hidden="1" spans="1:77">
      <c r="A157" s="16">
        <v>45806</v>
      </c>
      <c r="B157" s="16">
        <v>45950.4551185185</v>
      </c>
      <c r="C157" t="s">
        <v>141</v>
      </c>
      <c r="D157" t="s">
        <v>120</v>
      </c>
      <c r="E157" t="s">
        <v>458</v>
      </c>
      <c r="F157" t="s">
        <v>459</v>
      </c>
      <c r="G157" t="s">
        <v>145</v>
      </c>
      <c r="H157" t="s">
        <v>311</v>
      </c>
      <c r="I157" t="s">
        <v>124</v>
      </c>
      <c r="J157" s="17">
        <v>67</v>
      </c>
      <c r="K157" s="17">
        <v>2716</v>
      </c>
      <c r="L157" s="17">
        <v>2365</v>
      </c>
      <c r="M157" s="17">
        <v>30017527</v>
      </c>
      <c r="N157" s="17">
        <v>34488514</v>
      </c>
      <c r="O157" s="17">
        <v>39.63</v>
      </c>
      <c r="P157" s="17">
        <v>47.94</v>
      </c>
      <c r="Q157" t="s">
        <v>84</v>
      </c>
      <c r="R157" t="s">
        <v>84</v>
      </c>
      <c r="S157" t="s">
        <v>85</v>
      </c>
      <c r="T157" t="s">
        <v>84</v>
      </c>
      <c r="U157" t="s">
        <v>84</v>
      </c>
      <c r="V157" s="16">
        <v>45831</v>
      </c>
      <c r="W157" s="18">
        <v>45825.2291666667</v>
      </c>
      <c r="X157" s="18">
        <v>45888.3854166667</v>
      </c>
      <c r="Y157" s="17">
        <v>2471.5</v>
      </c>
      <c r="Z157" t="s">
        <v>87</v>
      </c>
      <c r="AA157" s="17">
        <v>2575.43</v>
      </c>
      <c r="AB157" s="17">
        <v>2249.86</v>
      </c>
      <c r="AC157" t="s">
        <v>84</v>
      </c>
      <c r="AD157" s="17">
        <v>38700000</v>
      </c>
      <c r="AE157" t="s">
        <v>84</v>
      </c>
      <c r="AF157" s="17">
        <v>63.16</v>
      </c>
      <c r="AG157" s="17">
        <v>38700000</v>
      </c>
      <c r="AH157" s="17">
        <v>63.16</v>
      </c>
      <c r="AI157" s="17">
        <v>20.6</v>
      </c>
      <c r="AJ157" s="17">
        <v>17.3</v>
      </c>
      <c r="AK157" t="s">
        <v>323</v>
      </c>
      <c r="AM157" s="17">
        <v>4.4</v>
      </c>
      <c r="AN157" s="17"/>
      <c r="AO157" s="17">
        <v>1980</v>
      </c>
      <c r="AP157" s="17"/>
      <c r="AQ157" s="17">
        <v>2760</v>
      </c>
      <c r="AR157" s="17"/>
      <c r="AS157" s="17">
        <v>4.01</v>
      </c>
      <c r="AT157" s="17"/>
      <c r="AU157" s="17">
        <v>3063</v>
      </c>
      <c r="AV157" s="17"/>
      <c r="AW157" s="17">
        <v>4773</v>
      </c>
      <c r="AX157" s="17"/>
      <c r="AY157" s="17">
        <v>0</v>
      </c>
      <c r="AZ157" s="17">
        <v>0</v>
      </c>
      <c r="BA157" t="s">
        <v>92</v>
      </c>
      <c r="BB157" s="17">
        <v>0</v>
      </c>
      <c r="BC157" s="17">
        <v>0</v>
      </c>
      <c r="BD157" t="s">
        <v>92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92</v>
      </c>
      <c r="BM157" t="s">
        <v>92</v>
      </c>
      <c r="BN157" t="s">
        <v>92</v>
      </c>
      <c r="BO157" t="s">
        <v>92</v>
      </c>
      <c r="BP157" t="s">
        <v>92</v>
      </c>
      <c r="BQ157" t="s">
        <v>92</v>
      </c>
      <c r="BR157" t="s">
        <v>92</v>
      </c>
      <c r="BS157" t="s">
        <v>92</v>
      </c>
      <c r="BT157" t="s">
        <v>92</v>
      </c>
      <c r="BU157" t="s">
        <v>92</v>
      </c>
      <c r="BV157" t="s">
        <v>92</v>
      </c>
      <c r="BW157" t="s">
        <v>92</v>
      </c>
      <c r="BX157" t="s">
        <v>92</v>
      </c>
      <c r="BY157" t="str">
        <f>IF(COUNTIF('Data Upload-prod'!E:E,F157)=0,"Missing","Exist")</f>
        <v>Missing</v>
      </c>
    </row>
    <row r="158" hidden="1" spans="1:77">
      <c r="A158" s="16">
        <v>45799</v>
      </c>
      <c r="B158" s="16">
        <v>45800.6290388657</v>
      </c>
      <c r="C158" t="s">
        <v>132</v>
      </c>
      <c r="D158" t="s">
        <v>142</v>
      </c>
      <c r="E158" t="s">
        <v>166</v>
      </c>
      <c r="F158" t="s">
        <v>460</v>
      </c>
      <c r="G158" t="s">
        <v>81</v>
      </c>
      <c r="H158" t="s">
        <v>405</v>
      </c>
      <c r="I158" t="s">
        <v>124</v>
      </c>
      <c r="J158" s="17">
        <v>193.58</v>
      </c>
      <c r="K158" s="17">
        <v>13718</v>
      </c>
      <c r="L158" s="17">
        <v>10204</v>
      </c>
      <c r="M158" t="s">
        <v>84</v>
      </c>
      <c r="N158" t="s">
        <v>84</v>
      </c>
      <c r="O158" t="s">
        <v>84</v>
      </c>
      <c r="P158" t="s">
        <v>84</v>
      </c>
      <c r="Q158" s="17">
        <v>28427933.14</v>
      </c>
      <c r="R158" s="17">
        <v>65.2</v>
      </c>
      <c r="S158" t="s">
        <v>85</v>
      </c>
      <c r="T158" t="s">
        <v>84</v>
      </c>
      <c r="U158" t="s">
        <v>86</v>
      </c>
      <c r="V158" s="16">
        <v>45694</v>
      </c>
      <c r="W158" s="18">
        <v>45694.75</v>
      </c>
      <c r="X158" s="18">
        <v>45751.6458333333</v>
      </c>
      <c r="Y158" s="17">
        <v>4078</v>
      </c>
      <c r="Z158" t="s">
        <v>87</v>
      </c>
      <c r="AA158" s="17">
        <v>4186.2</v>
      </c>
      <c r="AB158" s="17">
        <v>3105.6</v>
      </c>
      <c r="AC158" t="s">
        <v>84</v>
      </c>
      <c r="AD158" t="s">
        <v>84</v>
      </c>
      <c r="AE158" t="s">
        <v>84</v>
      </c>
      <c r="AF158" t="s">
        <v>84</v>
      </c>
      <c r="AG158" s="17">
        <v>23506373.36</v>
      </c>
      <c r="AH158" s="17">
        <v>56.9</v>
      </c>
      <c r="AI158" s="17">
        <v>5</v>
      </c>
      <c r="AJ158" s="17">
        <v>3</v>
      </c>
      <c r="AK158" t="s">
        <v>208</v>
      </c>
      <c r="AM158" s="17">
        <v>1.7</v>
      </c>
      <c r="AN158" s="17"/>
      <c r="AO158" s="17">
        <v>720</v>
      </c>
      <c r="AP158" s="17"/>
      <c r="AQ158" s="17">
        <v>1685</v>
      </c>
      <c r="AR158" s="17"/>
      <c r="AS158" s="17">
        <v>2.1</v>
      </c>
      <c r="AT158" s="17"/>
      <c r="AU158" s="17">
        <v>832</v>
      </c>
      <c r="AV158" s="17"/>
      <c r="AW158" s="17">
        <v>1684</v>
      </c>
      <c r="AX158" s="17"/>
      <c r="AY158" s="17">
        <v>19.6</v>
      </c>
      <c r="AZ158" s="17">
        <v>4431855.3</v>
      </c>
      <c r="BA158" t="s">
        <v>416</v>
      </c>
      <c r="BB158" s="17">
        <v>2</v>
      </c>
      <c r="BC158" s="17">
        <v>789</v>
      </c>
      <c r="BD158" s="17">
        <v>19.36</v>
      </c>
      <c r="BE158" s="17">
        <v>4.03</v>
      </c>
      <c r="BF158" s="17">
        <v>2</v>
      </c>
      <c r="BG158" s="17">
        <v>591</v>
      </c>
      <c r="BH158" t="s">
        <v>93</v>
      </c>
      <c r="BI158" t="s">
        <v>94</v>
      </c>
      <c r="BJ158" t="s">
        <v>215</v>
      </c>
      <c r="BK158" t="s">
        <v>85</v>
      </c>
      <c r="BL158" t="s">
        <v>85</v>
      </c>
      <c r="BM158" t="s">
        <v>96</v>
      </c>
      <c r="BN158" t="s">
        <v>266</v>
      </c>
      <c r="BO158" t="s">
        <v>98</v>
      </c>
      <c r="BP158" t="s">
        <v>99</v>
      </c>
      <c r="BQ158" s="17">
        <v>477</v>
      </c>
      <c r="BR158" t="s">
        <v>138</v>
      </c>
      <c r="BS158" t="s">
        <v>156</v>
      </c>
      <c r="BT158" t="s">
        <v>99</v>
      </c>
      <c r="BU158" s="17">
        <v>8.6</v>
      </c>
      <c r="BV158" t="s">
        <v>191</v>
      </c>
      <c r="BW158" t="s">
        <v>85</v>
      </c>
      <c r="BX158" t="s">
        <v>85</v>
      </c>
      <c r="BY158" t="str">
        <f>IF(COUNTIF('Data Upload-prod'!E:E,F158)=0,"Missing","Exist")</f>
        <v>Missing</v>
      </c>
    </row>
    <row r="159" hidden="1" spans="1:77">
      <c r="A159" s="16">
        <v>45391</v>
      </c>
      <c r="B159" s="16">
        <v>45524</v>
      </c>
      <c r="C159" t="s">
        <v>132</v>
      </c>
      <c r="D159" t="s">
        <v>120</v>
      </c>
      <c r="E159" t="s">
        <v>461</v>
      </c>
      <c r="F159" t="s">
        <v>462</v>
      </c>
      <c r="G159" t="s">
        <v>145</v>
      </c>
      <c r="H159" t="s">
        <v>172</v>
      </c>
      <c r="I159" t="s">
        <v>124</v>
      </c>
      <c r="J159" s="17">
        <v>62.5</v>
      </c>
      <c r="K159" s="17">
        <v>1609</v>
      </c>
      <c r="L159" s="17">
        <v>1430</v>
      </c>
      <c r="M159" s="17">
        <v>34415879.12</v>
      </c>
      <c r="N159" s="17">
        <v>38905563.52</v>
      </c>
      <c r="O159" s="17">
        <v>68.3</v>
      </c>
      <c r="P159" s="17">
        <v>84</v>
      </c>
      <c r="Q159" t="s">
        <v>84</v>
      </c>
      <c r="R159" t="s">
        <v>84</v>
      </c>
      <c r="S159" t="s">
        <v>85</v>
      </c>
      <c r="T159" t="s">
        <v>84</v>
      </c>
      <c r="U159" t="s">
        <v>84</v>
      </c>
      <c r="V159" s="16">
        <v>45395</v>
      </c>
      <c r="W159" s="18">
        <v>45395.4583333333</v>
      </c>
      <c r="X159" s="18">
        <v>45445.7083333333</v>
      </c>
      <c r="Y159" s="17">
        <v>1105</v>
      </c>
      <c r="Z159" t="s">
        <v>87</v>
      </c>
      <c r="AA159" s="17">
        <v>1200</v>
      </c>
      <c r="AB159" s="17">
        <v>1092.7</v>
      </c>
      <c r="AC159" s="17">
        <v>24351396.59</v>
      </c>
      <c r="AD159" t="s">
        <v>84</v>
      </c>
      <c r="AE159" s="17">
        <v>50.25</v>
      </c>
      <c r="AF159" t="s">
        <v>84</v>
      </c>
      <c r="AG159" t="s">
        <v>84</v>
      </c>
      <c r="AH159" t="s">
        <v>84</v>
      </c>
      <c r="AI159" s="17">
        <v>2.69</v>
      </c>
      <c r="AJ159" s="17">
        <v>2.69</v>
      </c>
      <c r="AK159" t="s">
        <v>323</v>
      </c>
      <c r="AM159" s="17">
        <v>4.4</v>
      </c>
      <c r="AN159" s="17"/>
      <c r="AO159" s="17">
        <v>1980</v>
      </c>
      <c r="AP159" s="17"/>
      <c r="AQ159" s="17">
        <v>2760</v>
      </c>
      <c r="AR159" s="17"/>
      <c r="AS159" s="17">
        <v>5.07</v>
      </c>
      <c r="AT159" s="17"/>
      <c r="AU159" s="17">
        <v>3225</v>
      </c>
      <c r="AV159" s="17"/>
      <c r="AW159" s="17">
        <v>5489</v>
      </c>
      <c r="AX159" s="17"/>
      <c r="AY159" t="s">
        <v>92</v>
      </c>
      <c r="AZ159" t="s">
        <v>92</v>
      </c>
      <c r="BA159" t="s">
        <v>92</v>
      </c>
      <c r="BB159" t="s">
        <v>92</v>
      </c>
      <c r="BC159" t="s">
        <v>92</v>
      </c>
      <c r="BD159" t="s">
        <v>92</v>
      </c>
      <c r="BE159" t="s">
        <v>92</v>
      </c>
      <c r="BF159" t="s">
        <v>92</v>
      </c>
      <c r="BG159" t="s">
        <v>92</v>
      </c>
      <c r="BH159" t="s">
        <v>92</v>
      </c>
      <c r="BI159" t="s">
        <v>92</v>
      </c>
      <c r="BJ159" t="s">
        <v>92</v>
      </c>
      <c r="BK159" t="s">
        <v>92</v>
      </c>
      <c r="BL159" t="s">
        <v>92</v>
      </c>
      <c r="BM159" t="s">
        <v>92</v>
      </c>
      <c r="BN159" t="s">
        <v>92</v>
      </c>
      <c r="BO159" t="s">
        <v>92</v>
      </c>
      <c r="BP159" t="s">
        <v>92</v>
      </c>
      <c r="BQ159" t="s">
        <v>92</v>
      </c>
      <c r="BR159" t="s">
        <v>92</v>
      </c>
      <c r="BS159" t="s">
        <v>92</v>
      </c>
      <c r="BT159" t="s">
        <v>92</v>
      </c>
      <c r="BU159" t="s">
        <v>92</v>
      </c>
      <c r="BV159" t="s">
        <v>92</v>
      </c>
      <c r="BW159" t="s">
        <v>92</v>
      </c>
      <c r="BX159" t="s">
        <v>92</v>
      </c>
      <c r="BY159" t="str">
        <f>IF(COUNTIF('Data Upload-prod'!E:E,F159)=0,"Missing","Exist")</f>
        <v>Exist</v>
      </c>
    </row>
    <row r="160" hidden="1" spans="1:77">
      <c r="A160" s="16">
        <v>45370</v>
      </c>
      <c r="B160" s="16">
        <v>45456</v>
      </c>
      <c r="C160" t="s">
        <v>132</v>
      </c>
      <c r="D160" t="s">
        <v>120</v>
      </c>
      <c r="E160" t="s">
        <v>463</v>
      </c>
      <c r="F160" t="s">
        <v>464</v>
      </c>
      <c r="G160" t="s">
        <v>81</v>
      </c>
      <c r="H160" t="s">
        <v>397</v>
      </c>
      <c r="I160" t="s">
        <v>124</v>
      </c>
      <c r="J160" s="17">
        <v>69.49</v>
      </c>
      <c r="K160" s="17">
        <v>1691</v>
      </c>
      <c r="L160" s="17">
        <v>1528</v>
      </c>
      <c r="M160" t="s">
        <v>84</v>
      </c>
      <c r="N160" t="s">
        <v>84</v>
      </c>
      <c r="O160" t="s">
        <v>84</v>
      </c>
      <c r="P160" t="s">
        <v>84</v>
      </c>
      <c r="Q160" s="17">
        <v>9845000</v>
      </c>
      <c r="R160" s="17">
        <v>17.55</v>
      </c>
      <c r="S160" t="s">
        <v>85</v>
      </c>
      <c r="T160" t="s">
        <v>84</v>
      </c>
      <c r="U160" t="s">
        <v>86</v>
      </c>
      <c r="V160" s="16">
        <v>45371.75</v>
      </c>
      <c r="W160" s="18">
        <v>45371.75</v>
      </c>
      <c r="X160" s="18">
        <v>45418.7916666667</v>
      </c>
      <c r="Y160" s="17">
        <v>1585</v>
      </c>
      <c r="Z160" t="s">
        <v>87</v>
      </c>
      <c r="AA160" s="17">
        <v>1694</v>
      </c>
      <c r="AB160" s="17">
        <v>1529.33</v>
      </c>
      <c r="AC160" t="s">
        <v>84</v>
      </c>
      <c r="AD160" t="s">
        <v>84</v>
      </c>
      <c r="AE160" t="s">
        <v>84</v>
      </c>
      <c r="AF160" t="s">
        <v>84</v>
      </c>
      <c r="AG160" s="17">
        <v>9844700</v>
      </c>
      <c r="AH160" s="17">
        <v>16.7</v>
      </c>
      <c r="AI160" s="17">
        <v>0.75</v>
      </c>
      <c r="AJ160" s="17">
        <v>0.75</v>
      </c>
      <c r="AK160" t="s">
        <v>208</v>
      </c>
      <c r="AM160" s="17">
        <v>2.2</v>
      </c>
      <c r="AN160" s="17"/>
      <c r="AO160" s="17">
        <v>830</v>
      </c>
      <c r="AP160" s="17"/>
      <c r="AQ160" s="17">
        <v>1380</v>
      </c>
      <c r="AR160" s="17"/>
      <c r="AS160" s="17">
        <v>2</v>
      </c>
      <c r="AT160" s="17"/>
      <c r="AU160" s="17">
        <v>1100.71</v>
      </c>
      <c r="AV160" s="17"/>
      <c r="AW160" s="17">
        <v>1766.2</v>
      </c>
      <c r="AX160" s="17"/>
      <c r="AY160" t="s">
        <v>92</v>
      </c>
      <c r="AZ160" t="s">
        <v>92</v>
      </c>
      <c r="BA160" t="s">
        <v>92</v>
      </c>
      <c r="BB160" t="s">
        <v>92</v>
      </c>
      <c r="BC160" t="s">
        <v>92</v>
      </c>
      <c r="BD160" s="17">
        <v>6.3</v>
      </c>
      <c r="BE160" s="17">
        <v>3462634</v>
      </c>
      <c r="BF160" s="17">
        <v>1.13</v>
      </c>
      <c r="BG160" s="17">
        <v>623</v>
      </c>
      <c r="BH160" t="s">
        <v>93</v>
      </c>
      <c r="BI160" t="s">
        <v>94</v>
      </c>
      <c r="BJ160" t="s">
        <v>128</v>
      </c>
      <c r="BK160" t="s">
        <v>85</v>
      </c>
      <c r="BL160" t="s">
        <v>85</v>
      </c>
      <c r="BM160" t="s">
        <v>96</v>
      </c>
      <c r="BN160" t="s">
        <v>97</v>
      </c>
      <c r="BO160" t="s">
        <v>216</v>
      </c>
      <c r="BP160" t="s">
        <v>99</v>
      </c>
      <c r="BQ160" s="17">
        <v>2323</v>
      </c>
      <c r="BR160" t="s">
        <v>138</v>
      </c>
      <c r="BS160" t="s">
        <v>285</v>
      </c>
      <c r="BT160" t="s">
        <v>99</v>
      </c>
      <c r="BU160" s="17">
        <v>9</v>
      </c>
      <c r="BV160" t="s">
        <v>191</v>
      </c>
      <c r="BW160" t="s">
        <v>85</v>
      </c>
      <c r="BX160" t="s">
        <v>85</v>
      </c>
      <c r="BY160" t="str">
        <f>IF(COUNTIF('Data Upload-prod'!E:E,F160)=0,"Missing","Exist")</f>
        <v>Exist</v>
      </c>
    </row>
    <row r="161" hidden="1" spans="1:77">
      <c r="A161" s="16">
        <v>45344</v>
      </c>
      <c r="B161" s="16">
        <v>45516</v>
      </c>
      <c r="C161" t="s">
        <v>132</v>
      </c>
      <c r="D161" t="s">
        <v>120</v>
      </c>
      <c r="E161" t="s">
        <v>465</v>
      </c>
      <c r="F161" t="s">
        <v>466</v>
      </c>
      <c r="G161" t="s">
        <v>145</v>
      </c>
      <c r="H161" t="s">
        <v>319</v>
      </c>
      <c r="I161" t="s">
        <v>231</v>
      </c>
      <c r="J161" s="17">
        <v>118</v>
      </c>
      <c r="K161" s="17">
        <v>2046</v>
      </c>
      <c r="L161" s="17">
        <v>2046</v>
      </c>
      <c r="M161" s="17">
        <v>29440000</v>
      </c>
      <c r="N161" s="17">
        <v>35380000</v>
      </c>
      <c r="O161" s="17">
        <v>57.65</v>
      </c>
      <c r="P161" s="17">
        <v>70.25</v>
      </c>
      <c r="Q161" t="s">
        <v>84</v>
      </c>
      <c r="R161" t="s">
        <v>84</v>
      </c>
      <c r="S161" t="s">
        <v>85</v>
      </c>
      <c r="T161" t="s">
        <v>84</v>
      </c>
      <c r="U161" t="s">
        <v>84</v>
      </c>
      <c r="V161" s="16">
        <v>45347</v>
      </c>
      <c r="W161" s="18">
        <v>45347.2916666667</v>
      </c>
      <c r="X161" s="18">
        <v>45432.0208333333</v>
      </c>
      <c r="Y161" s="17">
        <v>1854</v>
      </c>
      <c r="Z161" t="s">
        <v>87</v>
      </c>
      <c r="AA161" s="17">
        <v>2000</v>
      </c>
      <c r="AB161" s="17">
        <v>2000</v>
      </c>
      <c r="AC161" t="s">
        <v>84</v>
      </c>
      <c r="AD161" s="17">
        <v>40679382.52</v>
      </c>
      <c r="AE161" t="s">
        <v>84</v>
      </c>
      <c r="AF161" s="17">
        <v>84.73</v>
      </c>
      <c r="AG161" t="s">
        <v>84</v>
      </c>
      <c r="AH161" t="s">
        <v>84</v>
      </c>
      <c r="AI161" s="17">
        <v>28.26</v>
      </c>
      <c r="AJ161" s="17">
        <v>26.59</v>
      </c>
      <c r="AK161" t="s">
        <v>333</v>
      </c>
      <c r="AM161" s="17">
        <v>3.8</v>
      </c>
      <c r="AN161" s="17"/>
      <c r="AO161" s="17">
        <v>2125</v>
      </c>
      <c r="AP161" s="17"/>
      <c r="AQ161" s="17">
        <v>3315</v>
      </c>
      <c r="AR161" s="17"/>
      <c r="AS161" s="17">
        <v>7.08</v>
      </c>
      <c r="AT161" s="17"/>
      <c r="AU161" s="17">
        <v>3943</v>
      </c>
      <c r="AV161" s="17"/>
      <c r="AW161" s="17">
        <v>5897</v>
      </c>
      <c r="AX161" s="17"/>
      <c r="AY161" t="s">
        <v>92</v>
      </c>
      <c r="AZ161" t="s">
        <v>92</v>
      </c>
      <c r="BA161" t="s">
        <v>92</v>
      </c>
      <c r="BB161" t="s">
        <v>92</v>
      </c>
      <c r="BC161" t="s">
        <v>92</v>
      </c>
      <c r="BD161" t="s">
        <v>92</v>
      </c>
      <c r="BE161" t="s">
        <v>92</v>
      </c>
      <c r="BF161" t="s">
        <v>92</v>
      </c>
      <c r="BG161" t="s">
        <v>92</v>
      </c>
      <c r="BH161" t="s">
        <v>92</v>
      </c>
      <c r="BI161" t="s">
        <v>92</v>
      </c>
      <c r="BJ161" t="s">
        <v>92</v>
      </c>
      <c r="BK161" t="s">
        <v>92</v>
      </c>
      <c r="BL161" t="s">
        <v>92</v>
      </c>
      <c r="BM161" t="s">
        <v>92</v>
      </c>
      <c r="BN161" t="s">
        <v>92</v>
      </c>
      <c r="BO161" t="s">
        <v>92</v>
      </c>
      <c r="BP161" t="s">
        <v>92</v>
      </c>
      <c r="BQ161" t="s">
        <v>92</v>
      </c>
      <c r="BR161" t="s">
        <v>92</v>
      </c>
      <c r="BS161" t="s">
        <v>92</v>
      </c>
      <c r="BT161" t="s">
        <v>92</v>
      </c>
      <c r="BU161" t="s">
        <v>92</v>
      </c>
      <c r="BV161" t="s">
        <v>92</v>
      </c>
      <c r="BW161" t="s">
        <v>92</v>
      </c>
      <c r="BX161" t="s">
        <v>92</v>
      </c>
      <c r="BY161" t="str">
        <f>IF(COUNTIF('Data Upload-prod'!E:E,F161)=0,"Missing","Exist")</f>
        <v>Exist</v>
      </c>
    </row>
    <row r="162" hidden="1" spans="1:77">
      <c r="A162" s="16">
        <v>45317</v>
      </c>
      <c r="B162" s="16">
        <v>45467</v>
      </c>
      <c r="C162" t="s">
        <v>132</v>
      </c>
      <c r="D162" t="s">
        <v>120</v>
      </c>
      <c r="E162" t="s">
        <v>467</v>
      </c>
      <c r="F162" t="s">
        <v>468</v>
      </c>
      <c r="G162" t="s">
        <v>145</v>
      </c>
      <c r="H162" t="s">
        <v>363</v>
      </c>
      <c r="I162" t="s">
        <v>124</v>
      </c>
      <c r="J162" s="17">
        <v>51</v>
      </c>
      <c r="K162" s="17">
        <v>2530</v>
      </c>
      <c r="L162" s="17">
        <v>2530</v>
      </c>
      <c r="M162" s="17">
        <v>58000000</v>
      </c>
      <c r="N162" s="17">
        <v>74488120.44</v>
      </c>
      <c r="O162" s="17">
        <v>118.22</v>
      </c>
      <c r="P162" s="17">
        <v>161.05</v>
      </c>
      <c r="Q162" t="s">
        <v>84</v>
      </c>
      <c r="R162" t="s">
        <v>84</v>
      </c>
      <c r="S162" t="s">
        <v>85</v>
      </c>
      <c r="T162" t="s">
        <v>84</v>
      </c>
      <c r="U162" t="s">
        <v>84</v>
      </c>
      <c r="V162" s="16">
        <v>45324</v>
      </c>
      <c r="W162" s="18">
        <v>45324</v>
      </c>
      <c r="X162" s="18">
        <v>45389.625</v>
      </c>
      <c r="Y162" s="17">
        <v>2646.58</v>
      </c>
      <c r="Z162" t="s">
        <v>87</v>
      </c>
      <c r="AA162" s="17">
        <v>2730</v>
      </c>
      <c r="AB162" s="17">
        <v>2724.08</v>
      </c>
      <c r="AC162" t="s">
        <v>84</v>
      </c>
      <c r="AD162" s="17">
        <v>26248129.08</v>
      </c>
      <c r="AE162" t="s">
        <v>84</v>
      </c>
      <c r="AF162" s="17">
        <v>65.63</v>
      </c>
      <c r="AG162" t="s">
        <v>84</v>
      </c>
      <c r="AH162" t="s">
        <v>84</v>
      </c>
      <c r="AI162" t="s">
        <v>92</v>
      </c>
      <c r="AJ162" t="s">
        <v>92</v>
      </c>
      <c r="AK162" t="s">
        <v>323</v>
      </c>
      <c r="AM162" s="17">
        <v>4.4</v>
      </c>
      <c r="AN162" s="17"/>
      <c r="AO162" s="17">
        <v>1980</v>
      </c>
      <c r="AP162" s="17"/>
      <c r="AQ162" s="17">
        <v>2760</v>
      </c>
      <c r="AR162" s="17"/>
      <c r="AS162" s="17">
        <v>2.95</v>
      </c>
      <c r="AT162" s="17"/>
      <c r="AU162" s="17">
        <v>1215</v>
      </c>
      <c r="AV162" s="17"/>
      <c r="AW162" s="17">
        <v>2569</v>
      </c>
      <c r="AX162" s="17"/>
      <c r="AY162" t="s">
        <v>92</v>
      </c>
      <c r="AZ162" t="s">
        <v>92</v>
      </c>
      <c r="BA162" t="s">
        <v>92</v>
      </c>
      <c r="BB162" t="s">
        <v>92</v>
      </c>
      <c r="BC162" t="s">
        <v>92</v>
      </c>
      <c r="BD162" t="s">
        <v>92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92</v>
      </c>
      <c r="BM162" t="s">
        <v>92</v>
      </c>
      <c r="BN162" t="s">
        <v>92</v>
      </c>
      <c r="BO162" t="s">
        <v>92</v>
      </c>
      <c r="BP162" t="s">
        <v>92</v>
      </c>
      <c r="BQ162" t="s">
        <v>92</v>
      </c>
      <c r="BR162" t="s">
        <v>92</v>
      </c>
      <c r="BS162" t="s">
        <v>92</v>
      </c>
      <c r="BT162" t="s">
        <v>92</v>
      </c>
      <c r="BU162" t="s">
        <v>92</v>
      </c>
      <c r="BV162" t="s">
        <v>92</v>
      </c>
      <c r="BW162" t="s">
        <v>92</v>
      </c>
      <c r="BX162" t="s">
        <v>92</v>
      </c>
      <c r="BY162" t="str">
        <f>IF(COUNTIF('Data Upload-prod'!E:E,F162)=0,"Missing","Exist")</f>
        <v>Exist</v>
      </c>
    </row>
    <row r="163" hidden="1" spans="1:77">
      <c r="A163" s="16">
        <v>45315</v>
      </c>
      <c r="B163" s="16">
        <v>45423</v>
      </c>
      <c r="C163" t="s">
        <v>132</v>
      </c>
      <c r="D163" t="s">
        <v>120</v>
      </c>
      <c r="E163" t="s">
        <v>463</v>
      </c>
      <c r="F163" t="s">
        <v>469</v>
      </c>
      <c r="G163" t="s">
        <v>81</v>
      </c>
      <c r="H163" t="s">
        <v>397</v>
      </c>
      <c r="I163" t="s">
        <v>124</v>
      </c>
      <c r="J163" s="17">
        <v>69.49</v>
      </c>
      <c r="K163" s="17">
        <v>1595</v>
      </c>
      <c r="L163" s="17">
        <v>1536</v>
      </c>
      <c r="M163" t="s">
        <v>84</v>
      </c>
      <c r="N163" t="s">
        <v>84</v>
      </c>
      <c r="O163" t="s">
        <v>84</v>
      </c>
      <c r="P163" t="s">
        <v>84</v>
      </c>
      <c r="Q163" s="17">
        <v>11450125</v>
      </c>
      <c r="R163" s="17">
        <v>23.03</v>
      </c>
      <c r="S163" t="s">
        <v>85</v>
      </c>
      <c r="T163" t="s">
        <v>84</v>
      </c>
      <c r="U163" t="s">
        <v>86</v>
      </c>
      <c r="V163" s="16">
        <v>45319</v>
      </c>
      <c r="W163" s="18">
        <v>45319.8333333333</v>
      </c>
      <c r="X163" s="18">
        <v>45364.1666666667</v>
      </c>
      <c r="Y163" s="17">
        <v>1373</v>
      </c>
      <c r="Z163" t="s">
        <v>87</v>
      </c>
      <c r="AA163" s="17">
        <v>1596</v>
      </c>
      <c r="AB163" s="17">
        <v>1540.03</v>
      </c>
      <c r="AC163" t="s">
        <v>84</v>
      </c>
      <c r="AD163" t="s">
        <v>84</v>
      </c>
      <c r="AE163" t="s">
        <v>84</v>
      </c>
      <c r="AF163" t="s">
        <v>84</v>
      </c>
      <c r="AG163" s="17">
        <v>8219237</v>
      </c>
      <c r="AH163" s="17">
        <v>16.33</v>
      </c>
      <c r="AI163" s="17">
        <v>0.13</v>
      </c>
      <c r="AJ163" s="17">
        <v>0.13</v>
      </c>
      <c r="AK163" t="s">
        <v>208</v>
      </c>
      <c r="AM163" s="17">
        <v>2.2</v>
      </c>
      <c r="AN163" s="17"/>
      <c r="AO163" s="17">
        <v>830</v>
      </c>
      <c r="AP163" s="17"/>
      <c r="AQ163" s="17">
        <v>1380</v>
      </c>
      <c r="AR163" s="17"/>
      <c r="AS163" s="17">
        <v>2</v>
      </c>
      <c r="AT163" s="17"/>
      <c r="AU163" s="17">
        <v>922</v>
      </c>
      <c r="AV163" s="17"/>
      <c r="AW163" s="17">
        <v>1679</v>
      </c>
      <c r="AX163" s="17"/>
      <c r="AY163" t="s">
        <v>92</v>
      </c>
      <c r="AZ163" t="s">
        <v>92</v>
      </c>
      <c r="BA163" t="s">
        <v>92</v>
      </c>
      <c r="BB163" t="s">
        <v>92</v>
      </c>
      <c r="BC163" t="s">
        <v>92</v>
      </c>
      <c r="BD163" s="17">
        <v>4.2</v>
      </c>
      <c r="BE163" s="17">
        <v>1869252</v>
      </c>
      <c r="BF163" s="17">
        <v>0.8</v>
      </c>
      <c r="BG163" s="17">
        <v>357</v>
      </c>
      <c r="BH163" t="s">
        <v>93</v>
      </c>
      <c r="BI163" t="s">
        <v>94</v>
      </c>
      <c r="BJ163" t="s">
        <v>128</v>
      </c>
      <c r="BK163" t="s">
        <v>85</v>
      </c>
      <c r="BL163" t="s">
        <v>85</v>
      </c>
      <c r="BM163" t="s">
        <v>96</v>
      </c>
      <c r="BN163" t="s">
        <v>97</v>
      </c>
      <c r="BO163" t="s">
        <v>98</v>
      </c>
      <c r="BP163" t="s">
        <v>99</v>
      </c>
      <c r="BQ163" s="17">
        <v>1749</v>
      </c>
      <c r="BR163" t="s">
        <v>138</v>
      </c>
      <c r="BS163" t="s">
        <v>285</v>
      </c>
      <c r="BT163" t="s">
        <v>99</v>
      </c>
      <c r="BU163" s="17">
        <v>9</v>
      </c>
      <c r="BV163" t="s">
        <v>191</v>
      </c>
      <c r="BW163" t="s">
        <v>85</v>
      </c>
      <c r="BX163" t="s">
        <v>85</v>
      </c>
      <c r="BY163" t="str">
        <f>IF(COUNTIF('Data Upload-prod'!E:E,F163)=0,"Missing","Exist")</f>
        <v>Exist</v>
      </c>
    </row>
    <row r="164" hidden="1" spans="1:77">
      <c r="A164" s="16">
        <v>45302</v>
      </c>
      <c r="B164" s="16">
        <v>45467</v>
      </c>
      <c r="C164" t="s">
        <v>360</v>
      </c>
      <c r="D164" t="s">
        <v>120</v>
      </c>
      <c r="E164" t="s">
        <v>470</v>
      </c>
      <c r="F164" t="s">
        <v>471</v>
      </c>
      <c r="G164" t="s">
        <v>145</v>
      </c>
      <c r="H164" t="s">
        <v>311</v>
      </c>
      <c r="I164" t="s">
        <v>124</v>
      </c>
      <c r="J164" s="17">
        <v>44.9</v>
      </c>
      <c r="K164" s="17">
        <v>1611</v>
      </c>
      <c r="L164" s="17">
        <v>1536</v>
      </c>
      <c r="M164" s="17">
        <v>9540000</v>
      </c>
      <c r="N164" s="17">
        <v>15060000</v>
      </c>
      <c r="O164" s="17">
        <v>20.63</v>
      </c>
      <c r="P164" s="17">
        <v>31.13</v>
      </c>
      <c r="Q164" t="s">
        <v>84</v>
      </c>
      <c r="R164" t="s">
        <v>84</v>
      </c>
      <c r="S164" t="s">
        <v>85</v>
      </c>
      <c r="T164" t="s">
        <v>84</v>
      </c>
      <c r="U164" t="s">
        <v>84</v>
      </c>
      <c r="V164" s="16">
        <v>45332</v>
      </c>
      <c r="W164" s="18">
        <v>45332</v>
      </c>
      <c r="X164" s="18">
        <v>45366.7083333333</v>
      </c>
      <c r="Y164" s="17">
        <v>1533.8</v>
      </c>
      <c r="Z164" t="s">
        <v>87</v>
      </c>
      <c r="AA164" s="17">
        <v>1616</v>
      </c>
      <c r="AB164" s="17">
        <v>1538</v>
      </c>
      <c r="AC164" t="s">
        <v>84</v>
      </c>
      <c r="AD164" s="17">
        <v>15420000</v>
      </c>
      <c r="AE164" t="s">
        <v>84</v>
      </c>
      <c r="AF164" s="17">
        <v>40.71</v>
      </c>
      <c r="AG164" t="s">
        <v>84</v>
      </c>
      <c r="AH164" t="s">
        <v>84</v>
      </c>
      <c r="AI164" s="17">
        <v>26.9</v>
      </c>
      <c r="AJ164" s="17">
        <v>1.66</v>
      </c>
      <c r="AK164" t="s">
        <v>323</v>
      </c>
      <c r="AM164" s="17">
        <v>4.4</v>
      </c>
      <c r="AN164" s="17"/>
      <c r="AO164" s="17">
        <v>1980</v>
      </c>
      <c r="AP164" s="17"/>
      <c r="AQ164" s="17">
        <v>2760</v>
      </c>
      <c r="AR164" s="17"/>
      <c r="AS164" s="17">
        <v>2.52</v>
      </c>
      <c r="AT164" s="17"/>
      <c r="AU164" s="17">
        <v>1091</v>
      </c>
      <c r="AV164" s="17"/>
      <c r="AW164" s="17">
        <v>3065</v>
      </c>
      <c r="AX164" s="17"/>
      <c r="AY164" t="s">
        <v>92</v>
      </c>
      <c r="AZ164" t="s">
        <v>92</v>
      </c>
      <c r="BA164" t="s">
        <v>92</v>
      </c>
      <c r="BB164" t="s">
        <v>92</v>
      </c>
      <c r="BC164" t="s">
        <v>92</v>
      </c>
      <c r="BD164" t="s">
        <v>92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92</v>
      </c>
      <c r="BM164" t="s">
        <v>92</v>
      </c>
      <c r="BN164" t="s">
        <v>92</v>
      </c>
      <c r="BO164" t="s">
        <v>92</v>
      </c>
      <c r="BP164" t="s">
        <v>92</v>
      </c>
      <c r="BQ164" t="s">
        <v>92</v>
      </c>
      <c r="BR164" t="s">
        <v>92</v>
      </c>
      <c r="BS164" t="s">
        <v>92</v>
      </c>
      <c r="BT164" t="s">
        <v>92</v>
      </c>
      <c r="BU164" t="s">
        <v>92</v>
      </c>
      <c r="BV164" t="s">
        <v>92</v>
      </c>
      <c r="BW164" t="s">
        <v>92</v>
      </c>
      <c r="BX164" t="s">
        <v>92</v>
      </c>
      <c r="BY164" t="str">
        <f>IF(COUNTIF('Data Upload-prod'!E:E,F164)=0,"Missing","Exist")</f>
        <v>Exist</v>
      </c>
    </row>
    <row r="165" hidden="1" spans="1:77">
      <c r="A165" s="16">
        <v>45296</v>
      </c>
      <c r="B165" s="16">
        <v>45455</v>
      </c>
      <c r="C165" t="s">
        <v>132</v>
      </c>
      <c r="D165" t="s">
        <v>120</v>
      </c>
      <c r="E165" t="s">
        <v>472</v>
      </c>
      <c r="F165" t="s">
        <v>473</v>
      </c>
      <c r="G165" t="s">
        <v>145</v>
      </c>
      <c r="H165" t="s">
        <v>172</v>
      </c>
      <c r="I165" t="s">
        <v>124</v>
      </c>
      <c r="J165" s="17">
        <v>52.71</v>
      </c>
      <c r="K165" s="17">
        <v>2182.5</v>
      </c>
      <c r="L165" s="17">
        <v>2182.5</v>
      </c>
      <c r="M165" s="17">
        <v>33458354.56</v>
      </c>
      <c r="N165" s="17">
        <v>35141308.32</v>
      </c>
      <c r="O165" s="17">
        <v>76.39</v>
      </c>
      <c r="P165" s="17">
        <v>82.76</v>
      </c>
      <c r="Q165" t="s">
        <v>84</v>
      </c>
      <c r="R165" t="s">
        <v>84</v>
      </c>
      <c r="S165" t="s">
        <v>85</v>
      </c>
      <c r="T165" t="s">
        <v>84</v>
      </c>
      <c r="U165" t="s">
        <v>84</v>
      </c>
      <c r="V165" s="16">
        <v>45324</v>
      </c>
      <c r="W165" s="18">
        <v>45324.375</v>
      </c>
      <c r="X165" s="18">
        <v>45395.4583333333</v>
      </c>
      <c r="Y165" s="17">
        <v>2544.79</v>
      </c>
      <c r="Z165" t="s">
        <v>87</v>
      </c>
      <c r="AA165" s="17">
        <v>2630</v>
      </c>
      <c r="AB165" s="17">
        <v>2627.21</v>
      </c>
      <c r="AC165" s="17">
        <v>33458354.56</v>
      </c>
      <c r="AD165" t="s">
        <v>84</v>
      </c>
      <c r="AE165" s="17">
        <v>76.39</v>
      </c>
      <c r="AF165" t="s">
        <v>84</v>
      </c>
      <c r="AG165" t="s">
        <v>84</v>
      </c>
      <c r="AH165" t="s">
        <v>84</v>
      </c>
      <c r="AI165" s="17">
        <v>20.08</v>
      </c>
      <c r="AJ165" s="17">
        <v>20.08</v>
      </c>
      <c r="AK165" t="s">
        <v>295</v>
      </c>
      <c r="AM165" s="17">
        <v>2.7</v>
      </c>
      <c r="AN165" s="17"/>
      <c r="AO165" s="17">
        <v>1490</v>
      </c>
      <c r="AP165" s="17"/>
      <c r="AQ165" s="17">
        <v>1220</v>
      </c>
      <c r="AR165" s="17"/>
      <c r="AS165" s="17">
        <v>3.22</v>
      </c>
      <c r="AT165" s="17"/>
      <c r="AU165" s="17">
        <v>1794</v>
      </c>
      <c r="AV165" s="17"/>
      <c r="AW165" s="17">
        <v>3113</v>
      </c>
      <c r="AX165" s="17"/>
      <c r="AY165" t="s">
        <v>92</v>
      </c>
      <c r="AZ165" t="s">
        <v>92</v>
      </c>
      <c r="BA165" t="s">
        <v>92</v>
      </c>
      <c r="BB165" t="s">
        <v>92</v>
      </c>
      <c r="BC165" t="s">
        <v>92</v>
      </c>
      <c r="BD165" t="s">
        <v>92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92</v>
      </c>
      <c r="BM165" t="s">
        <v>92</v>
      </c>
      <c r="BN165" t="s">
        <v>92</v>
      </c>
      <c r="BO165" t="s">
        <v>92</v>
      </c>
      <c r="BP165" t="s">
        <v>92</v>
      </c>
      <c r="BQ165" t="s">
        <v>92</v>
      </c>
      <c r="BR165" t="s">
        <v>92</v>
      </c>
      <c r="BS165" t="s">
        <v>92</v>
      </c>
      <c r="BT165" t="s">
        <v>92</v>
      </c>
      <c r="BU165" t="s">
        <v>92</v>
      </c>
      <c r="BV165" t="s">
        <v>92</v>
      </c>
      <c r="BW165" t="s">
        <v>92</v>
      </c>
      <c r="BX165" t="s">
        <v>92</v>
      </c>
      <c r="BY165" t="str">
        <f>IF(COUNTIF('Data Upload-prod'!E:E,F165)=0,"Missing","Exist")</f>
        <v>Exist</v>
      </c>
    </row>
    <row r="166" hidden="1" spans="1:77">
      <c r="A166" s="16">
        <v>45292</v>
      </c>
      <c r="B166" s="16">
        <v>45450</v>
      </c>
      <c r="C166" t="s">
        <v>132</v>
      </c>
      <c r="D166" t="s">
        <v>120</v>
      </c>
      <c r="E166" t="s">
        <v>463</v>
      </c>
      <c r="F166" t="s">
        <v>474</v>
      </c>
      <c r="G166" t="s">
        <v>81</v>
      </c>
      <c r="H166" t="s">
        <v>397</v>
      </c>
      <c r="I166" t="s">
        <v>124</v>
      </c>
      <c r="J166" s="17">
        <v>69.49</v>
      </c>
      <c r="K166" s="17">
        <v>903</v>
      </c>
      <c r="L166" s="17">
        <v>794</v>
      </c>
      <c r="M166" t="s">
        <v>84</v>
      </c>
      <c r="N166" t="s">
        <v>84</v>
      </c>
      <c r="O166" t="s">
        <v>84</v>
      </c>
      <c r="P166" t="s">
        <v>84</v>
      </c>
      <c r="Q166" s="17">
        <v>8088123.48</v>
      </c>
      <c r="R166" s="17">
        <v>17.36</v>
      </c>
      <c r="S166" t="s">
        <v>85</v>
      </c>
      <c r="T166" t="s">
        <v>84</v>
      </c>
      <c r="U166" t="s">
        <v>86</v>
      </c>
      <c r="V166" s="16">
        <v>45302</v>
      </c>
      <c r="W166" s="18">
        <v>45302.1458333333</v>
      </c>
      <c r="X166" s="18">
        <v>45409.40625</v>
      </c>
      <c r="Y166" s="17">
        <v>794</v>
      </c>
      <c r="Z166" t="s">
        <v>87</v>
      </c>
      <c r="AA166" s="17">
        <v>903</v>
      </c>
      <c r="AB166" s="17">
        <v>795.08</v>
      </c>
      <c r="AC166" t="s">
        <v>84</v>
      </c>
      <c r="AD166" t="s">
        <v>84</v>
      </c>
      <c r="AE166" t="s">
        <v>84</v>
      </c>
      <c r="AF166" t="s">
        <v>84</v>
      </c>
      <c r="AG166" s="17">
        <v>6573505.13</v>
      </c>
      <c r="AH166" s="17">
        <v>10.22</v>
      </c>
      <c r="AI166" s="17">
        <v>1.12</v>
      </c>
      <c r="AJ166" s="17">
        <v>1.12</v>
      </c>
      <c r="AK166" t="s">
        <v>208</v>
      </c>
      <c r="AM166" s="17">
        <v>2.2</v>
      </c>
      <c r="AN166" s="17"/>
      <c r="AO166" s="17">
        <v>830</v>
      </c>
      <c r="AP166" s="17"/>
      <c r="AQ166" s="17">
        <v>1380</v>
      </c>
      <c r="AR166" s="17"/>
      <c r="AS166" s="17">
        <v>3.19</v>
      </c>
      <c r="AT166" s="17"/>
      <c r="AU166" s="17">
        <v>758.42</v>
      </c>
      <c r="AV166" s="17"/>
      <c r="AW166" s="17">
        <v>2610.55</v>
      </c>
      <c r="AX166" s="17"/>
      <c r="AY166" t="s">
        <v>92</v>
      </c>
      <c r="AZ166" t="s">
        <v>92</v>
      </c>
      <c r="BA166" t="s">
        <v>92</v>
      </c>
      <c r="BB166" t="s">
        <v>92</v>
      </c>
      <c r="BC166" t="s">
        <v>92</v>
      </c>
      <c r="BD166" s="17">
        <v>2.96</v>
      </c>
      <c r="BE166" s="17">
        <v>1719724</v>
      </c>
      <c r="BF166" s="17">
        <v>1</v>
      </c>
      <c r="BG166" s="17">
        <v>580.45</v>
      </c>
      <c r="BH166" t="s">
        <v>93</v>
      </c>
      <c r="BI166" t="s">
        <v>94</v>
      </c>
      <c r="BJ166" t="s">
        <v>128</v>
      </c>
      <c r="BK166" t="s">
        <v>85</v>
      </c>
      <c r="BL166" t="s">
        <v>85</v>
      </c>
      <c r="BM166" t="s">
        <v>96</v>
      </c>
      <c r="BN166" t="s">
        <v>97</v>
      </c>
      <c r="BO166" t="s">
        <v>98</v>
      </c>
      <c r="BP166" t="s">
        <v>99</v>
      </c>
      <c r="BQ166" s="17">
        <v>1066</v>
      </c>
      <c r="BR166" t="s">
        <v>138</v>
      </c>
      <c r="BS166" t="s">
        <v>285</v>
      </c>
      <c r="BT166" t="s">
        <v>99</v>
      </c>
      <c r="BU166" s="17">
        <v>9</v>
      </c>
      <c r="BV166" t="s">
        <v>191</v>
      </c>
      <c r="BW166" t="s">
        <v>85</v>
      </c>
      <c r="BX166" t="s">
        <v>85</v>
      </c>
      <c r="BY166" t="str">
        <f>IF(COUNTIF('Data Upload-prod'!E:E,F166)=0,"Missing","Exist")</f>
        <v>Exist</v>
      </c>
    </row>
    <row r="167" hidden="1" spans="1:77">
      <c r="A167" s="16">
        <v>45288</v>
      </c>
      <c r="B167" s="16">
        <v>45429</v>
      </c>
      <c r="C167" t="s">
        <v>77</v>
      </c>
      <c r="D167" t="s">
        <v>78</v>
      </c>
      <c r="E167" t="s">
        <v>475</v>
      </c>
      <c r="F167" t="s">
        <v>476</v>
      </c>
      <c r="G167" t="s">
        <v>81</v>
      </c>
      <c r="H167" t="s">
        <v>135</v>
      </c>
      <c r="I167" t="s">
        <v>124</v>
      </c>
      <c r="J167" s="17">
        <v>66.7</v>
      </c>
      <c r="K167" s="17">
        <v>4336</v>
      </c>
      <c r="L167" s="17">
        <v>1798</v>
      </c>
      <c r="M167" t="s">
        <v>84</v>
      </c>
      <c r="N167" t="s">
        <v>84</v>
      </c>
      <c r="O167" t="s">
        <v>84</v>
      </c>
      <c r="P167" t="s">
        <v>84</v>
      </c>
      <c r="Q167" s="17">
        <v>24825000</v>
      </c>
      <c r="R167" s="17">
        <v>51.36</v>
      </c>
      <c r="S167" t="s">
        <v>85</v>
      </c>
      <c r="T167" t="s">
        <v>84</v>
      </c>
      <c r="U167" t="s">
        <v>86</v>
      </c>
      <c r="V167" s="16">
        <v>45337</v>
      </c>
      <c r="W167" s="18">
        <v>45325</v>
      </c>
      <c r="X167" s="18">
        <v>45378.5</v>
      </c>
      <c r="Y167" s="17">
        <v>4193.08</v>
      </c>
      <c r="Z167" t="s">
        <v>87</v>
      </c>
      <c r="AA167" s="17">
        <v>4310</v>
      </c>
      <c r="AB167" s="17">
        <v>1826.55</v>
      </c>
      <c r="AC167" t="s">
        <v>84</v>
      </c>
      <c r="AD167" t="s">
        <v>84</v>
      </c>
      <c r="AE167" t="s">
        <v>84</v>
      </c>
      <c r="AF167" t="s">
        <v>84</v>
      </c>
      <c r="AG167" s="17">
        <v>24975626</v>
      </c>
      <c r="AH167" s="17">
        <v>61.85</v>
      </c>
      <c r="AI167" s="17">
        <v>0</v>
      </c>
      <c r="AJ167" s="17">
        <v>0</v>
      </c>
      <c r="AK167" t="s">
        <v>114</v>
      </c>
      <c r="AM167" s="17">
        <v>2.2</v>
      </c>
      <c r="AN167" s="17"/>
      <c r="AO167" s="17">
        <v>915</v>
      </c>
      <c r="AP167" s="17"/>
      <c r="AQ167" s="17">
        <v>1520</v>
      </c>
      <c r="AR167" s="17"/>
      <c r="AS167" s="17">
        <v>2.74</v>
      </c>
      <c r="AT167" s="17"/>
      <c r="AU167" s="17">
        <v>1074</v>
      </c>
      <c r="AV167" s="17"/>
      <c r="AW167" s="17">
        <v>1299</v>
      </c>
      <c r="AX167" s="17"/>
      <c r="AY167" t="s">
        <v>92</v>
      </c>
      <c r="AZ167" t="s">
        <v>92</v>
      </c>
      <c r="BA167" t="s">
        <v>92</v>
      </c>
      <c r="BB167" t="s">
        <v>92</v>
      </c>
      <c r="BC167" t="s">
        <v>92</v>
      </c>
      <c r="BD167" s="17">
        <v>4.5</v>
      </c>
      <c r="BE167" s="17">
        <v>2620828</v>
      </c>
      <c r="BF167" s="17">
        <v>0.32</v>
      </c>
      <c r="BG167" s="17">
        <v>185</v>
      </c>
      <c r="BH167" t="s">
        <v>93</v>
      </c>
      <c r="BI167" t="s">
        <v>94</v>
      </c>
      <c r="BJ167" t="s">
        <v>173</v>
      </c>
      <c r="BK167" t="s">
        <v>85</v>
      </c>
      <c r="BL167" t="s">
        <v>85</v>
      </c>
      <c r="BM167" t="s">
        <v>96</v>
      </c>
      <c r="BN167" t="s">
        <v>97</v>
      </c>
      <c r="BO167" t="s">
        <v>98</v>
      </c>
      <c r="BP167" t="s">
        <v>99</v>
      </c>
      <c r="BQ167" s="17">
        <v>33</v>
      </c>
      <c r="BR167" t="s">
        <v>100</v>
      </c>
      <c r="BS167" t="s">
        <v>92</v>
      </c>
      <c r="BT167" t="s">
        <v>99</v>
      </c>
      <c r="BU167" s="17">
        <v>8.6</v>
      </c>
      <c r="BV167" t="s">
        <v>131</v>
      </c>
      <c r="BW167" t="s">
        <v>85</v>
      </c>
      <c r="BX167" t="s">
        <v>266</v>
      </c>
      <c r="BY167" t="str">
        <f>IF(COUNTIF('Data Upload-prod'!E:E,F167)=0,"Missing","Exist")</f>
        <v>Exist</v>
      </c>
    </row>
    <row r="168" hidden="1" spans="1:77">
      <c r="A168" s="16">
        <v>45281</v>
      </c>
      <c r="B168" s="16">
        <v>45436</v>
      </c>
      <c r="C168" t="s">
        <v>141</v>
      </c>
      <c r="D168" t="s">
        <v>142</v>
      </c>
      <c r="E168" t="s">
        <v>477</v>
      </c>
      <c r="F168" t="s">
        <v>478</v>
      </c>
      <c r="G168" t="s">
        <v>145</v>
      </c>
      <c r="H168" t="s">
        <v>377</v>
      </c>
      <c r="I168" t="s">
        <v>147</v>
      </c>
      <c r="J168" s="17">
        <v>2896</v>
      </c>
      <c r="K168" s="17">
        <v>4178.6</v>
      </c>
      <c r="L168" s="17">
        <v>4152.7</v>
      </c>
      <c r="M168" s="17">
        <v>65300000</v>
      </c>
      <c r="N168" s="17">
        <v>89200000</v>
      </c>
      <c r="O168" s="17">
        <v>48.81</v>
      </c>
      <c r="P168" s="17">
        <v>67.91</v>
      </c>
      <c r="Q168" t="s">
        <v>84</v>
      </c>
      <c r="R168" t="s">
        <v>84</v>
      </c>
      <c r="S168" t="s">
        <v>85</v>
      </c>
      <c r="T168" t="s">
        <v>84</v>
      </c>
      <c r="U168" t="s">
        <v>84</v>
      </c>
      <c r="V168" s="16">
        <v>45306</v>
      </c>
      <c r="W168" s="18">
        <v>45306</v>
      </c>
      <c r="X168" s="18">
        <v>45344</v>
      </c>
      <c r="Y168" s="17">
        <v>1000.61</v>
      </c>
      <c r="Z168" t="s">
        <v>148</v>
      </c>
      <c r="AA168" s="17">
        <v>3923</v>
      </c>
      <c r="AB168" s="17">
        <v>3922.54</v>
      </c>
      <c r="AC168" s="17">
        <v>59960000</v>
      </c>
      <c r="AD168" t="s">
        <v>84</v>
      </c>
      <c r="AE168" s="17">
        <v>52.85</v>
      </c>
      <c r="AF168" t="s">
        <v>84</v>
      </c>
      <c r="AG168" t="s">
        <v>84</v>
      </c>
      <c r="AH168" t="s">
        <v>84</v>
      </c>
      <c r="AI168" s="17">
        <v>14.5</v>
      </c>
      <c r="AJ168" s="17">
        <v>7.4</v>
      </c>
      <c r="AK168" t="s">
        <v>378</v>
      </c>
      <c r="AM168" s="17">
        <v>5.4</v>
      </c>
      <c r="AN168" s="17"/>
      <c r="AO168" s="17">
        <v>5090</v>
      </c>
      <c r="AP168" s="17"/>
      <c r="AQ168" s="17">
        <v>7920</v>
      </c>
      <c r="AR168" s="17"/>
      <c r="AS168" s="13" t="s">
        <v>150</v>
      </c>
      <c r="AT168" s="13"/>
      <c r="AU168" s="13" t="s">
        <v>150</v>
      </c>
      <c r="AW168" s="13" t="s">
        <v>150</v>
      </c>
      <c r="AY168" t="s">
        <v>92</v>
      </c>
      <c r="AZ168" t="s">
        <v>92</v>
      </c>
      <c r="BA168" t="s">
        <v>92</v>
      </c>
      <c r="BB168" t="s">
        <v>92</v>
      </c>
      <c r="BC168" t="s">
        <v>92</v>
      </c>
      <c r="BD168" t="s">
        <v>92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92</v>
      </c>
      <c r="BM168" t="s">
        <v>92</v>
      </c>
      <c r="BN168" t="s">
        <v>92</v>
      </c>
      <c r="BO168" t="s">
        <v>92</v>
      </c>
      <c r="BP168" t="s">
        <v>92</v>
      </c>
      <c r="BQ168" t="s">
        <v>92</v>
      </c>
      <c r="BR168" t="s">
        <v>92</v>
      </c>
      <c r="BS168" t="s">
        <v>92</v>
      </c>
      <c r="BT168" t="s">
        <v>92</v>
      </c>
      <c r="BU168" t="s">
        <v>92</v>
      </c>
      <c r="BV168" t="s">
        <v>92</v>
      </c>
      <c r="BW168" t="s">
        <v>92</v>
      </c>
      <c r="BX168" t="s">
        <v>92</v>
      </c>
      <c r="BY168" t="str">
        <f>IF(COUNTIF('Data Upload-prod'!E:E,F168)=0,"Missing","Exist")</f>
        <v>Exist</v>
      </c>
    </row>
    <row r="169" hidden="1" spans="1:77">
      <c r="A169" s="16">
        <v>45280</v>
      </c>
      <c r="B169" s="16">
        <v>45425</v>
      </c>
      <c r="C169" t="s">
        <v>132</v>
      </c>
      <c r="D169" t="s">
        <v>78</v>
      </c>
      <c r="E169" t="s">
        <v>479</v>
      </c>
      <c r="F169" t="s">
        <v>480</v>
      </c>
      <c r="G169" t="s">
        <v>81</v>
      </c>
      <c r="H169" t="s">
        <v>202</v>
      </c>
      <c r="I169" t="s">
        <v>124</v>
      </c>
      <c r="J169" s="17">
        <v>69.8</v>
      </c>
      <c r="K169" s="17">
        <v>2635</v>
      </c>
      <c r="L169" s="17">
        <v>1751</v>
      </c>
      <c r="M169" t="s">
        <v>84</v>
      </c>
      <c r="N169" t="s">
        <v>84</v>
      </c>
      <c r="O169" t="s">
        <v>84</v>
      </c>
      <c r="P169" t="s">
        <v>84</v>
      </c>
      <c r="Q169" s="17">
        <v>27490962</v>
      </c>
      <c r="R169" s="17">
        <v>55.83</v>
      </c>
      <c r="S169" t="s">
        <v>85</v>
      </c>
      <c r="T169" t="s">
        <v>84</v>
      </c>
      <c r="U169" t="s">
        <v>86</v>
      </c>
      <c r="V169" s="16">
        <v>45294</v>
      </c>
      <c r="W169" s="18">
        <v>45294.1666666667</v>
      </c>
      <c r="X169" s="18">
        <v>45391</v>
      </c>
      <c r="Y169" s="17">
        <v>2590.2</v>
      </c>
      <c r="Z169" t="s">
        <v>87</v>
      </c>
      <c r="AA169" s="17">
        <v>2708</v>
      </c>
      <c r="AB169" s="17">
        <v>1788.04</v>
      </c>
      <c r="AC169" t="s">
        <v>84</v>
      </c>
      <c r="AD169" t="s">
        <v>84</v>
      </c>
      <c r="AE169" t="s">
        <v>84</v>
      </c>
      <c r="AF169" t="s">
        <v>84</v>
      </c>
      <c r="AG169" s="17">
        <v>22877147</v>
      </c>
      <c r="AH169" s="17">
        <v>52.07</v>
      </c>
      <c r="AI169" s="17">
        <v>6.92</v>
      </c>
      <c r="AJ169" s="17">
        <v>2.86</v>
      </c>
      <c r="AK169" t="s">
        <v>208</v>
      </c>
      <c r="AM169" s="17">
        <v>2.1</v>
      </c>
      <c r="AN169" s="17"/>
      <c r="AO169" s="17">
        <v>700</v>
      </c>
      <c r="AP169" s="17"/>
      <c r="AQ169" s="17">
        <v>1620</v>
      </c>
      <c r="AR169" s="17"/>
      <c r="AS169" s="17">
        <v>2.14</v>
      </c>
      <c r="AT169" s="17"/>
      <c r="AU169" s="17">
        <v>890</v>
      </c>
      <c r="AV169" s="17"/>
      <c r="AW169" s="17">
        <v>2521</v>
      </c>
      <c r="AX169" s="17"/>
      <c r="AY169" t="s">
        <v>92</v>
      </c>
      <c r="AZ169" t="s">
        <v>92</v>
      </c>
      <c r="BA169" t="s">
        <v>92</v>
      </c>
      <c r="BB169" t="s">
        <v>92</v>
      </c>
      <c r="BC169" t="s">
        <v>92</v>
      </c>
      <c r="BD169" s="17">
        <v>30.4</v>
      </c>
      <c r="BE169" s="17">
        <v>13149800</v>
      </c>
      <c r="BF169" s="17">
        <v>3.28</v>
      </c>
      <c r="BG169" s="17">
        <v>1480</v>
      </c>
      <c r="BH169" t="s">
        <v>93</v>
      </c>
      <c r="BI169" t="s">
        <v>94</v>
      </c>
      <c r="BJ169" t="s">
        <v>215</v>
      </c>
      <c r="BK169" t="s">
        <v>85</v>
      </c>
      <c r="BL169" t="s">
        <v>85</v>
      </c>
      <c r="BM169" t="s">
        <v>96</v>
      </c>
      <c r="BN169" t="s">
        <v>481</v>
      </c>
      <c r="BO169" t="s">
        <v>98</v>
      </c>
      <c r="BP169" t="s">
        <v>99</v>
      </c>
      <c r="BQ169" s="17">
        <v>5243</v>
      </c>
      <c r="BR169" t="s">
        <v>138</v>
      </c>
      <c r="BS169" t="s">
        <v>92</v>
      </c>
      <c r="BT169" t="s">
        <v>99</v>
      </c>
      <c r="BU169" s="17">
        <v>10.3</v>
      </c>
      <c r="BV169" t="s">
        <v>308</v>
      </c>
      <c r="BW169" t="s">
        <v>85</v>
      </c>
      <c r="BX169" t="s">
        <v>85</v>
      </c>
      <c r="BY169" t="str">
        <f>IF(COUNTIF('Data Upload-prod'!E:E,F169)=0,"Missing","Exist")</f>
        <v>Exist</v>
      </c>
    </row>
    <row r="170" hidden="1" spans="1:77">
      <c r="A170" s="16">
        <v>45270</v>
      </c>
      <c r="B170" s="16">
        <v>45371</v>
      </c>
      <c r="C170" t="s">
        <v>132</v>
      </c>
      <c r="D170" t="s">
        <v>120</v>
      </c>
      <c r="E170" t="s">
        <v>482</v>
      </c>
      <c r="F170" t="s">
        <v>483</v>
      </c>
      <c r="G170" t="s">
        <v>81</v>
      </c>
      <c r="H170" t="s">
        <v>484</v>
      </c>
      <c r="I170" t="s">
        <v>83</v>
      </c>
      <c r="J170" s="17">
        <v>70.71</v>
      </c>
      <c r="K170" s="17">
        <v>1387.69</v>
      </c>
      <c r="L170" s="17">
        <v>1231.94</v>
      </c>
      <c r="M170" t="s">
        <v>84</v>
      </c>
      <c r="N170" t="s">
        <v>84</v>
      </c>
      <c r="O170" t="s">
        <v>84</v>
      </c>
      <c r="P170" t="s">
        <v>84</v>
      </c>
      <c r="Q170" s="17">
        <v>20106588</v>
      </c>
      <c r="R170" s="17">
        <v>38.03</v>
      </c>
      <c r="S170" t="s">
        <v>85</v>
      </c>
      <c r="T170" t="s">
        <v>84</v>
      </c>
      <c r="U170" t="s">
        <v>86</v>
      </c>
      <c r="V170" s="16">
        <v>45283</v>
      </c>
      <c r="W170" s="18">
        <v>45283.3333333333</v>
      </c>
      <c r="X170" s="18">
        <v>45313.1458333333</v>
      </c>
      <c r="Y170" s="17">
        <v>1281.316672</v>
      </c>
      <c r="Z170" t="s">
        <v>87</v>
      </c>
      <c r="AA170" s="17">
        <v>1382.29</v>
      </c>
      <c r="AB170" s="17">
        <v>1230.16</v>
      </c>
      <c r="AC170" t="s">
        <v>84</v>
      </c>
      <c r="AD170" t="s">
        <v>84</v>
      </c>
      <c r="AE170" t="s">
        <v>84</v>
      </c>
      <c r="AF170" t="s">
        <v>84</v>
      </c>
      <c r="AG170" s="17">
        <v>13019952.13</v>
      </c>
      <c r="AH170" s="17">
        <v>28.69</v>
      </c>
      <c r="AI170" s="17">
        <v>0.91</v>
      </c>
      <c r="AJ170" s="17">
        <v>0.91</v>
      </c>
      <c r="AK170" t="s">
        <v>89</v>
      </c>
      <c r="AM170" s="17">
        <v>2.4</v>
      </c>
      <c r="AN170" s="17"/>
      <c r="AO170" s="17">
        <v>795</v>
      </c>
      <c r="AP170" s="17"/>
      <c r="AQ170" s="17">
        <v>1400</v>
      </c>
      <c r="AR170" s="17"/>
      <c r="AS170" s="17">
        <v>7.7</v>
      </c>
      <c r="AT170" s="17"/>
      <c r="AU170" s="17">
        <v>3234</v>
      </c>
      <c r="AV170" s="17"/>
      <c r="AW170" s="17">
        <v>7104</v>
      </c>
      <c r="AX170" s="17"/>
      <c r="AY170" t="s">
        <v>92</v>
      </c>
      <c r="AZ170" t="s">
        <v>92</v>
      </c>
      <c r="BA170" t="s">
        <v>92</v>
      </c>
      <c r="BB170" t="s">
        <v>92</v>
      </c>
      <c r="BC170" t="s">
        <v>92</v>
      </c>
      <c r="BD170" s="17">
        <v>5.63</v>
      </c>
      <c r="BE170" s="17">
        <v>2870655</v>
      </c>
      <c r="BF170" s="17">
        <v>1.07</v>
      </c>
      <c r="BG170" s="17">
        <v>633</v>
      </c>
      <c r="BH170" t="s">
        <v>93</v>
      </c>
      <c r="BI170" t="s">
        <v>94</v>
      </c>
      <c r="BJ170" t="s">
        <v>128</v>
      </c>
      <c r="BK170" t="s">
        <v>85</v>
      </c>
      <c r="BL170" t="s">
        <v>85</v>
      </c>
      <c r="BM170" t="s">
        <v>159</v>
      </c>
      <c r="BN170" t="s">
        <v>97</v>
      </c>
      <c r="BO170" t="s">
        <v>98</v>
      </c>
      <c r="BP170" t="s">
        <v>99</v>
      </c>
      <c r="BQ170" s="17">
        <v>427</v>
      </c>
      <c r="BR170" t="s">
        <v>138</v>
      </c>
      <c r="BS170" t="s">
        <v>92</v>
      </c>
      <c r="BT170" t="s">
        <v>99</v>
      </c>
      <c r="BU170" s="17">
        <v>9.8</v>
      </c>
      <c r="BV170" t="s">
        <v>191</v>
      </c>
      <c r="BW170" t="s">
        <v>85</v>
      </c>
      <c r="BX170" t="s">
        <v>85</v>
      </c>
      <c r="BY170" t="str">
        <f>IF(COUNTIF('Data Upload-prod'!E:E,F170)=0,"Missing","Exist")</f>
        <v>Exist</v>
      </c>
    </row>
    <row r="171" hidden="1" spans="1:77">
      <c r="A171" s="16">
        <v>45268</v>
      </c>
      <c r="B171" s="16">
        <v>45456</v>
      </c>
      <c r="C171" t="s">
        <v>132</v>
      </c>
      <c r="D171" t="s">
        <v>120</v>
      </c>
      <c r="E171" t="s">
        <v>463</v>
      </c>
      <c r="F171" t="s">
        <v>485</v>
      </c>
      <c r="G171" t="s">
        <v>81</v>
      </c>
      <c r="H171" t="s">
        <v>397</v>
      </c>
      <c r="I171" t="s">
        <v>124</v>
      </c>
      <c r="J171" s="17">
        <v>69.49</v>
      </c>
      <c r="K171" s="17">
        <v>995</v>
      </c>
      <c r="L171" s="17">
        <v>799</v>
      </c>
      <c r="M171" t="s">
        <v>84</v>
      </c>
      <c r="N171" t="s">
        <v>84</v>
      </c>
      <c r="O171" t="s">
        <v>84</v>
      </c>
      <c r="P171" t="s">
        <v>84</v>
      </c>
      <c r="Q171" s="17">
        <v>8222525.16</v>
      </c>
      <c r="R171" s="17">
        <v>18.03</v>
      </c>
      <c r="S171" t="s">
        <v>85</v>
      </c>
      <c r="T171" t="s">
        <v>84</v>
      </c>
      <c r="U171" t="s">
        <v>86</v>
      </c>
      <c r="V171" s="16">
        <v>45300</v>
      </c>
      <c r="W171" s="18">
        <v>45300.8958333333</v>
      </c>
      <c r="X171" s="18">
        <v>45431</v>
      </c>
      <c r="Y171" s="17">
        <v>886</v>
      </c>
      <c r="Z171" t="s">
        <v>87</v>
      </c>
      <c r="AA171" s="17">
        <v>995</v>
      </c>
      <c r="AB171" s="17">
        <v>801.55</v>
      </c>
      <c r="AC171" t="s">
        <v>84</v>
      </c>
      <c r="AD171" t="s">
        <v>84</v>
      </c>
      <c r="AE171" t="s">
        <v>84</v>
      </c>
      <c r="AF171" t="s">
        <v>84</v>
      </c>
      <c r="AG171" s="17">
        <v>7677851.67</v>
      </c>
      <c r="AH171" s="17">
        <v>15.21</v>
      </c>
      <c r="AI171" s="17">
        <v>1.51</v>
      </c>
      <c r="AJ171" s="17">
        <v>1.51</v>
      </c>
      <c r="AK171" t="s">
        <v>208</v>
      </c>
      <c r="AM171" s="17">
        <v>2.2</v>
      </c>
      <c r="AN171" s="17"/>
      <c r="AO171" s="17">
        <v>830</v>
      </c>
      <c r="AP171" s="17"/>
      <c r="AQ171" s="17">
        <v>1380</v>
      </c>
      <c r="AR171" s="17"/>
      <c r="AS171" s="17">
        <v>2.21</v>
      </c>
      <c r="AT171" s="17"/>
      <c r="AU171" s="17">
        <v>1184.75</v>
      </c>
      <c r="AV171" s="17"/>
      <c r="AW171" s="17">
        <v>2020.02</v>
      </c>
      <c r="AX171" s="17"/>
      <c r="AY171" t="s">
        <v>92</v>
      </c>
      <c r="AZ171" t="s">
        <v>92</v>
      </c>
      <c r="BA171" t="s">
        <v>92</v>
      </c>
      <c r="BB171" t="s">
        <v>92</v>
      </c>
      <c r="BC171" t="s">
        <v>92</v>
      </c>
      <c r="BD171" s="17">
        <v>4.37</v>
      </c>
      <c r="BE171" s="17">
        <v>2357330</v>
      </c>
      <c r="BF171" s="17">
        <v>1.34</v>
      </c>
      <c r="BG171" s="17">
        <v>722</v>
      </c>
      <c r="BH171" t="s">
        <v>93</v>
      </c>
      <c r="BI171" t="s">
        <v>94</v>
      </c>
      <c r="BJ171" t="s">
        <v>128</v>
      </c>
      <c r="BK171" t="s">
        <v>85</v>
      </c>
      <c r="BL171" t="s">
        <v>85</v>
      </c>
      <c r="BM171" t="s">
        <v>96</v>
      </c>
      <c r="BN171" t="s">
        <v>97</v>
      </c>
      <c r="BO171" t="s">
        <v>98</v>
      </c>
      <c r="BP171" t="s">
        <v>99</v>
      </c>
      <c r="BQ171" s="17">
        <v>1358</v>
      </c>
      <c r="BR171" t="s">
        <v>138</v>
      </c>
      <c r="BS171" t="s">
        <v>285</v>
      </c>
      <c r="BT171" t="s">
        <v>99</v>
      </c>
      <c r="BU171" s="17">
        <v>9</v>
      </c>
      <c r="BV171" t="s">
        <v>191</v>
      </c>
      <c r="BW171" t="s">
        <v>85</v>
      </c>
      <c r="BX171" t="s">
        <v>85</v>
      </c>
      <c r="BY171" t="str">
        <f>IF(COUNTIF('Data Upload-prod'!E:E,F171)=0,"Missing","Exist")</f>
        <v>Exist</v>
      </c>
    </row>
    <row r="172" hidden="1" spans="1:77">
      <c r="A172" s="16">
        <v>45267</v>
      </c>
      <c r="B172" s="16">
        <v>45397</v>
      </c>
      <c r="C172" t="s">
        <v>360</v>
      </c>
      <c r="D172" t="s">
        <v>142</v>
      </c>
      <c r="E172" t="s">
        <v>486</v>
      </c>
      <c r="F172" t="s">
        <v>487</v>
      </c>
      <c r="G172" t="s">
        <v>145</v>
      </c>
      <c r="H172" t="s">
        <v>377</v>
      </c>
      <c r="I172" t="s">
        <v>147</v>
      </c>
      <c r="J172" s="17">
        <v>1407.1</v>
      </c>
      <c r="K172" s="17">
        <v>2172</v>
      </c>
      <c r="L172" s="17">
        <v>2154</v>
      </c>
      <c r="M172" s="17">
        <v>15100000</v>
      </c>
      <c r="N172" s="17">
        <v>17500000</v>
      </c>
      <c r="O172" s="17">
        <v>17.2</v>
      </c>
      <c r="P172" s="17">
        <v>20.5</v>
      </c>
      <c r="Q172" t="s">
        <v>84</v>
      </c>
      <c r="R172" t="s">
        <v>84</v>
      </c>
      <c r="S172" t="s">
        <v>85</v>
      </c>
      <c r="T172" t="s">
        <v>84</v>
      </c>
      <c r="U172" t="s">
        <v>84</v>
      </c>
      <c r="V172" s="16">
        <v>45280</v>
      </c>
      <c r="W172" s="18">
        <v>45280.6458333333</v>
      </c>
      <c r="X172" s="18">
        <v>45294.3958333333</v>
      </c>
      <c r="Y172" s="17">
        <v>738.9</v>
      </c>
      <c r="Z172" t="s">
        <v>148</v>
      </c>
      <c r="AA172" s="17">
        <v>2172</v>
      </c>
      <c r="AB172" s="17">
        <v>2154.34</v>
      </c>
      <c r="AC172" s="17">
        <v>18860000</v>
      </c>
      <c r="AD172" t="s">
        <v>84</v>
      </c>
      <c r="AE172" s="17">
        <v>19.4</v>
      </c>
      <c r="AF172" t="s">
        <v>84</v>
      </c>
      <c r="AG172" t="s">
        <v>84</v>
      </c>
      <c r="AH172" t="s">
        <v>84</v>
      </c>
      <c r="AI172" s="17">
        <v>1.95</v>
      </c>
      <c r="AJ172" s="17">
        <v>1.93</v>
      </c>
      <c r="AK172" t="s">
        <v>305</v>
      </c>
      <c r="AM172" s="17">
        <v>2.3</v>
      </c>
      <c r="AN172" s="17"/>
      <c r="AO172" s="17">
        <v>3280</v>
      </c>
      <c r="AP172" s="17"/>
      <c r="AQ172" s="17">
        <v>5760</v>
      </c>
      <c r="AR172" s="17"/>
      <c r="AS172" s="17">
        <v>2.44</v>
      </c>
      <c r="AT172" s="17"/>
      <c r="AU172" s="17">
        <v>2601</v>
      </c>
      <c r="AV172" s="17"/>
      <c r="AW172" s="17">
        <v>4719</v>
      </c>
      <c r="AX172" s="17"/>
      <c r="AY172" t="s">
        <v>92</v>
      </c>
      <c r="AZ172" t="s">
        <v>92</v>
      </c>
      <c r="BA172" t="s">
        <v>92</v>
      </c>
      <c r="BB172" t="s">
        <v>92</v>
      </c>
      <c r="BC172" t="s">
        <v>92</v>
      </c>
      <c r="BD172" t="s">
        <v>92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92</v>
      </c>
      <c r="BM172" t="s">
        <v>92</v>
      </c>
      <c r="BN172" t="s">
        <v>92</v>
      </c>
      <c r="BO172" t="s">
        <v>92</v>
      </c>
      <c r="BP172" t="s">
        <v>92</v>
      </c>
      <c r="BQ172" t="s">
        <v>92</v>
      </c>
      <c r="BR172" t="s">
        <v>92</v>
      </c>
      <c r="BS172" t="s">
        <v>92</v>
      </c>
      <c r="BT172" t="s">
        <v>92</v>
      </c>
      <c r="BU172" t="s">
        <v>92</v>
      </c>
      <c r="BV172" t="s">
        <v>92</v>
      </c>
      <c r="BW172" t="s">
        <v>92</v>
      </c>
      <c r="BX172" t="s">
        <v>92</v>
      </c>
      <c r="BY172" t="str">
        <f>IF(COUNTIF('Data Upload-prod'!E:E,F172)=0,"Missing","Exist")</f>
        <v>Exist</v>
      </c>
    </row>
    <row r="173" hidden="1" spans="1:77">
      <c r="A173" s="16">
        <v>45261</v>
      </c>
      <c r="B173" s="16">
        <v>45468</v>
      </c>
      <c r="C173" t="s">
        <v>346</v>
      </c>
      <c r="D173" t="s">
        <v>78</v>
      </c>
      <c r="E173" t="s">
        <v>152</v>
      </c>
      <c r="F173" t="s">
        <v>488</v>
      </c>
      <c r="G173" t="s">
        <v>81</v>
      </c>
      <c r="H173" t="s">
        <v>154</v>
      </c>
      <c r="I173" t="s">
        <v>124</v>
      </c>
      <c r="J173" s="17">
        <v>53.79</v>
      </c>
      <c r="K173" s="17">
        <v>3310</v>
      </c>
      <c r="L173" s="17">
        <v>1820</v>
      </c>
      <c r="M173" t="s">
        <v>84</v>
      </c>
      <c r="N173" t="s">
        <v>84</v>
      </c>
      <c r="O173" t="s">
        <v>84</v>
      </c>
      <c r="P173" t="s">
        <v>84</v>
      </c>
      <c r="Q173" s="17">
        <v>21773000</v>
      </c>
      <c r="R173" s="17">
        <v>46.1</v>
      </c>
      <c r="S173" t="s">
        <v>85</v>
      </c>
      <c r="T173" t="s">
        <v>84</v>
      </c>
      <c r="U173" t="s">
        <v>84</v>
      </c>
      <c r="V173" s="16">
        <v>45384</v>
      </c>
      <c r="W173" s="18">
        <v>45356.75</v>
      </c>
      <c r="X173" s="18">
        <v>45411.25</v>
      </c>
      <c r="Y173" s="17">
        <v>3136.45</v>
      </c>
      <c r="Z173" t="s">
        <v>87</v>
      </c>
      <c r="AA173" s="17">
        <v>3234</v>
      </c>
      <c r="AB173" s="17">
        <v>1835.83</v>
      </c>
      <c r="AC173" t="s">
        <v>84</v>
      </c>
      <c r="AD173" t="s">
        <v>84</v>
      </c>
      <c r="AE173" t="s">
        <v>84</v>
      </c>
      <c r="AF173" t="s">
        <v>84</v>
      </c>
      <c r="AG173" s="17">
        <v>21445000</v>
      </c>
      <c r="AH173" s="17">
        <v>54.5</v>
      </c>
      <c r="AI173" s="17">
        <v>8.49</v>
      </c>
      <c r="AJ173" s="17">
        <v>4.01</v>
      </c>
      <c r="AK173" t="s">
        <v>208</v>
      </c>
      <c r="AM173" s="17">
        <v>2.1</v>
      </c>
      <c r="AN173" s="17"/>
      <c r="AO173" s="17">
        <v>700</v>
      </c>
      <c r="AP173" s="17"/>
      <c r="AQ173" s="17">
        <v>1220</v>
      </c>
      <c r="AR173" s="17"/>
      <c r="AS173" s="17">
        <v>1.56</v>
      </c>
      <c r="AT173" s="17"/>
      <c r="AU173" s="17">
        <v>812</v>
      </c>
      <c r="AV173" s="17"/>
      <c r="AW173" s="17">
        <v>1343</v>
      </c>
      <c r="AX173" s="17"/>
      <c r="AY173" t="s">
        <v>92</v>
      </c>
      <c r="AZ173" t="s">
        <v>92</v>
      </c>
      <c r="BA173" t="s">
        <v>92</v>
      </c>
      <c r="BB173" t="s">
        <v>92</v>
      </c>
      <c r="BC173" t="s">
        <v>92</v>
      </c>
      <c r="BD173" t="s">
        <v>92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92</v>
      </c>
      <c r="BM173" t="s">
        <v>92</v>
      </c>
      <c r="BN173" t="s">
        <v>92</v>
      </c>
      <c r="BO173" t="s">
        <v>92</v>
      </c>
      <c r="BP173" t="s">
        <v>92</v>
      </c>
      <c r="BQ173" t="s">
        <v>92</v>
      </c>
      <c r="BR173" t="s">
        <v>92</v>
      </c>
      <c r="BS173" t="s">
        <v>92</v>
      </c>
      <c r="BT173" t="s">
        <v>92</v>
      </c>
      <c r="BU173" t="s">
        <v>92</v>
      </c>
      <c r="BV173" t="s">
        <v>92</v>
      </c>
      <c r="BW173" t="s">
        <v>92</v>
      </c>
      <c r="BX173" t="s">
        <v>92</v>
      </c>
      <c r="BY173" t="str">
        <f>IF(COUNTIF('Data Upload-prod'!E:E,F173)=0,"Missing","Exist")</f>
        <v>Exist</v>
      </c>
    </row>
    <row r="174" hidden="1" spans="1:77">
      <c r="A174" s="16">
        <v>45248</v>
      </c>
      <c r="B174" s="16">
        <v>45407</v>
      </c>
      <c r="C174" t="s">
        <v>132</v>
      </c>
      <c r="D174" t="s">
        <v>78</v>
      </c>
      <c r="E174" t="s">
        <v>479</v>
      </c>
      <c r="F174" t="s">
        <v>489</v>
      </c>
      <c r="G174" t="s">
        <v>81</v>
      </c>
      <c r="H174" t="s">
        <v>202</v>
      </c>
      <c r="I174" t="s">
        <v>124</v>
      </c>
      <c r="J174" s="17">
        <v>69.8</v>
      </c>
      <c r="K174" s="17">
        <v>2380.6</v>
      </c>
      <c r="L174" s="17">
        <v>1193</v>
      </c>
      <c r="M174" t="s">
        <v>84</v>
      </c>
      <c r="N174" t="s">
        <v>84</v>
      </c>
      <c r="O174" t="s">
        <v>84</v>
      </c>
      <c r="P174" t="s">
        <v>84</v>
      </c>
      <c r="Q174" s="17">
        <v>22502875</v>
      </c>
      <c r="R174" s="17">
        <v>40.27</v>
      </c>
      <c r="S174" t="s">
        <v>85</v>
      </c>
      <c r="T174" t="s">
        <v>84</v>
      </c>
      <c r="U174" t="s">
        <v>86</v>
      </c>
      <c r="V174" s="16">
        <v>45300.875</v>
      </c>
      <c r="W174" s="18">
        <v>45275</v>
      </c>
      <c r="X174" s="18">
        <v>45359.6354166667</v>
      </c>
      <c r="Y174" s="17">
        <v>2251.2</v>
      </c>
      <c r="Z174" t="s">
        <v>87</v>
      </c>
      <c r="AA174" s="17">
        <v>2369</v>
      </c>
      <c r="AB174" s="17">
        <v>1188.74</v>
      </c>
      <c r="AC174" t="s">
        <v>84</v>
      </c>
      <c r="AD174" t="s">
        <v>84</v>
      </c>
      <c r="AE174" t="s">
        <v>84</v>
      </c>
      <c r="AF174" t="s">
        <v>84</v>
      </c>
      <c r="AG174" s="17">
        <v>17213704</v>
      </c>
      <c r="AH174" s="17">
        <v>37.42</v>
      </c>
      <c r="AI174" s="17">
        <v>2.46</v>
      </c>
      <c r="AJ174" s="17">
        <v>0.27</v>
      </c>
      <c r="AK174" t="s">
        <v>208</v>
      </c>
      <c r="AM174" s="17">
        <v>2.1</v>
      </c>
      <c r="AN174" s="17"/>
      <c r="AO174" s="17">
        <v>700</v>
      </c>
      <c r="AP174" s="17"/>
      <c r="AQ174" s="17">
        <v>1620</v>
      </c>
      <c r="AR174" s="17"/>
      <c r="AS174" s="17">
        <v>1.63</v>
      </c>
      <c r="AT174" s="17"/>
      <c r="AU174" s="17">
        <v>746</v>
      </c>
      <c r="AV174" s="17"/>
      <c r="AW174" s="17">
        <v>2191</v>
      </c>
      <c r="AX174" s="17"/>
      <c r="AY174" t="s">
        <v>92</v>
      </c>
      <c r="AZ174" t="s">
        <v>92</v>
      </c>
      <c r="BA174" t="s">
        <v>92</v>
      </c>
      <c r="BB174" t="s">
        <v>92</v>
      </c>
      <c r="BC174" t="s">
        <v>92</v>
      </c>
      <c r="BD174" s="17">
        <v>22.9</v>
      </c>
      <c r="BE174" s="17">
        <v>10493550</v>
      </c>
      <c r="BF174" s="17">
        <v>2.95</v>
      </c>
      <c r="BG174" s="17">
        <v>1350</v>
      </c>
      <c r="BH174" t="s">
        <v>93</v>
      </c>
      <c r="BI174" t="s">
        <v>94</v>
      </c>
      <c r="BJ174" t="s">
        <v>215</v>
      </c>
      <c r="BK174" t="s">
        <v>85</v>
      </c>
      <c r="BL174" t="s">
        <v>85</v>
      </c>
      <c r="BM174" t="s">
        <v>96</v>
      </c>
      <c r="BN174" t="s">
        <v>490</v>
      </c>
      <c r="BO174" t="s">
        <v>98</v>
      </c>
      <c r="BP174" t="s">
        <v>99</v>
      </c>
      <c r="BQ174" s="17">
        <v>28</v>
      </c>
      <c r="BR174" t="s">
        <v>138</v>
      </c>
      <c r="BS174" t="s">
        <v>92</v>
      </c>
      <c r="BT174" t="s">
        <v>99</v>
      </c>
      <c r="BU174" s="17">
        <v>9.3</v>
      </c>
      <c r="BV174" t="s">
        <v>191</v>
      </c>
      <c r="BW174" t="s">
        <v>85</v>
      </c>
      <c r="BX174" t="s">
        <v>85</v>
      </c>
      <c r="BY174" t="str">
        <f>IF(COUNTIF('Data Upload-prod'!E:E,F174)=0,"Missing","Exist")</f>
        <v>Exist</v>
      </c>
    </row>
    <row r="175" hidden="1" spans="1:77">
      <c r="A175" s="16">
        <v>45241</v>
      </c>
      <c r="B175" s="16">
        <v>45561</v>
      </c>
      <c r="C175" t="s">
        <v>132</v>
      </c>
      <c r="D175" t="s">
        <v>120</v>
      </c>
      <c r="E175" t="s">
        <v>491</v>
      </c>
      <c r="F175" t="s">
        <v>492</v>
      </c>
      <c r="G175" t="s">
        <v>145</v>
      </c>
      <c r="H175" t="s">
        <v>319</v>
      </c>
      <c r="I175" t="s">
        <v>231</v>
      </c>
      <c r="J175" s="17">
        <v>120.8</v>
      </c>
      <c r="K175" s="17">
        <v>2288</v>
      </c>
      <c r="L175" s="17">
        <v>2149</v>
      </c>
      <c r="M175" s="17">
        <v>44000000</v>
      </c>
      <c r="N175" s="17">
        <v>50000000</v>
      </c>
      <c r="O175" s="17">
        <v>93</v>
      </c>
      <c r="P175" s="17">
        <v>105</v>
      </c>
      <c r="Q175" t="s">
        <v>84</v>
      </c>
      <c r="R175" t="s">
        <v>84</v>
      </c>
      <c r="S175" t="s">
        <v>106</v>
      </c>
      <c r="T175" t="s">
        <v>84</v>
      </c>
      <c r="U175" t="s">
        <v>84</v>
      </c>
      <c r="V175" s="16">
        <v>45253</v>
      </c>
      <c r="W175" s="18">
        <v>45243.0833333333</v>
      </c>
      <c r="X175" s="18">
        <v>45347.2916666667</v>
      </c>
      <c r="Y175" s="17">
        <v>1973.2</v>
      </c>
      <c r="Z175" t="s">
        <v>87</v>
      </c>
      <c r="AA175" s="17">
        <v>2122</v>
      </c>
      <c r="AB175" s="17">
        <v>2013.73</v>
      </c>
      <c r="AC175" t="s">
        <v>84</v>
      </c>
      <c r="AD175" s="17">
        <v>49538138.18</v>
      </c>
      <c r="AE175" t="s">
        <v>84</v>
      </c>
      <c r="AF175" s="17">
        <v>104.39</v>
      </c>
      <c r="AG175" t="s">
        <v>84</v>
      </c>
      <c r="AH175" t="s">
        <v>84</v>
      </c>
      <c r="AI175" s="17">
        <v>9</v>
      </c>
      <c r="AJ175" s="17">
        <v>9</v>
      </c>
      <c r="AK175" t="s">
        <v>333</v>
      </c>
      <c r="AM175" s="17">
        <v>3.8</v>
      </c>
      <c r="AN175" s="17"/>
      <c r="AO175" s="17">
        <v>2125</v>
      </c>
      <c r="AP175" s="17"/>
      <c r="AQ175" s="17">
        <v>3315</v>
      </c>
      <c r="AR175" s="17"/>
      <c r="AS175" s="17">
        <v>6.85</v>
      </c>
      <c r="AT175" s="17"/>
      <c r="AU175" s="17">
        <v>3254</v>
      </c>
      <c r="AV175" s="17"/>
      <c r="AW175" s="17">
        <v>4365</v>
      </c>
      <c r="AX175" s="17"/>
      <c r="AY175" t="s">
        <v>92</v>
      </c>
      <c r="AZ175" t="s">
        <v>92</v>
      </c>
      <c r="BA175" t="s">
        <v>92</v>
      </c>
      <c r="BB175" t="s">
        <v>92</v>
      </c>
      <c r="BC175" t="s">
        <v>92</v>
      </c>
      <c r="BD175" t="s">
        <v>92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92</v>
      </c>
      <c r="BM175" t="s">
        <v>92</v>
      </c>
      <c r="BN175" t="s">
        <v>92</v>
      </c>
      <c r="BO175" t="s">
        <v>92</v>
      </c>
      <c r="BP175" t="s">
        <v>92</v>
      </c>
      <c r="BQ175" t="s">
        <v>92</v>
      </c>
      <c r="BR175" t="s">
        <v>92</v>
      </c>
      <c r="BS175" t="s">
        <v>92</v>
      </c>
      <c r="BT175" t="s">
        <v>92</v>
      </c>
      <c r="BU175" t="s">
        <v>92</v>
      </c>
      <c r="BV175" t="s">
        <v>92</v>
      </c>
      <c r="BW175" t="s">
        <v>92</v>
      </c>
      <c r="BX175" t="s">
        <v>92</v>
      </c>
      <c r="BY175" t="str">
        <f>IF(COUNTIF('Data Upload-prod'!E:E,F175)=0,"Missing","Exist")</f>
        <v>Exist</v>
      </c>
    </row>
    <row r="176" hidden="1" spans="1:77">
      <c r="A176" s="16">
        <v>45239</v>
      </c>
      <c r="B176" s="16">
        <v>45463</v>
      </c>
      <c r="C176" t="s">
        <v>132</v>
      </c>
      <c r="D176" t="s">
        <v>78</v>
      </c>
      <c r="E176" t="s">
        <v>479</v>
      </c>
      <c r="F176" t="s">
        <v>493</v>
      </c>
      <c r="G176" t="s">
        <v>81</v>
      </c>
      <c r="H176" t="s">
        <v>202</v>
      </c>
      <c r="I176" t="s">
        <v>124</v>
      </c>
      <c r="J176" s="17">
        <v>69.8</v>
      </c>
      <c r="K176" s="17">
        <v>2740</v>
      </c>
      <c r="L176" s="17">
        <v>1456.7</v>
      </c>
      <c r="M176" t="s">
        <v>84</v>
      </c>
      <c r="N176" t="s">
        <v>84</v>
      </c>
      <c r="O176" t="s">
        <v>84</v>
      </c>
      <c r="P176" t="s">
        <v>84</v>
      </c>
      <c r="Q176" s="17">
        <v>21887802.47</v>
      </c>
      <c r="R176" s="17">
        <v>43.37</v>
      </c>
      <c r="S176" t="s">
        <v>85</v>
      </c>
      <c r="T176" t="s">
        <v>84</v>
      </c>
      <c r="U176" t="s">
        <v>86</v>
      </c>
      <c r="V176" s="16">
        <v>45245</v>
      </c>
      <c r="W176" s="18">
        <v>45245</v>
      </c>
      <c r="X176" s="18">
        <v>45394</v>
      </c>
      <c r="Y176" s="17">
        <v>2664.7</v>
      </c>
      <c r="Z176" t="s">
        <v>87</v>
      </c>
      <c r="AA176" s="17">
        <v>2782.5</v>
      </c>
      <c r="AB176" s="17">
        <v>1467.43</v>
      </c>
      <c r="AC176" t="s">
        <v>84</v>
      </c>
      <c r="AD176" t="s">
        <v>84</v>
      </c>
      <c r="AE176" t="s">
        <v>84</v>
      </c>
      <c r="AF176" t="s">
        <v>84</v>
      </c>
      <c r="AG176" s="17">
        <v>24105040.53</v>
      </c>
      <c r="AH176" s="17">
        <v>59.5</v>
      </c>
      <c r="AI176" s="17">
        <v>5.2</v>
      </c>
      <c r="AJ176" s="17">
        <v>1.76</v>
      </c>
      <c r="AK176" t="s">
        <v>208</v>
      </c>
      <c r="AM176" s="17">
        <v>2.1</v>
      </c>
      <c r="AN176" s="17"/>
      <c r="AO176" s="17">
        <v>700</v>
      </c>
      <c r="AP176" s="17"/>
      <c r="AQ176" s="17">
        <v>1620</v>
      </c>
      <c r="AR176" s="17"/>
      <c r="AS176" s="17">
        <v>1.9</v>
      </c>
      <c r="AT176" s="17"/>
      <c r="AU176" s="17">
        <v>873</v>
      </c>
      <c r="AV176" s="17"/>
      <c r="AW176" s="17">
        <v>2668</v>
      </c>
      <c r="AX176" s="17"/>
      <c r="AY176" t="s">
        <v>92</v>
      </c>
      <c r="AZ176" t="s">
        <v>92</v>
      </c>
      <c r="BA176" t="s">
        <v>92</v>
      </c>
      <c r="BB176" t="s">
        <v>92</v>
      </c>
      <c r="BC176" t="s">
        <v>92</v>
      </c>
      <c r="BD176" s="17">
        <v>34.82</v>
      </c>
      <c r="BE176" s="17">
        <v>13675814.99</v>
      </c>
      <c r="BF176" t="s">
        <v>92</v>
      </c>
      <c r="BG176" t="s">
        <v>92</v>
      </c>
      <c r="BH176" t="s">
        <v>93</v>
      </c>
      <c r="BI176" t="s">
        <v>94</v>
      </c>
      <c r="BJ176" t="s">
        <v>95</v>
      </c>
      <c r="BK176" t="s">
        <v>85</v>
      </c>
      <c r="BL176" t="s">
        <v>85</v>
      </c>
      <c r="BM176" t="s">
        <v>273</v>
      </c>
      <c r="BN176" t="s">
        <v>97</v>
      </c>
      <c r="BO176" t="s">
        <v>98</v>
      </c>
      <c r="BP176" t="s">
        <v>99</v>
      </c>
      <c r="BQ176" s="17">
        <v>656</v>
      </c>
      <c r="BR176" t="s">
        <v>138</v>
      </c>
      <c r="BS176" t="s">
        <v>156</v>
      </c>
      <c r="BT176" t="s">
        <v>175</v>
      </c>
      <c r="BU176" s="17">
        <v>9.2</v>
      </c>
      <c r="BV176" t="s">
        <v>191</v>
      </c>
      <c r="BW176" t="s">
        <v>85</v>
      </c>
      <c r="BX176" t="s">
        <v>85</v>
      </c>
      <c r="BY176" t="str">
        <f>IF(COUNTIF('Data Upload-prod'!E:E,F176)=0,"Missing","Exist")</f>
        <v>Exist</v>
      </c>
    </row>
    <row r="177" hidden="1" spans="1:77">
      <c r="A177" s="16">
        <v>45229</v>
      </c>
      <c r="B177" s="16">
        <v>45497</v>
      </c>
      <c r="C177" t="s">
        <v>77</v>
      </c>
      <c r="D177" t="s">
        <v>120</v>
      </c>
      <c r="E177" t="s">
        <v>262</v>
      </c>
      <c r="F177" t="s">
        <v>494</v>
      </c>
      <c r="G177" t="s">
        <v>81</v>
      </c>
      <c r="H177" t="s">
        <v>135</v>
      </c>
      <c r="I177" t="s">
        <v>124</v>
      </c>
      <c r="J177" s="17">
        <v>85</v>
      </c>
      <c r="K177" s="17">
        <v>1655.73</v>
      </c>
      <c r="L177" s="17">
        <v>1198.83</v>
      </c>
      <c r="M177" t="s">
        <v>84</v>
      </c>
      <c r="N177" t="s">
        <v>84</v>
      </c>
      <c r="O177" t="s">
        <v>84</v>
      </c>
      <c r="P177" t="s">
        <v>84</v>
      </c>
      <c r="Q177" s="17">
        <v>6017000</v>
      </c>
      <c r="R177" s="17">
        <v>11.07</v>
      </c>
      <c r="S177" t="s">
        <v>85</v>
      </c>
      <c r="T177" t="s">
        <v>84</v>
      </c>
      <c r="U177" t="s">
        <v>86</v>
      </c>
      <c r="V177" s="16">
        <v>45412</v>
      </c>
      <c r="W177" s="18">
        <v>45411.7083333333</v>
      </c>
      <c r="X177" s="18">
        <v>45445.7291666667</v>
      </c>
      <c r="Y177" s="17">
        <v>1517.93</v>
      </c>
      <c r="Z177" t="s">
        <v>87</v>
      </c>
      <c r="AA177" s="17">
        <v>1636</v>
      </c>
      <c r="AB177" s="17">
        <v>1196.79</v>
      </c>
      <c r="AC177" t="s">
        <v>84</v>
      </c>
      <c r="AD177" t="s">
        <v>84</v>
      </c>
      <c r="AE177" t="s">
        <v>84</v>
      </c>
      <c r="AF177" t="s">
        <v>84</v>
      </c>
      <c r="AG177" s="17">
        <v>4069000</v>
      </c>
      <c r="AH177" s="17">
        <v>9.01</v>
      </c>
      <c r="AI177" s="17">
        <v>0</v>
      </c>
      <c r="AJ177" s="17">
        <v>0</v>
      </c>
      <c r="AK177" t="s">
        <v>495</v>
      </c>
      <c r="AM177" s="17">
        <v>1.4</v>
      </c>
      <c r="AN177" s="17"/>
      <c r="AO177" s="17">
        <v>550</v>
      </c>
      <c r="AP177" s="17"/>
      <c r="AQ177" s="17">
        <v>870</v>
      </c>
      <c r="AR177" s="17"/>
      <c r="AS177" s="17">
        <v>1.2</v>
      </c>
      <c r="AT177" s="17"/>
      <c r="AU177" s="17">
        <v>492</v>
      </c>
      <c r="AV177" s="17"/>
      <c r="AW177" s="17">
        <v>803</v>
      </c>
      <c r="AX177" s="17"/>
      <c r="AY177" t="s">
        <v>92</v>
      </c>
      <c r="AZ177" t="s">
        <v>92</v>
      </c>
      <c r="BA177" t="s">
        <v>92</v>
      </c>
      <c r="BB177" t="s">
        <v>92</v>
      </c>
      <c r="BC177" t="s">
        <v>92</v>
      </c>
      <c r="BD177" s="17">
        <v>2.74</v>
      </c>
      <c r="BE177" s="17">
        <v>1548767</v>
      </c>
      <c r="BF177" s="17">
        <v>0.55</v>
      </c>
      <c r="BG177" s="17">
        <v>311</v>
      </c>
      <c r="BH177" t="s">
        <v>93</v>
      </c>
      <c r="BI177" t="s">
        <v>94</v>
      </c>
      <c r="BJ177" t="s">
        <v>128</v>
      </c>
      <c r="BK177" t="s">
        <v>85</v>
      </c>
      <c r="BL177" t="s">
        <v>85</v>
      </c>
      <c r="BM177" t="s">
        <v>190</v>
      </c>
      <c r="BN177" t="s">
        <v>97</v>
      </c>
      <c r="BO177" t="s">
        <v>98</v>
      </c>
      <c r="BP177" t="s">
        <v>103</v>
      </c>
      <c r="BQ177" s="17">
        <v>79</v>
      </c>
      <c r="BR177" t="s">
        <v>138</v>
      </c>
      <c r="BS177" t="s">
        <v>156</v>
      </c>
      <c r="BT177" t="s">
        <v>103</v>
      </c>
      <c r="BU177" s="17">
        <v>9.4</v>
      </c>
      <c r="BV177" t="s">
        <v>191</v>
      </c>
      <c r="BW177" t="s">
        <v>85</v>
      </c>
      <c r="BX177" t="s">
        <v>85</v>
      </c>
      <c r="BY177" t="str">
        <f>IF(COUNTIF('Data Upload-prod'!E:E,F177)=0,"Missing","Exist")</f>
        <v>Exist</v>
      </c>
    </row>
    <row r="178" hidden="1" spans="1:77">
      <c r="A178" s="16">
        <v>45229</v>
      </c>
      <c r="B178" s="16">
        <v>45497</v>
      </c>
      <c r="C178" t="s">
        <v>77</v>
      </c>
      <c r="D178" t="s">
        <v>120</v>
      </c>
      <c r="E178" t="s">
        <v>262</v>
      </c>
      <c r="F178" t="s">
        <v>496</v>
      </c>
      <c r="G178" t="s">
        <v>81</v>
      </c>
      <c r="H178" t="s">
        <v>135</v>
      </c>
      <c r="I178" t="s">
        <v>124</v>
      </c>
      <c r="J178" s="17">
        <v>85</v>
      </c>
      <c r="K178" s="17">
        <v>1478.21</v>
      </c>
      <c r="L178" s="17">
        <v>1200.16</v>
      </c>
      <c r="M178" t="s">
        <v>84</v>
      </c>
      <c r="N178" t="s">
        <v>84</v>
      </c>
      <c r="O178" t="s">
        <v>84</v>
      </c>
      <c r="P178" t="s">
        <v>84</v>
      </c>
      <c r="Q178" s="17">
        <v>5602000</v>
      </c>
      <c r="R178" s="17">
        <v>9.69</v>
      </c>
      <c r="S178" t="s">
        <v>85</v>
      </c>
      <c r="T178" t="s">
        <v>84</v>
      </c>
      <c r="U178" t="s">
        <v>86</v>
      </c>
      <c r="V178" s="16">
        <v>45407</v>
      </c>
      <c r="W178" s="18">
        <v>45406.375</v>
      </c>
      <c r="X178" s="18">
        <v>45452.4791666667</v>
      </c>
      <c r="Y178" s="17">
        <v>1357.93</v>
      </c>
      <c r="Z178" t="s">
        <v>87</v>
      </c>
      <c r="AA178" s="17">
        <v>1476</v>
      </c>
      <c r="AB178" s="17">
        <v>1194.1</v>
      </c>
      <c r="AC178" t="s">
        <v>84</v>
      </c>
      <c r="AD178" t="s">
        <v>84</v>
      </c>
      <c r="AE178" t="s">
        <v>84</v>
      </c>
      <c r="AF178" t="s">
        <v>84</v>
      </c>
      <c r="AG178" s="17">
        <v>4131000</v>
      </c>
      <c r="AH178" s="17">
        <v>9.44</v>
      </c>
      <c r="AI178" s="17">
        <v>17.78</v>
      </c>
      <c r="AJ178" s="17">
        <v>17.78</v>
      </c>
      <c r="AK178" t="s">
        <v>497</v>
      </c>
      <c r="AM178" s="17">
        <v>1.4</v>
      </c>
      <c r="AN178" s="17"/>
      <c r="AO178" s="17">
        <v>550</v>
      </c>
      <c r="AP178" s="17"/>
      <c r="AQ178" s="17">
        <v>870</v>
      </c>
      <c r="AR178" s="17"/>
      <c r="AS178" s="17">
        <v>1.65</v>
      </c>
      <c r="AT178" s="17"/>
      <c r="AU178" s="17">
        <v>620</v>
      </c>
      <c r="AV178" s="17"/>
      <c r="AW178" s="17">
        <v>926</v>
      </c>
      <c r="AX178" s="17"/>
      <c r="AY178" t="s">
        <v>92</v>
      </c>
      <c r="AZ178" t="s">
        <v>92</v>
      </c>
      <c r="BA178" t="s">
        <v>92</v>
      </c>
      <c r="BB178" t="s">
        <v>92</v>
      </c>
      <c r="BC178" t="s">
        <v>92</v>
      </c>
      <c r="BD178" s="17">
        <v>2.07</v>
      </c>
      <c r="BE178" s="17">
        <v>1360241</v>
      </c>
      <c r="BF178" s="17">
        <v>0.43</v>
      </c>
      <c r="BG178" s="17">
        <v>281</v>
      </c>
      <c r="BH178" t="s">
        <v>93</v>
      </c>
      <c r="BI178" t="s">
        <v>94</v>
      </c>
      <c r="BJ178" t="s">
        <v>128</v>
      </c>
      <c r="BK178" t="s">
        <v>85</v>
      </c>
      <c r="BL178" t="s">
        <v>85</v>
      </c>
      <c r="BM178" t="s">
        <v>190</v>
      </c>
      <c r="BN178" t="s">
        <v>97</v>
      </c>
      <c r="BO178" t="s">
        <v>98</v>
      </c>
      <c r="BP178" t="s">
        <v>103</v>
      </c>
      <c r="BQ178" s="17">
        <v>39</v>
      </c>
      <c r="BR178" t="s">
        <v>138</v>
      </c>
      <c r="BS178" t="s">
        <v>156</v>
      </c>
      <c r="BT178" t="s">
        <v>103</v>
      </c>
      <c r="BU178" s="17">
        <v>9.4</v>
      </c>
      <c r="BV178" t="s">
        <v>191</v>
      </c>
      <c r="BW178" t="s">
        <v>85</v>
      </c>
      <c r="BX178" t="s">
        <v>85</v>
      </c>
      <c r="BY178" t="str">
        <f>IF(COUNTIF('Data Upload-prod'!E:E,F178)=0,"Missing","Exist")</f>
        <v>Exist</v>
      </c>
    </row>
    <row r="179" hidden="1" spans="1:77">
      <c r="A179" s="16">
        <v>45229</v>
      </c>
      <c r="B179" s="16">
        <v>45405</v>
      </c>
      <c r="C179" t="s">
        <v>346</v>
      </c>
      <c r="D179" t="s">
        <v>142</v>
      </c>
      <c r="E179" t="s">
        <v>209</v>
      </c>
      <c r="F179" t="s">
        <v>498</v>
      </c>
      <c r="G179" t="s">
        <v>145</v>
      </c>
      <c r="H179" t="s">
        <v>154</v>
      </c>
      <c r="I179" t="s">
        <v>124</v>
      </c>
      <c r="J179" s="17">
        <v>58.82</v>
      </c>
      <c r="K179" s="17">
        <v>3378.54</v>
      </c>
      <c r="L179" s="17">
        <v>2124.66</v>
      </c>
      <c r="M179" s="17">
        <v>16200389.19</v>
      </c>
      <c r="N179" s="17">
        <v>23114569.43</v>
      </c>
      <c r="O179" s="17">
        <v>48.11</v>
      </c>
      <c r="P179" s="17">
        <v>63.94</v>
      </c>
      <c r="Q179" t="s">
        <v>84</v>
      </c>
      <c r="R179" t="s">
        <v>84</v>
      </c>
      <c r="S179" t="s">
        <v>85</v>
      </c>
      <c r="T179" t="s">
        <v>84</v>
      </c>
      <c r="U179" t="s">
        <v>84</v>
      </c>
      <c r="V179" s="16">
        <v>45316</v>
      </c>
      <c r="W179" s="18">
        <v>45310.75</v>
      </c>
      <c r="X179" s="18">
        <v>45356.75</v>
      </c>
      <c r="Y179" s="17">
        <v>3433.40445</v>
      </c>
      <c r="Z179" t="s">
        <v>87</v>
      </c>
      <c r="AA179" s="17">
        <v>3526</v>
      </c>
      <c r="AB179" s="17">
        <v>2385.86</v>
      </c>
      <c r="AC179" t="s">
        <v>84</v>
      </c>
      <c r="AD179" s="17">
        <v>16200000</v>
      </c>
      <c r="AE179" t="s">
        <v>84</v>
      </c>
      <c r="AF179" s="17">
        <v>47</v>
      </c>
      <c r="AG179" t="s">
        <v>84</v>
      </c>
      <c r="AH179" t="s">
        <v>84</v>
      </c>
      <c r="AI179" s="17">
        <v>0</v>
      </c>
      <c r="AJ179" s="17">
        <v>0</v>
      </c>
      <c r="AK179" t="s">
        <v>300</v>
      </c>
      <c r="AM179" s="17">
        <v>2.6</v>
      </c>
      <c r="AN179" s="17"/>
      <c r="AO179" s="17">
        <v>1010</v>
      </c>
      <c r="AP179" s="17"/>
      <c r="AQ179" s="17">
        <v>2090</v>
      </c>
      <c r="AR179" s="17"/>
      <c r="AS179" s="17">
        <v>1.97</v>
      </c>
      <c r="AT179" s="17"/>
      <c r="AU179" s="17">
        <v>665.94</v>
      </c>
      <c r="AV179" s="17"/>
      <c r="AW179" s="17">
        <v>961.94</v>
      </c>
      <c r="AX179" s="17"/>
      <c r="AY179" t="s">
        <v>92</v>
      </c>
      <c r="AZ179" t="s">
        <v>92</v>
      </c>
      <c r="BA179" t="s">
        <v>92</v>
      </c>
      <c r="BB179" t="s">
        <v>92</v>
      </c>
      <c r="BC179" t="s">
        <v>92</v>
      </c>
      <c r="BD179" t="s">
        <v>92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92</v>
      </c>
      <c r="BM179" t="s">
        <v>92</v>
      </c>
      <c r="BN179" t="s">
        <v>92</v>
      </c>
      <c r="BO179" t="s">
        <v>92</v>
      </c>
      <c r="BP179" t="s">
        <v>92</v>
      </c>
      <c r="BQ179" t="s">
        <v>92</v>
      </c>
      <c r="BR179" t="s">
        <v>92</v>
      </c>
      <c r="BS179" t="s">
        <v>92</v>
      </c>
      <c r="BT179" t="s">
        <v>92</v>
      </c>
      <c r="BU179" t="s">
        <v>92</v>
      </c>
      <c r="BV179" t="s">
        <v>92</v>
      </c>
      <c r="BW179" t="s">
        <v>92</v>
      </c>
      <c r="BX179" t="s">
        <v>92</v>
      </c>
      <c r="BY179" t="str">
        <f>IF(COUNTIF('Data Upload-prod'!E:E,F179)=0,"Missing","Exist")</f>
        <v>Exist</v>
      </c>
    </row>
    <row r="180" hidden="1" spans="1:77">
      <c r="A180" s="16">
        <v>45215</v>
      </c>
      <c r="B180" s="16">
        <v>45378</v>
      </c>
      <c r="C180" t="s">
        <v>132</v>
      </c>
      <c r="D180" t="s">
        <v>120</v>
      </c>
      <c r="E180" t="s">
        <v>499</v>
      </c>
      <c r="F180" t="s">
        <v>500</v>
      </c>
      <c r="G180" t="s">
        <v>145</v>
      </c>
      <c r="H180" t="s">
        <v>172</v>
      </c>
      <c r="I180" t="s">
        <v>124</v>
      </c>
      <c r="J180" s="17">
        <v>50</v>
      </c>
      <c r="K180" s="17">
        <v>2300</v>
      </c>
      <c r="L180" s="17">
        <v>2300</v>
      </c>
      <c r="M180" s="17">
        <v>32678598.61</v>
      </c>
      <c r="N180" s="17">
        <v>39410000</v>
      </c>
      <c r="O180" s="17">
        <v>70.43</v>
      </c>
      <c r="P180" s="17">
        <v>91.97</v>
      </c>
      <c r="Q180" t="s">
        <v>84</v>
      </c>
      <c r="R180" t="s">
        <v>84</v>
      </c>
      <c r="S180" t="s">
        <v>85</v>
      </c>
      <c r="T180" t="s">
        <v>84</v>
      </c>
      <c r="U180" t="s">
        <v>84</v>
      </c>
      <c r="V180" s="16">
        <v>45225.1145833333</v>
      </c>
      <c r="W180" s="18">
        <v>45219</v>
      </c>
      <c r="X180" s="18">
        <v>45324</v>
      </c>
      <c r="Y180" s="17">
        <v>2220</v>
      </c>
      <c r="Z180" t="s">
        <v>87</v>
      </c>
      <c r="AA180" s="17">
        <v>2300</v>
      </c>
      <c r="AB180" s="17">
        <v>2299.27</v>
      </c>
      <c r="AC180" s="17">
        <v>39969249.33</v>
      </c>
      <c r="AD180" t="s">
        <v>84</v>
      </c>
      <c r="AE180" s="17">
        <v>105.03</v>
      </c>
      <c r="AF180" t="s">
        <v>84</v>
      </c>
      <c r="AG180" t="s">
        <v>84</v>
      </c>
      <c r="AH180" t="s">
        <v>84</v>
      </c>
      <c r="AI180" s="17">
        <v>46.48</v>
      </c>
      <c r="AJ180" s="17">
        <v>5.07</v>
      </c>
      <c r="AK180" t="s">
        <v>323</v>
      </c>
      <c r="AM180" s="17">
        <v>4.4</v>
      </c>
      <c r="AN180" s="17"/>
      <c r="AO180" s="17">
        <v>1980</v>
      </c>
      <c r="AP180" s="17"/>
      <c r="AQ180" s="17">
        <v>2760</v>
      </c>
      <c r="AR180" s="17"/>
      <c r="AS180" s="17">
        <v>3.98</v>
      </c>
      <c r="AT180" s="17"/>
      <c r="AU180" s="17">
        <v>2415</v>
      </c>
      <c r="AV180" s="17"/>
      <c r="AW180" s="17">
        <v>2756</v>
      </c>
      <c r="AX180" s="17"/>
      <c r="AY180" t="s">
        <v>92</v>
      </c>
      <c r="AZ180" t="s">
        <v>92</v>
      </c>
      <c r="BA180" t="s">
        <v>92</v>
      </c>
      <c r="BB180" t="s">
        <v>92</v>
      </c>
      <c r="BC180" t="s">
        <v>92</v>
      </c>
      <c r="BD180" t="s">
        <v>92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92</v>
      </c>
      <c r="BM180" t="s">
        <v>92</v>
      </c>
      <c r="BN180" t="s">
        <v>92</v>
      </c>
      <c r="BO180" t="s">
        <v>92</v>
      </c>
      <c r="BP180" t="s">
        <v>92</v>
      </c>
      <c r="BQ180" t="s">
        <v>92</v>
      </c>
      <c r="BR180" t="s">
        <v>92</v>
      </c>
      <c r="BS180" t="s">
        <v>92</v>
      </c>
      <c r="BT180" t="s">
        <v>92</v>
      </c>
      <c r="BU180" t="s">
        <v>92</v>
      </c>
      <c r="BV180" t="s">
        <v>92</v>
      </c>
      <c r="BW180" t="s">
        <v>92</v>
      </c>
      <c r="BX180" t="s">
        <v>92</v>
      </c>
      <c r="BY180" t="str">
        <f>IF(COUNTIF('Data Upload-prod'!E:E,F180)=0,"Missing","Exist")</f>
        <v>Exist</v>
      </c>
    </row>
    <row r="181" hidden="1" spans="1:77">
      <c r="A181" s="16">
        <v>45196</v>
      </c>
      <c r="B181" s="16">
        <v>45373</v>
      </c>
      <c r="C181" t="s">
        <v>132</v>
      </c>
      <c r="D181" t="s">
        <v>120</v>
      </c>
      <c r="E181" t="s">
        <v>501</v>
      </c>
      <c r="F181" t="s">
        <v>502</v>
      </c>
      <c r="G181" t="s">
        <v>145</v>
      </c>
      <c r="H181" t="s">
        <v>363</v>
      </c>
      <c r="I181" t="s">
        <v>124</v>
      </c>
      <c r="J181" s="17">
        <v>50</v>
      </c>
      <c r="K181" s="17">
        <v>2630</v>
      </c>
      <c r="L181" s="17">
        <v>2495</v>
      </c>
      <c r="M181" s="17">
        <v>51440000</v>
      </c>
      <c r="N181" s="17">
        <v>71490000</v>
      </c>
      <c r="O181" s="17">
        <v>107.56</v>
      </c>
      <c r="P181" s="17">
        <v>158.98</v>
      </c>
      <c r="Q181" t="s">
        <v>84</v>
      </c>
      <c r="R181" t="s">
        <v>84</v>
      </c>
      <c r="S181" t="s">
        <v>85</v>
      </c>
      <c r="T181" t="s">
        <v>84</v>
      </c>
      <c r="U181" t="s">
        <v>84</v>
      </c>
      <c r="V181" s="16">
        <v>45231</v>
      </c>
      <c r="W181" s="18">
        <v>45226.1666666667</v>
      </c>
      <c r="X181" s="18">
        <v>45324</v>
      </c>
      <c r="Y181" s="17">
        <v>3280.23</v>
      </c>
      <c r="Z181" t="s">
        <v>87</v>
      </c>
      <c r="AA181" s="17">
        <v>3280.23</v>
      </c>
      <c r="AB181" s="17">
        <v>2630</v>
      </c>
      <c r="AC181" t="s">
        <v>84</v>
      </c>
      <c r="AD181" s="17">
        <v>48118103.68</v>
      </c>
      <c r="AE181" t="s">
        <v>84</v>
      </c>
      <c r="AF181" s="17">
        <v>97.84</v>
      </c>
      <c r="AG181" t="s">
        <v>84</v>
      </c>
      <c r="AH181" t="s">
        <v>84</v>
      </c>
      <c r="AI181" s="17">
        <v>8.25</v>
      </c>
      <c r="AJ181" s="17">
        <v>3.42</v>
      </c>
      <c r="AK181" t="s">
        <v>323</v>
      </c>
      <c r="AM181" s="17">
        <v>4.4</v>
      </c>
      <c r="AN181" s="17"/>
      <c r="AO181" s="17">
        <v>1980</v>
      </c>
      <c r="AP181" s="17"/>
      <c r="AQ181" s="17">
        <v>2760</v>
      </c>
      <c r="AR181" s="17"/>
      <c r="AS181" s="17">
        <v>2.04</v>
      </c>
      <c r="AT181" s="17"/>
      <c r="AU181" s="17">
        <v>1378</v>
      </c>
      <c r="AV181" s="17"/>
      <c r="AW181" s="17">
        <v>3882</v>
      </c>
      <c r="AX181" s="17"/>
      <c r="AY181" t="s">
        <v>92</v>
      </c>
      <c r="AZ181" t="s">
        <v>92</v>
      </c>
      <c r="BA181" t="s">
        <v>92</v>
      </c>
      <c r="BB181" t="s">
        <v>92</v>
      </c>
      <c r="BC181" t="s">
        <v>92</v>
      </c>
      <c r="BD181" t="s">
        <v>92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92</v>
      </c>
      <c r="BM181" t="s">
        <v>92</v>
      </c>
      <c r="BN181" t="s">
        <v>92</v>
      </c>
      <c r="BO181" t="s">
        <v>92</v>
      </c>
      <c r="BP181" t="s">
        <v>92</v>
      </c>
      <c r="BQ181" t="s">
        <v>92</v>
      </c>
      <c r="BR181" t="s">
        <v>92</v>
      </c>
      <c r="BS181" t="s">
        <v>92</v>
      </c>
      <c r="BT181" t="s">
        <v>92</v>
      </c>
      <c r="BU181" t="s">
        <v>92</v>
      </c>
      <c r="BV181" t="s">
        <v>92</v>
      </c>
      <c r="BW181" t="s">
        <v>92</v>
      </c>
      <c r="BX181" t="s">
        <v>92</v>
      </c>
      <c r="BY181" t="str">
        <f>IF(COUNTIF('Data Upload-prod'!E:E,F181)=0,"Missing","Exist")</f>
        <v>Exist</v>
      </c>
    </row>
    <row r="182" hidden="1" spans="1:77">
      <c r="A182" s="16">
        <v>45191</v>
      </c>
      <c r="B182" s="16">
        <v>45316</v>
      </c>
      <c r="C182" t="s">
        <v>132</v>
      </c>
      <c r="D182" t="s">
        <v>78</v>
      </c>
      <c r="E182" t="s">
        <v>479</v>
      </c>
      <c r="F182" t="s">
        <v>503</v>
      </c>
      <c r="G182" t="s">
        <v>81</v>
      </c>
      <c r="H182" t="s">
        <v>202</v>
      </c>
      <c r="I182" t="s">
        <v>124</v>
      </c>
      <c r="J182" s="17">
        <v>69.8</v>
      </c>
      <c r="K182" s="17">
        <v>2865</v>
      </c>
      <c r="L182" s="17">
        <v>2166.87</v>
      </c>
      <c r="M182" t="s">
        <v>84</v>
      </c>
      <c r="N182" t="s">
        <v>84</v>
      </c>
      <c r="O182" t="s">
        <v>84</v>
      </c>
      <c r="P182" t="s">
        <v>84</v>
      </c>
      <c r="Q182" s="17">
        <v>19377438.93</v>
      </c>
      <c r="R182" s="17">
        <v>30.01</v>
      </c>
      <c r="S182" t="s">
        <v>85</v>
      </c>
      <c r="T182" t="s">
        <v>84</v>
      </c>
      <c r="U182" t="s">
        <v>86</v>
      </c>
      <c r="V182" s="16">
        <v>45207</v>
      </c>
      <c r="W182" s="18">
        <v>45207.3333333333</v>
      </c>
      <c r="X182" s="18">
        <v>45258</v>
      </c>
      <c r="Y182" s="17">
        <v>2750.7</v>
      </c>
      <c r="Z182" t="s">
        <v>87</v>
      </c>
      <c r="AA182" s="17">
        <v>2868.5</v>
      </c>
      <c r="AB182" s="17">
        <v>2169.06</v>
      </c>
      <c r="AC182" t="s">
        <v>84</v>
      </c>
      <c r="AD182" t="s">
        <v>84</v>
      </c>
      <c r="AE182" t="s">
        <v>84</v>
      </c>
      <c r="AF182" t="s">
        <v>84</v>
      </c>
      <c r="AG182" s="17">
        <v>21038518.89</v>
      </c>
      <c r="AH182" s="17">
        <v>37.68</v>
      </c>
      <c r="AI182" s="17">
        <v>10.34</v>
      </c>
      <c r="AJ182" s="17">
        <v>10.34</v>
      </c>
      <c r="AK182" t="s">
        <v>208</v>
      </c>
      <c r="AM182" s="17">
        <v>2.1</v>
      </c>
      <c r="AN182" s="17"/>
      <c r="AO182" s="17">
        <v>700</v>
      </c>
      <c r="AP182" s="17"/>
      <c r="AQ182" s="17">
        <v>1620</v>
      </c>
      <c r="AR182" s="17"/>
      <c r="AS182" s="17">
        <v>3.03</v>
      </c>
      <c r="AT182" s="17"/>
      <c r="AU182" s="17">
        <v>1701</v>
      </c>
      <c r="AV182" s="17"/>
      <c r="AW182" s="17">
        <v>2278</v>
      </c>
      <c r="AX182" s="17"/>
      <c r="AY182" t="s">
        <v>92</v>
      </c>
      <c r="AZ182" t="s">
        <v>92</v>
      </c>
      <c r="BA182" t="s">
        <v>92</v>
      </c>
      <c r="BB182" t="s">
        <v>92</v>
      </c>
      <c r="BC182" t="s">
        <v>92</v>
      </c>
      <c r="BD182" s="17">
        <v>9.54</v>
      </c>
      <c r="BE182" s="17">
        <v>4188139.08</v>
      </c>
      <c r="BF182" t="s">
        <v>92</v>
      </c>
      <c r="BG182" t="s">
        <v>92</v>
      </c>
      <c r="BH182" t="s">
        <v>93</v>
      </c>
      <c r="BI182" t="s">
        <v>94</v>
      </c>
      <c r="BJ182" t="s">
        <v>95</v>
      </c>
      <c r="BK182" t="s">
        <v>85</v>
      </c>
      <c r="BL182" t="s">
        <v>85</v>
      </c>
      <c r="BM182" t="s">
        <v>273</v>
      </c>
      <c r="BN182" t="s">
        <v>97</v>
      </c>
      <c r="BO182" t="s">
        <v>98</v>
      </c>
      <c r="BP182" t="s">
        <v>99</v>
      </c>
      <c r="BQ182" s="17">
        <v>2433.22241</v>
      </c>
      <c r="BR182" t="s">
        <v>138</v>
      </c>
      <c r="BS182" t="s">
        <v>156</v>
      </c>
      <c r="BT182" t="s">
        <v>175</v>
      </c>
      <c r="BU182" s="17">
        <v>9</v>
      </c>
      <c r="BV182" t="s">
        <v>191</v>
      </c>
      <c r="BW182" t="s">
        <v>85</v>
      </c>
      <c r="BX182" t="s">
        <v>85</v>
      </c>
      <c r="BY182" t="str">
        <f>IF(COUNTIF('Data Upload-prod'!E:E,F182)=0,"Missing","Exist")</f>
        <v>Exist</v>
      </c>
    </row>
    <row r="183" hidden="1" spans="1:77">
      <c r="A183" s="16">
        <v>45190</v>
      </c>
      <c r="B183" s="16">
        <v>45364</v>
      </c>
      <c r="C183" t="s">
        <v>504</v>
      </c>
      <c r="D183" t="s">
        <v>142</v>
      </c>
      <c r="E183" t="s">
        <v>209</v>
      </c>
      <c r="F183" t="s">
        <v>505</v>
      </c>
      <c r="G183" t="s">
        <v>145</v>
      </c>
      <c r="H183" t="s">
        <v>154</v>
      </c>
      <c r="I183" t="s">
        <v>124</v>
      </c>
      <c r="J183" s="17">
        <v>41.15</v>
      </c>
      <c r="K183" s="17">
        <v>3023.16</v>
      </c>
      <c r="L183" s="17">
        <v>2377.32</v>
      </c>
      <c r="M183" s="17">
        <v>21376483.31</v>
      </c>
      <c r="N183" s="17">
        <v>45605624.03</v>
      </c>
      <c r="O183" s="17">
        <v>66.2</v>
      </c>
      <c r="P183" s="17">
        <v>126.16</v>
      </c>
      <c r="Q183" t="s">
        <v>84</v>
      </c>
      <c r="R183" t="s">
        <v>84</v>
      </c>
      <c r="S183" t="s">
        <v>106</v>
      </c>
      <c r="T183" t="s">
        <v>84</v>
      </c>
      <c r="U183" t="s">
        <v>84</v>
      </c>
      <c r="V183" s="16">
        <v>45228</v>
      </c>
      <c r="W183" s="18">
        <v>45202.4583333333</v>
      </c>
      <c r="X183" s="18">
        <v>45310.75</v>
      </c>
      <c r="Y183" s="17">
        <v>2957.330082</v>
      </c>
      <c r="Z183" t="s">
        <v>87</v>
      </c>
      <c r="AA183" s="17">
        <v>3032.002438</v>
      </c>
      <c r="AB183" s="17">
        <v>2385.86</v>
      </c>
      <c r="AC183" t="s">
        <v>84</v>
      </c>
      <c r="AD183" s="17">
        <v>36500000</v>
      </c>
      <c r="AE183" t="s">
        <v>84</v>
      </c>
      <c r="AF183" s="17">
        <v>108.3</v>
      </c>
      <c r="AG183" t="s">
        <v>84</v>
      </c>
      <c r="AH183" t="s">
        <v>84</v>
      </c>
      <c r="AI183" s="17">
        <v>21.79</v>
      </c>
      <c r="AJ183" s="17">
        <v>1.02</v>
      </c>
      <c r="AK183" t="s">
        <v>300</v>
      </c>
      <c r="AM183" s="17">
        <v>2.6</v>
      </c>
      <c r="AN183" s="17"/>
      <c r="AO183" s="17">
        <v>1010</v>
      </c>
      <c r="AP183" s="17"/>
      <c r="AQ183" s="17">
        <v>2090</v>
      </c>
      <c r="AR183" s="17"/>
      <c r="AS183" s="17">
        <v>1.28</v>
      </c>
      <c r="AT183" s="17"/>
      <c r="AU183" s="17">
        <v>495.2</v>
      </c>
      <c r="AV183" s="17"/>
      <c r="AW183" s="17">
        <v>784.1</v>
      </c>
      <c r="AX183" s="17"/>
      <c r="AY183" t="s">
        <v>92</v>
      </c>
      <c r="AZ183" t="s">
        <v>92</v>
      </c>
      <c r="BA183" t="s">
        <v>92</v>
      </c>
      <c r="BB183" t="s">
        <v>92</v>
      </c>
      <c r="BC183" t="s">
        <v>92</v>
      </c>
      <c r="BD183" t="s">
        <v>92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92</v>
      </c>
      <c r="BM183" t="s">
        <v>92</v>
      </c>
      <c r="BN183" t="s">
        <v>92</v>
      </c>
      <c r="BO183" t="s">
        <v>92</v>
      </c>
      <c r="BP183" t="s">
        <v>92</v>
      </c>
      <c r="BQ183" t="s">
        <v>92</v>
      </c>
      <c r="BR183" t="s">
        <v>92</v>
      </c>
      <c r="BS183" t="s">
        <v>92</v>
      </c>
      <c r="BT183" t="s">
        <v>92</v>
      </c>
      <c r="BU183" t="s">
        <v>92</v>
      </c>
      <c r="BV183" t="s">
        <v>92</v>
      </c>
      <c r="BW183" t="s">
        <v>92</v>
      </c>
      <c r="BX183" t="s">
        <v>92</v>
      </c>
      <c r="BY183" t="str">
        <f>IF(COUNTIF('Data Upload-prod'!E:E,F183)=0,"Missing","Exist")</f>
        <v>Exist</v>
      </c>
    </row>
    <row r="184" hidden="1" spans="1:77">
      <c r="A184" s="16">
        <v>45187</v>
      </c>
      <c r="B184" s="16">
        <v>45337</v>
      </c>
      <c r="C184" t="s">
        <v>269</v>
      </c>
      <c r="D184" t="s">
        <v>78</v>
      </c>
      <c r="E184" t="s">
        <v>270</v>
      </c>
      <c r="F184" t="s">
        <v>506</v>
      </c>
      <c r="G184" t="s">
        <v>81</v>
      </c>
      <c r="H184" t="s">
        <v>168</v>
      </c>
      <c r="I184" t="s">
        <v>124</v>
      </c>
      <c r="J184" s="17">
        <v>63.61</v>
      </c>
      <c r="K184" s="17">
        <v>2886.01</v>
      </c>
      <c r="L184" s="17">
        <v>1738.19</v>
      </c>
      <c r="M184" t="s">
        <v>84</v>
      </c>
      <c r="N184" t="s">
        <v>84</v>
      </c>
      <c r="O184" t="s">
        <v>84</v>
      </c>
      <c r="P184" t="s">
        <v>84</v>
      </c>
      <c r="Q184" s="17">
        <v>6780000</v>
      </c>
      <c r="R184" s="17">
        <v>29.42</v>
      </c>
      <c r="S184" t="s">
        <v>85</v>
      </c>
      <c r="T184" t="s">
        <v>84</v>
      </c>
      <c r="U184" t="s">
        <v>86</v>
      </c>
      <c r="V184" s="16">
        <v>45217</v>
      </c>
      <c r="W184" s="18">
        <v>45216</v>
      </c>
      <c r="X184" s="18">
        <v>45240</v>
      </c>
      <c r="Y184" s="17">
        <v>2797.45</v>
      </c>
      <c r="Z184" t="s">
        <v>87</v>
      </c>
      <c r="AA184" s="17">
        <v>2903.83</v>
      </c>
      <c r="AB184" s="17">
        <v>1739.88</v>
      </c>
      <c r="AC184" t="s">
        <v>84</v>
      </c>
      <c r="AD184" t="s">
        <v>84</v>
      </c>
      <c r="AE184" t="s">
        <v>84</v>
      </c>
      <c r="AF184" t="s">
        <v>84</v>
      </c>
      <c r="AG184" s="17">
        <v>15765592.83</v>
      </c>
      <c r="AH184" s="17">
        <v>29.42</v>
      </c>
      <c r="AI184" s="17">
        <v>1.3</v>
      </c>
      <c r="AJ184" s="17">
        <v>0.9</v>
      </c>
      <c r="AK184" t="s">
        <v>165</v>
      </c>
      <c r="AM184" s="17">
        <v>3.2</v>
      </c>
      <c r="AN184" s="17"/>
      <c r="AO184" s="17">
        <v>1300</v>
      </c>
      <c r="AP184" s="17"/>
      <c r="AQ184" s="17">
        <v>1830</v>
      </c>
      <c r="AR184" s="17"/>
      <c r="AS184" s="17">
        <v>0.95</v>
      </c>
      <c r="AT184" s="17"/>
      <c r="AU184" s="17">
        <v>224</v>
      </c>
      <c r="AV184" s="17"/>
      <c r="AW184" s="17">
        <v>849</v>
      </c>
      <c r="AX184" s="17"/>
      <c r="AY184" t="s">
        <v>92</v>
      </c>
      <c r="AZ184" t="s">
        <v>92</v>
      </c>
      <c r="BA184" t="s">
        <v>92</v>
      </c>
      <c r="BB184" t="s">
        <v>92</v>
      </c>
      <c r="BC184" t="s">
        <v>92</v>
      </c>
      <c r="BD184" s="17">
        <v>8.15</v>
      </c>
      <c r="BE184" s="17">
        <v>3455341</v>
      </c>
      <c r="BF184" t="s">
        <v>92</v>
      </c>
      <c r="BG184" t="s">
        <v>92</v>
      </c>
      <c r="BH184" t="s">
        <v>93</v>
      </c>
      <c r="BI184" t="s">
        <v>94</v>
      </c>
      <c r="BJ184" t="s">
        <v>268</v>
      </c>
      <c r="BK184" t="s">
        <v>85</v>
      </c>
      <c r="BL184" t="s">
        <v>85</v>
      </c>
      <c r="BM184" t="s">
        <v>273</v>
      </c>
      <c r="BN184" t="s">
        <v>97</v>
      </c>
      <c r="BO184" t="s">
        <v>98</v>
      </c>
      <c r="BP184" t="s">
        <v>99</v>
      </c>
      <c r="BQ184" s="17">
        <v>190.08</v>
      </c>
      <c r="BR184" t="s">
        <v>138</v>
      </c>
      <c r="BS184" t="s">
        <v>92</v>
      </c>
      <c r="BT184" t="s">
        <v>99</v>
      </c>
      <c r="BU184" s="17">
        <v>9.4</v>
      </c>
      <c r="BV184" t="s">
        <v>110</v>
      </c>
      <c r="BW184" t="s">
        <v>85</v>
      </c>
      <c r="BX184" t="s">
        <v>85</v>
      </c>
      <c r="BY184" t="str">
        <f>IF(COUNTIF('Data Upload-prod'!E:E,F184)=0,"Missing","Exist")</f>
        <v>Exist</v>
      </c>
    </row>
    <row r="185" hidden="1" spans="1:77">
      <c r="A185" s="16">
        <v>45187</v>
      </c>
      <c r="B185" s="16">
        <v>45509</v>
      </c>
      <c r="C185" t="s">
        <v>269</v>
      </c>
      <c r="D185" t="s">
        <v>78</v>
      </c>
      <c r="E185" t="s">
        <v>270</v>
      </c>
      <c r="F185" t="s">
        <v>507</v>
      </c>
      <c r="G185" t="s">
        <v>81</v>
      </c>
      <c r="H185" t="s">
        <v>168</v>
      </c>
      <c r="I185" t="s">
        <v>124</v>
      </c>
      <c r="J185" s="17">
        <v>63.61</v>
      </c>
      <c r="K185" s="17">
        <v>4946.66</v>
      </c>
      <c r="L185" s="17">
        <v>1853.4</v>
      </c>
      <c r="M185" t="s">
        <v>84</v>
      </c>
      <c r="N185" t="s">
        <v>84</v>
      </c>
      <c r="O185" t="s">
        <v>84</v>
      </c>
      <c r="P185" t="s">
        <v>84</v>
      </c>
      <c r="Q185" s="17">
        <v>18530000</v>
      </c>
      <c r="R185" s="17">
        <v>44.5</v>
      </c>
      <c r="S185" t="s">
        <v>85</v>
      </c>
      <c r="T185" t="s">
        <v>84</v>
      </c>
      <c r="U185" t="s">
        <v>86</v>
      </c>
      <c r="V185" s="16">
        <v>45214</v>
      </c>
      <c r="W185" s="18">
        <v>45214</v>
      </c>
      <c r="X185" s="18">
        <v>45459</v>
      </c>
      <c r="Y185" s="17">
        <v>4684.22</v>
      </c>
      <c r="Z185" t="s">
        <v>87</v>
      </c>
      <c r="AA185" s="17">
        <v>4790.61</v>
      </c>
      <c r="AB185" s="17">
        <v>1844.41</v>
      </c>
      <c r="AC185" t="s">
        <v>84</v>
      </c>
      <c r="AD185" t="s">
        <v>84</v>
      </c>
      <c r="AE185" t="s">
        <v>84</v>
      </c>
      <c r="AF185" t="s">
        <v>84</v>
      </c>
      <c r="AG185" s="17">
        <v>16700000</v>
      </c>
      <c r="AH185" s="17">
        <v>36.5</v>
      </c>
      <c r="AI185" s="17">
        <v>6.1</v>
      </c>
      <c r="AJ185" s="17">
        <v>0.6</v>
      </c>
      <c r="AK185" t="s">
        <v>114</v>
      </c>
      <c r="AM185" s="17">
        <v>2.2</v>
      </c>
      <c r="AN185" s="17"/>
      <c r="AO185" s="17">
        <v>915</v>
      </c>
      <c r="AP185" s="17"/>
      <c r="AQ185" s="17">
        <v>1520</v>
      </c>
      <c r="AR185" s="17"/>
      <c r="AS185" s="17">
        <v>1.35</v>
      </c>
      <c r="AT185" s="17"/>
      <c r="AU185" s="17">
        <v>640</v>
      </c>
      <c r="AV185" s="17"/>
      <c r="AW185" s="17">
        <v>1103</v>
      </c>
      <c r="AX185" s="17"/>
      <c r="AY185" t="s">
        <v>92</v>
      </c>
      <c r="AZ185" t="s">
        <v>92</v>
      </c>
      <c r="BA185" t="s">
        <v>92</v>
      </c>
      <c r="BB185" t="s">
        <v>92</v>
      </c>
      <c r="BC185" t="s">
        <v>92</v>
      </c>
      <c r="BD185" s="17">
        <v>13.09</v>
      </c>
      <c r="BE185" s="17">
        <v>5112463</v>
      </c>
      <c r="BF185" s="17">
        <v>0.83</v>
      </c>
      <c r="BG185" s="17">
        <v>325</v>
      </c>
      <c r="BH185" t="s">
        <v>93</v>
      </c>
      <c r="BI185" t="s">
        <v>94</v>
      </c>
      <c r="BJ185" t="s">
        <v>173</v>
      </c>
      <c r="BK185" t="s">
        <v>85</v>
      </c>
      <c r="BL185" t="s">
        <v>85</v>
      </c>
      <c r="BM185" t="s">
        <v>273</v>
      </c>
      <c r="BN185" t="s">
        <v>97</v>
      </c>
      <c r="BO185" t="s">
        <v>98</v>
      </c>
      <c r="BP185" t="s">
        <v>99</v>
      </c>
      <c r="BQ185" s="17">
        <v>405</v>
      </c>
      <c r="BR185" t="s">
        <v>138</v>
      </c>
      <c r="BS185" t="s">
        <v>92</v>
      </c>
      <c r="BT185" t="s">
        <v>99</v>
      </c>
      <c r="BU185" s="17">
        <v>8.5</v>
      </c>
      <c r="BV185" t="s">
        <v>110</v>
      </c>
      <c r="BW185" t="s">
        <v>85</v>
      </c>
      <c r="BX185" t="s">
        <v>85</v>
      </c>
      <c r="BY185" t="str">
        <f>IF(COUNTIF('Data Upload-prod'!E:E,F185)=0,"Missing","Exist")</f>
        <v>Exist</v>
      </c>
    </row>
    <row r="186" hidden="1" spans="1:77">
      <c r="A186" s="16">
        <v>45187</v>
      </c>
      <c r="B186" s="16">
        <v>45516</v>
      </c>
      <c r="C186" t="s">
        <v>269</v>
      </c>
      <c r="D186" t="s">
        <v>78</v>
      </c>
      <c r="E186" t="s">
        <v>270</v>
      </c>
      <c r="F186" t="s">
        <v>508</v>
      </c>
      <c r="G186" t="s">
        <v>81</v>
      </c>
      <c r="H186" t="s">
        <v>168</v>
      </c>
      <c r="I186" t="s">
        <v>124</v>
      </c>
      <c r="J186" s="17">
        <v>63.61</v>
      </c>
      <c r="K186" s="17">
        <v>3113.38</v>
      </c>
      <c r="L186" s="17">
        <v>1850.66</v>
      </c>
      <c r="M186" t="s">
        <v>84</v>
      </c>
      <c r="N186" t="s">
        <v>84</v>
      </c>
      <c r="O186" t="s">
        <v>84</v>
      </c>
      <c r="P186" t="s">
        <v>84</v>
      </c>
      <c r="Q186" s="17">
        <v>16010000</v>
      </c>
      <c r="R186" s="17">
        <v>32</v>
      </c>
      <c r="S186" t="s">
        <v>85</v>
      </c>
      <c r="T186" t="s">
        <v>84</v>
      </c>
      <c r="U186" t="s">
        <v>86</v>
      </c>
      <c r="V186" s="16">
        <v>45219</v>
      </c>
      <c r="W186" s="18">
        <v>45219.3541666667</v>
      </c>
      <c r="X186" s="18">
        <v>45270.7916666667</v>
      </c>
      <c r="Y186" s="17">
        <v>3014</v>
      </c>
      <c r="Z186" t="s">
        <v>87</v>
      </c>
      <c r="AA186" s="17">
        <v>3120.39</v>
      </c>
      <c r="AB186" s="17">
        <v>1852.92</v>
      </c>
      <c r="AC186" t="s">
        <v>84</v>
      </c>
      <c r="AD186" t="s">
        <v>84</v>
      </c>
      <c r="AE186" t="s">
        <v>84</v>
      </c>
      <c r="AF186" t="s">
        <v>84</v>
      </c>
      <c r="AG186" s="17">
        <v>14620000</v>
      </c>
      <c r="AH186" s="17">
        <v>30.02</v>
      </c>
      <c r="AI186" s="17">
        <v>15.68</v>
      </c>
      <c r="AJ186" s="17">
        <v>0.9</v>
      </c>
      <c r="AK186" t="s">
        <v>165</v>
      </c>
      <c r="AM186" s="17">
        <v>3.2</v>
      </c>
      <c r="AN186" s="17"/>
      <c r="AO186" s="17">
        <v>1300</v>
      </c>
      <c r="AP186" s="17"/>
      <c r="AQ186" s="17">
        <v>1600</v>
      </c>
      <c r="AR186" s="17"/>
      <c r="AS186" s="17">
        <v>1.33</v>
      </c>
      <c r="AT186" s="17"/>
      <c r="AU186" s="17">
        <v>846</v>
      </c>
      <c r="AV186" s="17"/>
      <c r="AW186" s="17">
        <v>1478</v>
      </c>
      <c r="AX186" s="17"/>
      <c r="AY186" t="s">
        <v>92</v>
      </c>
      <c r="AZ186" t="s">
        <v>92</v>
      </c>
      <c r="BA186" t="s">
        <v>92</v>
      </c>
      <c r="BB186" t="s">
        <v>92</v>
      </c>
      <c r="BC186" t="s">
        <v>92</v>
      </c>
      <c r="BD186" s="17">
        <v>7.27</v>
      </c>
      <c r="BE186" s="17">
        <v>4125413</v>
      </c>
      <c r="BF186" t="s">
        <v>92</v>
      </c>
      <c r="BG186" t="s">
        <v>92</v>
      </c>
      <c r="BH186" t="s">
        <v>93</v>
      </c>
      <c r="BI186" t="s">
        <v>94</v>
      </c>
      <c r="BJ186" t="s">
        <v>173</v>
      </c>
      <c r="BK186" t="s">
        <v>85</v>
      </c>
      <c r="BL186" t="s">
        <v>85</v>
      </c>
      <c r="BM186" t="s">
        <v>273</v>
      </c>
      <c r="BN186" t="s">
        <v>97</v>
      </c>
      <c r="BO186" t="s">
        <v>98</v>
      </c>
      <c r="BP186" t="s">
        <v>99</v>
      </c>
      <c r="BQ186" s="17">
        <v>405</v>
      </c>
      <c r="BR186" t="s">
        <v>138</v>
      </c>
      <c r="BS186" t="s">
        <v>92</v>
      </c>
      <c r="BT186" t="s">
        <v>99</v>
      </c>
      <c r="BU186" s="17">
        <v>8.5</v>
      </c>
      <c r="BV186" t="s">
        <v>110</v>
      </c>
      <c r="BW186" t="s">
        <v>85</v>
      </c>
      <c r="BX186" t="s">
        <v>85</v>
      </c>
      <c r="BY186" t="str">
        <f>IF(COUNTIF('Data Upload-prod'!E:E,F186)=0,"Missing","Exist")</f>
        <v>Exist</v>
      </c>
    </row>
    <row r="187" hidden="1" spans="1:77">
      <c r="A187" s="16">
        <v>45183</v>
      </c>
      <c r="B187" s="16">
        <v>45356</v>
      </c>
      <c r="C187" t="s">
        <v>132</v>
      </c>
      <c r="D187" t="s">
        <v>120</v>
      </c>
      <c r="E187" t="s">
        <v>509</v>
      </c>
      <c r="F187" t="s">
        <v>510</v>
      </c>
      <c r="G187" t="s">
        <v>81</v>
      </c>
      <c r="H187" t="s">
        <v>247</v>
      </c>
      <c r="I187" t="s">
        <v>231</v>
      </c>
      <c r="J187" s="17">
        <v>78.02</v>
      </c>
      <c r="K187" s="17">
        <v>1114.97</v>
      </c>
      <c r="L187" s="17">
        <v>1049.68</v>
      </c>
      <c r="M187" t="s">
        <v>84</v>
      </c>
      <c r="N187" t="s">
        <v>84</v>
      </c>
      <c r="O187" t="s">
        <v>84</v>
      </c>
      <c r="P187" t="s">
        <v>84</v>
      </c>
      <c r="Q187" s="17">
        <v>21295217</v>
      </c>
      <c r="R187" s="17">
        <v>43.5</v>
      </c>
      <c r="S187" t="s">
        <v>85</v>
      </c>
      <c r="T187" t="s">
        <v>84</v>
      </c>
      <c r="U187" t="s">
        <v>86</v>
      </c>
      <c r="V187" s="16">
        <v>45206</v>
      </c>
      <c r="W187" s="18">
        <v>45206</v>
      </c>
      <c r="X187" s="18">
        <v>45297</v>
      </c>
      <c r="Y187" s="17">
        <v>1074.61</v>
      </c>
      <c r="Z187" t="s">
        <v>87</v>
      </c>
      <c r="AA187" s="17">
        <v>1117.65</v>
      </c>
      <c r="AB187" s="17">
        <v>1053.55</v>
      </c>
      <c r="AC187" t="s">
        <v>84</v>
      </c>
      <c r="AD187" t="s">
        <v>84</v>
      </c>
      <c r="AE187" t="s">
        <v>84</v>
      </c>
      <c r="AF187" t="s">
        <v>84</v>
      </c>
      <c r="AG187" s="17">
        <v>15412487</v>
      </c>
      <c r="AH187" s="17">
        <v>35.25</v>
      </c>
      <c r="AI187" s="17">
        <v>4.45</v>
      </c>
      <c r="AJ187" s="17">
        <v>3.51</v>
      </c>
      <c r="AK187" t="s">
        <v>165</v>
      </c>
      <c r="AM187" s="17">
        <v>2</v>
      </c>
      <c r="AN187" s="17"/>
      <c r="AO187" s="17">
        <v>725</v>
      </c>
      <c r="AP187" s="17"/>
      <c r="AQ187" s="17">
        <v>1380</v>
      </c>
      <c r="AR187" s="17"/>
      <c r="AS187" s="17">
        <v>4.86</v>
      </c>
      <c r="AT187" s="17"/>
      <c r="AU187" s="17">
        <v>1858</v>
      </c>
      <c r="AV187" s="17"/>
      <c r="AW187" s="17">
        <v>2845</v>
      </c>
      <c r="AX187" s="17"/>
      <c r="AY187" t="s">
        <v>92</v>
      </c>
      <c r="AZ187" t="s">
        <v>92</v>
      </c>
      <c r="BA187" t="s">
        <v>92</v>
      </c>
      <c r="BB187" t="s">
        <v>92</v>
      </c>
      <c r="BC187" t="s">
        <v>92</v>
      </c>
      <c r="BD187" s="17">
        <v>5.04</v>
      </c>
      <c r="BE187" s="17">
        <v>2823590</v>
      </c>
      <c r="BF187" s="17">
        <v>1.37</v>
      </c>
      <c r="BG187" s="17">
        <v>770</v>
      </c>
      <c r="BH187" t="s">
        <v>93</v>
      </c>
      <c r="BI187" t="s">
        <v>94</v>
      </c>
      <c r="BJ187" t="s">
        <v>128</v>
      </c>
      <c r="BK187" t="s">
        <v>85</v>
      </c>
      <c r="BL187" t="s">
        <v>85</v>
      </c>
      <c r="BM187" t="s">
        <v>159</v>
      </c>
      <c r="BN187" t="s">
        <v>97</v>
      </c>
      <c r="BO187" t="s">
        <v>98</v>
      </c>
      <c r="BP187" t="s">
        <v>99</v>
      </c>
      <c r="BQ187" s="17">
        <v>131</v>
      </c>
      <c r="BR187" t="s">
        <v>138</v>
      </c>
      <c r="BS187" t="s">
        <v>156</v>
      </c>
      <c r="BT187" t="s">
        <v>99</v>
      </c>
      <c r="BU187" s="17">
        <v>8.5</v>
      </c>
      <c r="BV187" t="s">
        <v>191</v>
      </c>
      <c r="BW187" t="s">
        <v>85</v>
      </c>
      <c r="BX187" t="s">
        <v>85</v>
      </c>
      <c r="BY187" t="str">
        <f>IF(COUNTIF('Data Upload-prod'!E:E,F187)=0,"Missing","Exist")</f>
        <v>Exist</v>
      </c>
    </row>
    <row r="188" hidden="1" spans="1:77">
      <c r="A188" s="16">
        <v>45183</v>
      </c>
      <c r="B188" s="16">
        <v>45334</v>
      </c>
      <c r="C188" t="s">
        <v>132</v>
      </c>
      <c r="D188" t="s">
        <v>120</v>
      </c>
      <c r="E188" t="s">
        <v>509</v>
      </c>
      <c r="F188" t="s">
        <v>511</v>
      </c>
      <c r="G188" t="s">
        <v>81</v>
      </c>
      <c r="H188" t="s">
        <v>247</v>
      </c>
      <c r="I188" t="s">
        <v>231</v>
      </c>
      <c r="J188" s="17">
        <v>76.5</v>
      </c>
      <c r="K188" s="17">
        <v>1247.49</v>
      </c>
      <c r="L188" s="17">
        <v>1164.89</v>
      </c>
      <c r="M188" t="s">
        <v>84</v>
      </c>
      <c r="N188" t="s">
        <v>84</v>
      </c>
      <c r="O188" t="s">
        <v>84</v>
      </c>
      <c r="P188" t="s">
        <v>84</v>
      </c>
      <c r="Q188" s="17">
        <v>24171151.23</v>
      </c>
      <c r="R188" s="17">
        <v>48.14</v>
      </c>
      <c r="S188" t="s">
        <v>85</v>
      </c>
      <c r="T188" t="s">
        <v>84</v>
      </c>
      <c r="U188" t="s">
        <v>86</v>
      </c>
      <c r="V188" s="16">
        <v>45206</v>
      </c>
      <c r="W188" s="18">
        <v>45205</v>
      </c>
      <c r="X188" s="18">
        <v>45275</v>
      </c>
      <c r="Y188" s="17">
        <v>1150.26</v>
      </c>
      <c r="Z188" t="s">
        <v>87</v>
      </c>
      <c r="AA188" s="17">
        <v>1259.68</v>
      </c>
      <c r="AB188" s="17">
        <v>1164.58</v>
      </c>
      <c r="AC188" t="s">
        <v>84</v>
      </c>
      <c r="AD188" t="s">
        <v>84</v>
      </c>
      <c r="AE188" t="s">
        <v>84</v>
      </c>
      <c r="AF188" t="s">
        <v>84</v>
      </c>
      <c r="AG188" s="17">
        <v>22224997.19</v>
      </c>
      <c r="AH188" s="17">
        <v>55.75</v>
      </c>
      <c r="AI188" s="17">
        <v>18.72</v>
      </c>
      <c r="AJ188" s="17">
        <v>18.68</v>
      </c>
      <c r="AK188" t="s">
        <v>165</v>
      </c>
      <c r="AM188" s="17">
        <v>2</v>
      </c>
      <c r="AN188" s="17"/>
      <c r="AO188" s="17">
        <v>725</v>
      </c>
      <c r="AP188" s="17"/>
      <c r="AQ188" s="17">
        <v>1295</v>
      </c>
      <c r="AR188" s="17"/>
      <c r="AS188" s="17">
        <v>11.58</v>
      </c>
      <c r="AT188" s="17"/>
      <c r="AU188" s="17">
        <v>4186</v>
      </c>
      <c r="AV188" s="17"/>
      <c r="AW188" s="17">
        <v>6013</v>
      </c>
      <c r="AX188" s="17"/>
      <c r="AY188" t="s">
        <v>92</v>
      </c>
      <c r="AZ188" t="s">
        <v>92</v>
      </c>
      <c r="BA188" t="s">
        <v>92</v>
      </c>
      <c r="BB188" t="s">
        <v>92</v>
      </c>
      <c r="BC188" t="s">
        <v>92</v>
      </c>
      <c r="BD188" s="17">
        <v>8</v>
      </c>
      <c r="BE188" s="17">
        <v>2798041</v>
      </c>
      <c r="BF188" t="s">
        <v>92</v>
      </c>
      <c r="BG188" t="s">
        <v>92</v>
      </c>
      <c r="BH188" t="s">
        <v>93</v>
      </c>
      <c r="BI188" t="s">
        <v>94</v>
      </c>
      <c r="BJ188" t="s">
        <v>128</v>
      </c>
      <c r="BK188" t="s">
        <v>85</v>
      </c>
      <c r="BL188" t="s">
        <v>85</v>
      </c>
      <c r="BM188" t="s">
        <v>273</v>
      </c>
      <c r="BN188" t="s">
        <v>97</v>
      </c>
      <c r="BO188" t="s">
        <v>98</v>
      </c>
      <c r="BP188" t="s">
        <v>99</v>
      </c>
      <c r="BQ188" s="17">
        <v>1053</v>
      </c>
      <c r="BR188" t="s">
        <v>138</v>
      </c>
      <c r="BS188" t="s">
        <v>156</v>
      </c>
      <c r="BT188" t="s">
        <v>99</v>
      </c>
      <c r="BU188" s="17">
        <v>8.5</v>
      </c>
      <c r="BV188" t="s">
        <v>191</v>
      </c>
      <c r="BW188" t="s">
        <v>85</v>
      </c>
      <c r="BX188" t="s">
        <v>85</v>
      </c>
      <c r="BY188" t="str">
        <f>IF(COUNTIF('Data Upload-prod'!E:E,F188)=0,"Missing","Exist")</f>
        <v>Exist</v>
      </c>
    </row>
    <row r="189" hidden="1" spans="1:77">
      <c r="A189" s="16">
        <v>45180</v>
      </c>
      <c r="B189" s="16">
        <v>45322</v>
      </c>
      <c r="C189" t="s">
        <v>132</v>
      </c>
      <c r="D189" t="s">
        <v>120</v>
      </c>
      <c r="E189" t="s">
        <v>512</v>
      </c>
      <c r="F189" t="s">
        <v>513</v>
      </c>
      <c r="G189" t="s">
        <v>145</v>
      </c>
      <c r="H189" t="s">
        <v>514</v>
      </c>
      <c r="I189" t="s">
        <v>124</v>
      </c>
      <c r="J189" s="17">
        <v>54</v>
      </c>
      <c r="K189" s="17">
        <v>2730</v>
      </c>
      <c r="L189" s="17">
        <v>2730</v>
      </c>
      <c r="M189" s="17">
        <v>34685148</v>
      </c>
      <c r="N189" s="17">
        <v>38536117</v>
      </c>
      <c r="O189" s="17">
        <v>79.7</v>
      </c>
      <c r="P189" s="17">
        <v>89.54</v>
      </c>
      <c r="Q189" t="s">
        <v>84</v>
      </c>
      <c r="R189" t="s">
        <v>84</v>
      </c>
      <c r="S189" t="s">
        <v>85</v>
      </c>
      <c r="T189" t="s">
        <v>84</v>
      </c>
      <c r="U189" t="s">
        <v>84</v>
      </c>
      <c r="V189" s="16">
        <v>45194</v>
      </c>
      <c r="W189" s="18">
        <v>45181.5</v>
      </c>
      <c r="X189" s="18">
        <v>45272</v>
      </c>
      <c r="Y189" s="17">
        <v>2681</v>
      </c>
      <c r="Z189" t="s">
        <v>87</v>
      </c>
      <c r="AA189" s="17">
        <v>2765</v>
      </c>
      <c r="AB189" s="17">
        <v>2764.87</v>
      </c>
      <c r="AC189" t="s">
        <v>84</v>
      </c>
      <c r="AD189" s="17">
        <v>36426033.19</v>
      </c>
      <c r="AE189" t="s">
        <v>84</v>
      </c>
      <c r="AF189" s="17">
        <v>91.5</v>
      </c>
      <c r="AG189" t="s">
        <v>84</v>
      </c>
      <c r="AH189" t="s">
        <v>84</v>
      </c>
      <c r="AI189" s="17">
        <v>4.11</v>
      </c>
      <c r="AJ189" s="17">
        <v>3.12</v>
      </c>
      <c r="AK189" t="s">
        <v>374</v>
      </c>
      <c r="AM189" s="17">
        <v>5</v>
      </c>
      <c r="AN189" s="17"/>
      <c r="AO189" s="17">
        <v>2360</v>
      </c>
      <c r="AP189" s="17"/>
      <c r="AQ189" s="17">
        <v>4280</v>
      </c>
      <c r="AR189" s="17"/>
      <c r="AS189" s="17">
        <v>3.66</v>
      </c>
      <c r="AT189" s="17"/>
      <c r="AU189" s="17">
        <v>1953</v>
      </c>
      <c r="AV189" s="17"/>
      <c r="AW189" s="17">
        <v>3685</v>
      </c>
      <c r="AX189" s="17"/>
      <c r="AY189" t="s">
        <v>92</v>
      </c>
      <c r="AZ189" t="s">
        <v>92</v>
      </c>
      <c r="BA189" t="s">
        <v>92</v>
      </c>
      <c r="BB189" t="s">
        <v>92</v>
      </c>
      <c r="BC189" t="s">
        <v>92</v>
      </c>
      <c r="BD189" t="s">
        <v>92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92</v>
      </c>
      <c r="BM189" t="s">
        <v>92</v>
      </c>
      <c r="BN189" t="s">
        <v>92</v>
      </c>
      <c r="BO189" t="s">
        <v>92</v>
      </c>
      <c r="BP189" t="s">
        <v>92</v>
      </c>
      <c r="BQ189" t="s">
        <v>92</v>
      </c>
      <c r="BR189" t="s">
        <v>92</v>
      </c>
      <c r="BS189" t="s">
        <v>92</v>
      </c>
      <c r="BT189" t="s">
        <v>92</v>
      </c>
      <c r="BU189" t="s">
        <v>92</v>
      </c>
      <c r="BV189" t="s">
        <v>92</v>
      </c>
      <c r="BW189" t="s">
        <v>92</v>
      </c>
      <c r="BX189" t="s">
        <v>92</v>
      </c>
      <c r="BY189" t="str">
        <f>IF(COUNTIF('Data Upload-prod'!E:E,F189)=0,"Missing","Exist")</f>
        <v>Exist</v>
      </c>
    </row>
    <row r="190" hidden="1" spans="1:77">
      <c r="A190" s="16">
        <v>45161</v>
      </c>
      <c r="B190" s="16">
        <v>45414</v>
      </c>
      <c r="C190" t="s">
        <v>360</v>
      </c>
      <c r="D190" t="s">
        <v>120</v>
      </c>
      <c r="E190" t="s">
        <v>515</v>
      </c>
      <c r="F190" t="s">
        <v>516</v>
      </c>
      <c r="G190" t="s">
        <v>145</v>
      </c>
      <c r="H190" t="s">
        <v>311</v>
      </c>
      <c r="I190" t="s">
        <v>124</v>
      </c>
      <c r="J190" s="17">
        <v>88.2</v>
      </c>
      <c r="K190" s="17">
        <v>4570</v>
      </c>
      <c r="L190" s="17">
        <v>4508</v>
      </c>
      <c r="M190" s="17">
        <v>74790000</v>
      </c>
      <c r="N190" s="17">
        <v>74790000</v>
      </c>
      <c r="O190" s="17">
        <v>131.5</v>
      </c>
      <c r="P190" s="17">
        <v>131.5</v>
      </c>
      <c r="Q190" t="s">
        <v>84</v>
      </c>
      <c r="R190" t="s">
        <v>84</v>
      </c>
      <c r="S190" t="s">
        <v>85</v>
      </c>
      <c r="T190" t="s">
        <v>84</v>
      </c>
      <c r="U190" t="s">
        <v>84</v>
      </c>
      <c r="V190" s="16">
        <v>45194</v>
      </c>
      <c r="W190" s="18">
        <v>45194.6041666667</v>
      </c>
      <c r="X190" s="18">
        <v>45325</v>
      </c>
      <c r="Y190" s="17">
        <v>4342.9</v>
      </c>
      <c r="Z190" t="s">
        <v>87</v>
      </c>
      <c r="AA190" s="17">
        <v>4468.3</v>
      </c>
      <c r="AB190" s="17">
        <v>4417.07</v>
      </c>
      <c r="AC190" t="s">
        <v>84</v>
      </c>
      <c r="AD190" s="17">
        <v>73400000</v>
      </c>
      <c r="AE190" t="s">
        <v>84</v>
      </c>
      <c r="AF190" s="17">
        <v>140.4</v>
      </c>
      <c r="AG190" t="s">
        <v>84</v>
      </c>
      <c r="AH190" t="s">
        <v>84</v>
      </c>
      <c r="AI190" s="17">
        <v>15.57</v>
      </c>
      <c r="AJ190" s="17">
        <v>7.94</v>
      </c>
      <c r="AK190" t="s">
        <v>374</v>
      </c>
      <c r="AM190" s="17">
        <v>5</v>
      </c>
      <c r="AN190" s="17"/>
      <c r="AO190" s="17">
        <v>2360</v>
      </c>
      <c r="AP190" s="17"/>
      <c r="AQ190" s="17">
        <v>4280</v>
      </c>
      <c r="AR190" s="17"/>
      <c r="AS190" s="17">
        <v>4.19</v>
      </c>
      <c r="AT190" s="17"/>
      <c r="AU190" s="17">
        <v>1820</v>
      </c>
      <c r="AV190" s="17"/>
      <c r="AW190" s="17">
        <v>4184</v>
      </c>
      <c r="AX190" s="17"/>
      <c r="AY190" t="s">
        <v>92</v>
      </c>
      <c r="AZ190" t="s">
        <v>92</v>
      </c>
      <c r="BA190" t="s">
        <v>92</v>
      </c>
      <c r="BB190" t="s">
        <v>92</v>
      </c>
      <c r="BC190" t="s">
        <v>92</v>
      </c>
      <c r="BD190" t="s">
        <v>92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92</v>
      </c>
      <c r="BM190" t="s">
        <v>92</v>
      </c>
      <c r="BN190" t="s">
        <v>92</v>
      </c>
      <c r="BO190" t="s">
        <v>92</v>
      </c>
      <c r="BP190" t="s">
        <v>92</v>
      </c>
      <c r="BQ190" t="s">
        <v>92</v>
      </c>
      <c r="BR190" t="s">
        <v>92</v>
      </c>
      <c r="BS190" t="s">
        <v>92</v>
      </c>
      <c r="BT190" t="s">
        <v>92</v>
      </c>
      <c r="BU190" t="s">
        <v>92</v>
      </c>
      <c r="BV190" t="s">
        <v>92</v>
      </c>
      <c r="BW190" t="s">
        <v>92</v>
      </c>
      <c r="BX190" t="s">
        <v>92</v>
      </c>
      <c r="BY190" t="str">
        <f>IF(COUNTIF('Data Upload-prod'!E:E,F190)=0,"Missing","Exist")</f>
        <v>Exist</v>
      </c>
    </row>
    <row r="191" hidden="1" spans="1:77">
      <c r="A191" s="16">
        <v>45149</v>
      </c>
      <c r="B191" s="16">
        <v>45245</v>
      </c>
      <c r="C191" t="s">
        <v>346</v>
      </c>
      <c r="D191" t="s">
        <v>142</v>
      </c>
      <c r="E191" t="s">
        <v>166</v>
      </c>
      <c r="F191" t="s">
        <v>517</v>
      </c>
      <c r="G191" t="s">
        <v>81</v>
      </c>
      <c r="H191" t="s">
        <v>154</v>
      </c>
      <c r="I191" t="s">
        <v>124</v>
      </c>
      <c r="J191" s="17">
        <v>54.04</v>
      </c>
      <c r="K191" s="17">
        <v>4703.44</v>
      </c>
      <c r="L191" s="17">
        <v>2390.73</v>
      </c>
      <c r="M191" t="s">
        <v>84</v>
      </c>
      <c r="N191" t="s">
        <v>84</v>
      </c>
      <c r="O191" t="s">
        <v>84</v>
      </c>
      <c r="P191" t="s">
        <v>84</v>
      </c>
      <c r="Q191" s="17">
        <v>14330000</v>
      </c>
      <c r="R191" s="17">
        <v>39.2</v>
      </c>
      <c r="S191" t="s">
        <v>85</v>
      </c>
      <c r="T191" t="s">
        <v>84</v>
      </c>
      <c r="U191" t="s">
        <v>86</v>
      </c>
      <c r="V191" s="16">
        <v>45166</v>
      </c>
      <c r="W191" s="18">
        <v>45162</v>
      </c>
      <c r="X191" s="18">
        <v>45194.5</v>
      </c>
      <c r="Y191" s="17">
        <v>4473.19</v>
      </c>
      <c r="Z191" t="s">
        <v>87</v>
      </c>
      <c r="AA191" s="17">
        <v>4570.25</v>
      </c>
      <c r="AB191" s="17">
        <v>2390.12</v>
      </c>
      <c r="AC191" t="s">
        <v>84</v>
      </c>
      <c r="AD191" t="s">
        <v>84</v>
      </c>
      <c r="AE191" t="s">
        <v>84</v>
      </c>
      <c r="AF191" t="s">
        <v>84</v>
      </c>
      <c r="AG191" s="17">
        <v>13950000</v>
      </c>
      <c r="AH191" s="17">
        <v>32.5</v>
      </c>
      <c r="AI191" s="17">
        <v>13.01</v>
      </c>
      <c r="AJ191" s="17">
        <v>13.01</v>
      </c>
      <c r="AK191" t="s">
        <v>89</v>
      </c>
      <c r="AM191" s="17">
        <v>2.4</v>
      </c>
      <c r="AN191" s="17"/>
      <c r="AO191" s="17">
        <v>795</v>
      </c>
      <c r="AP191" s="17"/>
      <c r="AQ191" s="17">
        <v>1400</v>
      </c>
      <c r="AR191" s="17"/>
      <c r="AS191" s="17">
        <v>2.01</v>
      </c>
      <c r="AT191" s="17"/>
      <c r="AU191" s="17">
        <v>786</v>
      </c>
      <c r="AV191" s="17"/>
      <c r="AW191" s="17">
        <v>1371</v>
      </c>
      <c r="AX191" s="17"/>
      <c r="AY191" t="s">
        <v>92</v>
      </c>
      <c r="AZ191" t="s">
        <v>92</v>
      </c>
      <c r="BA191" t="s">
        <v>92</v>
      </c>
      <c r="BB191" t="s">
        <v>92</v>
      </c>
      <c r="BC191" t="s">
        <v>92</v>
      </c>
      <c r="BD191" s="17">
        <v>6.6</v>
      </c>
      <c r="BE191" s="17">
        <v>4873375</v>
      </c>
      <c r="BF191" t="s">
        <v>92</v>
      </c>
      <c r="BG191" t="s">
        <v>92</v>
      </c>
      <c r="BH191" t="s">
        <v>93</v>
      </c>
      <c r="BI191" t="s">
        <v>94</v>
      </c>
      <c r="BJ191" t="s">
        <v>128</v>
      </c>
      <c r="BK191" t="s">
        <v>85</v>
      </c>
      <c r="BL191" t="s">
        <v>85</v>
      </c>
      <c r="BM191" t="s">
        <v>96</v>
      </c>
      <c r="BN191" t="s">
        <v>97</v>
      </c>
      <c r="BO191" t="s">
        <v>98</v>
      </c>
      <c r="BP191" t="s">
        <v>99</v>
      </c>
      <c r="BQ191" s="17">
        <v>3889</v>
      </c>
      <c r="BR191" t="s">
        <v>138</v>
      </c>
      <c r="BS191" t="s">
        <v>338</v>
      </c>
      <c r="BT191" t="s">
        <v>99</v>
      </c>
      <c r="BU191" s="17">
        <v>8.9</v>
      </c>
      <c r="BV191" t="s">
        <v>110</v>
      </c>
      <c r="BW191" t="s">
        <v>85</v>
      </c>
      <c r="BX191" t="s">
        <v>85</v>
      </c>
      <c r="BY191" t="str">
        <f>IF(COUNTIF('Data Upload-prod'!E:E,F191)=0,"Missing","Exist")</f>
        <v>Exist</v>
      </c>
    </row>
    <row r="192" hidden="1" spans="1:77">
      <c r="A192" s="16">
        <v>45127</v>
      </c>
      <c r="B192" s="16">
        <v>45293</v>
      </c>
      <c r="C192" t="s">
        <v>132</v>
      </c>
      <c r="D192" t="s">
        <v>120</v>
      </c>
      <c r="E192" t="s">
        <v>384</v>
      </c>
      <c r="F192" t="s">
        <v>518</v>
      </c>
      <c r="G192" t="s">
        <v>145</v>
      </c>
      <c r="H192" t="s">
        <v>363</v>
      </c>
      <c r="I192" t="s">
        <v>124</v>
      </c>
      <c r="J192" s="17">
        <v>49.5</v>
      </c>
      <c r="K192" s="17">
        <v>3600</v>
      </c>
      <c r="L192" s="17">
        <v>3151</v>
      </c>
      <c r="M192" s="17">
        <v>24980000</v>
      </c>
      <c r="N192" s="17">
        <v>28550000</v>
      </c>
      <c r="O192" s="17">
        <v>68.9</v>
      </c>
      <c r="P192" s="17">
        <v>82.7</v>
      </c>
      <c r="Q192" t="s">
        <v>84</v>
      </c>
      <c r="R192" t="s">
        <v>84</v>
      </c>
      <c r="S192" t="s">
        <v>106</v>
      </c>
      <c r="T192" t="s">
        <v>84</v>
      </c>
      <c r="U192" t="s">
        <v>84</v>
      </c>
      <c r="V192" s="16">
        <v>45141</v>
      </c>
      <c r="W192" s="18">
        <v>45131</v>
      </c>
      <c r="X192" s="18">
        <v>45226</v>
      </c>
      <c r="Y192" s="17">
        <v>3437.5</v>
      </c>
      <c r="Z192" t="s">
        <v>87</v>
      </c>
      <c r="AA192" s="17">
        <v>3517</v>
      </c>
      <c r="AB192" s="17">
        <v>3083.13</v>
      </c>
      <c r="AC192" t="s">
        <v>84</v>
      </c>
      <c r="AD192" s="17">
        <v>30513670</v>
      </c>
      <c r="AE192" t="s">
        <v>84</v>
      </c>
      <c r="AF192" s="17">
        <v>94.46</v>
      </c>
      <c r="AG192" t="s">
        <v>84</v>
      </c>
      <c r="AH192" t="s">
        <v>84</v>
      </c>
      <c r="AI192" s="17">
        <v>20.1</v>
      </c>
      <c r="AJ192" s="17">
        <v>20</v>
      </c>
      <c r="AK192" t="s">
        <v>295</v>
      </c>
      <c r="AM192" s="17">
        <v>2.7</v>
      </c>
      <c r="AN192" s="17"/>
      <c r="AO192" s="17">
        <v>1490</v>
      </c>
      <c r="AP192" s="17"/>
      <c r="AQ192" s="17">
        <v>2760</v>
      </c>
      <c r="AR192" s="17"/>
      <c r="AS192" s="17">
        <v>2.49</v>
      </c>
      <c r="AT192" s="17"/>
      <c r="AU192" s="17">
        <v>956</v>
      </c>
      <c r="AV192" s="17"/>
      <c r="AW192" s="17">
        <v>2030.59</v>
      </c>
      <c r="AX192" s="17"/>
      <c r="AY192" t="s">
        <v>92</v>
      </c>
      <c r="AZ192" t="s">
        <v>92</v>
      </c>
      <c r="BA192" t="s">
        <v>92</v>
      </c>
      <c r="BB192" t="s">
        <v>92</v>
      </c>
      <c r="BC192" t="s">
        <v>92</v>
      </c>
      <c r="BD192" t="s">
        <v>92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92</v>
      </c>
      <c r="BM192" t="s">
        <v>92</v>
      </c>
      <c r="BN192" t="s">
        <v>92</v>
      </c>
      <c r="BO192" t="s">
        <v>92</v>
      </c>
      <c r="BP192" t="s">
        <v>92</v>
      </c>
      <c r="BQ192" t="s">
        <v>92</v>
      </c>
      <c r="BR192" t="s">
        <v>92</v>
      </c>
      <c r="BS192" t="s">
        <v>92</v>
      </c>
      <c r="BT192" t="s">
        <v>92</v>
      </c>
      <c r="BU192" t="s">
        <v>92</v>
      </c>
      <c r="BV192" t="s">
        <v>92</v>
      </c>
      <c r="BW192" t="s">
        <v>92</v>
      </c>
      <c r="BX192" t="s">
        <v>92</v>
      </c>
      <c r="BY192" t="str">
        <f>IF(COUNTIF('Data Upload-prod'!E:E,F192)=0,"Missing","Exist")</f>
        <v>Exist</v>
      </c>
    </row>
    <row r="193" hidden="1" spans="1:77">
      <c r="A193" s="16">
        <v>45111</v>
      </c>
      <c r="B193" s="16">
        <v>45407</v>
      </c>
      <c r="C193" t="s">
        <v>360</v>
      </c>
      <c r="D193" t="s">
        <v>120</v>
      </c>
      <c r="E193" t="s">
        <v>519</v>
      </c>
      <c r="F193" t="s">
        <v>520</v>
      </c>
      <c r="G193" t="s">
        <v>145</v>
      </c>
      <c r="H193" t="s">
        <v>311</v>
      </c>
      <c r="I193" t="s">
        <v>124</v>
      </c>
      <c r="J193" s="17">
        <v>44.7</v>
      </c>
      <c r="K193" s="17">
        <v>2308</v>
      </c>
      <c r="L193" s="17">
        <v>2036</v>
      </c>
      <c r="M193" s="17">
        <v>21380000</v>
      </c>
      <c r="N193" s="17">
        <v>28710000</v>
      </c>
      <c r="O193" s="17">
        <v>45.48</v>
      </c>
      <c r="P193" s="17">
        <v>59.94</v>
      </c>
      <c r="Q193" t="s">
        <v>84</v>
      </c>
      <c r="R193" t="s">
        <v>84</v>
      </c>
      <c r="S193" t="s">
        <v>85</v>
      </c>
      <c r="T193" t="s">
        <v>84</v>
      </c>
      <c r="U193" t="s">
        <v>84</v>
      </c>
      <c r="V193" s="16">
        <v>45139</v>
      </c>
      <c r="W193" s="18">
        <v>45132.84375</v>
      </c>
      <c r="X193" s="18">
        <v>45185.6145833333</v>
      </c>
      <c r="Y193" s="17">
        <v>2452</v>
      </c>
      <c r="Z193" t="s">
        <v>87</v>
      </c>
      <c r="AA193" s="17">
        <v>2533</v>
      </c>
      <c r="AB193" s="17">
        <v>2201.84</v>
      </c>
      <c r="AC193" t="s">
        <v>84</v>
      </c>
      <c r="AD193" s="17">
        <v>23800000</v>
      </c>
      <c r="AE193" t="s">
        <v>84</v>
      </c>
      <c r="AF193" s="17">
        <v>52.77</v>
      </c>
      <c r="AG193" t="s">
        <v>84</v>
      </c>
      <c r="AH193" t="s">
        <v>84</v>
      </c>
      <c r="AI193" s="17">
        <v>7.67</v>
      </c>
      <c r="AJ193" s="17">
        <v>7.67</v>
      </c>
      <c r="AK193" t="s">
        <v>333</v>
      </c>
      <c r="AM193" s="17">
        <v>3.8</v>
      </c>
      <c r="AN193" s="17"/>
      <c r="AO193" s="17">
        <v>2125</v>
      </c>
      <c r="AP193" s="17"/>
      <c r="AQ193" s="17">
        <v>3315</v>
      </c>
      <c r="AR193" s="17"/>
      <c r="AS193" s="13" t="s">
        <v>150</v>
      </c>
      <c r="AT193" s="13"/>
      <c r="AU193" s="13" t="s">
        <v>150</v>
      </c>
      <c r="AW193" s="13" t="s">
        <v>150</v>
      </c>
      <c r="AY193" t="s">
        <v>92</v>
      </c>
      <c r="AZ193" t="s">
        <v>92</v>
      </c>
      <c r="BA193" t="s">
        <v>92</v>
      </c>
      <c r="BB193" t="s">
        <v>92</v>
      </c>
      <c r="BC193" t="s">
        <v>92</v>
      </c>
      <c r="BD193" t="s">
        <v>92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92</v>
      </c>
      <c r="BM193" t="s">
        <v>92</v>
      </c>
      <c r="BN193" t="s">
        <v>92</v>
      </c>
      <c r="BO193" t="s">
        <v>92</v>
      </c>
      <c r="BP193" t="s">
        <v>92</v>
      </c>
      <c r="BQ193" t="s">
        <v>92</v>
      </c>
      <c r="BR193" t="s">
        <v>92</v>
      </c>
      <c r="BS193" t="s">
        <v>92</v>
      </c>
      <c r="BT193" t="s">
        <v>92</v>
      </c>
      <c r="BU193" t="s">
        <v>92</v>
      </c>
      <c r="BV193" t="s">
        <v>92</v>
      </c>
      <c r="BW193" t="s">
        <v>92</v>
      </c>
      <c r="BX193" t="s">
        <v>92</v>
      </c>
      <c r="BY193" t="str">
        <f>IF(COUNTIF('Data Upload-prod'!E:E,F193)=0,"Missing","Exist")</f>
        <v>Exist</v>
      </c>
    </row>
    <row r="194" hidden="1" spans="1:77">
      <c r="A194" s="16">
        <v>45105</v>
      </c>
      <c r="B194" s="16">
        <v>45200</v>
      </c>
      <c r="C194" t="s">
        <v>132</v>
      </c>
      <c r="D194" t="s">
        <v>78</v>
      </c>
      <c r="E194" t="s">
        <v>422</v>
      </c>
      <c r="F194" t="s">
        <v>521</v>
      </c>
      <c r="G194" t="s">
        <v>81</v>
      </c>
      <c r="H194" t="s">
        <v>514</v>
      </c>
      <c r="I194" t="s">
        <v>124</v>
      </c>
      <c r="J194" s="17">
        <v>68.5</v>
      </c>
      <c r="K194" s="17">
        <v>3151</v>
      </c>
      <c r="L194" s="17">
        <v>1555</v>
      </c>
      <c r="M194" t="s">
        <v>84</v>
      </c>
      <c r="N194" t="s">
        <v>84</v>
      </c>
      <c r="O194" t="s">
        <v>84</v>
      </c>
      <c r="P194" t="s">
        <v>84</v>
      </c>
      <c r="Q194" s="17">
        <v>19157862.73</v>
      </c>
      <c r="R194" s="17">
        <v>31.73</v>
      </c>
      <c r="S194" t="s">
        <v>85</v>
      </c>
      <c r="T194" t="s">
        <v>84</v>
      </c>
      <c r="U194" t="s">
        <v>86</v>
      </c>
      <c r="V194" s="16">
        <v>45113</v>
      </c>
      <c r="W194" s="18">
        <v>45111.5</v>
      </c>
      <c r="X194" s="18">
        <v>45141.75</v>
      </c>
      <c r="Y194" s="17">
        <v>2952.2</v>
      </c>
      <c r="Z194" t="s">
        <v>87</v>
      </c>
      <c r="AA194" s="17">
        <v>3065</v>
      </c>
      <c r="AB194" s="17">
        <v>1524.15</v>
      </c>
      <c r="AC194" t="s">
        <v>84</v>
      </c>
      <c r="AD194" t="s">
        <v>84</v>
      </c>
      <c r="AE194" t="s">
        <v>84</v>
      </c>
      <c r="AF194" t="s">
        <v>84</v>
      </c>
      <c r="AG194" s="17">
        <v>14020566.52</v>
      </c>
      <c r="AH194" s="17">
        <v>28.56</v>
      </c>
      <c r="AI194" s="17">
        <v>0</v>
      </c>
      <c r="AJ194" s="17">
        <v>0</v>
      </c>
      <c r="AK194" t="s">
        <v>208</v>
      </c>
      <c r="AM194" s="17">
        <v>2.1</v>
      </c>
      <c r="AN194" s="17"/>
      <c r="AO194" s="17">
        <v>700</v>
      </c>
      <c r="AP194" s="17"/>
      <c r="AQ194" s="17">
        <v>1220</v>
      </c>
      <c r="AR194" s="17"/>
      <c r="AS194" s="17">
        <v>1.7</v>
      </c>
      <c r="AT194" s="17"/>
      <c r="AU194" s="17">
        <v>846</v>
      </c>
      <c r="AV194" s="17"/>
      <c r="AW194" s="17">
        <v>1389</v>
      </c>
      <c r="AX194" s="17"/>
      <c r="AY194" t="s">
        <v>92</v>
      </c>
      <c r="AZ194" t="s">
        <v>92</v>
      </c>
      <c r="BA194" t="s">
        <v>92</v>
      </c>
      <c r="BB194" t="s">
        <v>92</v>
      </c>
      <c r="BC194" t="s">
        <v>92</v>
      </c>
      <c r="BD194" s="17">
        <v>7.76</v>
      </c>
      <c r="BE194" s="17">
        <v>4535375.52</v>
      </c>
      <c r="BF194" t="s">
        <v>92</v>
      </c>
      <c r="BG194" t="s">
        <v>92</v>
      </c>
      <c r="BH194" t="s">
        <v>93</v>
      </c>
      <c r="BI194" t="s">
        <v>94</v>
      </c>
      <c r="BJ194" t="s">
        <v>173</v>
      </c>
      <c r="BK194" t="s">
        <v>85</v>
      </c>
      <c r="BL194" t="s">
        <v>85</v>
      </c>
      <c r="BM194" t="s">
        <v>96</v>
      </c>
      <c r="BN194" t="s">
        <v>97</v>
      </c>
      <c r="BO194" t="s">
        <v>98</v>
      </c>
      <c r="BP194" t="s">
        <v>103</v>
      </c>
      <c r="BQ194" s="17">
        <v>180.455</v>
      </c>
      <c r="BR194" t="s">
        <v>100</v>
      </c>
      <c r="BS194" t="s">
        <v>156</v>
      </c>
      <c r="BT194" t="s">
        <v>175</v>
      </c>
      <c r="BU194" s="17">
        <v>8.8</v>
      </c>
      <c r="BV194" t="s">
        <v>191</v>
      </c>
      <c r="BW194" t="s">
        <v>85</v>
      </c>
      <c r="BX194" t="s">
        <v>85</v>
      </c>
      <c r="BY194" t="str">
        <f>IF(COUNTIF('Data Upload-prod'!E:E,F194)=0,"Missing","Exist")</f>
        <v>Exist</v>
      </c>
    </row>
    <row r="195" hidden="1" spans="1:77">
      <c r="A195" s="16">
        <v>45100</v>
      </c>
      <c r="B195" s="16">
        <v>45219</v>
      </c>
      <c r="C195" t="s">
        <v>346</v>
      </c>
      <c r="D195" t="s">
        <v>142</v>
      </c>
      <c r="E195" t="s">
        <v>166</v>
      </c>
      <c r="F195" t="s">
        <v>522</v>
      </c>
      <c r="G195" t="s">
        <v>81</v>
      </c>
      <c r="H195" t="s">
        <v>154</v>
      </c>
      <c r="I195" t="s">
        <v>124</v>
      </c>
      <c r="J195" s="17">
        <v>54.25</v>
      </c>
      <c r="K195" s="17">
        <v>4190.8</v>
      </c>
      <c r="L195" s="17">
        <v>2402.62</v>
      </c>
      <c r="M195" t="s">
        <v>84</v>
      </c>
      <c r="N195" t="s">
        <v>84</v>
      </c>
      <c r="O195" t="s">
        <v>84</v>
      </c>
      <c r="P195" t="s">
        <v>84</v>
      </c>
      <c r="Q195" s="17">
        <v>14010000</v>
      </c>
      <c r="R195" s="17">
        <v>30.9</v>
      </c>
      <c r="S195" t="s">
        <v>85</v>
      </c>
      <c r="T195" t="s">
        <v>84</v>
      </c>
      <c r="U195" t="s">
        <v>86</v>
      </c>
      <c r="V195" s="16">
        <v>45131.3854166667</v>
      </c>
      <c r="W195" s="18">
        <v>45127.5</v>
      </c>
      <c r="X195" s="18">
        <v>45162</v>
      </c>
      <c r="Y195" s="17">
        <v>4009.63</v>
      </c>
      <c r="Z195" t="s">
        <v>87</v>
      </c>
      <c r="AA195" s="17">
        <v>4106.67</v>
      </c>
      <c r="AB195" s="17">
        <v>2411.46</v>
      </c>
      <c r="AC195" t="s">
        <v>84</v>
      </c>
      <c r="AD195" t="s">
        <v>84</v>
      </c>
      <c r="AE195" t="s">
        <v>84</v>
      </c>
      <c r="AF195" t="s">
        <v>84</v>
      </c>
      <c r="AG195" s="17">
        <v>14090000</v>
      </c>
      <c r="AH195" s="17">
        <v>34.5</v>
      </c>
      <c r="AI195" s="17">
        <v>9.03</v>
      </c>
      <c r="AJ195" s="17">
        <v>9.03</v>
      </c>
      <c r="AK195" t="s">
        <v>208</v>
      </c>
      <c r="AM195" s="17">
        <v>1.7</v>
      </c>
      <c r="AN195" s="17"/>
      <c r="AO195" s="17">
        <v>720</v>
      </c>
      <c r="AP195" s="17"/>
      <c r="AQ195" s="17">
        <v>1270</v>
      </c>
      <c r="AR195" s="17"/>
      <c r="AS195" s="17">
        <v>1.57</v>
      </c>
      <c r="AT195" s="17"/>
      <c r="AU195" s="17">
        <v>641.4</v>
      </c>
      <c r="AV195" s="17"/>
      <c r="AW195" s="17">
        <v>1070.75</v>
      </c>
      <c r="AX195" s="17"/>
      <c r="AY195" t="s">
        <v>92</v>
      </c>
      <c r="AZ195" t="s">
        <v>92</v>
      </c>
      <c r="BA195" t="s">
        <v>92</v>
      </c>
      <c r="BB195" t="s">
        <v>92</v>
      </c>
      <c r="BC195" t="s">
        <v>92</v>
      </c>
      <c r="BD195" s="17">
        <v>10.1</v>
      </c>
      <c r="BE195" s="17">
        <v>5784792.42</v>
      </c>
      <c r="BF195" t="s">
        <v>92</v>
      </c>
      <c r="BG195" t="s">
        <v>92</v>
      </c>
      <c r="BH195" t="s">
        <v>93</v>
      </c>
      <c r="BI195" t="s">
        <v>94</v>
      </c>
      <c r="BJ195" t="s">
        <v>128</v>
      </c>
      <c r="BK195" t="s">
        <v>85</v>
      </c>
      <c r="BL195" t="s">
        <v>85</v>
      </c>
      <c r="BM195" t="s">
        <v>96</v>
      </c>
      <c r="BN195" t="s">
        <v>97</v>
      </c>
      <c r="BO195" t="s">
        <v>98</v>
      </c>
      <c r="BP195" t="s">
        <v>99</v>
      </c>
      <c r="BQ195" s="17">
        <v>2342</v>
      </c>
      <c r="BR195" t="s">
        <v>138</v>
      </c>
      <c r="BS195" t="s">
        <v>338</v>
      </c>
      <c r="BT195" t="s">
        <v>99</v>
      </c>
      <c r="BU195" s="17">
        <v>8.9</v>
      </c>
      <c r="BV195" t="s">
        <v>110</v>
      </c>
      <c r="BW195" t="s">
        <v>85</v>
      </c>
      <c r="BX195" t="s">
        <v>85</v>
      </c>
      <c r="BY195" t="str">
        <f>IF(COUNTIF('Data Upload-prod'!E:E,F195)=0,"Missing","Exist")</f>
        <v>Exist</v>
      </c>
    </row>
    <row r="196" hidden="1" spans="1:77">
      <c r="A196" s="16">
        <v>45089</v>
      </c>
      <c r="B196" s="16">
        <v>45336</v>
      </c>
      <c r="C196" t="s">
        <v>218</v>
      </c>
      <c r="D196" t="s">
        <v>120</v>
      </c>
      <c r="E196" t="s">
        <v>523</v>
      </c>
      <c r="F196" t="s">
        <v>524</v>
      </c>
      <c r="G196" t="s">
        <v>81</v>
      </c>
      <c r="H196" t="s">
        <v>289</v>
      </c>
      <c r="I196" t="s">
        <v>124</v>
      </c>
      <c r="J196" s="17">
        <v>87.2</v>
      </c>
      <c r="K196" s="17">
        <v>2095</v>
      </c>
      <c r="L196" s="17">
        <v>1915</v>
      </c>
      <c r="M196" t="s">
        <v>84</v>
      </c>
      <c r="N196" t="s">
        <v>84</v>
      </c>
      <c r="O196" t="s">
        <v>84</v>
      </c>
      <c r="P196" t="s">
        <v>84</v>
      </c>
      <c r="Q196" s="17">
        <v>19028093</v>
      </c>
      <c r="R196" s="17">
        <v>28.12</v>
      </c>
      <c r="S196" t="s">
        <v>85</v>
      </c>
      <c r="T196" t="s">
        <v>84</v>
      </c>
      <c r="U196" t="s">
        <v>86</v>
      </c>
      <c r="V196" s="16">
        <v>45123</v>
      </c>
      <c r="W196" s="18">
        <v>45123.625</v>
      </c>
      <c r="X196" s="18">
        <v>45264.75</v>
      </c>
      <c r="Y196" s="17">
        <v>2023.75</v>
      </c>
      <c r="Z196" t="s">
        <v>87</v>
      </c>
      <c r="AA196" s="17">
        <v>2160</v>
      </c>
      <c r="AB196" s="17">
        <v>1981.35</v>
      </c>
      <c r="AC196" t="s">
        <v>84</v>
      </c>
      <c r="AD196" t="s">
        <v>84</v>
      </c>
      <c r="AE196" t="s">
        <v>84</v>
      </c>
      <c r="AF196" t="s">
        <v>84</v>
      </c>
      <c r="AG196" s="17">
        <v>16461048.85</v>
      </c>
      <c r="AH196" s="17">
        <v>23.63</v>
      </c>
      <c r="AI196" s="17">
        <v>3.97</v>
      </c>
      <c r="AJ196" s="17">
        <v>3.79</v>
      </c>
      <c r="AK196" t="s">
        <v>126</v>
      </c>
      <c r="AM196" s="17">
        <v>2.5</v>
      </c>
      <c r="AN196" s="17"/>
      <c r="AO196" s="17">
        <v>1010</v>
      </c>
      <c r="AP196" s="17"/>
      <c r="AQ196" s="17">
        <v>1705</v>
      </c>
      <c r="AR196" s="17"/>
      <c r="AS196" s="17">
        <v>2.34</v>
      </c>
      <c r="AT196" s="17"/>
      <c r="AU196" s="17">
        <v>1080</v>
      </c>
      <c r="AV196" s="17"/>
      <c r="AW196" s="17">
        <v>2458</v>
      </c>
      <c r="AX196" s="17"/>
      <c r="AY196" t="s">
        <v>92</v>
      </c>
      <c r="AZ196" t="s">
        <v>92</v>
      </c>
      <c r="BA196" t="s">
        <v>92</v>
      </c>
      <c r="BB196" t="s">
        <v>92</v>
      </c>
      <c r="BC196" t="s">
        <v>92</v>
      </c>
      <c r="BD196" t="s">
        <v>92</v>
      </c>
      <c r="BE196" t="s">
        <v>92</v>
      </c>
      <c r="BF196" t="s">
        <v>92</v>
      </c>
      <c r="BG196" t="s">
        <v>92</v>
      </c>
      <c r="BH196" t="s">
        <v>127</v>
      </c>
      <c r="BI196" t="s">
        <v>94</v>
      </c>
      <c r="BJ196" t="s">
        <v>109</v>
      </c>
      <c r="BK196" t="s">
        <v>85</v>
      </c>
      <c r="BL196" t="s">
        <v>85</v>
      </c>
      <c r="BM196" t="s">
        <v>137</v>
      </c>
      <c r="BN196" t="s">
        <v>97</v>
      </c>
      <c r="BO196" t="s">
        <v>98</v>
      </c>
      <c r="BP196" t="s">
        <v>139</v>
      </c>
      <c r="BQ196" s="17">
        <v>1100</v>
      </c>
      <c r="BR196" t="s">
        <v>138</v>
      </c>
      <c r="BS196" t="s">
        <v>156</v>
      </c>
      <c r="BT196" t="s">
        <v>139</v>
      </c>
      <c r="BU196" s="17">
        <v>8.6</v>
      </c>
      <c r="BV196" t="s">
        <v>131</v>
      </c>
      <c r="BW196" t="s">
        <v>85</v>
      </c>
      <c r="BX196" t="s">
        <v>85</v>
      </c>
      <c r="BY196" t="str">
        <f>IF(COUNTIF('Data Upload-prod'!E:E,F196)=0,"Missing","Exist")</f>
        <v>Exist</v>
      </c>
    </row>
    <row r="197" hidden="1" spans="1:77">
      <c r="A197" s="16">
        <v>45089</v>
      </c>
      <c r="B197" s="16">
        <v>45302</v>
      </c>
      <c r="C197" t="s">
        <v>218</v>
      </c>
      <c r="D197" t="s">
        <v>120</v>
      </c>
      <c r="E197" t="s">
        <v>523</v>
      </c>
      <c r="F197" t="s">
        <v>525</v>
      </c>
      <c r="G197" t="s">
        <v>81</v>
      </c>
      <c r="H197" t="s">
        <v>289</v>
      </c>
      <c r="I197" t="s">
        <v>124</v>
      </c>
      <c r="J197" s="17">
        <v>87.2</v>
      </c>
      <c r="K197" s="17">
        <v>2265</v>
      </c>
      <c r="L197" s="17">
        <v>2117</v>
      </c>
      <c r="M197" t="s">
        <v>84</v>
      </c>
      <c r="N197" t="s">
        <v>84</v>
      </c>
      <c r="O197" t="s">
        <v>84</v>
      </c>
      <c r="P197" t="s">
        <v>84</v>
      </c>
      <c r="Q197" s="17">
        <v>26800426</v>
      </c>
      <c r="R197" s="17">
        <v>38.88</v>
      </c>
      <c r="S197" t="s">
        <v>85</v>
      </c>
      <c r="T197" t="s">
        <v>84</v>
      </c>
      <c r="U197" t="s">
        <v>86</v>
      </c>
      <c r="V197" s="16">
        <v>45123</v>
      </c>
      <c r="W197" s="18">
        <v>45123</v>
      </c>
      <c r="X197" s="18">
        <v>45229</v>
      </c>
      <c r="Y197" s="17">
        <v>2025.4</v>
      </c>
      <c r="Z197" t="s">
        <v>87</v>
      </c>
      <c r="AA197" s="17">
        <v>2308</v>
      </c>
      <c r="AB197" s="17">
        <v>2161.65</v>
      </c>
      <c r="AC197" t="s">
        <v>84</v>
      </c>
      <c r="AD197" t="s">
        <v>84</v>
      </c>
      <c r="AE197" t="s">
        <v>84</v>
      </c>
      <c r="AF197" t="s">
        <v>84</v>
      </c>
      <c r="AG197" s="17">
        <v>21805124.26</v>
      </c>
      <c r="AH197" s="17">
        <v>35.75</v>
      </c>
      <c r="AI197" s="17">
        <v>3.93</v>
      </c>
      <c r="AJ197" s="17">
        <v>3.93</v>
      </c>
      <c r="AK197" t="s">
        <v>126</v>
      </c>
      <c r="AM197" s="17">
        <v>2.5</v>
      </c>
      <c r="AN197" s="17"/>
      <c r="AO197" s="17">
        <v>1010</v>
      </c>
      <c r="AP197" s="17"/>
      <c r="AQ197" s="17">
        <v>1705</v>
      </c>
      <c r="AR197" s="17"/>
      <c r="AS197" s="17">
        <v>2.97</v>
      </c>
      <c r="AT197" s="17"/>
      <c r="AU197" s="17">
        <v>1639.7</v>
      </c>
      <c r="AV197" s="17"/>
      <c r="AW197" s="17">
        <v>2814.4</v>
      </c>
      <c r="AX197" s="17"/>
      <c r="AY197" t="s">
        <v>92</v>
      </c>
      <c r="AZ197" t="s">
        <v>92</v>
      </c>
      <c r="BA197" t="s">
        <v>92</v>
      </c>
      <c r="BB197" t="s">
        <v>92</v>
      </c>
      <c r="BC197" t="s">
        <v>92</v>
      </c>
      <c r="BD197" t="s">
        <v>92</v>
      </c>
      <c r="BE197" t="s">
        <v>92</v>
      </c>
      <c r="BF197" t="s">
        <v>92</v>
      </c>
      <c r="BG197" t="s">
        <v>92</v>
      </c>
      <c r="BH197" t="s">
        <v>127</v>
      </c>
      <c r="BI197" t="s">
        <v>94</v>
      </c>
      <c r="BJ197" t="s">
        <v>109</v>
      </c>
      <c r="BK197" t="s">
        <v>85</v>
      </c>
      <c r="BL197" t="s">
        <v>85</v>
      </c>
      <c r="BM197" t="s">
        <v>137</v>
      </c>
      <c r="BN197" t="s">
        <v>97</v>
      </c>
      <c r="BO197" t="s">
        <v>98</v>
      </c>
      <c r="BP197" t="s">
        <v>139</v>
      </c>
      <c r="BQ197" s="17">
        <v>1745</v>
      </c>
      <c r="BR197" t="s">
        <v>138</v>
      </c>
      <c r="BS197" t="s">
        <v>156</v>
      </c>
      <c r="BT197" t="s">
        <v>139</v>
      </c>
      <c r="BU197" s="17">
        <v>8.6</v>
      </c>
      <c r="BV197" t="s">
        <v>131</v>
      </c>
      <c r="BW197" t="s">
        <v>85</v>
      </c>
      <c r="BX197" t="s">
        <v>85</v>
      </c>
      <c r="BY197" t="str">
        <f>IF(COUNTIF('Data Upload-prod'!E:E,F197)=0,"Missing","Exist")</f>
        <v>Exist</v>
      </c>
    </row>
    <row r="198" hidden="1" spans="1:77">
      <c r="A198" s="16">
        <v>45089</v>
      </c>
      <c r="B198" s="16">
        <v>45287</v>
      </c>
      <c r="C198" t="s">
        <v>218</v>
      </c>
      <c r="D198" t="s">
        <v>120</v>
      </c>
      <c r="E198" t="s">
        <v>523</v>
      </c>
      <c r="F198" t="s">
        <v>526</v>
      </c>
      <c r="G198" t="s">
        <v>81</v>
      </c>
      <c r="H198" t="s">
        <v>289</v>
      </c>
      <c r="I198" t="s">
        <v>124</v>
      </c>
      <c r="J198" s="17">
        <v>87.2</v>
      </c>
      <c r="K198" s="17">
        <v>2154</v>
      </c>
      <c r="L198" s="17">
        <v>2007</v>
      </c>
      <c r="M198" t="s">
        <v>84</v>
      </c>
      <c r="N198" t="s">
        <v>84</v>
      </c>
      <c r="O198" t="s">
        <v>84</v>
      </c>
      <c r="P198" t="s">
        <v>84</v>
      </c>
      <c r="Q198" s="17">
        <v>19230219</v>
      </c>
      <c r="R198" s="17">
        <v>28.33</v>
      </c>
      <c r="S198" t="s">
        <v>85</v>
      </c>
      <c r="T198" t="s">
        <v>84</v>
      </c>
      <c r="U198" t="s">
        <v>86</v>
      </c>
      <c r="V198" s="16">
        <v>45126</v>
      </c>
      <c r="W198" s="18">
        <v>45126</v>
      </c>
      <c r="X198" s="18">
        <v>45245</v>
      </c>
      <c r="Y198" s="17">
        <v>1904.62</v>
      </c>
      <c r="Z198" t="s">
        <v>87</v>
      </c>
      <c r="AA198" s="17">
        <v>2186</v>
      </c>
      <c r="AB198" s="17">
        <v>2040.87</v>
      </c>
      <c r="AC198" t="s">
        <v>84</v>
      </c>
      <c r="AD198" t="s">
        <v>84</v>
      </c>
      <c r="AE198" t="s">
        <v>84</v>
      </c>
      <c r="AF198" t="s">
        <v>84</v>
      </c>
      <c r="AG198" s="17">
        <v>13980658.64</v>
      </c>
      <c r="AH198" s="17">
        <v>20.26</v>
      </c>
      <c r="AI198" s="17">
        <v>5.96</v>
      </c>
      <c r="AJ198" s="17">
        <v>5.55</v>
      </c>
      <c r="AK198" t="s">
        <v>126</v>
      </c>
      <c r="AM198" s="17">
        <v>2.5</v>
      </c>
      <c r="AN198" s="17"/>
      <c r="AO198" s="17">
        <v>1010</v>
      </c>
      <c r="AP198" s="17"/>
      <c r="AQ198" s="17">
        <v>1705</v>
      </c>
      <c r="AR198" s="17"/>
      <c r="AS198" s="17">
        <v>2.03</v>
      </c>
      <c r="AT198" s="17"/>
      <c r="AU198" s="17">
        <v>1446</v>
      </c>
      <c r="AV198" s="17"/>
      <c r="AW198" s="17">
        <v>2548</v>
      </c>
      <c r="AX198" s="17"/>
      <c r="AY198" t="s">
        <v>92</v>
      </c>
      <c r="AZ198" t="s">
        <v>92</v>
      </c>
      <c r="BA198" t="s">
        <v>92</v>
      </c>
      <c r="BB198" t="s">
        <v>92</v>
      </c>
      <c r="BC198" t="s">
        <v>92</v>
      </c>
      <c r="BD198" t="s">
        <v>92</v>
      </c>
      <c r="BE198" t="s">
        <v>92</v>
      </c>
      <c r="BF198" t="s">
        <v>92</v>
      </c>
      <c r="BG198" t="s">
        <v>92</v>
      </c>
      <c r="BH198" t="s">
        <v>127</v>
      </c>
      <c r="BI198" t="s">
        <v>94</v>
      </c>
      <c r="BJ198" t="s">
        <v>109</v>
      </c>
      <c r="BK198" t="s">
        <v>85</v>
      </c>
      <c r="BL198" t="s">
        <v>85</v>
      </c>
      <c r="BM198" t="s">
        <v>137</v>
      </c>
      <c r="BN198" t="s">
        <v>97</v>
      </c>
      <c r="BO198" t="s">
        <v>98</v>
      </c>
      <c r="BP198" t="s">
        <v>139</v>
      </c>
      <c r="BQ198" s="17">
        <v>1276</v>
      </c>
      <c r="BR198" t="s">
        <v>138</v>
      </c>
      <c r="BS198" t="s">
        <v>156</v>
      </c>
      <c r="BT198" t="s">
        <v>139</v>
      </c>
      <c r="BU198" s="17">
        <v>8.6</v>
      </c>
      <c r="BV198" t="s">
        <v>131</v>
      </c>
      <c r="BW198" t="s">
        <v>85</v>
      </c>
      <c r="BX198" t="s">
        <v>85</v>
      </c>
      <c r="BY198" t="str">
        <f>IF(COUNTIF('Data Upload-prod'!E:E,F198)=0,"Missing","Exist")</f>
        <v>Exist</v>
      </c>
    </row>
    <row r="199" hidden="1" spans="1:77">
      <c r="A199" s="16">
        <v>45089</v>
      </c>
      <c r="B199" s="16">
        <v>45302</v>
      </c>
      <c r="C199" t="s">
        <v>218</v>
      </c>
      <c r="D199" t="s">
        <v>120</v>
      </c>
      <c r="E199" t="s">
        <v>523</v>
      </c>
      <c r="F199" t="s">
        <v>527</v>
      </c>
      <c r="G199" t="s">
        <v>81</v>
      </c>
      <c r="H199" t="s">
        <v>289</v>
      </c>
      <c r="I199" t="s">
        <v>124</v>
      </c>
      <c r="J199" s="17">
        <v>87.2</v>
      </c>
      <c r="K199" s="17">
        <v>1995</v>
      </c>
      <c r="L199" s="17">
        <v>1828</v>
      </c>
      <c r="M199" t="s">
        <v>84</v>
      </c>
      <c r="N199" t="s">
        <v>84</v>
      </c>
      <c r="O199" t="s">
        <v>84</v>
      </c>
      <c r="P199" t="s">
        <v>84</v>
      </c>
      <c r="Q199" s="17">
        <v>18740394</v>
      </c>
      <c r="R199" s="17">
        <v>27.66</v>
      </c>
      <c r="S199" t="s">
        <v>85</v>
      </c>
      <c r="T199" t="s">
        <v>84</v>
      </c>
      <c r="U199" t="s">
        <v>86</v>
      </c>
      <c r="V199" s="16">
        <v>45126</v>
      </c>
      <c r="W199" s="18">
        <v>45126</v>
      </c>
      <c r="X199" s="18">
        <v>45198.5</v>
      </c>
      <c r="Y199" s="17">
        <v>1884.75</v>
      </c>
      <c r="Z199" t="s">
        <v>87</v>
      </c>
      <c r="AA199" s="17">
        <v>2021</v>
      </c>
      <c r="AB199" s="17">
        <v>1851.22</v>
      </c>
      <c r="AC199" t="s">
        <v>84</v>
      </c>
      <c r="AD199" t="s">
        <v>84</v>
      </c>
      <c r="AE199" t="s">
        <v>84</v>
      </c>
      <c r="AF199" t="s">
        <v>84</v>
      </c>
      <c r="AG199" s="17">
        <v>17916016</v>
      </c>
      <c r="AH199" s="17">
        <v>28.13</v>
      </c>
      <c r="AI199" s="17">
        <v>6.11</v>
      </c>
      <c r="AJ199" s="17">
        <v>6.11</v>
      </c>
      <c r="AK199" t="s">
        <v>126</v>
      </c>
      <c r="AM199" s="17">
        <v>2.5</v>
      </c>
      <c r="AN199" s="17"/>
      <c r="AO199" s="17">
        <v>1010</v>
      </c>
      <c r="AP199" s="17"/>
      <c r="AQ199" s="17">
        <v>1705</v>
      </c>
      <c r="AR199" s="17"/>
      <c r="AS199" s="17">
        <v>2.58</v>
      </c>
      <c r="AT199" s="17"/>
      <c r="AU199" s="17">
        <v>1409</v>
      </c>
      <c r="AV199" s="17"/>
      <c r="AW199" s="17">
        <v>2663</v>
      </c>
      <c r="AX199" s="17"/>
      <c r="AY199" t="s">
        <v>92</v>
      </c>
      <c r="AZ199" t="s">
        <v>92</v>
      </c>
      <c r="BA199" t="s">
        <v>92</v>
      </c>
      <c r="BB199" t="s">
        <v>92</v>
      </c>
      <c r="BC199" t="s">
        <v>92</v>
      </c>
      <c r="BD199" t="s">
        <v>92</v>
      </c>
      <c r="BE199" t="s">
        <v>92</v>
      </c>
      <c r="BF199" t="s">
        <v>92</v>
      </c>
      <c r="BG199" t="s">
        <v>92</v>
      </c>
      <c r="BH199" t="s">
        <v>127</v>
      </c>
      <c r="BI199" t="s">
        <v>94</v>
      </c>
      <c r="BJ199" t="s">
        <v>109</v>
      </c>
      <c r="BK199" t="s">
        <v>85</v>
      </c>
      <c r="BL199" t="s">
        <v>85</v>
      </c>
      <c r="BM199" t="s">
        <v>137</v>
      </c>
      <c r="BN199" t="s">
        <v>97</v>
      </c>
      <c r="BO199" t="s">
        <v>98</v>
      </c>
      <c r="BP199" t="s">
        <v>139</v>
      </c>
      <c r="BQ199" s="17">
        <v>948</v>
      </c>
      <c r="BR199" t="s">
        <v>138</v>
      </c>
      <c r="BS199" t="s">
        <v>156</v>
      </c>
      <c r="BT199" t="s">
        <v>139</v>
      </c>
      <c r="BU199" s="17">
        <v>8.6</v>
      </c>
      <c r="BV199" t="s">
        <v>131</v>
      </c>
      <c r="BW199" t="s">
        <v>85</v>
      </c>
      <c r="BX199" t="s">
        <v>85</v>
      </c>
      <c r="BY199" t="str">
        <f>IF(COUNTIF('Data Upload-prod'!E:E,F199)=0,"Missing","Exist")</f>
        <v>Exist</v>
      </c>
    </row>
    <row r="200" hidden="1" spans="1:77">
      <c r="A200" s="16">
        <v>45089</v>
      </c>
      <c r="B200" t="s">
        <v>84</v>
      </c>
      <c r="C200" t="s">
        <v>218</v>
      </c>
      <c r="D200" t="s">
        <v>120</v>
      </c>
      <c r="E200" t="s">
        <v>523</v>
      </c>
      <c r="F200" t="s">
        <v>528</v>
      </c>
      <c r="G200" t="s">
        <v>81</v>
      </c>
      <c r="H200" t="s">
        <v>289</v>
      </c>
      <c r="I200" t="s">
        <v>124</v>
      </c>
      <c r="J200" s="17">
        <v>87.2</v>
      </c>
      <c r="K200" s="17">
        <v>2267</v>
      </c>
      <c r="L200" s="17">
        <v>2069</v>
      </c>
      <c r="M200" t="s">
        <v>84</v>
      </c>
      <c r="N200" t="s">
        <v>84</v>
      </c>
      <c r="O200" t="s">
        <v>84</v>
      </c>
      <c r="P200" t="s">
        <v>84</v>
      </c>
      <c r="Q200" s="17">
        <v>19352890</v>
      </c>
      <c r="R200" s="17">
        <v>35.06</v>
      </c>
      <c r="S200" t="s">
        <v>85</v>
      </c>
      <c r="T200" t="s">
        <v>84</v>
      </c>
      <c r="U200" t="s">
        <v>86</v>
      </c>
      <c r="V200" s="16">
        <v>45122</v>
      </c>
      <c r="W200" s="18">
        <v>45122</v>
      </c>
      <c r="X200" s="18">
        <v>45295</v>
      </c>
      <c r="Y200" s="17">
        <v>2089.75</v>
      </c>
      <c r="Z200" t="s">
        <v>87</v>
      </c>
      <c r="AA200" s="17">
        <v>2226</v>
      </c>
      <c r="AB200" s="17">
        <v>1997.74</v>
      </c>
      <c r="AC200" t="s">
        <v>84</v>
      </c>
      <c r="AD200" t="s">
        <v>84</v>
      </c>
      <c r="AE200" t="s">
        <v>84</v>
      </c>
      <c r="AF200" t="s">
        <v>84</v>
      </c>
      <c r="AG200" s="17">
        <v>19692697</v>
      </c>
      <c r="AH200" s="17">
        <v>35</v>
      </c>
      <c r="AI200" s="17">
        <v>9.91</v>
      </c>
      <c r="AJ200" s="17">
        <v>0</v>
      </c>
      <c r="AK200" t="s">
        <v>126</v>
      </c>
      <c r="AM200" s="17">
        <v>2.5</v>
      </c>
      <c r="AN200" s="17"/>
      <c r="AO200" s="17">
        <v>1010</v>
      </c>
      <c r="AP200" s="17"/>
      <c r="AQ200" s="17">
        <v>1705</v>
      </c>
      <c r="AR200" s="17"/>
      <c r="AS200" s="17">
        <v>2.6</v>
      </c>
      <c r="AT200" s="17"/>
      <c r="AU200" s="17">
        <v>1521</v>
      </c>
      <c r="AV200" s="17"/>
      <c r="AW200" s="17">
        <v>2517</v>
      </c>
      <c r="AX200" s="17"/>
      <c r="AY200" t="s">
        <v>92</v>
      </c>
      <c r="AZ200" t="s">
        <v>92</v>
      </c>
      <c r="BA200" t="s">
        <v>92</v>
      </c>
      <c r="BB200" t="s">
        <v>92</v>
      </c>
      <c r="BC200" t="s">
        <v>92</v>
      </c>
      <c r="BD200" s="17">
        <v>10.4</v>
      </c>
      <c r="BE200" s="17">
        <v>8895670</v>
      </c>
      <c r="BF200" s="17">
        <v>1.42</v>
      </c>
      <c r="BG200" s="17">
        <v>1218</v>
      </c>
      <c r="BH200" t="s">
        <v>127</v>
      </c>
      <c r="BI200" t="s">
        <v>94</v>
      </c>
      <c r="BJ200" t="s">
        <v>109</v>
      </c>
      <c r="BK200" t="s">
        <v>85</v>
      </c>
      <c r="BL200" t="s">
        <v>85</v>
      </c>
      <c r="BM200" t="s">
        <v>137</v>
      </c>
      <c r="BN200" t="s">
        <v>97</v>
      </c>
      <c r="BO200" t="s">
        <v>98</v>
      </c>
      <c r="BP200" t="s">
        <v>139</v>
      </c>
      <c r="BQ200" s="17">
        <v>735</v>
      </c>
      <c r="BR200" t="s">
        <v>138</v>
      </c>
      <c r="BS200" t="s">
        <v>156</v>
      </c>
      <c r="BT200" t="s">
        <v>139</v>
      </c>
      <c r="BU200" s="17">
        <v>8.6</v>
      </c>
      <c r="BV200" t="s">
        <v>131</v>
      </c>
      <c r="BW200" t="s">
        <v>85</v>
      </c>
      <c r="BX200" t="s">
        <v>85</v>
      </c>
      <c r="BY200" t="str">
        <f>IF(COUNTIF('Data Upload-prod'!E:E,F200)=0,"Missing","Exist")</f>
        <v>Exist</v>
      </c>
    </row>
    <row r="201" hidden="1" spans="1:77">
      <c r="A201" s="16">
        <v>45071</v>
      </c>
      <c r="B201" t="s">
        <v>84</v>
      </c>
      <c r="C201" t="s">
        <v>132</v>
      </c>
      <c r="D201" t="s">
        <v>120</v>
      </c>
      <c r="E201" t="s">
        <v>529</v>
      </c>
      <c r="F201" t="s">
        <v>530</v>
      </c>
      <c r="G201" t="s">
        <v>145</v>
      </c>
      <c r="H201" t="s">
        <v>319</v>
      </c>
      <c r="I201" t="s">
        <v>231</v>
      </c>
      <c r="J201" s="17">
        <v>119</v>
      </c>
      <c r="K201" s="17">
        <v>2500</v>
      </c>
      <c r="L201" s="17">
        <v>1921</v>
      </c>
      <c r="M201" s="17">
        <v>24520000</v>
      </c>
      <c r="N201" s="17">
        <v>48289166.5</v>
      </c>
      <c r="O201" s="17">
        <v>61.85</v>
      </c>
      <c r="P201" s="17">
        <v>116.14</v>
      </c>
      <c r="Q201" t="s">
        <v>84</v>
      </c>
      <c r="R201" t="s">
        <v>84</v>
      </c>
      <c r="S201" t="s">
        <v>106</v>
      </c>
      <c r="T201" t="s">
        <v>84</v>
      </c>
      <c r="U201" t="s">
        <v>84</v>
      </c>
      <c r="V201" s="16">
        <v>45076.3020833333</v>
      </c>
      <c r="W201" s="18">
        <v>45072.5520833333</v>
      </c>
      <c r="X201" s="18">
        <v>45184.4375</v>
      </c>
      <c r="Y201" s="17">
        <v>2393</v>
      </c>
      <c r="Z201" t="s">
        <v>87</v>
      </c>
      <c r="AA201" s="17">
        <v>2540</v>
      </c>
      <c r="AB201" s="17">
        <v>1953</v>
      </c>
      <c r="AC201" t="s">
        <v>84</v>
      </c>
      <c r="AD201" s="17">
        <v>41478839</v>
      </c>
      <c r="AE201" t="s">
        <v>84</v>
      </c>
      <c r="AF201" s="17">
        <v>111.85</v>
      </c>
      <c r="AG201" t="s">
        <v>84</v>
      </c>
      <c r="AH201" t="s">
        <v>84</v>
      </c>
      <c r="AI201" s="17">
        <v>10.65</v>
      </c>
      <c r="AJ201" s="17">
        <v>10.59</v>
      </c>
      <c r="AK201" t="s">
        <v>333</v>
      </c>
      <c r="AM201" s="17">
        <v>3.8</v>
      </c>
      <c r="AN201" s="17"/>
      <c r="AO201" s="17">
        <v>2125</v>
      </c>
      <c r="AP201" s="17"/>
      <c r="AQ201" s="17">
        <v>3315</v>
      </c>
      <c r="AR201" s="17"/>
      <c r="AS201" s="17">
        <v>3.93</v>
      </c>
      <c r="AT201" s="17"/>
      <c r="AU201" s="17">
        <v>1644</v>
      </c>
      <c r="AV201" s="17"/>
      <c r="AW201" s="17">
        <v>3188</v>
      </c>
      <c r="AX201" s="17"/>
      <c r="AY201" t="s">
        <v>92</v>
      </c>
      <c r="AZ201" t="s">
        <v>92</v>
      </c>
      <c r="BA201" t="s">
        <v>92</v>
      </c>
      <c r="BB201" t="s">
        <v>92</v>
      </c>
      <c r="BC201" t="s">
        <v>92</v>
      </c>
      <c r="BD201" t="s">
        <v>92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92</v>
      </c>
      <c r="BM201" t="s">
        <v>92</v>
      </c>
      <c r="BN201" t="s">
        <v>92</v>
      </c>
      <c r="BO201" t="s">
        <v>92</v>
      </c>
      <c r="BP201" t="s">
        <v>92</v>
      </c>
      <c r="BQ201" t="s">
        <v>92</v>
      </c>
      <c r="BR201" t="s">
        <v>92</v>
      </c>
      <c r="BS201" t="s">
        <v>92</v>
      </c>
      <c r="BT201" t="s">
        <v>92</v>
      </c>
      <c r="BU201" t="s">
        <v>92</v>
      </c>
      <c r="BV201" t="s">
        <v>92</v>
      </c>
      <c r="BW201" t="s">
        <v>92</v>
      </c>
      <c r="BX201" t="s">
        <v>92</v>
      </c>
      <c r="BY201" t="str">
        <f>IF(COUNTIF('Data Upload-prod'!E:E,F201)=0,"Missing","Exist")</f>
        <v>Exist</v>
      </c>
    </row>
    <row r="202" hidden="1" spans="1:77">
      <c r="A202" s="16">
        <v>45068</v>
      </c>
      <c r="B202" s="16">
        <v>45245</v>
      </c>
      <c r="C202" t="s">
        <v>269</v>
      </c>
      <c r="D202" t="s">
        <v>78</v>
      </c>
      <c r="E202" t="s">
        <v>531</v>
      </c>
      <c r="F202" t="s">
        <v>532</v>
      </c>
      <c r="G202" t="s">
        <v>81</v>
      </c>
      <c r="H202" t="s">
        <v>168</v>
      </c>
      <c r="I202" t="s">
        <v>124</v>
      </c>
      <c r="J202" s="17">
        <v>66.11</v>
      </c>
      <c r="K202" s="17">
        <v>3106.98</v>
      </c>
      <c r="L202" s="17">
        <v>1939.96</v>
      </c>
      <c r="M202" t="s">
        <v>84</v>
      </c>
      <c r="N202" t="s">
        <v>84</v>
      </c>
      <c r="O202" t="s">
        <v>84</v>
      </c>
      <c r="P202" t="s">
        <v>84</v>
      </c>
      <c r="Q202" s="17">
        <v>14140000</v>
      </c>
      <c r="R202" s="17">
        <v>30.45</v>
      </c>
      <c r="S202" t="s">
        <v>85</v>
      </c>
      <c r="T202" t="s">
        <v>84</v>
      </c>
      <c r="U202" t="s">
        <v>86</v>
      </c>
      <c r="V202" s="16">
        <v>45117</v>
      </c>
      <c r="W202" s="18">
        <v>45117.6666666667</v>
      </c>
      <c r="X202" s="18">
        <v>45189.125</v>
      </c>
      <c r="Y202" s="17">
        <v>3037.03</v>
      </c>
      <c r="Z202" t="s">
        <v>87</v>
      </c>
      <c r="AA202" s="17">
        <v>3145.99</v>
      </c>
      <c r="AB202" s="17">
        <v>1938.6</v>
      </c>
      <c r="AC202" t="s">
        <v>84</v>
      </c>
      <c r="AD202" t="s">
        <v>84</v>
      </c>
      <c r="AE202" t="s">
        <v>84</v>
      </c>
      <c r="AF202" t="s">
        <v>84</v>
      </c>
      <c r="AG202" s="17">
        <v>13230000</v>
      </c>
      <c r="AH202" s="17">
        <v>25.35</v>
      </c>
      <c r="AI202" s="17">
        <v>0.2</v>
      </c>
      <c r="AJ202" s="17">
        <v>0</v>
      </c>
      <c r="AK202" t="s">
        <v>165</v>
      </c>
      <c r="AM202" s="17">
        <v>3.2</v>
      </c>
      <c r="AN202" s="17"/>
      <c r="AO202" s="17">
        <v>1300</v>
      </c>
      <c r="AP202" s="17"/>
      <c r="AQ202" s="17">
        <v>1830</v>
      </c>
      <c r="AR202" s="17"/>
      <c r="AS202" s="17">
        <v>1.45</v>
      </c>
      <c r="AT202" s="17"/>
      <c r="AU202" s="17">
        <v>681</v>
      </c>
      <c r="AV202" s="17"/>
      <c r="AW202" s="17">
        <v>1278</v>
      </c>
      <c r="AX202" s="17"/>
      <c r="AY202" t="s">
        <v>92</v>
      </c>
      <c r="AZ202" t="s">
        <v>92</v>
      </c>
      <c r="BA202" t="s">
        <v>92</v>
      </c>
      <c r="BB202" t="s">
        <v>92</v>
      </c>
      <c r="BC202" t="s">
        <v>92</v>
      </c>
      <c r="BD202" s="17">
        <v>7.66</v>
      </c>
      <c r="BE202" s="17">
        <v>4161462</v>
      </c>
      <c r="BF202" t="s">
        <v>92</v>
      </c>
      <c r="BG202" t="s">
        <v>92</v>
      </c>
      <c r="BH202" t="s">
        <v>93</v>
      </c>
      <c r="BI202" t="s">
        <v>94</v>
      </c>
      <c r="BJ202" t="s">
        <v>128</v>
      </c>
      <c r="BK202" t="s">
        <v>85</v>
      </c>
      <c r="BL202" t="s">
        <v>85</v>
      </c>
      <c r="BM202" t="s">
        <v>273</v>
      </c>
      <c r="BN202" t="s">
        <v>97</v>
      </c>
      <c r="BO202" t="s">
        <v>98</v>
      </c>
      <c r="BP202" t="s">
        <v>99</v>
      </c>
      <c r="BQ202" s="17">
        <v>228.48</v>
      </c>
      <c r="BR202" t="s">
        <v>138</v>
      </c>
      <c r="BS202" t="s">
        <v>92</v>
      </c>
      <c r="BT202" t="s">
        <v>99</v>
      </c>
      <c r="BU202" s="17">
        <v>9.2</v>
      </c>
      <c r="BV202" t="s">
        <v>110</v>
      </c>
      <c r="BW202" t="s">
        <v>85</v>
      </c>
      <c r="BX202" t="s">
        <v>85</v>
      </c>
      <c r="BY202" t="str">
        <f>IF(COUNTIF('Data Upload-prod'!E:E,F202)=0,"Missing","Exist")</f>
        <v>Exist</v>
      </c>
    </row>
    <row r="203" hidden="1" spans="1:77">
      <c r="A203" s="16">
        <v>45067</v>
      </c>
      <c r="B203" s="16">
        <v>45238</v>
      </c>
      <c r="C203" t="s">
        <v>269</v>
      </c>
      <c r="D203" t="s">
        <v>78</v>
      </c>
      <c r="E203" t="s">
        <v>531</v>
      </c>
      <c r="F203" t="s">
        <v>533</v>
      </c>
      <c r="G203" t="s">
        <v>81</v>
      </c>
      <c r="H203" t="s">
        <v>168</v>
      </c>
      <c r="I203" t="s">
        <v>124</v>
      </c>
      <c r="J203" s="17">
        <v>66.11</v>
      </c>
      <c r="K203" s="17">
        <v>3623.29</v>
      </c>
      <c r="L203" s="17">
        <v>1873.21</v>
      </c>
      <c r="M203" t="s">
        <v>84</v>
      </c>
      <c r="N203" t="s">
        <v>84</v>
      </c>
      <c r="O203" t="s">
        <v>84</v>
      </c>
      <c r="P203" t="s">
        <v>84</v>
      </c>
      <c r="Q203" s="17">
        <v>16120000</v>
      </c>
      <c r="R203" s="17">
        <v>37.04</v>
      </c>
      <c r="S203" t="s">
        <v>85</v>
      </c>
      <c r="T203" t="s">
        <v>84</v>
      </c>
      <c r="U203" t="s">
        <v>86</v>
      </c>
      <c r="V203" s="16">
        <v>45114</v>
      </c>
      <c r="W203" s="18">
        <v>45114.3333333333</v>
      </c>
      <c r="X203" s="18">
        <v>45188.7083333333</v>
      </c>
      <c r="Y203" s="17">
        <v>3559.13</v>
      </c>
      <c r="Z203" t="s">
        <v>87</v>
      </c>
      <c r="AA203" s="17">
        <v>3668.09</v>
      </c>
      <c r="AB203" s="17">
        <v>1885.99</v>
      </c>
      <c r="AC203" t="s">
        <v>84</v>
      </c>
      <c r="AD203" t="s">
        <v>84</v>
      </c>
      <c r="AE203" t="s">
        <v>84</v>
      </c>
      <c r="AF203" t="s">
        <v>84</v>
      </c>
      <c r="AG203" s="17">
        <v>13720000</v>
      </c>
      <c r="AH203" s="17">
        <v>28.94</v>
      </c>
      <c r="AI203" s="17">
        <v>1.37</v>
      </c>
      <c r="AJ203" s="17">
        <v>1.22</v>
      </c>
      <c r="AK203" t="s">
        <v>165</v>
      </c>
      <c r="AM203" s="17">
        <v>3.2</v>
      </c>
      <c r="AN203" s="17"/>
      <c r="AO203" s="17">
        <v>1300</v>
      </c>
      <c r="AP203" s="17"/>
      <c r="AQ203" s="17">
        <v>1830</v>
      </c>
      <c r="AR203" s="17"/>
      <c r="AS203" s="17">
        <v>1.54</v>
      </c>
      <c r="AT203" s="17"/>
      <c r="AU203" s="17">
        <v>674</v>
      </c>
      <c r="AV203" s="17"/>
      <c r="AW203" s="17">
        <v>1132</v>
      </c>
      <c r="AX203" s="17"/>
      <c r="AY203" t="s">
        <v>92</v>
      </c>
      <c r="AZ203" t="s">
        <v>92</v>
      </c>
      <c r="BA203" t="s">
        <v>92</v>
      </c>
      <c r="BB203" t="s">
        <v>92</v>
      </c>
      <c r="BC203" t="s">
        <v>92</v>
      </c>
      <c r="BD203" s="17">
        <v>9.23</v>
      </c>
      <c r="BE203" s="17">
        <v>4194726</v>
      </c>
      <c r="BF203" t="s">
        <v>92</v>
      </c>
      <c r="BG203" t="s">
        <v>92</v>
      </c>
      <c r="BH203" t="s">
        <v>93</v>
      </c>
      <c r="BI203" t="s">
        <v>94</v>
      </c>
      <c r="BJ203" t="s">
        <v>128</v>
      </c>
      <c r="BK203" t="s">
        <v>85</v>
      </c>
      <c r="BL203" t="s">
        <v>85</v>
      </c>
      <c r="BM203" t="s">
        <v>273</v>
      </c>
      <c r="BN203" t="s">
        <v>97</v>
      </c>
      <c r="BO203" t="s">
        <v>98</v>
      </c>
      <c r="BP203" t="s">
        <v>99</v>
      </c>
      <c r="BQ203" s="17">
        <v>505.22</v>
      </c>
      <c r="BR203" t="s">
        <v>138</v>
      </c>
      <c r="BS203" t="s">
        <v>92</v>
      </c>
      <c r="BT203" t="s">
        <v>99</v>
      </c>
      <c r="BU203" s="17">
        <v>9.4</v>
      </c>
      <c r="BV203" t="s">
        <v>191</v>
      </c>
      <c r="BW203" t="s">
        <v>85</v>
      </c>
      <c r="BX203" t="s">
        <v>85</v>
      </c>
      <c r="BY203" t="str">
        <f>IF(COUNTIF('Data Upload-prod'!E:E,F203)=0,"Missing","Exist")</f>
        <v>Exist</v>
      </c>
    </row>
    <row r="204" hidden="1" spans="1:77">
      <c r="A204" s="16">
        <v>45067</v>
      </c>
      <c r="B204" t="s">
        <v>84</v>
      </c>
      <c r="C204" t="s">
        <v>269</v>
      </c>
      <c r="D204" t="s">
        <v>78</v>
      </c>
      <c r="E204" t="s">
        <v>531</v>
      </c>
      <c r="F204" t="s">
        <v>534</v>
      </c>
      <c r="G204" t="s">
        <v>81</v>
      </c>
      <c r="H204" t="s">
        <v>168</v>
      </c>
      <c r="I204" t="s">
        <v>124</v>
      </c>
      <c r="J204" s="17">
        <v>66.11</v>
      </c>
      <c r="K204" s="17">
        <v>2918.93</v>
      </c>
      <c r="L204" s="17">
        <v>1921.67</v>
      </c>
      <c r="M204" t="s">
        <v>84</v>
      </c>
      <c r="N204" t="s">
        <v>84</v>
      </c>
      <c r="O204" t="s">
        <v>84</v>
      </c>
      <c r="P204" t="s">
        <v>84</v>
      </c>
      <c r="Q204" s="17">
        <v>13870000</v>
      </c>
      <c r="R204" s="17">
        <v>31.64</v>
      </c>
      <c r="S204" t="s">
        <v>85</v>
      </c>
      <c r="T204" t="s">
        <v>84</v>
      </c>
      <c r="U204" t="s">
        <v>86</v>
      </c>
      <c r="V204" s="16">
        <v>45111</v>
      </c>
      <c r="W204" s="18">
        <v>45111</v>
      </c>
      <c r="X204" s="18">
        <v>45188.3333333333</v>
      </c>
      <c r="Y204" s="17">
        <v>2813.93</v>
      </c>
      <c r="Z204" t="s">
        <v>87</v>
      </c>
      <c r="AA204" s="17">
        <v>2922.89</v>
      </c>
      <c r="AB204" s="17">
        <v>1929.6</v>
      </c>
      <c r="AC204" t="s">
        <v>84</v>
      </c>
      <c r="AD204" t="s">
        <v>84</v>
      </c>
      <c r="AE204" t="s">
        <v>84</v>
      </c>
      <c r="AF204" t="s">
        <v>84</v>
      </c>
      <c r="AG204" s="17">
        <v>11350000</v>
      </c>
      <c r="AH204" s="17">
        <v>22.65</v>
      </c>
      <c r="AI204" s="17">
        <v>1.38</v>
      </c>
      <c r="AJ204" s="17">
        <v>1.2</v>
      </c>
      <c r="AK204" t="s">
        <v>165</v>
      </c>
      <c r="AM204" s="17">
        <v>3.2</v>
      </c>
      <c r="AN204" s="17"/>
      <c r="AO204" s="17">
        <v>1300</v>
      </c>
      <c r="AP204" s="17"/>
      <c r="AQ204" s="17">
        <v>1830</v>
      </c>
      <c r="AR204" s="17"/>
      <c r="AS204" s="17">
        <v>1.78</v>
      </c>
      <c r="AT204" s="17"/>
      <c r="AU204" s="17">
        <v>789</v>
      </c>
      <c r="AV204" s="17"/>
      <c r="AW204" s="17">
        <v>1175</v>
      </c>
      <c r="AX204" s="17"/>
      <c r="AY204" t="s">
        <v>92</v>
      </c>
      <c r="AZ204" t="s">
        <v>92</v>
      </c>
      <c r="BA204" t="s">
        <v>92</v>
      </c>
      <c r="BB204" t="s">
        <v>92</v>
      </c>
      <c r="BC204" t="s">
        <v>92</v>
      </c>
      <c r="BD204" s="17">
        <v>6.21</v>
      </c>
      <c r="BE204" s="17">
        <v>2907475</v>
      </c>
      <c r="BF204" t="s">
        <v>92</v>
      </c>
      <c r="BG204" t="s">
        <v>92</v>
      </c>
      <c r="BH204" t="s">
        <v>93</v>
      </c>
      <c r="BI204" t="s">
        <v>94</v>
      </c>
      <c r="BJ204" t="s">
        <v>128</v>
      </c>
      <c r="BK204" t="s">
        <v>85</v>
      </c>
      <c r="BL204" t="s">
        <v>85</v>
      </c>
      <c r="BM204" t="s">
        <v>273</v>
      </c>
      <c r="BN204" t="s">
        <v>97</v>
      </c>
      <c r="BO204" t="s">
        <v>98</v>
      </c>
      <c r="BP204" t="s">
        <v>99</v>
      </c>
      <c r="BQ204" s="17">
        <v>212.3</v>
      </c>
      <c r="BR204" t="s">
        <v>138</v>
      </c>
      <c r="BS204" t="s">
        <v>92</v>
      </c>
      <c r="BT204" t="s">
        <v>99</v>
      </c>
      <c r="BU204" s="17">
        <v>9</v>
      </c>
      <c r="BV204" t="s">
        <v>110</v>
      </c>
      <c r="BW204" t="s">
        <v>85</v>
      </c>
      <c r="BX204" t="s">
        <v>85</v>
      </c>
      <c r="BY204" t="str">
        <f>IF(COUNTIF('Data Upload-prod'!E:E,F204)=0,"Missing","Exist")</f>
        <v>Exist</v>
      </c>
    </row>
    <row r="205" hidden="1" spans="1:77">
      <c r="A205" s="16">
        <v>45062</v>
      </c>
      <c r="B205" t="s">
        <v>84</v>
      </c>
      <c r="C205" t="s">
        <v>141</v>
      </c>
      <c r="D205" t="s">
        <v>120</v>
      </c>
      <c r="E205" t="s">
        <v>535</v>
      </c>
      <c r="F205" t="s">
        <v>536</v>
      </c>
      <c r="G205" t="s">
        <v>81</v>
      </c>
      <c r="H205" t="s">
        <v>247</v>
      </c>
      <c r="I205" t="s">
        <v>231</v>
      </c>
      <c r="J205" s="17">
        <v>105.15</v>
      </c>
      <c r="K205" s="17">
        <v>3405.06</v>
      </c>
      <c r="L205" s="17">
        <v>1371.23</v>
      </c>
      <c r="M205" t="s">
        <v>84</v>
      </c>
      <c r="N205" t="s">
        <v>84</v>
      </c>
      <c r="O205" t="s">
        <v>84</v>
      </c>
      <c r="P205" t="s">
        <v>84</v>
      </c>
      <c r="Q205" s="17">
        <v>44600000</v>
      </c>
      <c r="R205" s="17">
        <v>67.19</v>
      </c>
      <c r="S205" t="s">
        <v>85</v>
      </c>
      <c r="T205" t="s">
        <v>84</v>
      </c>
      <c r="U205" t="s">
        <v>84</v>
      </c>
      <c r="V205" s="16">
        <v>45121.53125</v>
      </c>
      <c r="W205" s="18">
        <v>45121.53125</v>
      </c>
      <c r="X205" s="18">
        <v>45148.6875</v>
      </c>
      <c r="Y205" s="17">
        <v>3195.06</v>
      </c>
      <c r="Z205" t="s">
        <v>87</v>
      </c>
      <c r="AA205" s="17">
        <v>3334.96</v>
      </c>
      <c r="AB205" s="17">
        <v>1357.82</v>
      </c>
      <c r="AC205" t="s">
        <v>84</v>
      </c>
      <c r="AD205" t="s">
        <v>84</v>
      </c>
      <c r="AE205" t="s">
        <v>84</v>
      </c>
      <c r="AF205" t="s">
        <v>84</v>
      </c>
      <c r="AG205" s="17">
        <v>53800000</v>
      </c>
      <c r="AH205" s="17">
        <v>96.71</v>
      </c>
      <c r="AI205" s="17">
        <v>26.53</v>
      </c>
      <c r="AJ205" s="17">
        <v>24.9</v>
      </c>
      <c r="AK205" t="s">
        <v>126</v>
      </c>
      <c r="AM205" s="17">
        <v>2.5</v>
      </c>
      <c r="AN205" s="17"/>
      <c r="AO205" s="17">
        <v>1010</v>
      </c>
      <c r="AP205" s="17"/>
      <c r="AQ205" s="17">
        <v>1705</v>
      </c>
      <c r="AR205" s="17"/>
      <c r="AS205" s="13" t="s">
        <v>150</v>
      </c>
      <c r="AT205" s="13"/>
      <c r="AU205" s="13" t="s">
        <v>150</v>
      </c>
      <c r="AW205" s="13" t="s">
        <v>150</v>
      </c>
      <c r="AY205" t="s">
        <v>92</v>
      </c>
      <c r="AZ205" t="s">
        <v>92</v>
      </c>
      <c r="BA205" t="s">
        <v>92</v>
      </c>
      <c r="BB205" t="s">
        <v>92</v>
      </c>
      <c r="BC205" t="s">
        <v>92</v>
      </c>
      <c r="BD205" t="s">
        <v>92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92</v>
      </c>
      <c r="BM205" t="s">
        <v>92</v>
      </c>
      <c r="BN205" t="s">
        <v>92</v>
      </c>
      <c r="BO205" t="s">
        <v>92</v>
      </c>
      <c r="BP205" t="s">
        <v>92</v>
      </c>
      <c r="BQ205" t="s">
        <v>92</v>
      </c>
      <c r="BR205" t="s">
        <v>92</v>
      </c>
      <c r="BS205" t="s">
        <v>92</v>
      </c>
      <c r="BT205" t="s">
        <v>92</v>
      </c>
      <c r="BU205" t="s">
        <v>92</v>
      </c>
      <c r="BV205" t="s">
        <v>92</v>
      </c>
      <c r="BW205" t="s">
        <v>92</v>
      </c>
      <c r="BX205" t="s">
        <v>92</v>
      </c>
      <c r="BY205" t="str">
        <f>IF(COUNTIF('Data Upload-prod'!E:E,F205)=0,"Missing","Exist")</f>
        <v>Exist</v>
      </c>
    </row>
    <row r="206" hidden="1" spans="1:77">
      <c r="A206" s="16">
        <v>45058</v>
      </c>
      <c r="B206" s="16">
        <v>45257</v>
      </c>
      <c r="C206" t="s">
        <v>218</v>
      </c>
      <c r="D206" t="s">
        <v>120</v>
      </c>
      <c r="E206" t="s">
        <v>523</v>
      </c>
      <c r="F206" t="s">
        <v>537</v>
      </c>
      <c r="G206" t="s">
        <v>81</v>
      </c>
      <c r="H206" t="s">
        <v>289</v>
      </c>
      <c r="I206" t="s">
        <v>124</v>
      </c>
      <c r="J206" s="17">
        <v>87.2</v>
      </c>
      <c r="K206" s="17">
        <v>1674</v>
      </c>
      <c r="L206" s="17">
        <v>1666</v>
      </c>
      <c r="M206" t="s">
        <v>84</v>
      </c>
      <c r="N206" t="s">
        <v>84</v>
      </c>
      <c r="O206" t="s">
        <v>84</v>
      </c>
      <c r="P206" t="s">
        <v>84</v>
      </c>
      <c r="Q206" s="17">
        <v>17852159</v>
      </c>
      <c r="R206" s="17">
        <v>26.09</v>
      </c>
      <c r="S206" t="s">
        <v>85</v>
      </c>
      <c r="T206" t="s">
        <v>84</v>
      </c>
      <c r="U206" t="s">
        <v>86</v>
      </c>
      <c r="V206" s="16">
        <v>45121</v>
      </c>
      <c r="W206" s="18">
        <v>45074</v>
      </c>
      <c r="X206" s="18">
        <v>45175</v>
      </c>
      <c r="Y206" s="17">
        <v>1553.75</v>
      </c>
      <c r="Z206" t="s">
        <v>87</v>
      </c>
      <c r="AA206" s="17">
        <v>1690</v>
      </c>
      <c r="AB206" s="17">
        <v>1682.55</v>
      </c>
      <c r="AC206" t="s">
        <v>84</v>
      </c>
      <c r="AD206" t="s">
        <v>84</v>
      </c>
      <c r="AE206" t="s">
        <v>84</v>
      </c>
      <c r="AF206" t="s">
        <v>84</v>
      </c>
      <c r="AG206" s="17">
        <v>16689024.45</v>
      </c>
      <c r="AH206" s="17">
        <v>34</v>
      </c>
      <c r="AI206" s="17">
        <v>8.15</v>
      </c>
      <c r="AJ206" s="17">
        <v>7.97</v>
      </c>
      <c r="AK206" t="s">
        <v>126</v>
      </c>
      <c r="AM206" s="17">
        <v>2.5</v>
      </c>
      <c r="AN206" s="17"/>
      <c r="AO206" s="17">
        <v>1010</v>
      </c>
      <c r="AP206" s="17"/>
      <c r="AQ206" s="17">
        <v>1705</v>
      </c>
      <c r="AR206" s="17"/>
      <c r="AS206" s="17">
        <v>3.9</v>
      </c>
      <c r="AT206" s="17"/>
      <c r="AU206" s="17">
        <v>1790</v>
      </c>
      <c r="AV206" s="17"/>
      <c r="AW206" s="17">
        <v>2738</v>
      </c>
      <c r="AX206" s="17"/>
      <c r="AY206" t="s">
        <v>92</v>
      </c>
      <c r="AZ206" t="s">
        <v>92</v>
      </c>
      <c r="BA206" t="s">
        <v>92</v>
      </c>
      <c r="BB206" t="s">
        <v>92</v>
      </c>
      <c r="BC206" t="s">
        <v>92</v>
      </c>
      <c r="BD206" t="s">
        <v>92</v>
      </c>
      <c r="BE206" t="s">
        <v>92</v>
      </c>
      <c r="BF206" t="s">
        <v>92</v>
      </c>
      <c r="BG206" t="s">
        <v>92</v>
      </c>
      <c r="BH206" t="s">
        <v>127</v>
      </c>
      <c r="BI206" t="s">
        <v>94</v>
      </c>
      <c r="BJ206" t="s">
        <v>109</v>
      </c>
      <c r="BK206" t="s">
        <v>85</v>
      </c>
      <c r="BL206" t="s">
        <v>85</v>
      </c>
      <c r="BM206" t="s">
        <v>137</v>
      </c>
      <c r="BN206" t="s">
        <v>97</v>
      </c>
      <c r="BO206" t="s">
        <v>98</v>
      </c>
      <c r="BP206" t="s">
        <v>139</v>
      </c>
      <c r="BQ206" s="17">
        <v>915</v>
      </c>
      <c r="BR206" t="s">
        <v>138</v>
      </c>
      <c r="BS206" t="s">
        <v>156</v>
      </c>
      <c r="BT206" t="s">
        <v>139</v>
      </c>
      <c r="BU206" s="17">
        <v>8.6</v>
      </c>
      <c r="BV206" t="s">
        <v>131</v>
      </c>
      <c r="BW206" t="s">
        <v>85</v>
      </c>
      <c r="BX206" t="s">
        <v>85</v>
      </c>
      <c r="BY206" t="str">
        <f>IF(COUNTIF('Data Upload-prod'!E:E,F206)=0,"Missing","Exist")</f>
        <v>Exist</v>
      </c>
    </row>
    <row r="207" hidden="1" spans="1:77">
      <c r="A207" s="16">
        <v>45027</v>
      </c>
      <c r="B207" s="16">
        <v>45352</v>
      </c>
      <c r="C207" t="s">
        <v>360</v>
      </c>
      <c r="D207" t="s">
        <v>120</v>
      </c>
      <c r="E207" t="s">
        <v>538</v>
      </c>
      <c r="F207" t="s">
        <v>539</v>
      </c>
      <c r="G207" t="s">
        <v>145</v>
      </c>
      <c r="H207" t="s">
        <v>172</v>
      </c>
      <c r="I207" t="s">
        <v>124</v>
      </c>
      <c r="J207" s="17">
        <v>46</v>
      </c>
      <c r="K207" s="17">
        <v>2701</v>
      </c>
      <c r="L207" s="17">
        <v>2701</v>
      </c>
      <c r="M207" s="17">
        <v>10120000</v>
      </c>
      <c r="N207" s="17">
        <v>19000000</v>
      </c>
      <c r="O207" s="17">
        <v>24.53</v>
      </c>
      <c r="P207" s="17">
        <v>43.8</v>
      </c>
      <c r="Q207" t="s">
        <v>84</v>
      </c>
      <c r="R207" t="s">
        <v>84</v>
      </c>
      <c r="S207" t="s">
        <v>85</v>
      </c>
      <c r="T207" t="s">
        <v>84</v>
      </c>
      <c r="U207" t="s">
        <v>84</v>
      </c>
      <c r="V207" s="16">
        <v>45077.8125</v>
      </c>
      <c r="W207" s="18">
        <v>45064.2083333333</v>
      </c>
      <c r="X207" s="18">
        <v>45120.8333333333</v>
      </c>
      <c r="Y207" s="17">
        <v>2622.5</v>
      </c>
      <c r="Z207" t="s">
        <v>87</v>
      </c>
      <c r="AA207" s="17">
        <v>2701</v>
      </c>
      <c r="AB207" s="17">
        <v>2632.76</v>
      </c>
      <c r="AC207" t="s">
        <v>84</v>
      </c>
      <c r="AD207" s="17">
        <v>22210000</v>
      </c>
      <c r="AE207" t="s">
        <v>84</v>
      </c>
      <c r="AF207" s="17">
        <v>56.8</v>
      </c>
      <c r="AG207" t="s">
        <v>84</v>
      </c>
      <c r="AH207" t="s">
        <v>84</v>
      </c>
      <c r="AI207" s="17">
        <v>32.54</v>
      </c>
      <c r="AJ207" s="17">
        <v>32.54</v>
      </c>
      <c r="AK207" t="s">
        <v>295</v>
      </c>
      <c r="AM207" s="17">
        <v>2.7</v>
      </c>
      <c r="AN207" s="17"/>
      <c r="AO207" s="17">
        <v>1490</v>
      </c>
      <c r="AP207" s="17"/>
      <c r="AQ207" s="17">
        <v>2760</v>
      </c>
      <c r="AR207" s="17"/>
      <c r="AS207" s="17">
        <v>3.84</v>
      </c>
      <c r="AT207" s="17"/>
      <c r="AU207" s="17">
        <v>1284.14</v>
      </c>
      <c r="AV207" s="17"/>
      <c r="AW207" s="17">
        <v>2495.04</v>
      </c>
      <c r="AX207" s="17"/>
      <c r="AY207" t="s">
        <v>92</v>
      </c>
      <c r="AZ207" t="s">
        <v>92</v>
      </c>
      <c r="BA207" t="s">
        <v>92</v>
      </c>
      <c r="BB207" t="s">
        <v>92</v>
      </c>
      <c r="BC207" t="s">
        <v>92</v>
      </c>
      <c r="BD207" t="s">
        <v>92</v>
      </c>
      <c r="BE207" t="s">
        <v>92</v>
      </c>
      <c r="BF207" t="s">
        <v>92</v>
      </c>
      <c r="BG207" t="s">
        <v>92</v>
      </c>
      <c r="BH207" t="s">
        <v>92</v>
      </c>
      <c r="BI207" t="s">
        <v>92</v>
      </c>
      <c r="BJ207" t="s">
        <v>92</v>
      </c>
      <c r="BK207" t="s">
        <v>92</v>
      </c>
      <c r="BL207" t="s">
        <v>92</v>
      </c>
      <c r="BM207" t="s">
        <v>92</v>
      </c>
      <c r="BN207" t="s">
        <v>92</v>
      </c>
      <c r="BO207" t="s">
        <v>92</v>
      </c>
      <c r="BP207" t="s">
        <v>92</v>
      </c>
      <c r="BQ207" t="s">
        <v>92</v>
      </c>
      <c r="BR207" t="s">
        <v>92</v>
      </c>
      <c r="BS207" t="s">
        <v>92</v>
      </c>
      <c r="BT207" t="s">
        <v>92</v>
      </c>
      <c r="BU207" t="s">
        <v>92</v>
      </c>
      <c r="BV207" t="s">
        <v>92</v>
      </c>
      <c r="BW207" t="s">
        <v>92</v>
      </c>
      <c r="BX207" t="s">
        <v>92</v>
      </c>
      <c r="BY207" t="str">
        <f>IF(COUNTIF('Data Upload-prod'!E:E,F207)=0,"Missing","Exist")</f>
        <v>Exist</v>
      </c>
    </row>
    <row r="208" hidden="1" spans="1:77">
      <c r="A208" s="16">
        <v>45022</v>
      </c>
      <c r="B208" s="16">
        <v>45313</v>
      </c>
      <c r="C208" t="s">
        <v>360</v>
      </c>
      <c r="D208" t="s">
        <v>142</v>
      </c>
      <c r="E208" t="s">
        <v>540</v>
      </c>
      <c r="F208" t="s">
        <v>541</v>
      </c>
      <c r="G208" t="s">
        <v>145</v>
      </c>
      <c r="H208" t="s">
        <v>377</v>
      </c>
      <c r="I208" t="s">
        <v>147</v>
      </c>
      <c r="J208" s="17">
        <v>1159.82</v>
      </c>
      <c r="K208" s="17">
        <v>2661.4</v>
      </c>
      <c r="L208" s="17">
        <v>2306</v>
      </c>
      <c r="M208" s="17">
        <v>17000000</v>
      </c>
      <c r="N208" s="17">
        <v>22580000</v>
      </c>
      <c r="O208" s="17">
        <v>16.5</v>
      </c>
      <c r="P208" s="17">
        <v>21.8</v>
      </c>
      <c r="Q208" t="s">
        <v>84</v>
      </c>
      <c r="R208" t="s">
        <v>84</v>
      </c>
      <c r="S208" t="s">
        <v>85</v>
      </c>
      <c r="T208" t="s">
        <v>84</v>
      </c>
      <c r="U208" t="s">
        <v>84</v>
      </c>
      <c r="V208" s="16">
        <v>45048</v>
      </c>
      <c r="W208" s="18">
        <v>45039.4756944444</v>
      </c>
      <c r="X208" s="18">
        <v>45091.5</v>
      </c>
      <c r="Y208" s="17">
        <v>1404.18</v>
      </c>
      <c r="Z208" t="s">
        <v>148</v>
      </c>
      <c r="AA208" s="17">
        <v>2590</v>
      </c>
      <c r="AB208" s="17">
        <v>2264.73</v>
      </c>
      <c r="AC208" t="s">
        <v>84</v>
      </c>
      <c r="AD208" s="17">
        <v>23170000</v>
      </c>
      <c r="AE208" t="s">
        <v>84</v>
      </c>
      <c r="AF208" s="17">
        <v>29</v>
      </c>
      <c r="AG208" t="s">
        <v>84</v>
      </c>
      <c r="AH208" t="s">
        <v>84</v>
      </c>
      <c r="AI208" s="17">
        <v>0.01</v>
      </c>
      <c r="AJ208" s="17">
        <v>0</v>
      </c>
      <c r="AK208" t="s">
        <v>305</v>
      </c>
      <c r="AM208" s="17">
        <v>2.3</v>
      </c>
      <c r="AN208" s="17"/>
      <c r="AO208" s="17">
        <v>3280</v>
      </c>
      <c r="AP208" s="17"/>
      <c r="AQ208" s="17">
        <v>5760</v>
      </c>
      <c r="AR208" s="17"/>
      <c r="AS208" s="17">
        <v>2.57</v>
      </c>
      <c r="AT208" s="17"/>
      <c r="AU208" s="17">
        <v>2588</v>
      </c>
      <c r="AV208" s="17"/>
      <c r="AW208" s="17">
        <v>5026</v>
      </c>
      <c r="AX208" s="17"/>
      <c r="AY208" t="s">
        <v>92</v>
      </c>
      <c r="AZ208" t="s">
        <v>92</v>
      </c>
      <c r="BA208" t="s">
        <v>92</v>
      </c>
      <c r="BB208" t="s">
        <v>92</v>
      </c>
      <c r="BC208" t="s">
        <v>92</v>
      </c>
      <c r="BD208" t="s">
        <v>92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92</v>
      </c>
      <c r="BM208" t="s">
        <v>92</v>
      </c>
      <c r="BN208" t="s">
        <v>92</v>
      </c>
      <c r="BO208" t="s">
        <v>92</v>
      </c>
      <c r="BP208" t="s">
        <v>92</v>
      </c>
      <c r="BQ208" t="s">
        <v>92</v>
      </c>
      <c r="BR208" t="s">
        <v>92</v>
      </c>
      <c r="BS208" t="s">
        <v>92</v>
      </c>
      <c r="BT208" t="s">
        <v>92</v>
      </c>
      <c r="BU208" t="s">
        <v>92</v>
      </c>
      <c r="BV208" t="s">
        <v>92</v>
      </c>
      <c r="BW208" t="s">
        <v>92</v>
      </c>
      <c r="BX208" t="s">
        <v>92</v>
      </c>
      <c r="BY208" t="str">
        <f>IF(COUNTIF('Data Upload-prod'!E:E,F208)=0,"Missing","Exist")</f>
        <v>Exist</v>
      </c>
    </row>
    <row r="209" hidden="1" spans="1:77">
      <c r="A209" s="16">
        <v>45021</v>
      </c>
      <c r="B209" s="16">
        <v>45238</v>
      </c>
      <c r="C209" t="s">
        <v>281</v>
      </c>
      <c r="D209" t="s">
        <v>78</v>
      </c>
      <c r="E209" t="s">
        <v>542</v>
      </c>
      <c r="F209" t="s">
        <v>543</v>
      </c>
      <c r="G209" t="s">
        <v>145</v>
      </c>
      <c r="H209" t="s">
        <v>514</v>
      </c>
      <c r="I209" t="s">
        <v>124</v>
      </c>
      <c r="J209" s="17">
        <v>76.8</v>
      </c>
      <c r="K209" s="17">
        <v>2500</v>
      </c>
      <c r="L209" s="17">
        <v>2181</v>
      </c>
      <c r="M209" s="17">
        <v>7440000</v>
      </c>
      <c r="N209" s="17">
        <v>7440000</v>
      </c>
      <c r="O209" s="17">
        <v>22.1</v>
      </c>
      <c r="P209" s="17">
        <v>25.5</v>
      </c>
      <c r="Q209" t="s">
        <v>84</v>
      </c>
      <c r="R209" t="s">
        <v>84</v>
      </c>
      <c r="S209" t="s">
        <v>85</v>
      </c>
      <c r="T209" t="s">
        <v>84</v>
      </c>
      <c r="U209" t="s">
        <v>84</v>
      </c>
      <c r="V209" s="16">
        <v>45165.8541666667</v>
      </c>
      <c r="W209" s="18">
        <v>45161.8333333333</v>
      </c>
      <c r="X209" s="18">
        <v>45179.6111111111</v>
      </c>
      <c r="Y209" s="17">
        <v>2393.2</v>
      </c>
      <c r="Z209" t="s">
        <v>87</v>
      </c>
      <c r="AA209" s="17">
        <v>2500</v>
      </c>
      <c r="AB209" s="17">
        <v>2211</v>
      </c>
      <c r="AC209" t="s">
        <v>84</v>
      </c>
      <c r="AD209" s="17">
        <v>5051413.06</v>
      </c>
      <c r="AE209" t="s">
        <v>84</v>
      </c>
      <c r="AF209" s="17">
        <v>17.78</v>
      </c>
      <c r="AG209" t="s">
        <v>84</v>
      </c>
      <c r="AH209" t="s">
        <v>84</v>
      </c>
      <c r="AI209" s="17">
        <v>5.98</v>
      </c>
      <c r="AJ209" s="17">
        <v>5.98</v>
      </c>
      <c r="AK209" t="s">
        <v>544</v>
      </c>
      <c r="AM209" s="17">
        <v>1.2</v>
      </c>
      <c r="AN209" s="17"/>
      <c r="AO209" s="17">
        <v>385</v>
      </c>
      <c r="AP209" s="17"/>
      <c r="AQ209" s="17">
        <v>930</v>
      </c>
      <c r="AR209" s="17"/>
      <c r="AS209" s="17">
        <v>1</v>
      </c>
      <c r="AT209" s="17"/>
      <c r="AU209" s="17">
        <v>340</v>
      </c>
      <c r="AV209" s="17"/>
      <c r="AW209" s="17">
        <v>466</v>
      </c>
      <c r="AX209" s="17"/>
      <c r="AY209" t="s">
        <v>92</v>
      </c>
      <c r="AZ209" t="s">
        <v>92</v>
      </c>
      <c r="BA209" t="s">
        <v>92</v>
      </c>
      <c r="BB209" t="s">
        <v>92</v>
      </c>
      <c r="BC209" t="s">
        <v>92</v>
      </c>
      <c r="BD209" t="s">
        <v>92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92</v>
      </c>
      <c r="BM209" t="s">
        <v>92</v>
      </c>
      <c r="BN209" t="s">
        <v>92</v>
      </c>
      <c r="BO209" t="s">
        <v>92</v>
      </c>
      <c r="BP209" t="s">
        <v>92</v>
      </c>
      <c r="BQ209" t="s">
        <v>92</v>
      </c>
      <c r="BR209" t="s">
        <v>92</v>
      </c>
      <c r="BS209" t="s">
        <v>92</v>
      </c>
      <c r="BT209" t="s">
        <v>92</v>
      </c>
      <c r="BU209" t="s">
        <v>92</v>
      </c>
      <c r="BV209" t="s">
        <v>92</v>
      </c>
      <c r="BW209" t="s">
        <v>92</v>
      </c>
      <c r="BX209" t="s">
        <v>92</v>
      </c>
      <c r="BY209" t="str">
        <f>IF(COUNTIF('Data Upload-prod'!E:E,F209)=0,"Missing","Exist")</f>
        <v>Exist</v>
      </c>
    </row>
    <row r="210" hidden="1" spans="1:77">
      <c r="A210" s="16">
        <v>45021</v>
      </c>
      <c r="B210" s="16">
        <v>45313</v>
      </c>
      <c r="C210" t="s">
        <v>360</v>
      </c>
      <c r="D210" t="s">
        <v>142</v>
      </c>
      <c r="E210" t="s">
        <v>545</v>
      </c>
      <c r="F210" t="s">
        <v>546</v>
      </c>
      <c r="G210" t="s">
        <v>145</v>
      </c>
      <c r="H210" t="s">
        <v>377</v>
      </c>
      <c r="I210" t="s">
        <v>147</v>
      </c>
      <c r="J210" s="17">
        <v>1407.1</v>
      </c>
      <c r="K210" s="17">
        <v>2326</v>
      </c>
      <c r="L210" s="17">
        <v>2326</v>
      </c>
      <c r="M210" s="17">
        <v>13800000</v>
      </c>
      <c r="N210" s="17">
        <v>15900000</v>
      </c>
      <c r="O210" s="17">
        <v>13.4</v>
      </c>
      <c r="P210" s="17">
        <v>15.1</v>
      </c>
      <c r="Q210" t="s">
        <v>84</v>
      </c>
      <c r="R210" t="s">
        <v>84</v>
      </c>
      <c r="S210" t="s">
        <v>85</v>
      </c>
      <c r="T210" t="s">
        <v>84</v>
      </c>
      <c r="U210" t="s">
        <v>84</v>
      </c>
      <c r="V210" s="16">
        <v>45050</v>
      </c>
      <c r="W210" s="18">
        <v>45050.0208333333</v>
      </c>
      <c r="X210" s="18">
        <v>45058.4166666667</v>
      </c>
      <c r="Y210" s="17">
        <v>892.9</v>
      </c>
      <c r="Z210" t="s">
        <v>148</v>
      </c>
      <c r="AA210" s="17">
        <v>2326</v>
      </c>
      <c r="AB210" s="17">
        <v>2325.95</v>
      </c>
      <c r="AC210" t="s">
        <v>84</v>
      </c>
      <c r="AD210" s="17">
        <v>20250000</v>
      </c>
      <c r="AE210" t="s">
        <v>84</v>
      </c>
      <c r="AF210" s="17">
        <v>23</v>
      </c>
      <c r="AG210" t="s">
        <v>84</v>
      </c>
      <c r="AH210" t="s">
        <v>84</v>
      </c>
      <c r="AI210" s="17">
        <v>24.1</v>
      </c>
      <c r="AJ210" s="17">
        <v>24.1</v>
      </c>
      <c r="AK210" t="s">
        <v>305</v>
      </c>
      <c r="AM210" s="17">
        <v>2.3</v>
      </c>
      <c r="AN210" s="17"/>
      <c r="AO210" s="17">
        <v>3280</v>
      </c>
      <c r="AP210" s="17"/>
      <c r="AQ210" s="17">
        <v>5760</v>
      </c>
      <c r="AR210" s="17"/>
      <c r="AS210" s="17">
        <v>3.82</v>
      </c>
      <c r="AT210" s="17"/>
      <c r="AU210" s="17">
        <v>4472</v>
      </c>
      <c r="AV210" s="17"/>
      <c r="AW210" s="17">
        <v>7617</v>
      </c>
      <c r="AX210" s="17"/>
      <c r="AY210" t="s">
        <v>92</v>
      </c>
      <c r="AZ210" t="s">
        <v>92</v>
      </c>
      <c r="BA210" t="s">
        <v>92</v>
      </c>
      <c r="BB210" t="s">
        <v>92</v>
      </c>
      <c r="BC210" t="s">
        <v>92</v>
      </c>
      <c r="BD210" t="s">
        <v>92</v>
      </c>
      <c r="BE210" t="s">
        <v>92</v>
      </c>
      <c r="BF210" t="s">
        <v>92</v>
      </c>
      <c r="BG210" t="s">
        <v>92</v>
      </c>
      <c r="BH210" t="s">
        <v>92</v>
      </c>
      <c r="BI210" t="s">
        <v>92</v>
      </c>
      <c r="BJ210" t="s">
        <v>92</v>
      </c>
      <c r="BK210" t="s">
        <v>92</v>
      </c>
      <c r="BL210" t="s">
        <v>92</v>
      </c>
      <c r="BM210" t="s">
        <v>92</v>
      </c>
      <c r="BN210" t="s">
        <v>92</v>
      </c>
      <c r="BO210" t="s">
        <v>92</v>
      </c>
      <c r="BP210" t="s">
        <v>92</v>
      </c>
      <c r="BQ210" t="s">
        <v>92</v>
      </c>
      <c r="BR210" t="s">
        <v>92</v>
      </c>
      <c r="BS210" t="s">
        <v>92</v>
      </c>
      <c r="BT210" t="s">
        <v>92</v>
      </c>
      <c r="BU210" t="s">
        <v>92</v>
      </c>
      <c r="BV210" t="s">
        <v>92</v>
      </c>
      <c r="BW210" t="s">
        <v>92</v>
      </c>
      <c r="BX210" t="s">
        <v>92</v>
      </c>
      <c r="BY210" t="str">
        <f>IF(COUNTIF('Data Upload-prod'!E:E,F210)=0,"Missing","Exist")</f>
        <v>Exist</v>
      </c>
    </row>
    <row r="211" hidden="1" spans="1:77">
      <c r="A211" s="16">
        <v>45019</v>
      </c>
      <c r="B211" s="16">
        <v>45153</v>
      </c>
      <c r="C211" t="s">
        <v>132</v>
      </c>
      <c r="D211" t="s">
        <v>120</v>
      </c>
      <c r="E211" t="s">
        <v>400</v>
      </c>
      <c r="F211" t="s">
        <v>547</v>
      </c>
      <c r="G211" t="s">
        <v>145</v>
      </c>
      <c r="H211" t="s">
        <v>363</v>
      </c>
      <c r="I211" t="s">
        <v>124</v>
      </c>
      <c r="J211" s="17">
        <v>66.6</v>
      </c>
      <c r="K211" s="17">
        <v>1410</v>
      </c>
      <c r="L211" s="17">
        <v>1410</v>
      </c>
      <c r="M211" s="17">
        <v>16350000</v>
      </c>
      <c r="N211" s="17">
        <v>23570000</v>
      </c>
      <c r="O211" s="17">
        <v>34.91</v>
      </c>
      <c r="P211" s="17">
        <v>51.43</v>
      </c>
      <c r="Q211" t="s">
        <v>84</v>
      </c>
      <c r="R211" t="s">
        <v>84</v>
      </c>
      <c r="S211" t="s">
        <v>85</v>
      </c>
      <c r="T211" t="s">
        <v>84</v>
      </c>
      <c r="U211" t="s">
        <v>84</v>
      </c>
      <c r="V211" s="16">
        <v>45042</v>
      </c>
      <c r="W211" s="18">
        <v>45035.2604166667</v>
      </c>
      <c r="X211" s="18">
        <v>45094.625</v>
      </c>
      <c r="Y211" s="17">
        <v>2333.4</v>
      </c>
      <c r="Z211" t="s">
        <v>87</v>
      </c>
      <c r="AA211" s="17">
        <v>2430</v>
      </c>
      <c r="AB211" s="17">
        <v>2430</v>
      </c>
      <c r="AC211" t="s">
        <v>84</v>
      </c>
      <c r="AD211" s="17">
        <v>28859799.57</v>
      </c>
      <c r="AE211" t="s">
        <v>84</v>
      </c>
      <c r="AF211" s="17">
        <v>59.36</v>
      </c>
      <c r="AG211" t="s">
        <v>84</v>
      </c>
      <c r="AH211" t="s">
        <v>84</v>
      </c>
      <c r="AI211" s="17">
        <v>8.4</v>
      </c>
      <c r="AJ211" s="17">
        <v>8.4</v>
      </c>
      <c r="AK211" t="s">
        <v>323</v>
      </c>
      <c r="AM211" s="17">
        <v>4.4</v>
      </c>
      <c r="AN211" s="17"/>
      <c r="AO211" s="17">
        <v>1980</v>
      </c>
      <c r="AP211" s="17"/>
      <c r="AQ211" s="17">
        <v>2760</v>
      </c>
      <c r="AR211" s="17"/>
      <c r="AS211" s="17">
        <v>4.36</v>
      </c>
      <c r="AT211" s="17"/>
      <c r="AU211" s="17">
        <v>2113</v>
      </c>
      <c r="AV211" s="17"/>
      <c r="AW211" s="17">
        <v>3019</v>
      </c>
      <c r="AX211" s="17"/>
      <c r="AY211" t="s">
        <v>92</v>
      </c>
      <c r="AZ211" t="s">
        <v>92</v>
      </c>
      <c r="BA211" t="s">
        <v>92</v>
      </c>
      <c r="BB211" t="s">
        <v>92</v>
      </c>
      <c r="BC211" t="s">
        <v>92</v>
      </c>
      <c r="BD211" t="s">
        <v>92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92</v>
      </c>
      <c r="BM211" t="s">
        <v>92</v>
      </c>
      <c r="BN211" t="s">
        <v>92</v>
      </c>
      <c r="BO211" t="s">
        <v>92</v>
      </c>
      <c r="BP211" t="s">
        <v>92</v>
      </c>
      <c r="BQ211" t="s">
        <v>92</v>
      </c>
      <c r="BR211" t="s">
        <v>92</v>
      </c>
      <c r="BS211" t="s">
        <v>92</v>
      </c>
      <c r="BT211" t="s">
        <v>92</v>
      </c>
      <c r="BU211" t="s">
        <v>92</v>
      </c>
      <c r="BV211" t="s">
        <v>92</v>
      </c>
      <c r="BW211" t="s">
        <v>92</v>
      </c>
      <c r="BX211" t="s">
        <v>92</v>
      </c>
      <c r="BY211" t="str">
        <f>IF(COUNTIF('Data Upload-prod'!E:E,F211)=0,"Missing","Exist")</f>
        <v>Exist</v>
      </c>
    </row>
    <row r="212" hidden="1" spans="1:77">
      <c r="A212" s="16">
        <v>45006</v>
      </c>
      <c r="B212" s="16">
        <v>45194</v>
      </c>
      <c r="C212" t="s">
        <v>132</v>
      </c>
      <c r="D212" t="s">
        <v>120</v>
      </c>
      <c r="E212" t="s">
        <v>548</v>
      </c>
      <c r="F212" t="s">
        <v>549</v>
      </c>
      <c r="G212" t="s">
        <v>81</v>
      </c>
      <c r="H212" t="s">
        <v>484</v>
      </c>
      <c r="I212" t="s">
        <v>83</v>
      </c>
      <c r="J212" s="17">
        <v>61.99</v>
      </c>
      <c r="K212" s="17">
        <v>1889.67</v>
      </c>
      <c r="L212" s="17">
        <v>1408.29</v>
      </c>
      <c r="M212" t="s">
        <v>84</v>
      </c>
      <c r="N212" t="s">
        <v>84</v>
      </c>
      <c r="O212" t="s">
        <v>84</v>
      </c>
      <c r="P212" t="s">
        <v>84</v>
      </c>
      <c r="Q212" s="17">
        <v>12663747.75</v>
      </c>
      <c r="R212" s="17">
        <v>32.59</v>
      </c>
      <c r="S212" t="s">
        <v>85</v>
      </c>
      <c r="T212" t="s">
        <v>84</v>
      </c>
      <c r="U212" t="s">
        <v>86</v>
      </c>
      <c r="V212" s="16">
        <v>45085</v>
      </c>
      <c r="W212" s="18">
        <v>45085.7916666667</v>
      </c>
      <c r="X212" s="18">
        <v>45159</v>
      </c>
      <c r="Y212" s="17">
        <v>1801.31</v>
      </c>
      <c r="Z212" t="s">
        <v>87</v>
      </c>
      <c r="AA212" s="17">
        <v>1890.28</v>
      </c>
      <c r="AB212" s="17">
        <v>1407.25</v>
      </c>
      <c r="AC212" t="s">
        <v>84</v>
      </c>
      <c r="AD212" t="s">
        <v>84</v>
      </c>
      <c r="AE212" t="s">
        <v>84</v>
      </c>
      <c r="AF212" t="s">
        <v>84</v>
      </c>
      <c r="AG212" s="17">
        <v>12425238.07</v>
      </c>
      <c r="AH212" s="17">
        <v>34.43</v>
      </c>
      <c r="AI212" s="17">
        <v>14.19</v>
      </c>
      <c r="AJ212" s="17">
        <v>13.98</v>
      </c>
      <c r="AK212" t="s">
        <v>208</v>
      </c>
      <c r="AM212" s="17">
        <v>2.2</v>
      </c>
      <c r="AN212" s="17"/>
      <c r="AO212" s="17">
        <v>830</v>
      </c>
      <c r="AP212" s="17"/>
      <c r="AQ212" s="17">
        <v>1790</v>
      </c>
      <c r="AR212" s="17"/>
      <c r="AS212" s="17">
        <v>2.07</v>
      </c>
      <c r="AT212" s="17"/>
      <c r="AU212" s="17">
        <v>726</v>
      </c>
      <c r="AV212" s="17"/>
      <c r="AW212" s="17">
        <v>1598</v>
      </c>
      <c r="AX212" s="17"/>
      <c r="AY212" t="s">
        <v>92</v>
      </c>
      <c r="AZ212" t="s">
        <v>92</v>
      </c>
      <c r="BA212" t="s">
        <v>92</v>
      </c>
      <c r="BB212" t="s">
        <v>92</v>
      </c>
      <c r="BC212" t="s">
        <v>92</v>
      </c>
      <c r="BD212" s="17">
        <v>17.93</v>
      </c>
      <c r="BE212" s="17">
        <v>6221410.13</v>
      </c>
      <c r="BF212" t="s">
        <v>92</v>
      </c>
      <c r="BG212" t="s">
        <v>92</v>
      </c>
      <c r="BH212" t="s">
        <v>93</v>
      </c>
      <c r="BI212" t="s">
        <v>94</v>
      </c>
      <c r="BJ212" t="s">
        <v>215</v>
      </c>
      <c r="BK212" t="s">
        <v>85</v>
      </c>
      <c r="BL212" t="s">
        <v>85</v>
      </c>
      <c r="BM212" t="s">
        <v>96</v>
      </c>
      <c r="BN212" t="s">
        <v>174</v>
      </c>
      <c r="BO212" t="s">
        <v>98</v>
      </c>
      <c r="BP212" t="s">
        <v>103</v>
      </c>
      <c r="BQ212" s="17">
        <v>1267</v>
      </c>
      <c r="BR212" t="s">
        <v>138</v>
      </c>
      <c r="BS212" t="s">
        <v>92</v>
      </c>
      <c r="BT212" t="s">
        <v>550</v>
      </c>
      <c r="BU212" s="17">
        <v>9.3</v>
      </c>
      <c r="BV212" t="s">
        <v>191</v>
      </c>
      <c r="BW212" t="s">
        <v>85</v>
      </c>
      <c r="BX212" t="s">
        <v>85</v>
      </c>
      <c r="BY212" t="str">
        <f>IF(COUNTIF('Data Upload-prod'!E:E,F212)=0,"Missing","Exist")</f>
        <v>Exist</v>
      </c>
    </row>
    <row r="213" hidden="1" spans="1:77">
      <c r="A213" s="16">
        <v>45006</v>
      </c>
      <c r="B213" s="16">
        <v>45560</v>
      </c>
      <c r="C213" t="s">
        <v>132</v>
      </c>
      <c r="D213" t="s">
        <v>78</v>
      </c>
      <c r="E213" t="s">
        <v>422</v>
      </c>
      <c r="F213" t="s">
        <v>551</v>
      </c>
      <c r="G213" t="s">
        <v>145</v>
      </c>
      <c r="H213" t="s">
        <v>514</v>
      </c>
      <c r="I213" t="s">
        <v>124</v>
      </c>
      <c r="J213" s="17">
        <v>68.5</v>
      </c>
      <c r="K213" s="17">
        <v>4072</v>
      </c>
      <c r="L213" s="17">
        <v>3555</v>
      </c>
      <c r="M213" s="17">
        <v>20963136.65</v>
      </c>
      <c r="N213" s="17">
        <v>23832210.87</v>
      </c>
      <c r="O213" s="17">
        <v>39.22</v>
      </c>
      <c r="P213" s="17">
        <v>45.58</v>
      </c>
      <c r="Q213" t="s">
        <v>84</v>
      </c>
      <c r="R213" t="s">
        <v>84</v>
      </c>
      <c r="S213" t="s">
        <v>85</v>
      </c>
      <c r="T213" t="s">
        <v>84</v>
      </c>
      <c r="U213" t="s">
        <v>84</v>
      </c>
      <c r="V213" s="16">
        <v>45337.6458333333</v>
      </c>
      <c r="W213" s="18">
        <v>45337.6458333333</v>
      </c>
      <c r="X213" s="18">
        <v>45503.7291666667</v>
      </c>
      <c r="Y213" s="17">
        <v>3083.2</v>
      </c>
      <c r="Z213" t="s">
        <v>87</v>
      </c>
      <c r="AA213" s="17">
        <v>3196</v>
      </c>
      <c r="AB213" s="17">
        <v>3195.6</v>
      </c>
      <c r="AC213" t="s">
        <v>84</v>
      </c>
      <c r="AD213" s="17">
        <v>60572716</v>
      </c>
      <c r="AE213" t="s">
        <v>84</v>
      </c>
      <c r="AF213" s="17">
        <v>112.94</v>
      </c>
      <c r="AG213" t="s">
        <v>84</v>
      </c>
      <c r="AH213" t="s">
        <v>84</v>
      </c>
      <c r="AI213" s="17">
        <v>18.05</v>
      </c>
      <c r="AJ213" s="17">
        <v>8.24</v>
      </c>
      <c r="AK213" t="s">
        <v>374</v>
      </c>
      <c r="AM213" s="17">
        <v>5</v>
      </c>
      <c r="AN213" s="17"/>
      <c r="AO213" s="17">
        <v>2360</v>
      </c>
      <c r="AP213" s="17"/>
      <c r="AQ213" s="17">
        <v>4280</v>
      </c>
      <c r="AR213" s="17"/>
      <c r="AS213" s="17">
        <v>4.09</v>
      </c>
      <c r="AT213" s="17"/>
      <c r="AU213" s="17">
        <v>1912</v>
      </c>
      <c r="AV213" s="17"/>
      <c r="AW213" s="17">
        <v>4053</v>
      </c>
      <c r="AX213" s="17"/>
      <c r="AY213" t="s">
        <v>92</v>
      </c>
      <c r="AZ213" t="s">
        <v>92</v>
      </c>
      <c r="BA213" t="s">
        <v>92</v>
      </c>
      <c r="BB213" t="s">
        <v>92</v>
      </c>
      <c r="BC213" t="s">
        <v>92</v>
      </c>
      <c r="BD213" t="s">
        <v>92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92</v>
      </c>
      <c r="BM213" t="s">
        <v>92</v>
      </c>
      <c r="BN213" t="s">
        <v>92</v>
      </c>
      <c r="BO213" t="s">
        <v>92</v>
      </c>
      <c r="BP213" t="s">
        <v>92</v>
      </c>
      <c r="BQ213" t="s">
        <v>92</v>
      </c>
      <c r="BR213" t="s">
        <v>92</v>
      </c>
      <c r="BS213" t="s">
        <v>92</v>
      </c>
      <c r="BT213" t="s">
        <v>92</v>
      </c>
      <c r="BU213" t="s">
        <v>92</v>
      </c>
      <c r="BV213" t="s">
        <v>92</v>
      </c>
      <c r="BW213" t="s">
        <v>92</v>
      </c>
      <c r="BX213" t="s">
        <v>92</v>
      </c>
      <c r="BY213" t="str">
        <f>IF(COUNTIF('Data Upload-prod'!E:E,F213)=0,"Missing","Exist")</f>
        <v>Exist</v>
      </c>
    </row>
    <row r="214" hidden="1" spans="1:77">
      <c r="A214" s="16">
        <v>45006</v>
      </c>
      <c r="B214" s="16">
        <v>45176</v>
      </c>
      <c r="C214" t="s">
        <v>132</v>
      </c>
      <c r="D214" t="s">
        <v>120</v>
      </c>
      <c r="E214" t="s">
        <v>548</v>
      </c>
      <c r="F214" t="s">
        <v>552</v>
      </c>
      <c r="G214" t="s">
        <v>81</v>
      </c>
      <c r="H214" t="s">
        <v>484</v>
      </c>
      <c r="I214" t="s">
        <v>83</v>
      </c>
      <c r="J214" s="17">
        <v>61.99</v>
      </c>
      <c r="K214" s="17">
        <v>1960.99</v>
      </c>
      <c r="L214" s="17">
        <v>1067.75</v>
      </c>
      <c r="M214" t="s">
        <v>84</v>
      </c>
      <c r="N214" t="s">
        <v>84</v>
      </c>
      <c r="O214" t="s">
        <v>84</v>
      </c>
      <c r="P214" t="s">
        <v>84</v>
      </c>
      <c r="Q214" s="17">
        <v>13470000</v>
      </c>
      <c r="R214" s="17">
        <v>32.39</v>
      </c>
      <c r="S214" t="s">
        <v>85</v>
      </c>
      <c r="T214" t="s">
        <v>84</v>
      </c>
      <c r="U214" t="s">
        <v>86</v>
      </c>
      <c r="V214" s="16">
        <v>45100</v>
      </c>
      <c r="W214" s="18">
        <v>45099.875</v>
      </c>
      <c r="X214" s="18">
        <v>45142.59375</v>
      </c>
      <c r="Y214" s="17">
        <v>1849.47</v>
      </c>
      <c r="Z214" t="s">
        <v>87</v>
      </c>
      <c r="AA214" s="17">
        <v>1938.43</v>
      </c>
      <c r="AB214" s="17">
        <v>1091.98</v>
      </c>
      <c r="AC214" t="s">
        <v>84</v>
      </c>
      <c r="AD214" t="s">
        <v>84</v>
      </c>
      <c r="AE214" t="s">
        <v>84</v>
      </c>
      <c r="AF214" t="s">
        <v>84</v>
      </c>
      <c r="AG214" s="17">
        <v>12980342.74</v>
      </c>
      <c r="AH214" s="17">
        <v>32.14</v>
      </c>
      <c r="AI214" s="17">
        <v>4.31</v>
      </c>
      <c r="AJ214" s="17">
        <v>3.4</v>
      </c>
      <c r="AK214" t="s">
        <v>208</v>
      </c>
      <c r="AM214" s="17">
        <v>2.2</v>
      </c>
      <c r="AN214" s="17"/>
      <c r="AO214" s="17">
        <v>830</v>
      </c>
      <c r="AP214" s="17"/>
      <c r="AQ214" s="17">
        <v>1790</v>
      </c>
      <c r="AR214" s="17"/>
      <c r="AS214" s="17">
        <v>1.74</v>
      </c>
      <c r="AT214" s="17"/>
      <c r="AU214" s="17">
        <v>667</v>
      </c>
      <c r="AV214" s="17"/>
      <c r="AW214" s="17">
        <v>1668</v>
      </c>
      <c r="AX214" s="17"/>
      <c r="AY214" t="s">
        <v>92</v>
      </c>
      <c r="AZ214" t="s">
        <v>92</v>
      </c>
      <c r="BA214" t="s">
        <v>92</v>
      </c>
      <c r="BB214" t="s">
        <v>92</v>
      </c>
      <c r="BC214" t="s">
        <v>92</v>
      </c>
      <c r="BD214" s="17">
        <v>16.5</v>
      </c>
      <c r="BE214" s="17">
        <v>6915685.45</v>
      </c>
      <c r="BF214" t="s">
        <v>92</v>
      </c>
      <c r="BG214" t="s">
        <v>92</v>
      </c>
      <c r="BH214" t="s">
        <v>93</v>
      </c>
      <c r="BI214" t="s">
        <v>94</v>
      </c>
      <c r="BJ214" t="s">
        <v>215</v>
      </c>
      <c r="BK214" t="s">
        <v>85</v>
      </c>
      <c r="BL214" t="s">
        <v>85</v>
      </c>
      <c r="BM214" t="s">
        <v>96</v>
      </c>
      <c r="BN214" t="s">
        <v>174</v>
      </c>
      <c r="BO214" t="s">
        <v>98</v>
      </c>
      <c r="BP214" t="s">
        <v>103</v>
      </c>
      <c r="BQ214" s="17">
        <v>729</v>
      </c>
      <c r="BR214" t="s">
        <v>138</v>
      </c>
      <c r="BS214" t="s">
        <v>92</v>
      </c>
      <c r="BT214" t="s">
        <v>550</v>
      </c>
      <c r="BU214" s="17">
        <v>9.3</v>
      </c>
      <c r="BV214" t="s">
        <v>191</v>
      </c>
      <c r="BW214" t="s">
        <v>85</v>
      </c>
      <c r="BX214" t="s">
        <v>341</v>
      </c>
      <c r="BY214" t="str">
        <f>IF(COUNTIF('Data Upload-prod'!E:E,F214)=0,"Missing","Exist")</f>
        <v>Exist</v>
      </c>
    </row>
    <row r="215" hidden="1" spans="1:77">
      <c r="A215" s="16">
        <v>45005</v>
      </c>
      <c r="B215" t="s">
        <v>84</v>
      </c>
      <c r="C215" t="s">
        <v>132</v>
      </c>
      <c r="D215" t="s">
        <v>120</v>
      </c>
      <c r="E215" t="s">
        <v>553</v>
      </c>
      <c r="F215" t="s">
        <v>554</v>
      </c>
      <c r="G215" t="s">
        <v>145</v>
      </c>
      <c r="H215" t="s">
        <v>319</v>
      </c>
      <c r="I215" t="s">
        <v>231</v>
      </c>
      <c r="J215" s="17">
        <v>113.7</v>
      </c>
      <c r="K215" s="17">
        <v>1389</v>
      </c>
      <c r="L215" s="17">
        <v>1330</v>
      </c>
      <c r="M215" s="17">
        <v>17990000</v>
      </c>
      <c r="N215" s="17">
        <v>24650000</v>
      </c>
      <c r="O215" s="17">
        <v>39.67</v>
      </c>
      <c r="P215" s="17">
        <v>56.78</v>
      </c>
      <c r="Q215" t="s">
        <v>84</v>
      </c>
      <c r="R215" t="s">
        <v>84</v>
      </c>
      <c r="S215" t="s">
        <v>85</v>
      </c>
      <c r="T215" t="s">
        <v>84</v>
      </c>
      <c r="U215" t="s">
        <v>84</v>
      </c>
      <c r="V215" s="16">
        <v>45024</v>
      </c>
      <c r="W215" s="18">
        <v>45020.9479166667</v>
      </c>
      <c r="X215" s="18">
        <v>45072.0520833333</v>
      </c>
      <c r="Y215" s="17">
        <v>1268.3</v>
      </c>
      <c r="Z215" t="s">
        <v>87</v>
      </c>
      <c r="AA215" s="17">
        <v>1410</v>
      </c>
      <c r="AB215" s="17">
        <v>1330.12</v>
      </c>
      <c r="AC215" t="s">
        <v>84</v>
      </c>
      <c r="AD215" s="17">
        <v>12088893.22</v>
      </c>
      <c r="AE215" t="s">
        <v>84</v>
      </c>
      <c r="AF215" s="17">
        <v>26.68</v>
      </c>
      <c r="AG215" t="s">
        <v>84</v>
      </c>
      <c r="AH215" t="s">
        <v>84</v>
      </c>
      <c r="AI215" s="17">
        <v>2.49</v>
      </c>
      <c r="AJ215" s="17">
        <v>2.49</v>
      </c>
      <c r="AK215" t="s">
        <v>295</v>
      </c>
      <c r="AM215" s="17">
        <v>2.7</v>
      </c>
      <c r="AN215" s="17"/>
      <c r="AO215" s="17">
        <v>1490</v>
      </c>
      <c r="AP215" s="17"/>
      <c r="AQ215" s="17">
        <v>2760</v>
      </c>
      <c r="AR215" s="17"/>
      <c r="AS215" s="17">
        <v>2.85</v>
      </c>
      <c r="AT215" s="17"/>
      <c r="AU215" s="17">
        <v>1392</v>
      </c>
      <c r="AV215" s="17"/>
      <c r="AW215" s="17">
        <v>2436</v>
      </c>
      <c r="AX215" s="17"/>
      <c r="AY215" t="s">
        <v>92</v>
      </c>
      <c r="AZ215" t="s">
        <v>92</v>
      </c>
      <c r="BA215" t="s">
        <v>92</v>
      </c>
      <c r="BB215" t="s">
        <v>92</v>
      </c>
      <c r="BC215" t="s">
        <v>92</v>
      </c>
      <c r="BD215" t="s">
        <v>92</v>
      </c>
      <c r="BE215" t="s">
        <v>92</v>
      </c>
      <c r="BF215" t="s">
        <v>92</v>
      </c>
      <c r="BG215" t="s">
        <v>92</v>
      </c>
      <c r="BH215" t="s">
        <v>92</v>
      </c>
      <c r="BI215" t="s">
        <v>92</v>
      </c>
      <c r="BJ215" t="s">
        <v>92</v>
      </c>
      <c r="BK215" t="s">
        <v>92</v>
      </c>
      <c r="BL215" t="s">
        <v>92</v>
      </c>
      <c r="BM215" t="s">
        <v>92</v>
      </c>
      <c r="BN215" t="s">
        <v>92</v>
      </c>
      <c r="BO215" t="s">
        <v>92</v>
      </c>
      <c r="BP215" t="s">
        <v>92</v>
      </c>
      <c r="BQ215" t="s">
        <v>92</v>
      </c>
      <c r="BR215" t="s">
        <v>92</v>
      </c>
      <c r="BS215" t="s">
        <v>92</v>
      </c>
      <c r="BT215" t="s">
        <v>92</v>
      </c>
      <c r="BU215" t="s">
        <v>92</v>
      </c>
      <c r="BV215" t="s">
        <v>92</v>
      </c>
      <c r="BW215" t="s">
        <v>92</v>
      </c>
      <c r="BX215" t="s">
        <v>92</v>
      </c>
      <c r="BY215" t="str">
        <f>IF(COUNTIF('Data Upload-prod'!E:E,F215)=0,"Missing","Exist")</f>
        <v>Exist</v>
      </c>
    </row>
    <row r="216" hidden="1" spans="1:77">
      <c r="A216" s="16">
        <v>44995</v>
      </c>
      <c r="B216" s="16">
        <v>45132</v>
      </c>
      <c r="C216" t="s">
        <v>360</v>
      </c>
      <c r="D216" t="s">
        <v>78</v>
      </c>
      <c r="E216" t="s">
        <v>555</v>
      </c>
      <c r="F216" t="s">
        <v>556</v>
      </c>
      <c r="G216" t="s">
        <v>145</v>
      </c>
      <c r="H216" t="s">
        <v>289</v>
      </c>
      <c r="I216" t="s">
        <v>124</v>
      </c>
      <c r="J216" s="17">
        <v>77.8</v>
      </c>
      <c r="K216" s="17">
        <v>3421</v>
      </c>
      <c r="L216" s="17">
        <v>2672</v>
      </c>
      <c r="M216" s="17">
        <v>9930000</v>
      </c>
      <c r="N216" s="17">
        <v>12270000</v>
      </c>
      <c r="O216" s="17">
        <v>27.43</v>
      </c>
      <c r="P216" s="17">
        <v>34.16</v>
      </c>
      <c r="Q216" t="s">
        <v>84</v>
      </c>
      <c r="R216" t="s">
        <v>84</v>
      </c>
      <c r="S216" t="s">
        <v>85</v>
      </c>
      <c r="T216" t="s">
        <v>84</v>
      </c>
      <c r="U216" t="s">
        <v>84</v>
      </c>
      <c r="V216" s="16">
        <v>45016</v>
      </c>
      <c r="W216" s="18">
        <v>45008</v>
      </c>
      <c r="X216" s="18">
        <v>45038</v>
      </c>
      <c r="Y216" s="17">
        <v>3365.3</v>
      </c>
      <c r="Z216" t="s">
        <v>87</v>
      </c>
      <c r="AA216" s="17">
        <v>3478</v>
      </c>
      <c r="AB216" s="17">
        <v>2709</v>
      </c>
      <c r="AC216" t="s">
        <v>84</v>
      </c>
      <c r="AD216" s="17">
        <v>10340000</v>
      </c>
      <c r="AE216" t="s">
        <v>84</v>
      </c>
      <c r="AF216" s="17">
        <v>30.08</v>
      </c>
      <c r="AG216" t="s">
        <v>84</v>
      </c>
      <c r="AH216" t="s">
        <v>84</v>
      </c>
      <c r="AI216" s="17">
        <v>3.42</v>
      </c>
      <c r="AJ216" s="17">
        <v>3.42</v>
      </c>
      <c r="AK216" t="s">
        <v>300</v>
      </c>
      <c r="AM216" s="17">
        <v>1.9</v>
      </c>
      <c r="AN216" s="17"/>
      <c r="AO216" s="17">
        <v>720</v>
      </c>
      <c r="AP216" s="17"/>
      <c r="AQ216" s="17">
        <v>1370</v>
      </c>
      <c r="AR216" s="17"/>
      <c r="AS216" s="17">
        <v>1.12</v>
      </c>
      <c r="AT216" s="17"/>
      <c r="AU216" s="17">
        <v>436</v>
      </c>
      <c r="AV216" s="17"/>
      <c r="AW216" s="17">
        <v>936</v>
      </c>
      <c r="AX216" s="17"/>
      <c r="AY216" t="s">
        <v>92</v>
      </c>
      <c r="AZ216" t="s">
        <v>92</v>
      </c>
      <c r="BA216" t="s">
        <v>92</v>
      </c>
      <c r="BB216" t="s">
        <v>92</v>
      </c>
      <c r="BC216" t="s">
        <v>92</v>
      </c>
      <c r="BD216" t="s">
        <v>92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92</v>
      </c>
      <c r="BM216" t="s">
        <v>92</v>
      </c>
      <c r="BN216" t="s">
        <v>92</v>
      </c>
      <c r="BO216" t="s">
        <v>92</v>
      </c>
      <c r="BP216" t="s">
        <v>92</v>
      </c>
      <c r="BQ216" t="s">
        <v>92</v>
      </c>
      <c r="BR216" t="s">
        <v>92</v>
      </c>
      <c r="BS216" t="s">
        <v>92</v>
      </c>
      <c r="BT216" t="s">
        <v>92</v>
      </c>
      <c r="BU216" t="s">
        <v>92</v>
      </c>
      <c r="BV216" t="s">
        <v>92</v>
      </c>
      <c r="BW216" t="s">
        <v>92</v>
      </c>
      <c r="BX216" t="s">
        <v>92</v>
      </c>
      <c r="BY216" t="str">
        <f>IF(COUNTIF('Data Upload-prod'!E:E,F216)=0,"Missing","Exist")</f>
        <v>Exist</v>
      </c>
    </row>
    <row r="217" hidden="1" spans="1:77">
      <c r="A217" s="16">
        <v>44988</v>
      </c>
      <c r="B217" t="s">
        <v>84</v>
      </c>
      <c r="C217" t="s">
        <v>141</v>
      </c>
      <c r="D217" t="s">
        <v>120</v>
      </c>
      <c r="E217" t="s">
        <v>557</v>
      </c>
      <c r="F217" t="s">
        <v>558</v>
      </c>
      <c r="G217" t="s">
        <v>145</v>
      </c>
      <c r="H217" t="s">
        <v>202</v>
      </c>
      <c r="I217" t="s">
        <v>124</v>
      </c>
      <c r="J217" s="17">
        <v>87.6</v>
      </c>
      <c r="K217" s="17">
        <v>2390.73</v>
      </c>
      <c r="L217" s="17">
        <v>2390.73</v>
      </c>
      <c r="M217" s="17">
        <v>13300000</v>
      </c>
      <c r="N217" s="17">
        <v>15500000</v>
      </c>
      <c r="O217" s="17">
        <v>34.12</v>
      </c>
      <c r="P217" s="17">
        <v>42.68</v>
      </c>
      <c r="Q217" t="s">
        <v>84</v>
      </c>
      <c r="R217" t="s">
        <v>84</v>
      </c>
      <c r="S217" t="s">
        <v>85</v>
      </c>
      <c r="T217" t="s">
        <v>84</v>
      </c>
      <c r="U217" t="s">
        <v>84</v>
      </c>
      <c r="V217" s="16">
        <v>45041</v>
      </c>
      <c r="W217" s="18">
        <v>45037.8958333333</v>
      </c>
      <c r="X217" s="18">
        <v>45073.7708333333</v>
      </c>
      <c r="Y217" s="17">
        <v>2334.84</v>
      </c>
      <c r="Z217" t="s">
        <v>87</v>
      </c>
      <c r="AA217" s="17">
        <v>2453.83</v>
      </c>
      <c r="AB217" s="17">
        <v>2453.25</v>
      </c>
      <c r="AC217" t="s">
        <v>84</v>
      </c>
      <c r="AD217" s="17">
        <v>13725270</v>
      </c>
      <c r="AE217" t="s">
        <v>84</v>
      </c>
      <c r="AF217" s="17">
        <v>35.88</v>
      </c>
      <c r="AG217" t="s">
        <v>84</v>
      </c>
      <c r="AH217" t="s">
        <v>84</v>
      </c>
      <c r="AI217" s="17">
        <v>2.5</v>
      </c>
      <c r="AJ217" s="17">
        <v>2.5</v>
      </c>
      <c r="AK217" t="s">
        <v>323</v>
      </c>
      <c r="AM217" s="17">
        <v>4.4</v>
      </c>
      <c r="AN217" s="17"/>
      <c r="AO217" s="17">
        <v>1980</v>
      </c>
      <c r="AP217" s="17"/>
      <c r="AQ217" s="17">
        <v>2760</v>
      </c>
      <c r="AR217" s="17"/>
      <c r="AS217" s="17">
        <v>2.79</v>
      </c>
      <c r="AT217" s="17"/>
      <c r="AU217" s="17">
        <v>1236</v>
      </c>
      <c r="AV217" s="17"/>
      <c r="AW217" s="17">
        <v>1792</v>
      </c>
      <c r="AX217" s="17"/>
      <c r="AY217" t="s">
        <v>92</v>
      </c>
      <c r="AZ217" t="s">
        <v>92</v>
      </c>
      <c r="BA217" t="s">
        <v>92</v>
      </c>
      <c r="BB217" t="s">
        <v>92</v>
      </c>
      <c r="BC217" t="s">
        <v>92</v>
      </c>
      <c r="BD217" t="s">
        <v>92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92</v>
      </c>
      <c r="BM217" t="s">
        <v>92</v>
      </c>
      <c r="BN217" t="s">
        <v>92</v>
      </c>
      <c r="BO217" t="s">
        <v>92</v>
      </c>
      <c r="BP217" t="s">
        <v>92</v>
      </c>
      <c r="BQ217" t="s">
        <v>92</v>
      </c>
      <c r="BR217" t="s">
        <v>92</v>
      </c>
      <c r="BS217" t="s">
        <v>92</v>
      </c>
      <c r="BT217" t="s">
        <v>92</v>
      </c>
      <c r="BU217" t="s">
        <v>92</v>
      </c>
      <c r="BV217" t="s">
        <v>92</v>
      </c>
      <c r="BW217" t="s">
        <v>92</v>
      </c>
      <c r="BX217" t="s">
        <v>92</v>
      </c>
      <c r="BY217" t="str">
        <f>IF(COUNTIF('Data Upload-prod'!E:E,F217)=0,"Missing","Exist")</f>
        <v>Exist</v>
      </c>
    </row>
    <row r="218" hidden="1" spans="1:77">
      <c r="A218" s="16">
        <v>44973</v>
      </c>
      <c r="B218" s="16">
        <v>45107</v>
      </c>
      <c r="C218" t="s">
        <v>346</v>
      </c>
      <c r="D218" t="s">
        <v>78</v>
      </c>
      <c r="E218" t="s">
        <v>559</v>
      </c>
      <c r="F218" t="s">
        <v>560</v>
      </c>
      <c r="G218" t="s">
        <v>81</v>
      </c>
      <c r="H218" t="s">
        <v>154</v>
      </c>
      <c r="I218" t="s">
        <v>124</v>
      </c>
      <c r="J218" s="17">
        <v>58</v>
      </c>
      <c r="K218" s="17">
        <v>6000</v>
      </c>
      <c r="L218" s="17">
        <v>2388.88</v>
      </c>
      <c r="M218" t="s">
        <v>84</v>
      </c>
      <c r="N218" t="s">
        <v>84</v>
      </c>
      <c r="O218" t="s">
        <v>84</v>
      </c>
      <c r="P218" t="s">
        <v>84</v>
      </c>
      <c r="Q218" s="17">
        <v>18133000</v>
      </c>
      <c r="R218" s="17">
        <v>42.1</v>
      </c>
      <c r="S218" t="s">
        <v>85</v>
      </c>
      <c r="T218" t="s">
        <v>84</v>
      </c>
      <c r="U218" t="s">
        <v>86</v>
      </c>
      <c r="V218" s="16">
        <v>45007</v>
      </c>
      <c r="W218" s="18">
        <v>45007.375</v>
      </c>
      <c r="X218" s="18">
        <v>45045</v>
      </c>
      <c r="Y218" s="17">
        <v>5899.27</v>
      </c>
      <c r="Z218" t="s">
        <v>87</v>
      </c>
      <c r="AA218" s="17">
        <v>6000</v>
      </c>
      <c r="AB218" s="17">
        <v>2389.95</v>
      </c>
      <c r="AC218" t="s">
        <v>84</v>
      </c>
      <c r="AD218" t="s">
        <v>84</v>
      </c>
      <c r="AE218" t="s">
        <v>84</v>
      </c>
      <c r="AF218" t="s">
        <v>84</v>
      </c>
      <c r="AG218" s="17">
        <v>15635000</v>
      </c>
      <c r="AH218" s="17">
        <v>37.63</v>
      </c>
      <c r="AI218" s="17">
        <v>0</v>
      </c>
      <c r="AJ218" s="17">
        <v>0</v>
      </c>
      <c r="AK218" t="s">
        <v>114</v>
      </c>
      <c r="AM218" s="17">
        <v>2.2</v>
      </c>
      <c r="AN218" s="17"/>
      <c r="AO218" s="17">
        <v>915</v>
      </c>
      <c r="AP218" s="17"/>
      <c r="AQ218" s="17">
        <v>1290</v>
      </c>
      <c r="AR218" s="17"/>
      <c r="AS218" s="17">
        <v>1.44</v>
      </c>
      <c r="AT218" s="17"/>
      <c r="AU218" s="17">
        <v>505.2</v>
      </c>
      <c r="AV218" s="17"/>
      <c r="AW218" s="17">
        <v>799.9</v>
      </c>
      <c r="AX218" s="17"/>
      <c r="AY218" t="s">
        <v>92</v>
      </c>
      <c r="AZ218" t="s">
        <v>92</v>
      </c>
      <c r="BA218" t="s">
        <v>92</v>
      </c>
      <c r="BB218" t="s">
        <v>92</v>
      </c>
      <c r="BC218" t="s">
        <v>92</v>
      </c>
      <c r="BD218" s="17">
        <v>7.09</v>
      </c>
      <c r="BE218" s="17">
        <v>5185292</v>
      </c>
      <c r="BF218" s="17">
        <v>0.36</v>
      </c>
      <c r="BG218" s="17">
        <v>263.4</v>
      </c>
      <c r="BH218" t="s">
        <v>93</v>
      </c>
      <c r="BI218" t="s">
        <v>94</v>
      </c>
      <c r="BJ218" t="s">
        <v>95</v>
      </c>
      <c r="BK218" t="s">
        <v>85</v>
      </c>
      <c r="BL218" t="s">
        <v>85</v>
      </c>
      <c r="BM218" t="s">
        <v>159</v>
      </c>
      <c r="BN218" t="s">
        <v>97</v>
      </c>
      <c r="BO218" t="s">
        <v>98</v>
      </c>
      <c r="BP218" t="s">
        <v>99</v>
      </c>
      <c r="BQ218" s="17">
        <v>116</v>
      </c>
      <c r="BR218" t="s">
        <v>100</v>
      </c>
      <c r="BS218" t="s">
        <v>92</v>
      </c>
      <c r="BT218" t="s">
        <v>99</v>
      </c>
      <c r="BU218" s="17">
        <v>6.8</v>
      </c>
      <c r="BV218" t="s">
        <v>101</v>
      </c>
      <c r="BW218" t="s">
        <v>85</v>
      </c>
      <c r="BX218" t="s">
        <v>85</v>
      </c>
      <c r="BY218" t="str">
        <f>IF(COUNTIF('Data Upload-prod'!E:E,F218)=0,"Missing","Exist")</f>
        <v>Exist</v>
      </c>
    </row>
    <row r="219" hidden="1" spans="1:77">
      <c r="A219" s="16">
        <v>44966</v>
      </c>
      <c r="B219" s="16">
        <v>45037</v>
      </c>
      <c r="C219" t="s">
        <v>141</v>
      </c>
      <c r="D219" t="s">
        <v>120</v>
      </c>
      <c r="E219" t="s">
        <v>561</v>
      </c>
      <c r="F219" t="s">
        <v>562</v>
      </c>
      <c r="G219" t="s">
        <v>145</v>
      </c>
      <c r="H219" t="s">
        <v>202</v>
      </c>
      <c r="I219" t="s">
        <v>124</v>
      </c>
      <c r="J219" s="17">
        <v>88.39</v>
      </c>
      <c r="K219" s="17">
        <v>2622.07</v>
      </c>
      <c r="L219" s="17">
        <v>2622.07</v>
      </c>
      <c r="M219" s="17">
        <v>12900000</v>
      </c>
      <c r="N219" s="17">
        <v>15120000</v>
      </c>
      <c r="O219" s="17">
        <v>34.7</v>
      </c>
      <c r="P219" s="17">
        <v>42.92</v>
      </c>
      <c r="Q219" t="s">
        <v>84</v>
      </c>
      <c r="R219" t="s">
        <v>84</v>
      </c>
      <c r="S219" t="s">
        <v>85</v>
      </c>
      <c r="T219" t="s">
        <v>84</v>
      </c>
      <c r="U219" t="s">
        <v>84</v>
      </c>
      <c r="V219" s="16">
        <v>45000</v>
      </c>
      <c r="W219" s="18">
        <v>44997</v>
      </c>
      <c r="X219" s="18">
        <v>45034</v>
      </c>
      <c r="Y219" s="17">
        <v>2159.71</v>
      </c>
      <c r="Z219" t="s">
        <v>87</v>
      </c>
      <c r="AA219" s="17">
        <v>2279.49</v>
      </c>
      <c r="AB219" s="17">
        <v>2278.88</v>
      </c>
      <c r="AC219" t="s">
        <v>84</v>
      </c>
      <c r="AD219" s="17">
        <v>14725820</v>
      </c>
      <c r="AE219" t="s">
        <v>84</v>
      </c>
      <c r="AF219" s="17">
        <v>40.11</v>
      </c>
      <c r="AG219" t="s">
        <v>84</v>
      </c>
      <c r="AH219" t="s">
        <v>84</v>
      </c>
      <c r="AI219" s="17">
        <v>4.44</v>
      </c>
      <c r="AJ219" s="17">
        <v>4.31</v>
      </c>
      <c r="AK219" t="s">
        <v>323</v>
      </c>
      <c r="AM219" s="17">
        <v>4.4</v>
      </c>
      <c r="AN219" s="17"/>
      <c r="AO219" s="17">
        <v>1980</v>
      </c>
      <c r="AP219" s="17"/>
      <c r="AQ219" s="17">
        <v>2760</v>
      </c>
      <c r="AR219" s="17"/>
      <c r="AS219" s="17">
        <v>3.67</v>
      </c>
      <c r="AT219" s="17"/>
      <c r="AU219" s="17">
        <v>1458</v>
      </c>
      <c r="AV219" s="17"/>
      <c r="AW219" s="17">
        <v>2078</v>
      </c>
      <c r="AX219" s="17"/>
      <c r="AY219" t="s">
        <v>92</v>
      </c>
      <c r="AZ219" t="s">
        <v>92</v>
      </c>
      <c r="BA219" t="s">
        <v>92</v>
      </c>
      <c r="BB219" t="s">
        <v>92</v>
      </c>
      <c r="BC219" t="s">
        <v>92</v>
      </c>
      <c r="BD219" t="s">
        <v>92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92</v>
      </c>
      <c r="BM219" t="s">
        <v>92</v>
      </c>
      <c r="BN219" t="s">
        <v>92</v>
      </c>
      <c r="BO219" t="s">
        <v>92</v>
      </c>
      <c r="BP219" t="s">
        <v>92</v>
      </c>
      <c r="BQ219" t="s">
        <v>92</v>
      </c>
      <c r="BR219" t="s">
        <v>92</v>
      </c>
      <c r="BS219" t="s">
        <v>92</v>
      </c>
      <c r="BT219" t="s">
        <v>92</v>
      </c>
      <c r="BU219" t="s">
        <v>92</v>
      </c>
      <c r="BV219" t="s">
        <v>92</v>
      </c>
      <c r="BW219" t="s">
        <v>92</v>
      </c>
      <c r="BX219" t="s">
        <v>92</v>
      </c>
      <c r="BY219" t="str">
        <f>IF(COUNTIF('Data Upload-prod'!E:E,F219)=0,"Missing","Exist")</f>
        <v>Exist</v>
      </c>
    </row>
    <row r="220" hidden="1" spans="1:77">
      <c r="A220" s="16">
        <v>44959</v>
      </c>
      <c r="B220" s="16">
        <v>45308</v>
      </c>
      <c r="C220" t="s">
        <v>360</v>
      </c>
      <c r="D220" t="s">
        <v>120</v>
      </c>
      <c r="E220" t="s">
        <v>361</v>
      </c>
      <c r="F220" t="s">
        <v>563</v>
      </c>
      <c r="G220" t="s">
        <v>145</v>
      </c>
      <c r="H220" t="s">
        <v>172</v>
      </c>
      <c r="I220" t="s">
        <v>124</v>
      </c>
      <c r="J220" s="17">
        <v>14.66</v>
      </c>
      <c r="K220" s="17">
        <v>771.87</v>
      </c>
      <c r="L220" s="17">
        <v>771.87</v>
      </c>
      <c r="M220" s="17">
        <v>12910000</v>
      </c>
      <c r="N220" s="17">
        <v>20530000</v>
      </c>
      <c r="O220" s="17">
        <v>29</v>
      </c>
      <c r="P220" s="17">
        <v>43.48</v>
      </c>
      <c r="Q220" t="s">
        <v>84</v>
      </c>
      <c r="R220" t="s">
        <v>84</v>
      </c>
      <c r="S220" t="s">
        <v>85</v>
      </c>
      <c r="T220" t="s">
        <v>84</v>
      </c>
      <c r="U220" t="s">
        <v>84</v>
      </c>
      <c r="V220" s="16">
        <v>45006.3854166667</v>
      </c>
      <c r="W220" s="18">
        <v>44998.2916666667</v>
      </c>
      <c r="X220" s="18">
        <v>45064.2083333333</v>
      </c>
      <c r="Y220" s="17">
        <v>747.3</v>
      </c>
      <c r="Z220" t="s">
        <v>87</v>
      </c>
      <c r="AA220" s="17">
        <v>771.87</v>
      </c>
      <c r="AB220" s="17">
        <v>771.53</v>
      </c>
      <c r="AC220" t="s">
        <v>84</v>
      </c>
      <c r="AD220" s="17">
        <v>27860000</v>
      </c>
      <c r="AE220" t="s">
        <v>84</v>
      </c>
      <c r="AF220" s="17">
        <v>65.92</v>
      </c>
      <c r="AG220" t="s">
        <v>84</v>
      </c>
      <c r="AH220" t="s">
        <v>84</v>
      </c>
      <c r="AI220" s="17">
        <v>6.84</v>
      </c>
      <c r="AJ220" s="17">
        <v>6.84</v>
      </c>
      <c r="AK220" t="s">
        <v>295</v>
      </c>
      <c r="AM220" s="17">
        <v>2.7</v>
      </c>
      <c r="AN220" s="17"/>
      <c r="AO220" s="17">
        <v>1490</v>
      </c>
      <c r="AP220" s="17"/>
      <c r="AQ220" s="17">
        <v>2760</v>
      </c>
      <c r="AR220" s="17"/>
      <c r="AS220" s="13" t="s">
        <v>150</v>
      </c>
      <c r="AT220" s="13"/>
      <c r="AU220" s="13" t="s">
        <v>150</v>
      </c>
      <c r="AW220" s="13" t="s">
        <v>150</v>
      </c>
      <c r="AY220" t="s">
        <v>92</v>
      </c>
      <c r="AZ220" t="s">
        <v>92</v>
      </c>
      <c r="BA220" t="s">
        <v>92</v>
      </c>
      <c r="BB220" t="s">
        <v>92</v>
      </c>
      <c r="BC220" t="s">
        <v>92</v>
      </c>
      <c r="BD220" t="s">
        <v>92</v>
      </c>
      <c r="BE220" t="s">
        <v>92</v>
      </c>
      <c r="BF220" t="s">
        <v>92</v>
      </c>
      <c r="BG220" t="s">
        <v>92</v>
      </c>
      <c r="BH220" t="s">
        <v>92</v>
      </c>
      <c r="BI220" t="s">
        <v>92</v>
      </c>
      <c r="BJ220" t="s">
        <v>92</v>
      </c>
      <c r="BK220" t="s">
        <v>92</v>
      </c>
      <c r="BL220" t="s">
        <v>92</v>
      </c>
      <c r="BM220" t="s">
        <v>92</v>
      </c>
      <c r="BN220" t="s">
        <v>92</v>
      </c>
      <c r="BO220" t="s">
        <v>92</v>
      </c>
      <c r="BP220" t="s">
        <v>92</v>
      </c>
      <c r="BQ220" t="s">
        <v>92</v>
      </c>
      <c r="BR220" t="s">
        <v>92</v>
      </c>
      <c r="BS220" t="s">
        <v>92</v>
      </c>
      <c r="BT220" t="s">
        <v>92</v>
      </c>
      <c r="BU220" t="s">
        <v>92</v>
      </c>
      <c r="BV220" t="s">
        <v>92</v>
      </c>
      <c r="BW220" t="s">
        <v>92</v>
      </c>
      <c r="BX220" t="s">
        <v>92</v>
      </c>
      <c r="BY220" t="str">
        <f>IF(COUNTIF('Data Upload-prod'!E:E,F220)=0,"Missing","Exist")</f>
        <v>Exist</v>
      </c>
    </row>
    <row r="221" hidden="1" spans="1:77">
      <c r="A221" s="16">
        <v>44952</v>
      </c>
      <c r="B221" s="16">
        <v>45076</v>
      </c>
      <c r="C221" t="s">
        <v>132</v>
      </c>
      <c r="D221" t="s">
        <v>120</v>
      </c>
      <c r="E221" t="s">
        <v>564</v>
      </c>
      <c r="F221" t="s">
        <v>565</v>
      </c>
      <c r="G221" t="s">
        <v>145</v>
      </c>
      <c r="H221" t="s">
        <v>319</v>
      </c>
      <c r="I221" t="s">
        <v>231</v>
      </c>
      <c r="J221" s="17">
        <v>117.9</v>
      </c>
      <c r="K221" s="17">
        <v>1668</v>
      </c>
      <c r="L221" s="17">
        <v>1668</v>
      </c>
      <c r="M221" s="17">
        <v>15960000</v>
      </c>
      <c r="N221" s="17">
        <v>21060000</v>
      </c>
      <c r="O221" s="17">
        <v>30.72</v>
      </c>
      <c r="P221" s="17">
        <v>45.49</v>
      </c>
      <c r="Q221" t="s">
        <v>84</v>
      </c>
      <c r="R221" t="s">
        <v>84</v>
      </c>
      <c r="S221" t="s">
        <v>85</v>
      </c>
      <c r="T221" t="s">
        <v>84</v>
      </c>
      <c r="U221" t="s">
        <v>84</v>
      </c>
      <c r="V221" s="16">
        <v>44967.75</v>
      </c>
      <c r="W221" s="18">
        <v>44961</v>
      </c>
      <c r="X221" s="18">
        <v>45020.9479166667</v>
      </c>
      <c r="Y221" s="17">
        <v>1522.1</v>
      </c>
      <c r="Z221" t="s">
        <v>87</v>
      </c>
      <c r="AA221" s="17">
        <v>1668</v>
      </c>
      <c r="AB221" s="17">
        <v>1668</v>
      </c>
      <c r="AC221" t="s">
        <v>84</v>
      </c>
      <c r="AD221" s="17">
        <v>23959210.31</v>
      </c>
      <c r="AE221" t="s">
        <v>84</v>
      </c>
      <c r="AF221" s="17">
        <v>59.2</v>
      </c>
      <c r="AG221" t="s">
        <v>84</v>
      </c>
      <c r="AH221" t="s">
        <v>84</v>
      </c>
      <c r="AI221" s="17">
        <v>6.84</v>
      </c>
      <c r="AJ221" s="17">
        <v>0.88</v>
      </c>
      <c r="AK221" t="s">
        <v>333</v>
      </c>
      <c r="AM221" s="17">
        <v>3.8</v>
      </c>
      <c r="AN221" s="17"/>
      <c r="AO221" s="17">
        <v>2125</v>
      </c>
      <c r="AP221" s="17"/>
      <c r="AQ221" s="17">
        <v>3315</v>
      </c>
      <c r="AR221" s="17"/>
      <c r="AS221" s="17">
        <v>3.17</v>
      </c>
      <c r="AT221" s="17"/>
      <c r="AU221" s="17">
        <v>1533</v>
      </c>
      <c r="AV221" s="17"/>
      <c r="AW221" s="17">
        <v>2282</v>
      </c>
      <c r="AX221" s="17"/>
      <c r="AY221" t="s">
        <v>92</v>
      </c>
      <c r="AZ221" t="s">
        <v>92</v>
      </c>
      <c r="BA221" t="s">
        <v>92</v>
      </c>
      <c r="BB221" t="s">
        <v>92</v>
      </c>
      <c r="BC221" t="s">
        <v>92</v>
      </c>
      <c r="BD221" t="s">
        <v>92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92</v>
      </c>
      <c r="BM221" t="s">
        <v>92</v>
      </c>
      <c r="BN221" t="s">
        <v>92</v>
      </c>
      <c r="BO221" t="s">
        <v>92</v>
      </c>
      <c r="BP221" t="s">
        <v>92</v>
      </c>
      <c r="BQ221" t="s">
        <v>92</v>
      </c>
      <c r="BR221" t="s">
        <v>92</v>
      </c>
      <c r="BS221" t="s">
        <v>92</v>
      </c>
      <c r="BT221" t="s">
        <v>92</v>
      </c>
      <c r="BU221" t="s">
        <v>92</v>
      </c>
      <c r="BV221" t="s">
        <v>92</v>
      </c>
      <c r="BW221" t="s">
        <v>92</v>
      </c>
      <c r="BX221" t="s">
        <v>92</v>
      </c>
      <c r="BY221" t="str">
        <f>IF(COUNTIF('Data Upload-prod'!E:E,F221)=0,"Missing","Exist")</f>
        <v>Exist</v>
      </c>
    </row>
    <row r="222" hidden="1" spans="1:77">
      <c r="A222" s="16">
        <v>44943</v>
      </c>
      <c r="B222" s="16">
        <v>45099</v>
      </c>
      <c r="C222" t="s">
        <v>132</v>
      </c>
      <c r="D222" t="s">
        <v>142</v>
      </c>
      <c r="E222" t="s">
        <v>566</v>
      </c>
      <c r="F222" t="s">
        <v>567</v>
      </c>
      <c r="G222" t="s">
        <v>145</v>
      </c>
      <c r="H222" t="s">
        <v>377</v>
      </c>
      <c r="I222" t="s">
        <v>147</v>
      </c>
      <c r="J222" s="17">
        <v>2881</v>
      </c>
      <c r="K222" s="17">
        <v>4030</v>
      </c>
      <c r="L222" s="17">
        <v>4030</v>
      </c>
      <c r="M222" s="17">
        <v>57100000</v>
      </c>
      <c r="N222" s="17">
        <v>63300000</v>
      </c>
      <c r="O222" s="17">
        <v>58.53</v>
      </c>
      <c r="P222" s="17">
        <v>65.56</v>
      </c>
      <c r="Q222" t="s">
        <v>84</v>
      </c>
      <c r="R222" t="s">
        <v>84</v>
      </c>
      <c r="S222" t="s">
        <v>85</v>
      </c>
      <c r="T222" t="s">
        <v>84</v>
      </c>
      <c r="U222" t="s">
        <v>84</v>
      </c>
      <c r="V222" s="16">
        <v>44987</v>
      </c>
      <c r="W222" s="18">
        <v>44960.5</v>
      </c>
      <c r="X222" s="18">
        <v>45039.5</v>
      </c>
      <c r="Y222" s="17">
        <v>1800</v>
      </c>
      <c r="Z222" t="s">
        <v>148</v>
      </c>
      <c r="AA222" s="17">
        <v>4707</v>
      </c>
      <c r="AB222" s="17">
        <v>4706.96</v>
      </c>
      <c r="AC222" t="s">
        <v>84</v>
      </c>
      <c r="AD222" s="17">
        <v>63543173.17</v>
      </c>
      <c r="AE222" t="s">
        <v>84</v>
      </c>
      <c r="AF222" s="17">
        <v>79</v>
      </c>
      <c r="AG222" t="s">
        <v>84</v>
      </c>
      <c r="AH222" t="s">
        <v>84</v>
      </c>
      <c r="AI222" s="17">
        <v>21.7</v>
      </c>
      <c r="AJ222" s="17">
        <v>21.7</v>
      </c>
      <c r="AK222" t="s">
        <v>378</v>
      </c>
      <c r="AM222" s="17">
        <v>5.4</v>
      </c>
      <c r="AN222" s="17"/>
      <c r="AO222" s="17">
        <v>5090</v>
      </c>
      <c r="AP222" s="17"/>
      <c r="AQ222" s="17">
        <v>7920</v>
      </c>
      <c r="AR222" s="17"/>
      <c r="AS222" s="17">
        <v>3.31</v>
      </c>
      <c r="AT222" s="17"/>
      <c r="AU222" s="17">
        <v>5540</v>
      </c>
      <c r="AV222" s="17"/>
      <c r="AW222" s="17">
        <v>8752</v>
      </c>
      <c r="AX222" s="17"/>
      <c r="AY222" t="s">
        <v>92</v>
      </c>
      <c r="AZ222" t="s">
        <v>92</v>
      </c>
      <c r="BA222" t="s">
        <v>92</v>
      </c>
      <c r="BB222" t="s">
        <v>92</v>
      </c>
      <c r="BC222" t="s">
        <v>92</v>
      </c>
      <c r="BD222" t="s">
        <v>92</v>
      </c>
      <c r="BE222" t="s">
        <v>92</v>
      </c>
      <c r="BF222" t="s">
        <v>92</v>
      </c>
      <c r="BG222" t="s">
        <v>92</v>
      </c>
      <c r="BH222" t="s">
        <v>92</v>
      </c>
      <c r="BI222" t="s">
        <v>92</v>
      </c>
      <c r="BJ222" t="s">
        <v>92</v>
      </c>
      <c r="BK222" t="s">
        <v>92</v>
      </c>
      <c r="BL222" t="s">
        <v>92</v>
      </c>
      <c r="BM222" t="s">
        <v>92</v>
      </c>
      <c r="BN222" t="s">
        <v>92</v>
      </c>
      <c r="BO222" t="s">
        <v>92</v>
      </c>
      <c r="BP222" t="s">
        <v>92</v>
      </c>
      <c r="BQ222" t="s">
        <v>92</v>
      </c>
      <c r="BR222" t="s">
        <v>92</v>
      </c>
      <c r="BS222" t="s">
        <v>92</v>
      </c>
      <c r="BT222" t="s">
        <v>92</v>
      </c>
      <c r="BU222" t="s">
        <v>92</v>
      </c>
      <c r="BV222" t="s">
        <v>92</v>
      </c>
      <c r="BW222" t="s">
        <v>92</v>
      </c>
      <c r="BX222" t="s">
        <v>92</v>
      </c>
      <c r="BY222" t="str">
        <f>IF(COUNTIF('Data Upload-prod'!E:E,F222)=0,"Missing","Exist")</f>
        <v>Exist</v>
      </c>
    </row>
    <row r="223" hidden="1" spans="1:77">
      <c r="A223" s="16">
        <v>44938</v>
      </c>
      <c r="B223" s="16">
        <v>45142</v>
      </c>
      <c r="C223" t="s">
        <v>269</v>
      </c>
      <c r="D223" t="s">
        <v>78</v>
      </c>
      <c r="E223" t="s">
        <v>418</v>
      </c>
      <c r="F223" t="s">
        <v>568</v>
      </c>
      <c r="G223" t="s">
        <v>81</v>
      </c>
      <c r="H223" t="s">
        <v>168</v>
      </c>
      <c r="I223" t="s">
        <v>124</v>
      </c>
      <c r="J223" s="17">
        <v>64.61</v>
      </c>
      <c r="K223" s="17">
        <v>5035.05</v>
      </c>
      <c r="L223" s="17">
        <v>2337.4</v>
      </c>
      <c r="M223" t="s">
        <v>84</v>
      </c>
      <c r="N223" t="s">
        <v>84</v>
      </c>
      <c r="O223" t="s">
        <v>84</v>
      </c>
      <c r="P223" t="s">
        <v>84</v>
      </c>
      <c r="Q223" s="17">
        <v>23949434</v>
      </c>
      <c r="R223" s="17">
        <v>51.23</v>
      </c>
      <c r="S223" t="s">
        <v>85</v>
      </c>
      <c r="T223" t="s">
        <v>84</v>
      </c>
      <c r="U223" t="s">
        <v>86</v>
      </c>
      <c r="V223" s="16">
        <v>44966</v>
      </c>
      <c r="W223" s="18">
        <v>44966.25</v>
      </c>
      <c r="X223" s="18">
        <v>45062.3333333333</v>
      </c>
      <c r="Y223" s="17">
        <v>5010.39</v>
      </c>
      <c r="Z223" t="s">
        <v>87</v>
      </c>
      <c r="AA223" s="17">
        <v>5120.39</v>
      </c>
      <c r="AB223" s="17">
        <v>2348.27</v>
      </c>
      <c r="AC223" t="s">
        <v>84</v>
      </c>
      <c r="AD223" t="s">
        <v>84</v>
      </c>
      <c r="AE223" t="s">
        <v>84</v>
      </c>
      <c r="AF223" t="s">
        <v>84</v>
      </c>
      <c r="AG223" s="17">
        <v>21240000</v>
      </c>
      <c r="AH223" s="17">
        <v>56.48</v>
      </c>
      <c r="AI223" s="17">
        <v>18.3</v>
      </c>
      <c r="AJ223" s="17">
        <v>18.3</v>
      </c>
      <c r="AK223" t="s">
        <v>114</v>
      </c>
      <c r="AM223" s="17">
        <v>2.2</v>
      </c>
      <c r="AN223" s="17"/>
      <c r="AO223" s="17">
        <v>915</v>
      </c>
      <c r="AP223" s="17"/>
      <c r="AQ223" s="17">
        <v>1520</v>
      </c>
      <c r="AR223" s="17"/>
      <c r="AS223" s="17">
        <v>1.9</v>
      </c>
      <c r="AT223" s="17"/>
      <c r="AU223" s="17">
        <v>777</v>
      </c>
      <c r="AV223" s="17"/>
      <c r="AW223" s="17">
        <v>1280</v>
      </c>
      <c r="AX223" s="17"/>
      <c r="AY223" t="s">
        <v>92</v>
      </c>
      <c r="AZ223" t="s">
        <v>92</v>
      </c>
      <c r="BA223" t="s">
        <v>92</v>
      </c>
      <c r="BB223" t="s">
        <v>92</v>
      </c>
      <c r="BC223" t="s">
        <v>92</v>
      </c>
      <c r="BD223" s="17">
        <v>19.25</v>
      </c>
      <c r="BE223" s="17">
        <v>5139987</v>
      </c>
      <c r="BF223" t="s">
        <v>92</v>
      </c>
      <c r="BG223" t="s">
        <v>92</v>
      </c>
      <c r="BH223" t="s">
        <v>93</v>
      </c>
      <c r="BI223" t="s">
        <v>94</v>
      </c>
      <c r="BJ223" t="s">
        <v>173</v>
      </c>
      <c r="BK223" t="s">
        <v>85</v>
      </c>
      <c r="BL223" t="s">
        <v>85</v>
      </c>
      <c r="BM223" t="s">
        <v>273</v>
      </c>
      <c r="BN223" t="s">
        <v>569</v>
      </c>
      <c r="BO223" t="s">
        <v>98</v>
      </c>
      <c r="BP223" t="s">
        <v>99</v>
      </c>
      <c r="BQ223" s="17">
        <v>136.48</v>
      </c>
      <c r="BR223" t="s">
        <v>138</v>
      </c>
      <c r="BS223" t="s">
        <v>92</v>
      </c>
      <c r="BT223" t="s">
        <v>99</v>
      </c>
      <c r="BU223" s="17">
        <v>8.5</v>
      </c>
      <c r="BV223" t="s">
        <v>110</v>
      </c>
      <c r="BW223" t="s">
        <v>85</v>
      </c>
      <c r="BX223" t="s">
        <v>85</v>
      </c>
      <c r="BY223" t="str">
        <f>IF(COUNTIF('Data Upload-prod'!E:E,F223)=0,"Missing","Exist")</f>
        <v>Exist</v>
      </c>
    </row>
    <row r="224" hidden="1" spans="1:77">
      <c r="A224" s="16">
        <v>44937</v>
      </c>
      <c r="B224" s="16">
        <v>45105</v>
      </c>
      <c r="C224" t="s">
        <v>360</v>
      </c>
      <c r="D224" t="s">
        <v>120</v>
      </c>
      <c r="E224" t="s">
        <v>570</v>
      </c>
      <c r="F224" t="s">
        <v>571</v>
      </c>
      <c r="G224" t="s">
        <v>145</v>
      </c>
      <c r="H224" t="s">
        <v>289</v>
      </c>
      <c r="I224" t="s">
        <v>124</v>
      </c>
      <c r="J224" s="17">
        <v>47.5</v>
      </c>
      <c r="K224" s="17">
        <v>1386</v>
      </c>
      <c r="L224" s="17">
        <v>1383.02</v>
      </c>
      <c r="M224" s="17">
        <v>7870000</v>
      </c>
      <c r="N224" s="17">
        <v>12620000</v>
      </c>
      <c r="O224" s="17">
        <v>23.3</v>
      </c>
      <c r="P224" s="17">
        <v>32.7</v>
      </c>
      <c r="Q224" t="s">
        <v>84</v>
      </c>
      <c r="R224" t="s">
        <v>84</v>
      </c>
      <c r="S224" t="s">
        <v>85</v>
      </c>
      <c r="T224" t="s">
        <v>84</v>
      </c>
      <c r="U224" t="s">
        <v>84</v>
      </c>
      <c r="V224" s="16">
        <v>44962</v>
      </c>
      <c r="W224" s="18">
        <v>44962.3958333333</v>
      </c>
      <c r="X224" s="18">
        <v>45007</v>
      </c>
      <c r="Y224" s="17">
        <v>1305.65</v>
      </c>
      <c r="Z224" t="s">
        <v>87</v>
      </c>
      <c r="AA224" s="17">
        <v>1386</v>
      </c>
      <c r="AB224" s="17">
        <v>1383.02</v>
      </c>
      <c r="AC224" t="s">
        <v>84</v>
      </c>
      <c r="AD224" s="17">
        <v>20700000</v>
      </c>
      <c r="AE224" t="s">
        <v>84</v>
      </c>
      <c r="AF224" s="17">
        <v>48.33</v>
      </c>
      <c r="AG224" t="s">
        <v>84</v>
      </c>
      <c r="AH224" t="s">
        <v>84</v>
      </c>
      <c r="AI224" s="17">
        <v>36.64</v>
      </c>
      <c r="AJ224" s="17">
        <v>36.64</v>
      </c>
      <c r="AK224" t="s">
        <v>544</v>
      </c>
      <c r="AM224" s="17">
        <v>1.2</v>
      </c>
      <c r="AN224" s="17"/>
      <c r="AO224" s="17">
        <v>385</v>
      </c>
      <c r="AP224" s="17"/>
      <c r="AQ224" s="17">
        <v>930</v>
      </c>
      <c r="AR224" s="17"/>
      <c r="AS224" s="17">
        <v>5.4</v>
      </c>
      <c r="AT224" s="17"/>
      <c r="AU224" s="17">
        <v>2069</v>
      </c>
      <c r="AV224" s="17"/>
      <c r="AW224" s="17">
        <v>3616</v>
      </c>
      <c r="AX224" s="17"/>
      <c r="AY224" t="s">
        <v>92</v>
      </c>
      <c r="AZ224" t="s">
        <v>92</v>
      </c>
      <c r="BA224" t="s">
        <v>92</v>
      </c>
      <c r="BB224" t="s">
        <v>92</v>
      </c>
      <c r="BC224" t="s">
        <v>92</v>
      </c>
      <c r="BD224" t="s">
        <v>92</v>
      </c>
      <c r="BE224" t="s">
        <v>92</v>
      </c>
      <c r="BF224" t="s">
        <v>92</v>
      </c>
      <c r="BG224" t="s">
        <v>92</v>
      </c>
      <c r="BH224" t="s">
        <v>92</v>
      </c>
      <c r="BI224" t="s">
        <v>92</v>
      </c>
      <c r="BJ224" t="s">
        <v>92</v>
      </c>
      <c r="BK224" t="s">
        <v>92</v>
      </c>
      <c r="BL224" t="s">
        <v>92</v>
      </c>
      <c r="BM224" t="s">
        <v>92</v>
      </c>
      <c r="BN224" t="s">
        <v>92</v>
      </c>
      <c r="BO224" t="s">
        <v>92</v>
      </c>
      <c r="BP224" t="s">
        <v>92</v>
      </c>
      <c r="BQ224" t="s">
        <v>92</v>
      </c>
      <c r="BR224" t="s">
        <v>92</v>
      </c>
      <c r="BS224" t="s">
        <v>92</v>
      </c>
      <c r="BT224" t="s">
        <v>92</v>
      </c>
      <c r="BU224" t="s">
        <v>92</v>
      </c>
      <c r="BV224" t="s">
        <v>92</v>
      </c>
      <c r="BW224" t="s">
        <v>92</v>
      </c>
      <c r="BX224" t="s">
        <v>92</v>
      </c>
      <c r="BY224" t="str">
        <f>IF(COUNTIF('Data Upload-prod'!E:E,F224)=0,"Missing","Exist")</f>
        <v>Exist</v>
      </c>
    </row>
    <row r="225" hidden="1" spans="1:77">
      <c r="A225" s="16">
        <v>44923</v>
      </c>
      <c r="B225" s="16">
        <v>44992</v>
      </c>
      <c r="C225" t="s">
        <v>346</v>
      </c>
      <c r="D225" t="s">
        <v>78</v>
      </c>
      <c r="E225" t="s">
        <v>152</v>
      </c>
      <c r="F225" t="s">
        <v>572</v>
      </c>
      <c r="G225" t="s">
        <v>81</v>
      </c>
      <c r="H225" t="s">
        <v>154</v>
      </c>
      <c r="I225" t="s">
        <v>124</v>
      </c>
      <c r="J225" s="17">
        <v>56</v>
      </c>
      <c r="K225" s="17">
        <v>3853</v>
      </c>
      <c r="L225" s="17">
        <v>2971</v>
      </c>
      <c r="M225" t="s">
        <v>84</v>
      </c>
      <c r="N225" t="s">
        <v>84</v>
      </c>
      <c r="O225" t="s">
        <v>84</v>
      </c>
      <c r="P225" t="s">
        <v>84</v>
      </c>
      <c r="Q225" s="17">
        <v>16652000</v>
      </c>
      <c r="R225" s="17">
        <v>37</v>
      </c>
      <c r="S225" t="s">
        <v>85</v>
      </c>
      <c r="T225" t="s">
        <v>84</v>
      </c>
      <c r="U225" t="s">
        <v>86</v>
      </c>
      <c r="V225" s="16">
        <v>44924</v>
      </c>
      <c r="W225" s="18">
        <v>44924.1666666667</v>
      </c>
      <c r="X225" s="18">
        <v>44963</v>
      </c>
      <c r="Y225" s="17">
        <v>3684.48</v>
      </c>
      <c r="Z225" t="s">
        <v>87</v>
      </c>
      <c r="AA225" s="17">
        <v>3784</v>
      </c>
      <c r="AB225" s="17">
        <v>2951.57</v>
      </c>
      <c r="AC225" t="s">
        <v>84</v>
      </c>
      <c r="AD225" t="s">
        <v>84</v>
      </c>
      <c r="AE225" t="s">
        <v>84</v>
      </c>
      <c r="AF225" t="s">
        <v>84</v>
      </c>
      <c r="AG225" s="17">
        <v>15331000</v>
      </c>
      <c r="AH225" s="17">
        <v>39.83</v>
      </c>
      <c r="AI225" s="17">
        <v>4.73</v>
      </c>
      <c r="AJ225" s="17">
        <v>0.58</v>
      </c>
      <c r="AK225" t="s">
        <v>208</v>
      </c>
      <c r="AM225" s="17">
        <v>2.1</v>
      </c>
      <c r="AN225" s="17"/>
      <c r="AO225" s="17">
        <v>700</v>
      </c>
      <c r="AP225" s="17"/>
      <c r="AQ225" s="17">
        <v>1220</v>
      </c>
      <c r="AR225" s="17"/>
      <c r="AS225" s="17">
        <v>1.4</v>
      </c>
      <c r="AT225" s="17"/>
      <c r="AU225" s="17">
        <v>575</v>
      </c>
      <c r="AV225" s="17"/>
      <c r="AW225" s="17">
        <v>1268</v>
      </c>
      <c r="AX225" s="17"/>
      <c r="AY225" t="s">
        <v>92</v>
      </c>
      <c r="AZ225" t="s">
        <v>92</v>
      </c>
      <c r="BA225" t="s">
        <v>92</v>
      </c>
      <c r="BB225" t="s">
        <v>92</v>
      </c>
      <c r="BC225" t="s">
        <v>92</v>
      </c>
      <c r="BD225" s="17">
        <v>12.95</v>
      </c>
      <c r="BE225" s="17">
        <v>5128910</v>
      </c>
      <c r="BF225" t="s">
        <v>92</v>
      </c>
      <c r="BG225" t="s">
        <v>92</v>
      </c>
      <c r="BH225" t="s">
        <v>93</v>
      </c>
      <c r="BI225" t="s">
        <v>94</v>
      </c>
      <c r="BJ225" t="s">
        <v>173</v>
      </c>
      <c r="BK225" t="s">
        <v>85</v>
      </c>
      <c r="BL225" t="s">
        <v>85</v>
      </c>
      <c r="BM225" t="s">
        <v>96</v>
      </c>
      <c r="BN225" t="s">
        <v>573</v>
      </c>
      <c r="BO225" t="s">
        <v>216</v>
      </c>
      <c r="BP225" t="s">
        <v>99</v>
      </c>
      <c r="BQ225" s="17">
        <v>321.5223097</v>
      </c>
      <c r="BR225" t="s">
        <v>100</v>
      </c>
      <c r="BS225" t="s">
        <v>156</v>
      </c>
      <c r="BT225" t="s">
        <v>99</v>
      </c>
      <c r="BU225" s="17">
        <v>8.9</v>
      </c>
      <c r="BV225" t="s">
        <v>110</v>
      </c>
      <c r="BW225" t="s">
        <v>85</v>
      </c>
      <c r="BX225" t="s">
        <v>85</v>
      </c>
      <c r="BY225" t="str">
        <f>IF(COUNTIF('Data Upload-prod'!E:E,F225)=0,"Missing","Exist")</f>
        <v>Exist</v>
      </c>
    </row>
    <row r="226" hidden="1" spans="1:77">
      <c r="A226" s="16">
        <v>44917</v>
      </c>
      <c r="B226" s="16">
        <v>45035</v>
      </c>
      <c r="C226" t="s">
        <v>132</v>
      </c>
      <c r="D226" t="s">
        <v>78</v>
      </c>
      <c r="E226" t="s">
        <v>422</v>
      </c>
      <c r="F226" t="s">
        <v>574</v>
      </c>
      <c r="G226" t="s">
        <v>81</v>
      </c>
      <c r="H226" t="s">
        <v>514</v>
      </c>
      <c r="I226" t="s">
        <v>124</v>
      </c>
      <c r="J226" s="17">
        <v>68.5</v>
      </c>
      <c r="K226" s="17">
        <v>2415.29</v>
      </c>
      <c r="L226" s="17">
        <v>1699.27</v>
      </c>
      <c r="M226" t="s">
        <v>84</v>
      </c>
      <c r="N226" t="s">
        <v>84</v>
      </c>
      <c r="O226" t="s">
        <v>84</v>
      </c>
      <c r="P226" t="s">
        <v>84</v>
      </c>
      <c r="Q226" s="17">
        <v>16641503.11</v>
      </c>
      <c r="R226" s="17">
        <v>34.12</v>
      </c>
      <c r="S226" t="s">
        <v>106</v>
      </c>
      <c r="T226" t="s">
        <v>84</v>
      </c>
      <c r="U226" t="s">
        <v>86</v>
      </c>
      <c r="V226" s="16">
        <v>44929</v>
      </c>
      <c r="W226" s="18">
        <v>44929.34375</v>
      </c>
      <c r="X226" s="18">
        <v>45005.8958333333</v>
      </c>
      <c r="Y226" s="17">
        <v>2222.23</v>
      </c>
      <c r="Z226" t="s">
        <v>87</v>
      </c>
      <c r="AA226" s="17">
        <v>2335</v>
      </c>
      <c r="AB226" s="17">
        <v>1733.3</v>
      </c>
      <c r="AC226" t="s">
        <v>84</v>
      </c>
      <c r="AD226" t="s">
        <v>84</v>
      </c>
      <c r="AE226" t="s">
        <v>84</v>
      </c>
      <c r="AF226" t="s">
        <v>84</v>
      </c>
      <c r="AG226" s="17">
        <v>11111030.41</v>
      </c>
      <c r="AH226" s="17">
        <v>24.84</v>
      </c>
      <c r="AI226" s="17">
        <v>3.73</v>
      </c>
      <c r="AJ226" s="17">
        <v>3.73</v>
      </c>
      <c r="AK226" t="s">
        <v>208</v>
      </c>
      <c r="AM226" s="17">
        <v>2.1</v>
      </c>
      <c r="AN226" s="17"/>
      <c r="AO226" s="17">
        <v>700</v>
      </c>
      <c r="AP226" s="17"/>
      <c r="AQ226" s="17">
        <v>1225</v>
      </c>
      <c r="AR226" s="17"/>
      <c r="AS226" s="17">
        <v>1.22</v>
      </c>
      <c r="AT226" s="17"/>
      <c r="AU226" s="17">
        <v>509</v>
      </c>
      <c r="AV226" s="17"/>
      <c r="AW226" s="17">
        <v>1097</v>
      </c>
      <c r="AX226" s="17"/>
      <c r="AY226" t="s">
        <v>92</v>
      </c>
      <c r="AZ226" t="s">
        <v>92</v>
      </c>
      <c r="BA226" t="s">
        <v>92</v>
      </c>
      <c r="BB226" t="s">
        <v>92</v>
      </c>
      <c r="BC226" t="s">
        <v>92</v>
      </c>
      <c r="BD226" s="17">
        <v>4.11</v>
      </c>
      <c r="BE226" s="17">
        <v>2788653.14</v>
      </c>
      <c r="BF226" t="s">
        <v>92</v>
      </c>
      <c r="BG226" t="s">
        <v>92</v>
      </c>
      <c r="BH226" t="s">
        <v>93</v>
      </c>
      <c r="BI226" t="s">
        <v>94</v>
      </c>
      <c r="BJ226" t="s">
        <v>128</v>
      </c>
      <c r="BK226" t="s">
        <v>85</v>
      </c>
      <c r="BL226" t="s">
        <v>85</v>
      </c>
      <c r="BM226" t="s">
        <v>273</v>
      </c>
      <c r="BN226" t="s">
        <v>97</v>
      </c>
      <c r="BO226" t="s">
        <v>98</v>
      </c>
      <c r="BP226" t="s">
        <v>103</v>
      </c>
      <c r="BQ226" s="17">
        <v>1893.137</v>
      </c>
      <c r="BR226" t="s">
        <v>100</v>
      </c>
      <c r="BS226" t="s">
        <v>285</v>
      </c>
      <c r="BT226" t="s">
        <v>550</v>
      </c>
      <c r="BU226" s="17">
        <v>8.6</v>
      </c>
      <c r="BV226" t="s">
        <v>191</v>
      </c>
      <c r="BW226" t="s">
        <v>85</v>
      </c>
      <c r="BX226" t="s">
        <v>85</v>
      </c>
      <c r="BY226" t="str">
        <f>IF(COUNTIF('Data Upload-prod'!E:E,F226)=0,"Missing","Exist")</f>
        <v>Exist</v>
      </c>
    </row>
    <row r="227" hidden="1" spans="1:77">
      <c r="A227" s="16">
        <v>44917</v>
      </c>
      <c r="B227" s="16">
        <v>45091</v>
      </c>
      <c r="C227" t="s">
        <v>132</v>
      </c>
      <c r="D227" t="s">
        <v>120</v>
      </c>
      <c r="E227" t="s">
        <v>575</v>
      </c>
      <c r="F227" t="s">
        <v>576</v>
      </c>
      <c r="G227" t="s">
        <v>145</v>
      </c>
      <c r="H227" t="s">
        <v>363</v>
      </c>
      <c r="I227" t="s">
        <v>124</v>
      </c>
      <c r="J227" s="17">
        <v>46.8</v>
      </c>
      <c r="K227" s="17">
        <v>2600</v>
      </c>
      <c r="L227" s="17">
        <v>2600</v>
      </c>
      <c r="M227" s="17">
        <v>17560000</v>
      </c>
      <c r="N227" s="17">
        <v>24710000</v>
      </c>
      <c r="O227" s="17">
        <v>38.37</v>
      </c>
      <c r="P227" s="17">
        <v>59.92</v>
      </c>
      <c r="Q227" t="s">
        <v>84</v>
      </c>
      <c r="R227" t="s">
        <v>84</v>
      </c>
      <c r="S227" t="s">
        <v>85</v>
      </c>
      <c r="T227" t="s">
        <v>84</v>
      </c>
      <c r="U227" t="s">
        <v>84</v>
      </c>
      <c r="V227" s="16">
        <v>44959.625</v>
      </c>
      <c r="W227" s="18">
        <v>44943</v>
      </c>
      <c r="X227" s="18">
        <v>45035.2604166667</v>
      </c>
      <c r="Y227" s="17">
        <v>2523.2</v>
      </c>
      <c r="Z227" t="s">
        <v>87</v>
      </c>
      <c r="AA227" s="17">
        <v>2600</v>
      </c>
      <c r="AB227" s="17">
        <v>2599.97</v>
      </c>
      <c r="AC227" t="s">
        <v>84</v>
      </c>
      <c r="AD227" s="17">
        <v>24710000</v>
      </c>
      <c r="AE227" t="s">
        <v>84</v>
      </c>
      <c r="AF227" s="17">
        <v>59.92</v>
      </c>
      <c r="AG227" t="s">
        <v>84</v>
      </c>
      <c r="AH227" t="s">
        <v>84</v>
      </c>
      <c r="AI227" s="17">
        <v>6</v>
      </c>
      <c r="AJ227" s="17">
        <v>6</v>
      </c>
      <c r="AK227" t="s">
        <v>323</v>
      </c>
      <c r="AM227" s="17">
        <v>4.4</v>
      </c>
      <c r="AN227" s="17"/>
      <c r="AO227" s="17">
        <v>1980</v>
      </c>
      <c r="AP227" s="17"/>
      <c r="AQ227" s="17">
        <v>2760</v>
      </c>
      <c r="AR227" s="17"/>
      <c r="AS227" s="17">
        <v>2.35</v>
      </c>
      <c r="AT227" s="17"/>
      <c r="AU227" s="17">
        <v>1261</v>
      </c>
      <c r="AV227" s="17"/>
      <c r="AW227" s="17">
        <v>2437</v>
      </c>
      <c r="AX227" s="17"/>
      <c r="AY227" t="s">
        <v>92</v>
      </c>
      <c r="AZ227" t="s">
        <v>92</v>
      </c>
      <c r="BA227" t="s">
        <v>92</v>
      </c>
      <c r="BB227" t="s">
        <v>92</v>
      </c>
      <c r="BC227" t="s">
        <v>92</v>
      </c>
      <c r="BD227" t="s">
        <v>92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92</v>
      </c>
      <c r="BM227" t="s">
        <v>92</v>
      </c>
      <c r="BN227" t="s">
        <v>92</v>
      </c>
      <c r="BO227" t="s">
        <v>92</v>
      </c>
      <c r="BP227" t="s">
        <v>92</v>
      </c>
      <c r="BQ227" t="s">
        <v>92</v>
      </c>
      <c r="BR227" t="s">
        <v>92</v>
      </c>
      <c r="BS227" t="s">
        <v>92</v>
      </c>
      <c r="BT227" t="s">
        <v>92</v>
      </c>
      <c r="BU227" t="s">
        <v>92</v>
      </c>
      <c r="BV227" t="s">
        <v>92</v>
      </c>
      <c r="BW227" t="s">
        <v>92</v>
      </c>
      <c r="BX227" t="s">
        <v>92</v>
      </c>
      <c r="BY227" t="str">
        <f>IF(COUNTIF('Data Upload-prod'!E:E,F227)=0,"Missing","Exist")</f>
        <v>Exist</v>
      </c>
    </row>
    <row r="228" hidden="1" spans="1:77">
      <c r="A228" s="16">
        <v>44914</v>
      </c>
      <c r="B228" s="16">
        <v>45035</v>
      </c>
      <c r="C228" t="s">
        <v>132</v>
      </c>
      <c r="D228" t="s">
        <v>78</v>
      </c>
      <c r="E228" t="s">
        <v>422</v>
      </c>
      <c r="F228" t="s">
        <v>577</v>
      </c>
      <c r="G228" t="s">
        <v>81</v>
      </c>
      <c r="H228" t="s">
        <v>514</v>
      </c>
      <c r="I228" t="s">
        <v>124</v>
      </c>
      <c r="J228" s="17">
        <v>68.5</v>
      </c>
      <c r="K228" s="17">
        <v>2250.83</v>
      </c>
      <c r="L228" s="17">
        <v>1687.26</v>
      </c>
      <c r="M228" t="s">
        <v>84</v>
      </c>
      <c r="N228" t="s">
        <v>84</v>
      </c>
      <c r="O228" t="s">
        <v>84</v>
      </c>
      <c r="P228" t="s">
        <v>84</v>
      </c>
      <c r="Q228" s="17">
        <v>16379098.15</v>
      </c>
      <c r="R228" s="17">
        <v>32.92</v>
      </c>
      <c r="S228" t="s">
        <v>85</v>
      </c>
      <c r="T228" t="s">
        <v>84</v>
      </c>
      <c r="U228" t="s">
        <v>86</v>
      </c>
      <c r="V228" s="16">
        <v>44926</v>
      </c>
      <c r="W228" s="18">
        <v>44926</v>
      </c>
      <c r="X228" s="18">
        <v>44977.6666666667</v>
      </c>
      <c r="Y228" s="17">
        <v>2021.23</v>
      </c>
      <c r="Z228" t="s">
        <v>87</v>
      </c>
      <c r="AA228" s="17">
        <v>2134</v>
      </c>
      <c r="AB228" s="17">
        <v>1695.38</v>
      </c>
      <c r="AC228" t="s">
        <v>84</v>
      </c>
      <c r="AD228" t="s">
        <v>84</v>
      </c>
      <c r="AE228" t="s">
        <v>84</v>
      </c>
      <c r="AF228" t="s">
        <v>84</v>
      </c>
      <c r="AG228" s="17">
        <v>12801492.74</v>
      </c>
      <c r="AH228" s="17">
        <v>32.32</v>
      </c>
      <c r="AI228" s="17">
        <v>13.06</v>
      </c>
      <c r="AJ228" s="17">
        <v>13.06</v>
      </c>
      <c r="AK228" t="s">
        <v>208</v>
      </c>
      <c r="AM228" s="17">
        <v>2.1</v>
      </c>
      <c r="AN228" s="17"/>
      <c r="AO228" s="17">
        <v>700</v>
      </c>
      <c r="AP228" s="17"/>
      <c r="AQ228" s="17">
        <v>1225</v>
      </c>
      <c r="AR228" s="17"/>
      <c r="AS228" s="17">
        <v>1.27</v>
      </c>
      <c r="AT228" s="17"/>
      <c r="AU228" s="17">
        <v>531</v>
      </c>
      <c r="AV228" s="17"/>
      <c r="AW228" s="17">
        <v>1315</v>
      </c>
      <c r="AX228" s="17"/>
      <c r="AY228" t="s">
        <v>92</v>
      </c>
      <c r="AZ228" t="s">
        <v>92</v>
      </c>
      <c r="BA228" t="s">
        <v>92</v>
      </c>
      <c r="BB228" t="s">
        <v>92</v>
      </c>
      <c r="BC228" t="s">
        <v>92</v>
      </c>
      <c r="BD228" s="17">
        <v>5.71</v>
      </c>
      <c r="BE228" s="17">
        <v>2954697.99</v>
      </c>
      <c r="BF228" t="s">
        <v>92</v>
      </c>
      <c r="BG228" t="s">
        <v>92</v>
      </c>
      <c r="BH228" t="s">
        <v>93</v>
      </c>
      <c r="BI228" t="s">
        <v>94</v>
      </c>
      <c r="BJ228" t="s">
        <v>128</v>
      </c>
      <c r="BK228" t="s">
        <v>85</v>
      </c>
      <c r="BL228" t="s">
        <v>85</v>
      </c>
      <c r="BM228" t="s">
        <v>96</v>
      </c>
      <c r="BN228" t="s">
        <v>97</v>
      </c>
      <c r="BO228" t="s">
        <v>98</v>
      </c>
      <c r="BP228" t="s">
        <v>103</v>
      </c>
      <c r="BQ228" s="17">
        <v>1150.9748</v>
      </c>
      <c r="BR228" t="s">
        <v>100</v>
      </c>
      <c r="BS228" t="s">
        <v>285</v>
      </c>
      <c r="BT228" t="s">
        <v>550</v>
      </c>
      <c r="BU228" s="17">
        <v>8.6</v>
      </c>
      <c r="BV228" t="s">
        <v>191</v>
      </c>
      <c r="BW228" t="s">
        <v>85</v>
      </c>
      <c r="BX228" t="s">
        <v>85</v>
      </c>
      <c r="BY228" t="str">
        <f>IF(COUNTIF('Data Upload-prod'!E:E,F228)=0,"Missing","Exist")</f>
        <v>Exist</v>
      </c>
    </row>
    <row r="229" hidden="1" spans="1:77">
      <c r="A229" s="16">
        <v>44911</v>
      </c>
      <c r="B229" t="s">
        <v>84</v>
      </c>
      <c r="C229" t="s">
        <v>141</v>
      </c>
      <c r="D229" t="s">
        <v>120</v>
      </c>
      <c r="E229" t="s">
        <v>578</v>
      </c>
      <c r="F229" t="s">
        <v>579</v>
      </c>
      <c r="G229" t="s">
        <v>81</v>
      </c>
      <c r="H229" t="s">
        <v>247</v>
      </c>
      <c r="I229" t="s">
        <v>231</v>
      </c>
      <c r="J229" s="17">
        <v>142.94</v>
      </c>
      <c r="K229" s="17">
        <v>1879</v>
      </c>
      <c r="L229" s="17">
        <v>1729.05</v>
      </c>
      <c r="M229" t="s">
        <v>84</v>
      </c>
      <c r="N229" t="s">
        <v>84</v>
      </c>
      <c r="O229" t="s">
        <v>84</v>
      </c>
      <c r="P229" t="s">
        <v>84</v>
      </c>
      <c r="Q229" s="17">
        <v>42240000</v>
      </c>
      <c r="R229" s="17">
        <v>57.2</v>
      </c>
      <c r="S229" t="s">
        <v>85</v>
      </c>
      <c r="T229" t="s">
        <v>84</v>
      </c>
      <c r="U229" t="s">
        <v>84</v>
      </c>
      <c r="V229" s="16">
        <v>44945</v>
      </c>
      <c r="W229" s="18">
        <v>44925</v>
      </c>
      <c r="X229" s="18">
        <v>45065</v>
      </c>
      <c r="Y229" s="17">
        <v>1749.1</v>
      </c>
      <c r="Z229" t="s">
        <v>87</v>
      </c>
      <c r="AA229" s="17">
        <v>1926.24</v>
      </c>
      <c r="AB229" s="17">
        <v>1770.19</v>
      </c>
      <c r="AC229" t="s">
        <v>84</v>
      </c>
      <c r="AD229" t="s">
        <v>84</v>
      </c>
      <c r="AE229" t="s">
        <v>84</v>
      </c>
      <c r="AF229" t="s">
        <v>84</v>
      </c>
      <c r="AG229" s="17">
        <v>40940000</v>
      </c>
      <c r="AH229" s="17">
        <v>76.71</v>
      </c>
      <c r="AI229" s="17">
        <v>21.88</v>
      </c>
      <c r="AJ229" s="17">
        <v>5.38</v>
      </c>
      <c r="AK229" t="s">
        <v>126</v>
      </c>
      <c r="AM229" s="17">
        <v>2.5</v>
      </c>
      <c r="AN229" s="17"/>
      <c r="AO229" s="17">
        <v>1010</v>
      </c>
      <c r="AP229" s="17"/>
      <c r="AQ229" s="17">
        <v>1705</v>
      </c>
      <c r="AR229" s="17"/>
      <c r="AS229" s="17">
        <v>7.54</v>
      </c>
      <c r="AT229" s="17"/>
      <c r="AU229" s="17">
        <v>2864</v>
      </c>
      <c r="AV229" s="17"/>
      <c r="AW229" s="17">
        <v>5395</v>
      </c>
      <c r="AX229" s="17"/>
      <c r="AY229" t="s">
        <v>92</v>
      </c>
      <c r="AZ229" t="s">
        <v>92</v>
      </c>
      <c r="BA229" t="s">
        <v>92</v>
      </c>
      <c r="BB229" t="s">
        <v>92</v>
      </c>
      <c r="BC229" t="s">
        <v>92</v>
      </c>
      <c r="BD229" t="s">
        <v>92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92</v>
      </c>
      <c r="BM229" t="s">
        <v>92</v>
      </c>
      <c r="BN229" t="s">
        <v>92</v>
      </c>
      <c r="BO229" t="s">
        <v>92</v>
      </c>
      <c r="BP229" t="s">
        <v>92</v>
      </c>
      <c r="BQ229" t="s">
        <v>92</v>
      </c>
      <c r="BR229" t="s">
        <v>92</v>
      </c>
      <c r="BS229" t="s">
        <v>92</v>
      </c>
      <c r="BT229" t="s">
        <v>92</v>
      </c>
      <c r="BU229" t="s">
        <v>92</v>
      </c>
      <c r="BV229" t="s">
        <v>92</v>
      </c>
      <c r="BW229" t="s">
        <v>92</v>
      </c>
      <c r="BX229" t="s">
        <v>92</v>
      </c>
      <c r="BY229" t="str">
        <f>IF(COUNTIF('Data Upload-prod'!E:E,F229)=0,"Missing","Exist")</f>
        <v>Exist</v>
      </c>
    </row>
    <row r="230" hidden="1" spans="1:77">
      <c r="A230" s="16">
        <v>44911</v>
      </c>
      <c r="B230" t="s">
        <v>84</v>
      </c>
      <c r="C230" t="s">
        <v>141</v>
      </c>
      <c r="D230" t="s">
        <v>120</v>
      </c>
      <c r="E230" t="s">
        <v>578</v>
      </c>
      <c r="F230" t="s">
        <v>580</v>
      </c>
      <c r="G230" t="s">
        <v>81</v>
      </c>
      <c r="H230" t="s">
        <v>247</v>
      </c>
      <c r="I230" t="s">
        <v>231</v>
      </c>
      <c r="J230" s="17">
        <v>142.94</v>
      </c>
      <c r="K230" s="17">
        <v>1967.08</v>
      </c>
      <c r="L230" s="17">
        <v>1728.74</v>
      </c>
      <c r="M230" t="s">
        <v>84</v>
      </c>
      <c r="N230" t="s">
        <v>84</v>
      </c>
      <c r="O230" t="s">
        <v>84</v>
      </c>
      <c r="P230" t="s">
        <v>84</v>
      </c>
      <c r="Q230" s="17">
        <v>42900000</v>
      </c>
      <c r="R230" s="17">
        <v>60.4</v>
      </c>
      <c r="S230" t="s">
        <v>85</v>
      </c>
      <c r="T230" t="s">
        <v>84</v>
      </c>
      <c r="U230" t="s">
        <v>84</v>
      </c>
      <c r="V230" s="16">
        <v>44947</v>
      </c>
      <c r="W230" s="18">
        <v>44925</v>
      </c>
      <c r="X230" s="18">
        <v>45057</v>
      </c>
      <c r="Y230" s="17">
        <v>1796.34</v>
      </c>
      <c r="Z230" t="s">
        <v>87</v>
      </c>
      <c r="AA230" s="17">
        <v>1973.48</v>
      </c>
      <c r="AB230" s="17">
        <v>1726.91</v>
      </c>
      <c r="AC230" t="s">
        <v>84</v>
      </c>
      <c r="AD230" t="s">
        <v>84</v>
      </c>
      <c r="AE230" t="s">
        <v>84</v>
      </c>
      <c r="AF230" t="s">
        <v>84</v>
      </c>
      <c r="AG230" s="17">
        <v>34470000</v>
      </c>
      <c r="AH230" s="17">
        <v>65.7</v>
      </c>
      <c r="AI230" s="17">
        <v>27.13</v>
      </c>
      <c r="AJ230" s="17">
        <v>25.07</v>
      </c>
      <c r="AK230" t="s">
        <v>126</v>
      </c>
      <c r="AM230" s="17">
        <v>2.5</v>
      </c>
      <c r="AN230" s="17"/>
      <c r="AO230" s="17">
        <v>1010</v>
      </c>
      <c r="AP230" s="17"/>
      <c r="AQ230" s="17">
        <v>1705</v>
      </c>
      <c r="AR230" s="17"/>
      <c r="AS230" s="17">
        <v>3.85</v>
      </c>
      <c r="AT230" s="17"/>
      <c r="AU230" s="17">
        <v>2111</v>
      </c>
      <c r="AV230" s="17"/>
      <c r="AW230" s="17">
        <v>5297</v>
      </c>
      <c r="AX230" s="17"/>
      <c r="AY230" t="s">
        <v>92</v>
      </c>
      <c r="AZ230" t="s">
        <v>92</v>
      </c>
      <c r="BA230" t="s">
        <v>92</v>
      </c>
      <c r="BB230" t="s">
        <v>92</v>
      </c>
      <c r="BC230" t="s">
        <v>92</v>
      </c>
      <c r="BD230" t="s">
        <v>92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92</v>
      </c>
      <c r="BM230" t="s">
        <v>92</v>
      </c>
      <c r="BN230" t="s">
        <v>92</v>
      </c>
      <c r="BO230" t="s">
        <v>92</v>
      </c>
      <c r="BP230" t="s">
        <v>92</v>
      </c>
      <c r="BQ230" t="s">
        <v>92</v>
      </c>
      <c r="BR230" t="s">
        <v>92</v>
      </c>
      <c r="BS230" t="s">
        <v>92</v>
      </c>
      <c r="BT230" t="s">
        <v>92</v>
      </c>
      <c r="BU230" t="s">
        <v>92</v>
      </c>
      <c r="BV230" t="s">
        <v>92</v>
      </c>
      <c r="BW230" t="s">
        <v>92</v>
      </c>
      <c r="BX230" t="s">
        <v>92</v>
      </c>
      <c r="BY230" t="str">
        <f>IF(COUNTIF('Data Upload-prod'!E:E,F230)=0,"Missing","Exist")</f>
        <v>Exist</v>
      </c>
    </row>
    <row r="231" hidden="1" spans="1:77">
      <c r="A231" s="16">
        <v>44898</v>
      </c>
      <c r="B231" s="16">
        <v>45056</v>
      </c>
      <c r="C231" t="s">
        <v>132</v>
      </c>
      <c r="D231" t="s">
        <v>78</v>
      </c>
      <c r="E231" t="s">
        <v>422</v>
      </c>
      <c r="F231" t="s">
        <v>581</v>
      </c>
      <c r="G231" t="s">
        <v>81</v>
      </c>
      <c r="H231" t="s">
        <v>514</v>
      </c>
      <c r="I231" t="s">
        <v>124</v>
      </c>
      <c r="J231" s="17">
        <v>68.25</v>
      </c>
      <c r="K231" s="17">
        <v>3438.04</v>
      </c>
      <c r="L231" s="17">
        <v>2129.27</v>
      </c>
      <c r="M231" t="s">
        <v>84</v>
      </c>
      <c r="N231" t="s">
        <v>84</v>
      </c>
      <c r="O231" t="s">
        <v>84</v>
      </c>
      <c r="P231" t="s">
        <v>84</v>
      </c>
      <c r="Q231" s="17">
        <v>24377709.49</v>
      </c>
      <c r="R231" s="17">
        <v>50.72</v>
      </c>
      <c r="S231" t="s">
        <v>106</v>
      </c>
      <c r="T231" t="s">
        <v>84</v>
      </c>
      <c r="U231" t="s">
        <v>86</v>
      </c>
      <c r="V231" s="16">
        <v>44900</v>
      </c>
      <c r="W231" s="18">
        <v>44900.1041666667</v>
      </c>
      <c r="X231" s="18">
        <v>44993.3333333333</v>
      </c>
      <c r="Y231" s="17">
        <v>3206.48</v>
      </c>
      <c r="Z231" t="s">
        <v>87</v>
      </c>
      <c r="AA231" s="17">
        <v>3319</v>
      </c>
      <c r="AB231" s="17">
        <v>2820</v>
      </c>
      <c r="AC231" t="s">
        <v>84</v>
      </c>
      <c r="AD231" t="s">
        <v>84</v>
      </c>
      <c r="AE231" t="s">
        <v>84</v>
      </c>
      <c r="AF231" t="s">
        <v>84</v>
      </c>
      <c r="AG231" s="17">
        <v>18021298.63</v>
      </c>
      <c r="AH231" s="17">
        <v>48.63</v>
      </c>
      <c r="AI231" s="17">
        <v>15.64</v>
      </c>
      <c r="AJ231" s="17">
        <v>6.41</v>
      </c>
      <c r="AK231" t="s">
        <v>165</v>
      </c>
      <c r="AM231" s="17">
        <v>3.2</v>
      </c>
      <c r="AN231" s="17"/>
      <c r="AO231" s="17">
        <v>1300</v>
      </c>
      <c r="AP231" s="17"/>
      <c r="AQ231" s="17">
        <v>1830</v>
      </c>
      <c r="AR231" s="17"/>
      <c r="AS231" s="17">
        <v>1.88</v>
      </c>
      <c r="AT231" s="17"/>
      <c r="AU231" s="17">
        <v>844</v>
      </c>
      <c r="AV231" s="17"/>
      <c r="AW231" s="17">
        <v>1522</v>
      </c>
      <c r="AX231" s="17"/>
      <c r="AY231" t="s">
        <v>92</v>
      </c>
      <c r="AZ231" t="s">
        <v>92</v>
      </c>
      <c r="BA231" t="s">
        <v>92</v>
      </c>
      <c r="BB231" t="s">
        <v>92</v>
      </c>
      <c r="BC231" t="s">
        <v>92</v>
      </c>
      <c r="BD231" s="17">
        <v>8.8</v>
      </c>
      <c r="BE231" s="17">
        <v>4237888.07</v>
      </c>
      <c r="BF231" t="s">
        <v>92</v>
      </c>
      <c r="BG231" t="s">
        <v>92</v>
      </c>
      <c r="BH231" t="s">
        <v>93</v>
      </c>
      <c r="BI231" t="s">
        <v>94</v>
      </c>
      <c r="BJ231" t="s">
        <v>128</v>
      </c>
      <c r="BK231" t="s">
        <v>85</v>
      </c>
      <c r="BL231" t="s">
        <v>85</v>
      </c>
      <c r="BM231" t="s">
        <v>96</v>
      </c>
      <c r="BN231" t="s">
        <v>97</v>
      </c>
      <c r="BO231" t="s">
        <v>98</v>
      </c>
      <c r="BP231" t="s">
        <v>103</v>
      </c>
      <c r="BQ231" s="17">
        <v>1491.2145</v>
      </c>
      <c r="BR231" t="s">
        <v>100</v>
      </c>
      <c r="BS231" t="s">
        <v>285</v>
      </c>
      <c r="BT231" t="s">
        <v>550</v>
      </c>
      <c r="BU231" s="17">
        <v>8.6</v>
      </c>
      <c r="BV231" t="s">
        <v>191</v>
      </c>
      <c r="BW231" t="s">
        <v>85</v>
      </c>
      <c r="BX231" t="s">
        <v>85</v>
      </c>
      <c r="BY231" t="str">
        <f>IF(COUNTIF('Data Upload-prod'!E:E,F231)=0,"Missing","Exist")</f>
        <v>Exist</v>
      </c>
    </row>
    <row r="232" hidden="1" spans="1:77">
      <c r="A232" s="16">
        <v>44896</v>
      </c>
      <c r="B232" s="16">
        <v>45006</v>
      </c>
      <c r="C232" t="s">
        <v>132</v>
      </c>
      <c r="D232" t="s">
        <v>120</v>
      </c>
      <c r="E232" t="s">
        <v>331</v>
      </c>
      <c r="F232" t="s">
        <v>582</v>
      </c>
      <c r="G232" t="s">
        <v>145</v>
      </c>
      <c r="H232" t="s">
        <v>319</v>
      </c>
      <c r="I232" t="s">
        <v>231</v>
      </c>
      <c r="J232" s="17">
        <v>117.8</v>
      </c>
      <c r="K232" s="17">
        <v>2018</v>
      </c>
      <c r="L232" s="17">
        <v>2018</v>
      </c>
      <c r="M232" s="17">
        <v>20730000</v>
      </c>
      <c r="N232" s="17">
        <v>27970000</v>
      </c>
      <c r="O232" s="17">
        <v>44.79</v>
      </c>
      <c r="P232" s="17">
        <v>59.81</v>
      </c>
      <c r="Q232" t="s">
        <v>84</v>
      </c>
      <c r="R232" t="s">
        <v>84</v>
      </c>
      <c r="S232" t="s">
        <v>85</v>
      </c>
      <c r="T232" t="s">
        <v>84</v>
      </c>
      <c r="U232" t="s">
        <v>84</v>
      </c>
      <c r="V232" s="16">
        <v>44904</v>
      </c>
      <c r="W232" s="18">
        <v>44900.5416666667</v>
      </c>
      <c r="X232" s="18">
        <v>44961.75</v>
      </c>
      <c r="Y232" s="17">
        <v>1872.2</v>
      </c>
      <c r="Z232" t="s">
        <v>87</v>
      </c>
      <c r="AA232" s="17">
        <v>2018</v>
      </c>
      <c r="AB232" s="17">
        <v>2018</v>
      </c>
      <c r="AC232" t="s">
        <v>84</v>
      </c>
      <c r="AD232" s="17">
        <v>28331415.82</v>
      </c>
      <c r="AE232" t="s">
        <v>84</v>
      </c>
      <c r="AF232" s="17">
        <v>61.21</v>
      </c>
      <c r="AG232" t="s">
        <v>84</v>
      </c>
      <c r="AH232" t="s">
        <v>84</v>
      </c>
      <c r="AI232" s="17">
        <v>9.48</v>
      </c>
      <c r="AJ232" s="17">
        <v>2.59</v>
      </c>
      <c r="AK232" t="s">
        <v>295</v>
      </c>
      <c r="AM232" s="17">
        <v>2.7</v>
      </c>
      <c r="AN232" s="17"/>
      <c r="AO232" s="17">
        <v>1490</v>
      </c>
      <c r="AP232" s="17"/>
      <c r="AQ232" s="17">
        <v>2760</v>
      </c>
      <c r="AR232" s="17"/>
      <c r="AS232" s="17">
        <v>3.2</v>
      </c>
      <c r="AT232" s="17"/>
      <c r="AU232" s="17">
        <v>1875</v>
      </c>
      <c r="AV232" s="17"/>
      <c r="AW232" s="17">
        <v>3063</v>
      </c>
      <c r="AX232" s="17"/>
      <c r="AY232" t="s">
        <v>92</v>
      </c>
      <c r="AZ232" t="s">
        <v>92</v>
      </c>
      <c r="BA232" t="s">
        <v>92</v>
      </c>
      <c r="BB232" t="s">
        <v>92</v>
      </c>
      <c r="BC232" t="s">
        <v>92</v>
      </c>
      <c r="BD232" t="s">
        <v>92</v>
      </c>
      <c r="BE232" t="s">
        <v>92</v>
      </c>
      <c r="BF232" t="s">
        <v>92</v>
      </c>
      <c r="BG232" t="s">
        <v>92</v>
      </c>
      <c r="BH232" t="s">
        <v>92</v>
      </c>
      <c r="BI232" t="s">
        <v>92</v>
      </c>
      <c r="BJ232" t="s">
        <v>92</v>
      </c>
      <c r="BK232" t="s">
        <v>92</v>
      </c>
      <c r="BL232" t="s">
        <v>92</v>
      </c>
      <c r="BM232" t="s">
        <v>92</v>
      </c>
      <c r="BN232" t="s">
        <v>92</v>
      </c>
      <c r="BO232" t="s">
        <v>92</v>
      </c>
      <c r="BP232" t="s">
        <v>92</v>
      </c>
      <c r="BQ232" t="s">
        <v>92</v>
      </c>
      <c r="BR232" t="s">
        <v>92</v>
      </c>
      <c r="BS232" t="s">
        <v>92</v>
      </c>
      <c r="BT232" t="s">
        <v>92</v>
      </c>
      <c r="BU232" t="s">
        <v>92</v>
      </c>
      <c r="BV232" t="s">
        <v>92</v>
      </c>
      <c r="BW232" t="s">
        <v>92</v>
      </c>
      <c r="BX232" t="s">
        <v>92</v>
      </c>
      <c r="BY232" t="str">
        <f>IF(COUNTIF('Data Upload-prod'!E:E,F232)=0,"Missing","Exist")</f>
        <v>Exist</v>
      </c>
    </row>
    <row r="233" hidden="1" spans="1:77">
      <c r="A233" s="16">
        <v>44886</v>
      </c>
      <c r="B233" t="s">
        <v>84</v>
      </c>
      <c r="C233" t="s">
        <v>141</v>
      </c>
      <c r="D233" t="s">
        <v>120</v>
      </c>
      <c r="E233" t="s">
        <v>583</v>
      </c>
      <c r="F233" t="s">
        <v>584</v>
      </c>
      <c r="G233" t="s">
        <v>145</v>
      </c>
      <c r="H233" t="s">
        <v>202</v>
      </c>
      <c r="I233" t="s">
        <v>124</v>
      </c>
      <c r="J233" s="17">
        <v>84.61</v>
      </c>
      <c r="K233" s="17">
        <v>2749.16</v>
      </c>
      <c r="L233" s="17">
        <v>2426.39</v>
      </c>
      <c r="M233" s="17">
        <v>13300000</v>
      </c>
      <c r="N233" s="17">
        <v>15530000</v>
      </c>
      <c r="O233" s="17">
        <v>35.81</v>
      </c>
      <c r="P233" s="17">
        <v>39.22</v>
      </c>
      <c r="Q233" t="s">
        <v>84</v>
      </c>
      <c r="R233" t="s">
        <v>84</v>
      </c>
      <c r="S233" t="s">
        <v>85</v>
      </c>
      <c r="T233" t="s">
        <v>84</v>
      </c>
      <c r="U233" t="s">
        <v>84</v>
      </c>
      <c r="V233" s="16">
        <v>44941</v>
      </c>
      <c r="W233" s="18">
        <v>44938.15625</v>
      </c>
      <c r="X233" s="18">
        <v>44987</v>
      </c>
      <c r="Y233" s="17">
        <v>2070.83</v>
      </c>
      <c r="Z233" t="s">
        <v>87</v>
      </c>
      <c r="AA233" s="17">
        <v>2186.83</v>
      </c>
      <c r="AB233" s="17">
        <v>2041.08</v>
      </c>
      <c r="AC233" s="17">
        <v>18154630</v>
      </c>
      <c r="AD233" t="s">
        <v>84</v>
      </c>
      <c r="AE233" s="17">
        <v>59.63</v>
      </c>
      <c r="AF233" t="s">
        <v>84</v>
      </c>
      <c r="AG233" t="s">
        <v>84</v>
      </c>
      <c r="AH233" t="s">
        <v>84</v>
      </c>
      <c r="AI233" s="17">
        <v>47.2</v>
      </c>
      <c r="AJ233" s="17">
        <v>33.9</v>
      </c>
      <c r="AK233" t="s">
        <v>323</v>
      </c>
      <c r="AM233" s="17">
        <v>4.4</v>
      </c>
      <c r="AN233" s="17"/>
      <c r="AO233" s="17">
        <v>1980</v>
      </c>
      <c r="AP233" s="17"/>
      <c r="AQ233" s="17">
        <v>2760</v>
      </c>
      <c r="AR233" s="17"/>
      <c r="AS233" s="17">
        <v>2.86</v>
      </c>
      <c r="AT233" s="17"/>
      <c r="AU233" s="17">
        <v>1192</v>
      </c>
      <c r="AV233" s="17"/>
      <c r="AW233" s="17">
        <v>1879</v>
      </c>
      <c r="AX233" s="17"/>
      <c r="AY233" t="s">
        <v>92</v>
      </c>
      <c r="AZ233" t="s">
        <v>92</v>
      </c>
      <c r="BA233" t="s">
        <v>92</v>
      </c>
      <c r="BB233" t="s">
        <v>92</v>
      </c>
      <c r="BC233" t="s">
        <v>92</v>
      </c>
      <c r="BD233" t="s">
        <v>92</v>
      </c>
      <c r="BE233" t="s">
        <v>92</v>
      </c>
      <c r="BF233" t="s">
        <v>92</v>
      </c>
      <c r="BG233" t="s">
        <v>92</v>
      </c>
      <c r="BH233" t="s">
        <v>92</v>
      </c>
      <c r="BI233" t="s">
        <v>92</v>
      </c>
      <c r="BJ233" t="s">
        <v>92</v>
      </c>
      <c r="BK233" t="s">
        <v>92</v>
      </c>
      <c r="BL233" t="s">
        <v>92</v>
      </c>
      <c r="BM233" t="s">
        <v>92</v>
      </c>
      <c r="BN233" t="s">
        <v>92</v>
      </c>
      <c r="BO233" t="s">
        <v>92</v>
      </c>
      <c r="BP233" t="s">
        <v>92</v>
      </c>
      <c r="BQ233" t="s">
        <v>92</v>
      </c>
      <c r="BR233" t="s">
        <v>92</v>
      </c>
      <c r="BS233" t="s">
        <v>92</v>
      </c>
      <c r="BT233" t="s">
        <v>92</v>
      </c>
      <c r="BU233" t="s">
        <v>92</v>
      </c>
      <c r="BV233" t="s">
        <v>92</v>
      </c>
      <c r="BW233" t="s">
        <v>92</v>
      </c>
      <c r="BX233" t="s">
        <v>92</v>
      </c>
      <c r="BY233" t="str">
        <f>IF(COUNTIF('Data Upload-prod'!E:E,F233)=0,"Missing","Exist")</f>
        <v>Exist</v>
      </c>
    </row>
    <row r="234" hidden="1" spans="1:77">
      <c r="A234" s="16">
        <v>44879</v>
      </c>
      <c r="B234" s="16">
        <v>44977</v>
      </c>
      <c r="C234" t="s">
        <v>360</v>
      </c>
      <c r="D234" t="s">
        <v>120</v>
      </c>
      <c r="E234" t="s">
        <v>585</v>
      </c>
      <c r="F234" t="s">
        <v>586</v>
      </c>
      <c r="G234" t="s">
        <v>145</v>
      </c>
      <c r="H234" t="s">
        <v>289</v>
      </c>
      <c r="I234" t="s">
        <v>124</v>
      </c>
      <c r="J234" s="17">
        <v>25.3</v>
      </c>
      <c r="K234" s="17">
        <v>1980</v>
      </c>
      <c r="L234" s="17">
        <v>1980</v>
      </c>
      <c r="M234" s="17">
        <v>6320000</v>
      </c>
      <c r="N234" s="17">
        <v>11490000</v>
      </c>
      <c r="O234" s="17">
        <v>19.33</v>
      </c>
      <c r="P234" s="17">
        <v>29.11</v>
      </c>
      <c r="Q234" t="s">
        <v>84</v>
      </c>
      <c r="R234" t="s">
        <v>84</v>
      </c>
      <c r="S234" t="s">
        <v>85</v>
      </c>
      <c r="T234" t="s">
        <v>84</v>
      </c>
      <c r="U234" t="s">
        <v>84</v>
      </c>
      <c r="V234" s="16">
        <v>44926</v>
      </c>
      <c r="W234" s="18">
        <v>44923.5</v>
      </c>
      <c r="X234" s="18">
        <v>44959.6666666667</v>
      </c>
      <c r="Y234" s="17">
        <v>1924.8</v>
      </c>
      <c r="Z234" t="s">
        <v>87</v>
      </c>
      <c r="AA234" s="17">
        <v>1985</v>
      </c>
      <c r="AB234" s="17">
        <v>1985</v>
      </c>
      <c r="AC234" t="s">
        <v>84</v>
      </c>
      <c r="AD234" s="17">
        <v>13590000</v>
      </c>
      <c r="AE234" t="s">
        <v>84</v>
      </c>
      <c r="AF234" s="17">
        <v>36.5</v>
      </c>
      <c r="AG234" t="s">
        <v>84</v>
      </c>
      <c r="AH234" t="s">
        <v>84</v>
      </c>
      <c r="AI234" s="17">
        <v>1.38</v>
      </c>
      <c r="AJ234" s="17">
        <v>1.32</v>
      </c>
      <c r="AK234" t="s">
        <v>544</v>
      </c>
      <c r="AM234" s="17">
        <v>1.2</v>
      </c>
      <c r="AN234" s="17"/>
      <c r="AO234" s="17">
        <v>385</v>
      </c>
      <c r="AP234" s="17"/>
      <c r="AQ234" s="17">
        <v>930</v>
      </c>
      <c r="AR234" s="17"/>
      <c r="AS234" s="13" t="s">
        <v>150</v>
      </c>
      <c r="AT234" s="13"/>
      <c r="AU234" s="13" t="s">
        <v>150</v>
      </c>
      <c r="AW234" s="13" t="s">
        <v>150</v>
      </c>
      <c r="AY234" t="s">
        <v>92</v>
      </c>
      <c r="AZ234" t="s">
        <v>92</v>
      </c>
      <c r="BA234" t="s">
        <v>92</v>
      </c>
      <c r="BB234" t="s">
        <v>92</v>
      </c>
      <c r="BC234" t="s">
        <v>92</v>
      </c>
      <c r="BD234" t="s">
        <v>92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92</v>
      </c>
      <c r="BM234" t="s">
        <v>92</v>
      </c>
      <c r="BN234" t="s">
        <v>92</v>
      </c>
      <c r="BO234" t="s">
        <v>92</v>
      </c>
      <c r="BP234" t="s">
        <v>92</v>
      </c>
      <c r="BQ234" t="s">
        <v>92</v>
      </c>
      <c r="BR234" t="s">
        <v>92</v>
      </c>
      <c r="BS234" t="s">
        <v>92</v>
      </c>
      <c r="BT234" t="s">
        <v>92</v>
      </c>
      <c r="BU234" t="s">
        <v>92</v>
      </c>
      <c r="BV234" t="s">
        <v>92</v>
      </c>
      <c r="BW234" t="s">
        <v>92</v>
      </c>
      <c r="BX234" t="s">
        <v>92</v>
      </c>
      <c r="BY234" t="str">
        <f>IF(COUNTIF('Data Upload-prod'!E:E,F234)=0,"Missing","Exist")</f>
        <v>Exist</v>
      </c>
    </row>
    <row r="235" hidden="1" spans="1:77">
      <c r="A235" s="16">
        <v>44873</v>
      </c>
      <c r="B235" s="16">
        <v>45034</v>
      </c>
      <c r="C235" t="s">
        <v>269</v>
      </c>
      <c r="D235" t="s">
        <v>78</v>
      </c>
      <c r="E235" t="s">
        <v>270</v>
      </c>
      <c r="F235" t="s">
        <v>587</v>
      </c>
      <c r="G235" t="s">
        <v>81</v>
      </c>
      <c r="H235" t="s">
        <v>168</v>
      </c>
      <c r="I235" t="s">
        <v>124</v>
      </c>
      <c r="J235" s="17">
        <v>64.61</v>
      </c>
      <c r="K235" s="17">
        <v>3304.79</v>
      </c>
      <c r="L235" s="17">
        <v>2347.15</v>
      </c>
      <c r="M235" t="s">
        <v>84</v>
      </c>
      <c r="N235" t="s">
        <v>84</v>
      </c>
      <c r="O235" t="s">
        <v>84</v>
      </c>
      <c r="P235" t="s">
        <v>84</v>
      </c>
      <c r="Q235" s="17">
        <v>17430000</v>
      </c>
      <c r="R235" s="17">
        <v>33.55</v>
      </c>
      <c r="S235" t="s">
        <v>85</v>
      </c>
      <c r="T235" t="s">
        <v>84</v>
      </c>
      <c r="U235" t="s">
        <v>86</v>
      </c>
      <c r="V235" s="16">
        <v>44922</v>
      </c>
      <c r="W235" s="18">
        <v>44922</v>
      </c>
      <c r="X235" s="18">
        <v>44953.9791666667</v>
      </c>
      <c r="Y235" s="17">
        <v>3206.34</v>
      </c>
      <c r="Z235" t="s">
        <v>87</v>
      </c>
      <c r="AA235" s="17">
        <v>3316.34</v>
      </c>
      <c r="AB235" s="17">
        <v>2360.62</v>
      </c>
      <c r="AC235" t="s">
        <v>84</v>
      </c>
      <c r="AD235" t="s">
        <v>84</v>
      </c>
      <c r="AE235" t="s">
        <v>84</v>
      </c>
      <c r="AF235" t="s">
        <v>84</v>
      </c>
      <c r="AG235" s="17">
        <v>15070000</v>
      </c>
      <c r="AH235" s="17">
        <v>34.25</v>
      </c>
      <c r="AI235" s="17">
        <v>7.59</v>
      </c>
      <c r="AJ235" s="17">
        <v>7.59</v>
      </c>
      <c r="AK235" t="s">
        <v>165</v>
      </c>
      <c r="AM235" s="17">
        <v>3.2</v>
      </c>
      <c r="AN235" s="17"/>
      <c r="AO235" s="17">
        <v>1300</v>
      </c>
      <c r="AP235" s="17"/>
      <c r="AQ235" s="17">
        <v>1600</v>
      </c>
      <c r="AR235" s="17"/>
      <c r="AS235" s="17">
        <v>2.27</v>
      </c>
      <c r="AT235" s="17"/>
      <c r="AU235" s="17">
        <v>1044</v>
      </c>
      <c r="AV235" s="17"/>
      <c r="AW235" s="17">
        <v>1411</v>
      </c>
      <c r="AX235" s="17"/>
      <c r="AY235" t="s">
        <v>92</v>
      </c>
      <c r="AZ235" t="s">
        <v>92</v>
      </c>
      <c r="BA235" t="s">
        <v>92</v>
      </c>
      <c r="BB235" t="s">
        <v>92</v>
      </c>
      <c r="BC235" t="s">
        <v>92</v>
      </c>
      <c r="BD235" s="17">
        <v>7.57</v>
      </c>
      <c r="BE235" s="17">
        <v>3443463</v>
      </c>
      <c r="BF235" t="s">
        <v>92</v>
      </c>
      <c r="BG235" t="s">
        <v>92</v>
      </c>
      <c r="BH235" t="s">
        <v>93</v>
      </c>
      <c r="BI235" t="s">
        <v>94</v>
      </c>
      <c r="BJ235" t="s">
        <v>95</v>
      </c>
      <c r="BK235" t="s">
        <v>85</v>
      </c>
      <c r="BL235" t="s">
        <v>85</v>
      </c>
      <c r="BM235" t="s">
        <v>273</v>
      </c>
      <c r="BN235" t="s">
        <v>97</v>
      </c>
      <c r="BO235" t="s">
        <v>98</v>
      </c>
      <c r="BP235" t="s">
        <v>99</v>
      </c>
      <c r="BQ235" s="17">
        <v>137</v>
      </c>
      <c r="BR235" t="s">
        <v>138</v>
      </c>
      <c r="BS235" t="s">
        <v>92</v>
      </c>
      <c r="BT235" t="s">
        <v>99</v>
      </c>
      <c r="BU235" s="17">
        <v>12.6</v>
      </c>
      <c r="BV235" t="s">
        <v>588</v>
      </c>
      <c r="BW235" t="s">
        <v>85</v>
      </c>
      <c r="BX235" t="s">
        <v>85</v>
      </c>
      <c r="BY235" t="str">
        <f>IF(COUNTIF('Data Upload-prod'!E:E,F235)=0,"Missing","Exist")</f>
        <v>Exist</v>
      </c>
    </row>
    <row r="236" hidden="1" spans="1:77">
      <c r="A236" s="16">
        <v>44873</v>
      </c>
      <c r="B236" s="16">
        <v>44972</v>
      </c>
      <c r="C236" t="s">
        <v>360</v>
      </c>
      <c r="D236" t="s">
        <v>142</v>
      </c>
      <c r="E236" t="s">
        <v>589</v>
      </c>
      <c r="F236" t="s">
        <v>590</v>
      </c>
      <c r="G236" t="s">
        <v>81</v>
      </c>
      <c r="H236" t="s">
        <v>377</v>
      </c>
      <c r="I236" t="s">
        <v>147</v>
      </c>
      <c r="J236" s="17">
        <v>1345.4</v>
      </c>
      <c r="K236" s="17">
        <v>4087</v>
      </c>
      <c r="L236" s="17">
        <v>2817</v>
      </c>
      <c r="M236" t="s">
        <v>84</v>
      </c>
      <c r="N236" t="s">
        <v>84</v>
      </c>
      <c r="O236" t="s">
        <v>84</v>
      </c>
      <c r="P236" t="s">
        <v>84</v>
      </c>
      <c r="Q236" s="17">
        <v>53070000</v>
      </c>
      <c r="R236" s="17">
        <v>48.94</v>
      </c>
      <c r="S236" t="s">
        <v>85</v>
      </c>
      <c r="T236" t="s">
        <v>84</v>
      </c>
      <c r="U236" t="s">
        <v>320</v>
      </c>
      <c r="V236" s="16">
        <v>44899</v>
      </c>
      <c r="W236" s="18">
        <v>44899</v>
      </c>
      <c r="X236" s="18">
        <v>44960.5</v>
      </c>
      <c r="Y236" s="17">
        <v>2099.6</v>
      </c>
      <c r="Z236" t="s">
        <v>148</v>
      </c>
      <c r="AA236" s="17">
        <v>3471</v>
      </c>
      <c r="AB236" s="17">
        <v>2765.79</v>
      </c>
      <c r="AC236" t="s">
        <v>84</v>
      </c>
      <c r="AD236" t="s">
        <v>84</v>
      </c>
      <c r="AE236" t="s">
        <v>84</v>
      </c>
      <c r="AF236" t="s">
        <v>84</v>
      </c>
      <c r="AG236" s="17">
        <v>64550000</v>
      </c>
      <c r="AH236" s="17">
        <v>61.5</v>
      </c>
      <c r="AI236" s="17">
        <v>7.42</v>
      </c>
      <c r="AJ236" s="17">
        <v>7.11</v>
      </c>
      <c r="AK236" t="s">
        <v>591</v>
      </c>
      <c r="AM236" s="17">
        <v>4</v>
      </c>
      <c r="AN236" s="17"/>
      <c r="AO236" s="17">
        <v>3640</v>
      </c>
      <c r="AP236" s="17"/>
      <c r="AQ236" s="17">
        <v>8010</v>
      </c>
      <c r="AR236" s="17"/>
      <c r="AS236" s="17">
        <v>3.98</v>
      </c>
      <c r="AT236" s="17"/>
      <c r="AU236" s="17">
        <v>3275</v>
      </c>
      <c r="AV236" s="17"/>
      <c r="AW236" s="17">
        <v>8301</v>
      </c>
      <c r="AX236" s="17"/>
      <c r="AY236" t="s">
        <v>92</v>
      </c>
      <c r="AZ236" t="s">
        <v>92</v>
      </c>
      <c r="BA236" t="s">
        <v>92</v>
      </c>
      <c r="BB236" t="s">
        <v>92</v>
      </c>
      <c r="BC236" t="s">
        <v>92</v>
      </c>
      <c r="BD236" s="17">
        <v>19.8</v>
      </c>
      <c r="BE236" s="17">
        <v>11988029.76</v>
      </c>
      <c r="BF236" t="s">
        <v>92</v>
      </c>
      <c r="BG236" t="s">
        <v>92</v>
      </c>
      <c r="BH236" t="s">
        <v>93</v>
      </c>
      <c r="BI236" t="s">
        <v>94</v>
      </c>
      <c r="BJ236" t="s">
        <v>367</v>
      </c>
      <c r="BK236" t="s">
        <v>85</v>
      </c>
      <c r="BL236" t="s">
        <v>85</v>
      </c>
      <c r="BM236" t="s">
        <v>273</v>
      </c>
      <c r="BN236" t="s">
        <v>97</v>
      </c>
      <c r="BO236" t="s">
        <v>98</v>
      </c>
      <c r="BP236" t="s">
        <v>99</v>
      </c>
      <c r="BQ236" s="17">
        <v>1124.69399</v>
      </c>
      <c r="BR236" t="s">
        <v>138</v>
      </c>
      <c r="BS236" t="s">
        <v>92</v>
      </c>
      <c r="BT236" t="s">
        <v>99</v>
      </c>
      <c r="BU236" s="17">
        <v>10.4</v>
      </c>
      <c r="BV236" t="s">
        <v>256</v>
      </c>
      <c r="BW236" t="s">
        <v>337</v>
      </c>
      <c r="BX236" t="s">
        <v>85</v>
      </c>
      <c r="BY236" t="str">
        <f>IF(COUNTIF('Data Upload-prod'!E:E,F236)=0,"Missing","Exist")</f>
        <v>Exist</v>
      </c>
    </row>
    <row r="237" hidden="1" spans="1:77">
      <c r="A237" s="16">
        <v>44873</v>
      </c>
      <c r="B237" s="16">
        <v>45138</v>
      </c>
      <c r="C237" t="s">
        <v>269</v>
      </c>
      <c r="D237" t="s">
        <v>78</v>
      </c>
      <c r="E237" t="s">
        <v>270</v>
      </c>
      <c r="F237" t="s">
        <v>592</v>
      </c>
      <c r="G237" t="s">
        <v>81</v>
      </c>
      <c r="H237" t="s">
        <v>168</v>
      </c>
      <c r="I237" t="s">
        <v>124</v>
      </c>
      <c r="J237" s="17">
        <v>64.61</v>
      </c>
      <c r="K237" s="17">
        <v>2622.07</v>
      </c>
      <c r="L237" s="17">
        <v>2349.89</v>
      </c>
      <c r="M237" t="s">
        <v>84</v>
      </c>
      <c r="N237" t="s">
        <v>84</v>
      </c>
      <c r="O237" t="s">
        <v>84</v>
      </c>
      <c r="P237" t="s">
        <v>84</v>
      </c>
      <c r="Q237" s="17">
        <v>16480000</v>
      </c>
      <c r="R237" s="17">
        <v>31.02</v>
      </c>
      <c r="S237" t="s">
        <v>85</v>
      </c>
      <c r="T237" t="s">
        <v>84</v>
      </c>
      <c r="U237" t="s">
        <v>86</v>
      </c>
      <c r="V237" s="16">
        <v>44960</v>
      </c>
      <c r="W237" s="18">
        <v>44956.25</v>
      </c>
      <c r="X237" s="18">
        <v>45081.875</v>
      </c>
      <c r="Y237" s="17">
        <v>2522.74</v>
      </c>
      <c r="Z237" t="s">
        <v>87</v>
      </c>
      <c r="AA237" s="17">
        <v>2632.73</v>
      </c>
      <c r="AB237" s="17">
        <v>2361.96</v>
      </c>
      <c r="AC237" t="s">
        <v>84</v>
      </c>
      <c r="AD237" t="s">
        <v>84</v>
      </c>
      <c r="AE237" t="s">
        <v>84</v>
      </c>
      <c r="AF237" t="s">
        <v>84</v>
      </c>
      <c r="AG237" s="17">
        <v>16100000</v>
      </c>
      <c r="AH237" s="17">
        <v>37.31</v>
      </c>
      <c r="AI237" s="17">
        <v>22.8</v>
      </c>
      <c r="AJ237" s="17">
        <v>13.1</v>
      </c>
      <c r="AK237" t="s">
        <v>165</v>
      </c>
      <c r="AM237" s="17">
        <v>3.2</v>
      </c>
      <c r="AN237" s="17"/>
      <c r="AO237" s="17">
        <v>1300</v>
      </c>
      <c r="AP237" s="17"/>
      <c r="AQ237" s="17">
        <v>1600</v>
      </c>
      <c r="AR237" s="17"/>
      <c r="AS237" s="17">
        <v>3.33</v>
      </c>
      <c r="AT237" s="17"/>
      <c r="AU237" s="17">
        <v>1446</v>
      </c>
      <c r="AV237" s="17"/>
      <c r="AW237" s="17">
        <v>1910</v>
      </c>
      <c r="AX237" s="17"/>
      <c r="AY237" t="s">
        <v>92</v>
      </c>
      <c r="AZ237" t="s">
        <v>92</v>
      </c>
      <c r="BA237" t="s">
        <v>92</v>
      </c>
      <c r="BB237" t="s">
        <v>92</v>
      </c>
      <c r="BC237" t="s">
        <v>92</v>
      </c>
      <c r="BD237" s="17">
        <v>5.16</v>
      </c>
      <c r="BE237" s="17">
        <v>2937212</v>
      </c>
      <c r="BF237" t="s">
        <v>92</v>
      </c>
      <c r="BG237" t="s">
        <v>92</v>
      </c>
      <c r="BH237" t="s">
        <v>93</v>
      </c>
      <c r="BI237" t="s">
        <v>94</v>
      </c>
      <c r="BJ237" t="s">
        <v>95</v>
      </c>
      <c r="BK237" t="s">
        <v>85</v>
      </c>
      <c r="BL237" t="s">
        <v>85</v>
      </c>
      <c r="BM237" t="s">
        <v>273</v>
      </c>
      <c r="BN237" t="s">
        <v>97</v>
      </c>
      <c r="BO237" t="s">
        <v>98</v>
      </c>
      <c r="BP237" t="s">
        <v>99</v>
      </c>
      <c r="BQ237" s="17">
        <v>173</v>
      </c>
      <c r="BR237" t="s">
        <v>138</v>
      </c>
      <c r="BS237" t="s">
        <v>92</v>
      </c>
      <c r="BT237" t="s">
        <v>99</v>
      </c>
      <c r="BU237" s="17">
        <v>12.6</v>
      </c>
      <c r="BV237" t="s">
        <v>588</v>
      </c>
      <c r="BW237" t="s">
        <v>85</v>
      </c>
      <c r="BX237" t="s">
        <v>85</v>
      </c>
      <c r="BY237" t="str">
        <f>IF(COUNTIF('Data Upload-prod'!E:E,F237)=0,"Missing","Exist")</f>
        <v>Exist</v>
      </c>
    </row>
    <row r="238" hidden="1" spans="1:77">
      <c r="A238" s="16">
        <v>44869</v>
      </c>
      <c r="B238" s="16">
        <v>45000</v>
      </c>
      <c r="C238" t="s">
        <v>132</v>
      </c>
      <c r="D238" t="s">
        <v>120</v>
      </c>
      <c r="E238" t="s">
        <v>467</v>
      </c>
      <c r="F238" t="s">
        <v>593</v>
      </c>
      <c r="G238" t="s">
        <v>145</v>
      </c>
      <c r="H238" t="s">
        <v>363</v>
      </c>
      <c r="I238" t="s">
        <v>124</v>
      </c>
      <c r="J238" s="17">
        <v>53.81</v>
      </c>
      <c r="K238" s="17">
        <v>2700</v>
      </c>
      <c r="L238" s="17">
        <v>2700</v>
      </c>
      <c r="M238" s="17">
        <v>19310000</v>
      </c>
      <c r="N238" s="17">
        <v>26240000</v>
      </c>
      <c r="O238" s="17">
        <v>40.56</v>
      </c>
      <c r="P238" s="17">
        <v>55.47</v>
      </c>
      <c r="Q238" t="s">
        <v>84</v>
      </c>
      <c r="R238" t="s">
        <v>84</v>
      </c>
      <c r="S238" t="s">
        <v>85</v>
      </c>
      <c r="T238" t="s">
        <v>84</v>
      </c>
      <c r="U238" t="s">
        <v>84</v>
      </c>
      <c r="V238" s="16">
        <v>44897</v>
      </c>
      <c r="W238" s="18">
        <v>44889.8541666667</v>
      </c>
      <c r="X238" s="18">
        <v>44959.625</v>
      </c>
      <c r="Y238" s="17">
        <v>2713.77</v>
      </c>
      <c r="Z238" t="s">
        <v>87</v>
      </c>
      <c r="AA238" s="17">
        <v>2800</v>
      </c>
      <c r="AB238" s="17">
        <v>2799.98</v>
      </c>
      <c r="AC238" t="s">
        <v>84</v>
      </c>
      <c r="AD238" s="17">
        <v>26994203.61</v>
      </c>
      <c r="AE238" t="s">
        <v>84</v>
      </c>
      <c r="AF238" s="17">
        <v>69.69</v>
      </c>
      <c r="AG238" t="s">
        <v>84</v>
      </c>
      <c r="AH238" t="s">
        <v>84</v>
      </c>
      <c r="AI238" s="17">
        <v>15.93</v>
      </c>
      <c r="AJ238" s="17">
        <v>7.13</v>
      </c>
      <c r="AK238" t="s">
        <v>323</v>
      </c>
      <c r="AM238" s="17">
        <v>4.4</v>
      </c>
      <c r="AN238" s="17"/>
      <c r="AO238" s="17">
        <v>1980</v>
      </c>
      <c r="AP238" s="17"/>
      <c r="AQ238" s="17">
        <v>2760</v>
      </c>
      <c r="AR238" s="17"/>
      <c r="AS238" s="17">
        <v>2.13</v>
      </c>
      <c r="AT238" s="17"/>
      <c r="AU238" s="17">
        <v>1055</v>
      </c>
      <c r="AV238" s="17"/>
      <c r="AW238" s="17">
        <v>2377</v>
      </c>
      <c r="AX238" s="17"/>
      <c r="AY238" t="s">
        <v>92</v>
      </c>
      <c r="AZ238" t="s">
        <v>92</v>
      </c>
      <c r="BA238" t="s">
        <v>92</v>
      </c>
      <c r="BB238" t="s">
        <v>92</v>
      </c>
      <c r="BC238" t="s">
        <v>92</v>
      </c>
      <c r="BD238" t="s">
        <v>92</v>
      </c>
      <c r="BE238" t="s">
        <v>92</v>
      </c>
      <c r="BF238" t="s">
        <v>92</v>
      </c>
      <c r="BG238" t="s">
        <v>92</v>
      </c>
      <c r="BH238" t="s">
        <v>92</v>
      </c>
      <c r="BI238" t="s">
        <v>92</v>
      </c>
      <c r="BJ238" t="s">
        <v>92</v>
      </c>
      <c r="BK238" t="s">
        <v>92</v>
      </c>
      <c r="BL238" t="s">
        <v>92</v>
      </c>
      <c r="BM238" t="s">
        <v>92</v>
      </c>
      <c r="BN238" t="s">
        <v>92</v>
      </c>
      <c r="BO238" t="s">
        <v>92</v>
      </c>
      <c r="BP238" t="s">
        <v>92</v>
      </c>
      <c r="BQ238" t="s">
        <v>92</v>
      </c>
      <c r="BR238" t="s">
        <v>92</v>
      </c>
      <c r="BS238" t="s">
        <v>92</v>
      </c>
      <c r="BT238" t="s">
        <v>92</v>
      </c>
      <c r="BU238" t="s">
        <v>92</v>
      </c>
      <c r="BV238" t="s">
        <v>92</v>
      </c>
      <c r="BW238" t="s">
        <v>92</v>
      </c>
      <c r="BX238" t="s">
        <v>92</v>
      </c>
      <c r="BY238" t="str">
        <f>IF(COUNTIF('Data Upload-prod'!E:E,F238)=0,"Missing","Exist")</f>
        <v>Exist</v>
      </c>
    </row>
    <row r="239" hidden="1" spans="1:77">
      <c r="A239" s="16">
        <v>44848</v>
      </c>
      <c r="B239" s="16">
        <v>44977</v>
      </c>
      <c r="C239" t="s">
        <v>269</v>
      </c>
      <c r="D239" t="s">
        <v>78</v>
      </c>
      <c r="E239" t="s">
        <v>270</v>
      </c>
      <c r="F239" t="s">
        <v>594</v>
      </c>
      <c r="G239" t="s">
        <v>81</v>
      </c>
      <c r="H239" t="s">
        <v>168</v>
      </c>
      <c r="I239" t="s">
        <v>124</v>
      </c>
      <c r="J239" s="17">
        <v>64.61</v>
      </c>
      <c r="K239" s="17">
        <v>3049.98</v>
      </c>
      <c r="L239" s="17">
        <v>1783.3</v>
      </c>
      <c r="M239" t="s">
        <v>84</v>
      </c>
      <c r="N239" t="s">
        <v>84</v>
      </c>
      <c r="O239" t="s">
        <v>84</v>
      </c>
      <c r="P239" t="s">
        <v>84</v>
      </c>
      <c r="Q239" s="17">
        <v>15500000</v>
      </c>
      <c r="R239" s="17">
        <v>31.67</v>
      </c>
      <c r="S239" t="s">
        <v>85</v>
      </c>
      <c r="T239" t="s">
        <v>84</v>
      </c>
      <c r="U239" t="s">
        <v>86</v>
      </c>
      <c r="V239" s="16">
        <v>44879</v>
      </c>
      <c r="W239" s="18">
        <v>44879.2916666667</v>
      </c>
      <c r="X239" s="18">
        <v>44921.5833333333</v>
      </c>
      <c r="Y239" s="17">
        <v>2886.04</v>
      </c>
      <c r="Z239" t="s">
        <v>87</v>
      </c>
      <c r="AA239" s="17">
        <v>2996.04</v>
      </c>
      <c r="AB239" s="17">
        <v>1743.81</v>
      </c>
      <c r="AC239" t="s">
        <v>84</v>
      </c>
      <c r="AD239" t="s">
        <v>84</v>
      </c>
      <c r="AE239" t="s">
        <v>84</v>
      </c>
      <c r="AF239" t="s">
        <v>84</v>
      </c>
      <c r="AG239" s="17">
        <v>17395000</v>
      </c>
      <c r="AH239" s="17">
        <v>40.54</v>
      </c>
      <c r="AI239" s="17">
        <v>16.3</v>
      </c>
      <c r="AJ239" s="17">
        <v>10.6</v>
      </c>
      <c r="AK239" t="s">
        <v>276</v>
      </c>
      <c r="AM239" s="17">
        <v>3.7</v>
      </c>
      <c r="AN239" s="17"/>
      <c r="AO239" s="17">
        <v>1585</v>
      </c>
      <c r="AP239" s="17"/>
      <c r="AQ239" s="17">
        <v>3400</v>
      </c>
      <c r="AR239" s="17"/>
      <c r="AS239" s="17">
        <v>2.25</v>
      </c>
      <c r="AT239" s="17"/>
      <c r="AU239" s="17">
        <v>1129</v>
      </c>
      <c r="AV239" s="17"/>
      <c r="AW239" s="17">
        <v>1773</v>
      </c>
      <c r="AX239" s="17"/>
      <c r="AY239" t="s">
        <v>92</v>
      </c>
      <c r="AZ239" t="s">
        <v>92</v>
      </c>
      <c r="BA239" t="s">
        <v>92</v>
      </c>
      <c r="BB239" t="s">
        <v>92</v>
      </c>
      <c r="BC239" t="s">
        <v>92</v>
      </c>
      <c r="BD239" s="17">
        <v>15.36</v>
      </c>
      <c r="BE239" s="17">
        <v>4349000</v>
      </c>
      <c r="BF239" t="s">
        <v>92</v>
      </c>
      <c r="BG239" t="s">
        <v>92</v>
      </c>
      <c r="BH239" t="s">
        <v>93</v>
      </c>
      <c r="BI239" t="s">
        <v>94</v>
      </c>
      <c r="BJ239" t="s">
        <v>173</v>
      </c>
      <c r="BK239" t="s">
        <v>85</v>
      </c>
      <c r="BL239" t="s">
        <v>85</v>
      </c>
      <c r="BM239" t="s">
        <v>273</v>
      </c>
      <c r="BN239" t="s">
        <v>97</v>
      </c>
      <c r="BO239" t="s">
        <v>98</v>
      </c>
      <c r="BP239" t="s">
        <v>99</v>
      </c>
      <c r="BQ239" s="17">
        <v>280</v>
      </c>
      <c r="BR239" t="s">
        <v>138</v>
      </c>
      <c r="BS239" t="s">
        <v>92</v>
      </c>
      <c r="BT239" t="s">
        <v>99</v>
      </c>
      <c r="BU239" s="17">
        <v>8.5</v>
      </c>
      <c r="BV239" t="s">
        <v>110</v>
      </c>
      <c r="BW239" t="s">
        <v>85</v>
      </c>
      <c r="BX239" t="s">
        <v>85</v>
      </c>
      <c r="BY239" t="str">
        <f>IF(COUNTIF('Data Upload-prod'!E:E,F239)=0,"Missing","Exist")</f>
        <v>Exist</v>
      </c>
    </row>
    <row r="240" hidden="1" spans="1:77">
      <c r="A240" s="16">
        <v>44841</v>
      </c>
      <c r="B240" s="16">
        <v>45089</v>
      </c>
      <c r="C240" t="s">
        <v>132</v>
      </c>
      <c r="D240" t="s">
        <v>78</v>
      </c>
      <c r="E240" t="s">
        <v>422</v>
      </c>
      <c r="F240" t="s">
        <v>595</v>
      </c>
      <c r="G240" t="s">
        <v>81</v>
      </c>
      <c r="H240" t="s">
        <v>514</v>
      </c>
      <c r="I240" t="s">
        <v>124</v>
      </c>
      <c r="J240" s="17">
        <v>68.5</v>
      </c>
      <c r="K240" s="17">
        <v>3567.8</v>
      </c>
      <c r="L240" s="17">
        <v>1659.2</v>
      </c>
      <c r="M240" t="s">
        <v>84</v>
      </c>
      <c r="N240" t="s">
        <v>84</v>
      </c>
      <c r="O240" t="s">
        <v>84</v>
      </c>
      <c r="P240" t="s">
        <v>84</v>
      </c>
      <c r="Q240" s="17">
        <v>16305502.98</v>
      </c>
      <c r="R240" s="17">
        <v>31.84</v>
      </c>
      <c r="S240" t="s">
        <v>85</v>
      </c>
      <c r="T240" t="s">
        <v>84</v>
      </c>
      <c r="U240" t="s">
        <v>86</v>
      </c>
      <c r="V240" s="16">
        <v>44844</v>
      </c>
      <c r="W240" s="18">
        <v>44844.125</v>
      </c>
      <c r="X240" s="18">
        <v>44900.1041666667</v>
      </c>
      <c r="Y240" s="17">
        <v>3637.23</v>
      </c>
      <c r="Z240" t="s">
        <v>87</v>
      </c>
      <c r="AA240" s="17">
        <v>3750</v>
      </c>
      <c r="AB240" s="17">
        <v>1660.91</v>
      </c>
      <c r="AC240" t="s">
        <v>84</v>
      </c>
      <c r="AD240" t="s">
        <v>84</v>
      </c>
      <c r="AE240" t="s">
        <v>84</v>
      </c>
      <c r="AF240" t="s">
        <v>84</v>
      </c>
      <c r="AG240" s="17">
        <v>13252526.62</v>
      </c>
      <c r="AH240" s="17">
        <v>32.83</v>
      </c>
      <c r="AI240" s="17">
        <v>8.19</v>
      </c>
      <c r="AJ240" s="17">
        <v>6.82</v>
      </c>
      <c r="AK240" t="s">
        <v>208</v>
      </c>
      <c r="AM240" s="17">
        <v>2.1</v>
      </c>
      <c r="AN240" s="17"/>
      <c r="AO240" s="17">
        <v>700</v>
      </c>
      <c r="AP240" s="17"/>
      <c r="AQ240" s="17">
        <v>1225</v>
      </c>
      <c r="AR240" s="17"/>
      <c r="AS240" s="17">
        <v>1.2</v>
      </c>
      <c r="AT240" s="17"/>
      <c r="AU240" s="17">
        <v>536</v>
      </c>
      <c r="AV240" s="17"/>
      <c r="AW240" s="17">
        <v>896</v>
      </c>
      <c r="AX240" s="17"/>
      <c r="AY240" t="s">
        <v>92</v>
      </c>
      <c r="AZ240" t="s">
        <v>92</v>
      </c>
      <c r="BA240" t="s">
        <v>92</v>
      </c>
      <c r="BB240" t="s">
        <v>92</v>
      </c>
      <c r="BC240" t="s">
        <v>92</v>
      </c>
      <c r="BD240" s="17">
        <v>5.29</v>
      </c>
      <c r="BE240" s="17">
        <v>3211278.75</v>
      </c>
      <c r="BF240" t="s">
        <v>92</v>
      </c>
      <c r="BG240" t="s">
        <v>92</v>
      </c>
      <c r="BH240" t="s">
        <v>93</v>
      </c>
      <c r="BI240" t="s">
        <v>94</v>
      </c>
      <c r="BJ240" t="s">
        <v>128</v>
      </c>
      <c r="BK240" t="s">
        <v>85</v>
      </c>
      <c r="BL240" t="s">
        <v>85</v>
      </c>
      <c r="BM240" t="s">
        <v>96</v>
      </c>
      <c r="BN240" t="s">
        <v>97</v>
      </c>
      <c r="BO240" t="s">
        <v>98</v>
      </c>
      <c r="BP240" t="s">
        <v>103</v>
      </c>
      <c r="BQ240" s="17">
        <v>2014.534</v>
      </c>
      <c r="BR240" t="s">
        <v>100</v>
      </c>
      <c r="BS240" t="s">
        <v>285</v>
      </c>
      <c r="BT240" t="s">
        <v>550</v>
      </c>
      <c r="BU240" s="17">
        <v>8.6</v>
      </c>
      <c r="BV240" t="s">
        <v>191</v>
      </c>
      <c r="BW240" t="s">
        <v>85</v>
      </c>
      <c r="BX240" t="s">
        <v>85</v>
      </c>
      <c r="BY240" t="str">
        <f>IF(COUNTIF('Data Upload-prod'!E:E,F240)=0,"Missing","Exist")</f>
        <v>Exist</v>
      </c>
    </row>
    <row r="241" hidden="1" spans="1:77">
      <c r="A241" s="16">
        <v>44840</v>
      </c>
      <c r="B241" s="16">
        <v>44972</v>
      </c>
      <c r="C241" t="s">
        <v>132</v>
      </c>
      <c r="D241" t="s">
        <v>120</v>
      </c>
      <c r="E241" t="s">
        <v>596</v>
      </c>
      <c r="F241" t="s">
        <v>597</v>
      </c>
      <c r="G241" t="s">
        <v>145</v>
      </c>
      <c r="H241" t="s">
        <v>319</v>
      </c>
      <c r="I241" t="s">
        <v>231</v>
      </c>
      <c r="J241" s="17">
        <v>99</v>
      </c>
      <c r="K241" s="17">
        <v>1908</v>
      </c>
      <c r="L241" s="17">
        <v>1908</v>
      </c>
      <c r="M241" s="17">
        <v>17180000</v>
      </c>
      <c r="N241" s="17">
        <v>18220000</v>
      </c>
      <c r="O241" s="17">
        <v>35.21</v>
      </c>
      <c r="P241" s="17">
        <v>37.52</v>
      </c>
      <c r="Q241" t="s">
        <v>84</v>
      </c>
      <c r="R241" t="s">
        <v>84</v>
      </c>
      <c r="S241" t="s">
        <v>85</v>
      </c>
      <c r="T241" t="s">
        <v>84</v>
      </c>
      <c r="U241" t="s">
        <v>84</v>
      </c>
      <c r="V241" s="16">
        <v>44871</v>
      </c>
      <c r="W241" s="18">
        <v>44869</v>
      </c>
      <c r="X241" s="18">
        <v>44897.5729166667</v>
      </c>
      <c r="Y241" s="17">
        <v>1781</v>
      </c>
      <c r="Z241" t="s">
        <v>87</v>
      </c>
      <c r="AA241" s="17">
        <v>1908</v>
      </c>
      <c r="AB241" s="17">
        <v>1907.83</v>
      </c>
      <c r="AC241" t="s">
        <v>84</v>
      </c>
      <c r="AD241" s="17">
        <v>17308817</v>
      </c>
      <c r="AE241" t="s">
        <v>84</v>
      </c>
      <c r="AF241" s="17">
        <v>27.98</v>
      </c>
      <c r="AG241" t="s">
        <v>84</v>
      </c>
      <c r="AH241" t="s">
        <v>84</v>
      </c>
      <c r="AI241" s="17">
        <v>1.67</v>
      </c>
      <c r="AJ241" s="17">
        <v>0.71</v>
      </c>
      <c r="AK241" t="s">
        <v>295</v>
      </c>
      <c r="AM241" s="17">
        <v>2.7</v>
      </c>
      <c r="AN241" s="17"/>
      <c r="AO241" s="17">
        <v>1490</v>
      </c>
      <c r="AP241" s="17"/>
      <c r="AQ241" s="17">
        <v>2760</v>
      </c>
      <c r="AR241" s="17"/>
      <c r="AS241" s="17">
        <v>2.67</v>
      </c>
      <c r="AT241" s="17"/>
      <c r="AU241" s="17">
        <v>1533</v>
      </c>
      <c r="AV241" s="17"/>
      <c r="AW241" s="17">
        <v>2053</v>
      </c>
      <c r="AX241" s="17"/>
      <c r="AY241" t="s">
        <v>92</v>
      </c>
      <c r="AZ241" t="s">
        <v>92</v>
      </c>
      <c r="BA241" t="s">
        <v>92</v>
      </c>
      <c r="BB241" t="s">
        <v>92</v>
      </c>
      <c r="BC241" t="s">
        <v>92</v>
      </c>
      <c r="BD241" t="s">
        <v>92</v>
      </c>
      <c r="BE241" t="s">
        <v>92</v>
      </c>
      <c r="BF241" t="s">
        <v>92</v>
      </c>
      <c r="BG241" t="s">
        <v>92</v>
      </c>
      <c r="BH241" t="s">
        <v>92</v>
      </c>
      <c r="BI241" t="s">
        <v>92</v>
      </c>
      <c r="BJ241" t="s">
        <v>92</v>
      </c>
      <c r="BK241" t="s">
        <v>92</v>
      </c>
      <c r="BL241" t="s">
        <v>92</v>
      </c>
      <c r="BM241" t="s">
        <v>92</v>
      </c>
      <c r="BN241" t="s">
        <v>92</v>
      </c>
      <c r="BO241" t="s">
        <v>92</v>
      </c>
      <c r="BP241" t="s">
        <v>92</v>
      </c>
      <c r="BQ241" t="s">
        <v>92</v>
      </c>
      <c r="BR241" t="s">
        <v>92</v>
      </c>
      <c r="BS241" t="s">
        <v>92</v>
      </c>
      <c r="BT241" t="s">
        <v>92</v>
      </c>
      <c r="BU241" t="s">
        <v>92</v>
      </c>
      <c r="BV241" t="s">
        <v>92</v>
      </c>
      <c r="BW241" t="s">
        <v>92</v>
      </c>
      <c r="BX241" t="s">
        <v>92</v>
      </c>
      <c r="BY241" t="str">
        <f>IF(COUNTIF('Data Upload-prod'!E:E,F241)=0,"Missing","Exist")</f>
        <v>Exist</v>
      </c>
    </row>
    <row r="242" hidden="1" spans="1:77">
      <c r="A242" s="16">
        <v>44840</v>
      </c>
      <c r="B242" s="16">
        <v>44972</v>
      </c>
      <c r="C242" t="s">
        <v>132</v>
      </c>
      <c r="D242" t="s">
        <v>120</v>
      </c>
      <c r="E242" t="s">
        <v>596</v>
      </c>
      <c r="F242" t="s">
        <v>598</v>
      </c>
      <c r="G242" t="s">
        <v>145</v>
      </c>
      <c r="H242" t="s">
        <v>319</v>
      </c>
      <c r="I242" t="s">
        <v>231</v>
      </c>
      <c r="J242" s="17">
        <v>99</v>
      </c>
      <c r="K242" s="17">
        <v>1908</v>
      </c>
      <c r="L242" s="17">
        <v>1908</v>
      </c>
      <c r="M242" s="17">
        <v>17180000</v>
      </c>
      <c r="N242" s="17">
        <v>18220000</v>
      </c>
      <c r="O242" s="17">
        <v>35.21</v>
      </c>
      <c r="P242" s="17">
        <v>37.52</v>
      </c>
      <c r="Q242" t="s">
        <v>84</v>
      </c>
      <c r="R242" t="s">
        <v>84</v>
      </c>
      <c r="S242" t="s">
        <v>85</v>
      </c>
      <c r="T242" t="s">
        <v>84</v>
      </c>
      <c r="U242" t="s">
        <v>84</v>
      </c>
      <c r="V242" s="16">
        <v>44871</v>
      </c>
      <c r="W242" s="18">
        <v>44869</v>
      </c>
      <c r="X242" s="18">
        <v>44897.5729166667</v>
      </c>
      <c r="Y242" s="17">
        <v>1781</v>
      </c>
      <c r="Z242" t="s">
        <v>87</v>
      </c>
      <c r="AA242" s="17">
        <v>1908</v>
      </c>
      <c r="AB242" s="17">
        <v>1907.83</v>
      </c>
      <c r="AC242" t="s">
        <v>84</v>
      </c>
      <c r="AD242" s="17">
        <v>17308816.94</v>
      </c>
      <c r="AE242" t="s">
        <v>84</v>
      </c>
      <c r="AF242" s="17">
        <v>27.98</v>
      </c>
      <c r="AG242" t="s">
        <v>84</v>
      </c>
      <c r="AH242" t="s">
        <v>84</v>
      </c>
      <c r="AI242" s="17">
        <v>3.17</v>
      </c>
      <c r="AJ242" s="17">
        <v>3.17</v>
      </c>
      <c r="AK242" t="s">
        <v>295</v>
      </c>
      <c r="AM242" s="17">
        <v>2.7</v>
      </c>
      <c r="AN242" s="17"/>
      <c r="AO242" s="17">
        <v>1490</v>
      </c>
      <c r="AP242" s="17"/>
      <c r="AQ242" s="17">
        <v>2760</v>
      </c>
      <c r="AR242" s="17"/>
      <c r="AS242" s="17">
        <v>2.67</v>
      </c>
      <c r="AT242" s="17"/>
      <c r="AU242" s="17">
        <v>1533</v>
      </c>
      <c r="AV242" s="17"/>
      <c r="AW242" s="17">
        <v>2053</v>
      </c>
      <c r="AX242" s="17"/>
      <c r="AY242" t="s">
        <v>92</v>
      </c>
      <c r="AZ242" t="s">
        <v>92</v>
      </c>
      <c r="BA242" t="s">
        <v>92</v>
      </c>
      <c r="BB242" t="s">
        <v>92</v>
      </c>
      <c r="BC242" t="s">
        <v>92</v>
      </c>
      <c r="BD242" t="s">
        <v>92</v>
      </c>
      <c r="BE242" t="s">
        <v>92</v>
      </c>
      <c r="BF242" t="s">
        <v>92</v>
      </c>
      <c r="BG242" t="s">
        <v>92</v>
      </c>
      <c r="BH242" t="s">
        <v>92</v>
      </c>
      <c r="BI242" t="s">
        <v>92</v>
      </c>
      <c r="BJ242" t="s">
        <v>92</v>
      </c>
      <c r="BK242" t="s">
        <v>92</v>
      </c>
      <c r="BL242" t="s">
        <v>92</v>
      </c>
      <c r="BM242" t="s">
        <v>92</v>
      </c>
      <c r="BN242" t="s">
        <v>92</v>
      </c>
      <c r="BO242" t="s">
        <v>92</v>
      </c>
      <c r="BP242" t="s">
        <v>92</v>
      </c>
      <c r="BQ242" t="s">
        <v>92</v>
      </c>
      <c r="BR242" t="s">
        <v>92</v>
      </c>
      <c r="BS242" t="s">
        <v>92</v>
      </c>
      <c r="BT242" t="s">
        <v>92</v>
      </c>
      <c r="BU242" t="s">
        <v>92</v>
      </c>
      <c r="BV242" t="s">
        <v>92</v>
      </c>
      <c r="BW242" t="s">
        <v>92</v>
      </c>
      <c r="BX242" t="s">
        <v>92</v>
      </c>
      <c r="BY242" t="str">
        <f>IF(COUNTIF('Data Upload-prod'!E:E,F242)=0,"Missing","Exist")</f>
        <v>Exist</v>
      </c>
    </row>
    <row r="243" hidden="1" spans="1:77">
      <c r="A243" s="16">
        <v>44834</v>
      </c>
      <c r="B243" s="16">
        <v>45051</v>
      </c>
      <c r="C243" t="s">
        <v>360</v>
      </c>
      <c r="D243" t="s">
        <v>120</v>
      </c>
      <c r="E243" t="s">
        <v>599</v>
      </c>
      <c r="F243" t="s">
        <v>600</v>
      </c>
      <c r="G243" t="s">
        <v>81</v>
      </c>
      <c r="H243" t="s">
        <v>289</v>
      </c>
      <c r="I243" t="s">
        <v>124</v>
      </c>
      <c r="J243" s="17">
        <v>48.8</v>
      </c>
      <c r="K243" s="17">
        <v>3306</v>
      </c>
      <c r="L243" s="17">
        <v>1872</v>
      </c>
      <c r="M243" t="s">
        <v>84</v>
      </c>
      <c r="N243" t="s">
        <v>84</v>
      </c>
      <c r="O243" t="s">
        <v>84</v>
      </c>
      <c r="P243" t="s">
        <v>84</v>
      </c>
      <c r="Q243" s="17">
        <v>8825883.78</v>
      </c>
      <c r="R243" s="17">
        <v>23.57</v>
      </c>
      <c r="S243" t="s">
        <v>85</v>
      </c>
      <c r="T243" t="s">
        <v>84</v>
      </c>
      <c r="U243" t="s">
        <v>86</v>
      </c>
      <c r="V243" s="16">
        <v>44878</v>
      </c>
      <c r="W243" s="18">
        <v>44871.75</v>
      </c>
      <c r="X243" s="18">
        <v>44923.5</v>
      </c>
      <c r="Y243" s="17">
        <v>3289.8</v>
      </c>
      <c r="Z243" t="s">
        <v>87</v>
      </c>
      <c r="AA243" s="17">
        <v>3385</v>
      </c>
      <c r="AB243" s="17">
        <v>1837.33</v>
      </c>
      <c r="AC243" t="s">
        <v>84</v>
      </c>
      <c r="AD243" t="s">
        <v>84</v>
      </c>
      <c r="AE243" t="s">
        <v>84</v>
      </c>
      <c r="AF243" t="s">
        <v>84</v>
      </c>
      <c r="AG243" s="17">
        <v>15177611.76</v>
      </c>
      <c r="AH243" s="17">
        <v>51.75</v>
      </c>
      <c r="AI243" s="17">
        <v>29.93</v>
      </c>
      <c r="AJ243" s="17">
        <v>9.28</v>
      </c>
      <c r="AK243" t="s">
        <v>208</v>
      </c>
      <c r="AM243" s="17">
        <v>2.2</v>
      </c>
      <c r="AN243" s="17"/>
      <c r="AO243" s="17">
        <v>830</v>
      </c>
      <c r="AP243" s="17"/>
      <c r="AQ243" s="17">
        <v>1395</v>
      </c>
      <c r="AR243" s="17"/>
      <c r="AS243" s="17">
        <v>2.2</v>
      </c>
      <c r="AT243" s="17"/>
      <c r="AU243" s="17">
        <v>672</v>
      </c>
      <c r="AV243" s="17"/>
      <c r="AW243" s="17">
        <v>987</v>
      </c>
      <c r="AX243" s="17"/>
      <c r="AY243" t="s">
        <v>92</v>
      </c>
      <c r="AZ243" t="s">
        <v>92</v>
      </c>
      <c r="BA243" t="s">
        <v>92</v>
      </c>
      <c r="BB243" t="s">
        <v>92</v>
      </c>
      <c r="BC243" t="s">
        <v>92</v>
      </c>
      <c r="BD243" s="17">
        <v>4</v>
      </c>
      <c r="BE243" s="17">
        <v>1577052</v>
      </c>
      <c r="BF243" t="s">
        <v>92</v>
      </c>
      <c r="BG243" t="s">
        <v>92</v>
      </c>
      <c r="BH243" t="s">
        <v>93</v>
      </c>
      <c r="BI243" t="s">
        <v>94</v>
      </c>
      <c r="BJ243" t="s">
        <v>173</v>
      </c>
      <c r="BK243" t="s">
        <v>85</v>
      </c>
      <c r="BL243" t="s">
        <v>85</v>
      </c>
      <c r="BM243" t="s">
        <v>96</v>
      </c>
      <c r="BN243" t="s">
        <v>97</v>
      </c>
      <c r="BO243" t="s">
        <v>98</v>
      </c>
      <c r="BP243" t="s">
        <v>99</v>
      </c>
      <c r="BQ243" s="17">
        <v>36</v>
      </c>
      <c r="BR243" t="s">
        <v>138</v>
      </c>
      <c r="BS243" t="s">
        <v>92</v>
      </c>
      <c r="BT243" t="s">
        <v>99</v>
      </c>
      <c r="BU243" s="17">
        <v>10</v>
      </c>
      <c r="BV243" t="s">
        <v>256</v>
      </c>
      <c r="BW243" t="s">
        <v>85</v>
      </c>
      <c r="BX243" t="s">
        <v>85</v>
      </c>
      <c r="BY243" t="str">
        <f>IF(COUNTIF('Data Upload-prod'!E:E,F243)=0,"Missing","Exist")</f>
        <v>Exist</v>
      </c>
    </row>
    <row r="244" hidden="1" spans="1:77">
      <c r="A244" s="16">
        <v>44811</v>
      </c>
      <c r="B244" s="16">
        <v>45051</v>
      </c>
      <c r="C244" t="s">
        <v>360</v>
      </c>
      <c r="D244" t="s">
        <v>78</v>
      </c>
      <c r="E244" t="s">
        <v>601</v>
      </c>
      <c r="F244" t="s">
        <v>602</v>
      </c>
      <c r="G244" t="s">
        <v>145</v>
      </c>
      <c r="H244" t="s">
        <v>168</v>
      </c>
      <c r="I244" t="s">
        <v>124</v>
      </c>
      <c r="J244" s="17">
        <v>26.4</v>
      </c>
      <c r="K244" s="17">
        <v>1580</v>
      </c>
      <c r="L244" s="17">
        <v>1580</v>
      </c>
      <c r="M244" s="17">
        <v>5640000</v>
      </c>
      <c r="N244" s="17">
        <v>8010000</v>
      </c>
      <c r="O244" s="17">
        <v>18.17</v>
      </c>
      <c r="P244" s="17">
        <v>26.48</v>
      </c>
      <c r="Q244" t="s">
        <v>84</v>
      </c>
      <c r="R244" t="s">
        <v>84</v>
      </c>
      <c r="S244" t="s">
        <v>118</v>
      </c>
      <c r="T244" t="s">
        <v>84</v>
      </c>
      <c r="U244" t="s">
        <v>84</v>
      </c>
      <c r="V244" s="16">
        <v>44837</v>
      </c>
      <c r="W244" s="18">
        <v>44831.8125</v>
      </c>
      <c r="X244" s="18">
        <v>44858.71875</v>
      </c>
      <c r="Y244" s="17">
        <v>1523.6</v>
      </c>
      <c r="Z244" t="s">
        <v>87</v>
      </c>
      <c r="AA244" s="17">
        <v>1582</v>
      </c>
      <c r="AB244" s="17">
        <v>1581.6</v>
      </c>
      <c r="AC244" s="17">
        <v>8360000</v>
      </c>
      <c r="AD244" t="s">
        <v>84</v>
      </c>
      <c r="AE244" s="17">
        <v>26.91</v>
      </c>
      <c r="AF244" t="s">
        <v>84</v>
      </c>
      <c r="AG244" t="s">
        <v>84</v>
      </c>
      <c r="AH244" t="s">
        <v>84</v>
      </c>
      <c r="AI244" s="17">
        <v>21.4</v>
      </c>
      <c r="AJ244" s="17">
        <v>4.43</v>
      </c>
      <c r="AK244" t="s">
        <v>544</v>
      </c>
      <c r="AM244" s="17">
        <v>1.2</v>
      </c>
      <c r="AN244" s="17"/>
      <c r="AO244" s="17">
        <v>385</v>
      </c>
      <c r="AP244" s="17"/>
      <c r="AQ244" s="17">
        <v>930</v>
      </c>
      <c r="AR244" s="17"/>
      <c r="AS244" s="17">
        <v>1.7</v>
      </c>
      <c r="AT244" s="17"/>
      <c r="AU244" s="17">
        <v>383</v>
      </c>
      <c r="AV244" s="17"/>
      <c r="AW244" s="17">
        <v>1673</v>
      </c>
      <c r="AX244" s="17"/>
      <c r="AY244" t="s">
        <v>92</v>
      </c>
      <c r="AZ244" t="s">
        <v>92</v>
      </c>
      <c r="BA244" t="s">
        <v>92</v>
      </c>
      <c r="BB244" t="s">
        <v>92</v>
      </c>
      <c r="BC244" t="s">
        <v>92</v>
      </c>
      <c r="BD244" t="s">
        <v>92</v>
      </c>
      <c r="BE244" t="s">
        <v>92</v>
      </c>
      <c r="BF244" t="s">
        <v>92</v>
      </c>
      <c r="BG244" t="s">
        <v>92</v>
      </c>
      <c r="BH244" t="s">
        <v>92</v>
      </c>
      <c r="BI244" t="s">
        <v>92</v>
      </c>
      <c r="BJ244" t="s">
        <v>92</v>
      </c>
      <c r="BK244" t="s">
        <v>92</v>
      </c>
      <c r="BL244" t="s">
        <v>92</v>
      </c>
      <c r="BM244" t="s">
        <v>92</v>
      </c>
      <c r="BN244" t="s">
        <v>92</v>
      </c>
      <c r="BO244" t="s">
        <v>92</v>
      </c>
      <c r="BP244" t="s">
        <v>92</v>
      </c>
      <c r="BQ244" t="s">
        <v>92</v>
      </c>
      <c r="BR244" t="s">
        <v>92</v>
      </c>
      <c r="BS244" t="s">
        <v>92</v>
      </c>
      <c r="BT244" t="s">
        <v>92</v>
      </c>
      <c r="BU244" t="s">
        <v>92</v>
      </c>
      <c r="BV244" t="s">
        <v>92</v>
      </c>
      <c r="BW244" t="s">
        <v>92</v>
      </c>
      <c r="BX244" t="s">
        <v>92</v>
      </c>
      <c r="BY244" t="str">
        <f>IF(COUNTIF('Data Upload-prod'!E:E,F244)=0,"Missing","Exist")</f>
        <v>Exist</v>
      </c>
    </row>
    <row r="245" hidden="1" spans="1:77">
      <c r="A245" s="16">
        <v>44806</v>
      </c>
      <c r="B245" t="s">
        <v>84</v>
      </c>
      <c r="C245" t="s">
        <v>141</v>
      </c>
      <c r="D245" t="s">
        <v>120</v>
      </c>
      <c r="E245" t="s">
        <v>603</v>
      </c>
      <c r="F245" t="s">
        <v>604</v>
      </c>
      <c r="G245" t="s">
        <v>145</v>
      </c>
      <c r="H245" t="s">
        <v>202</v>
      </c>
      <c r="I245" t="s">
        <v>124</v>
      </c>
      <c r="J245" s="17">
        <v>84.7</v>
      </c>
      <c r="K245" s="17">
        <v>2629.69</v>
      </c>
      <c r="L245" s="17">
        <v>2629.69</v>
      </c>
      <c r="M245" s="17">
        <v>13390000</v>
      </c>
      <c r="N245" s="17">
        <v>15560000</v>
      </c>
      <c r="O245" s="17">
        <v>32.47</v>
      </c>
      <c r="P245" s="17">
        <v>39.76</v>
      </c>
      <c r="Q245" t="s">
        <v>84</v>
      </c>
      <c r="R245" t="s">
        <v>84</v>
      </c>
      <c r="S245" t="s">
        <v>85</v>
      </c>
      <c r="T245" t="s">
        <v>84</v>
      </c>
      <c r="U245" t="s">
        <v>84</v>
      </c>
      <c r="V245" s="16">
        <v>45240</v>
      </c>
      <c r="W245" s="18">
        <v>45237</v>
      </c>
      <c r="X245" s="18">
        <v>45261</v>
      </c>
      <c r="Y245" s="17">
        <v>2025.33</v>
      </c>
      <c r="Z245" t="s">
        <v>87</v>
      </c>
      <c r="AA245" s="17">
        <v>2141.42</v>
      </c>
      <c r="AB245" s="17">
        <v>2141.23</v>
      </c>
      <c r="AC245" t="s">
        <v>84</v>
      </c>
      <c r="AD245" s="17">
        <v>21361560</v>
      </c>
      <c r="AE245" t="s">
        <v>84</v>
      </c>
      <c r="AF245" s="17">
        <v>67.11</v>
      </c>
      <c r="AG245" t="s">
        <v>84</v>
      </c>
      <c r="AH245" t="s">
        <v>84</v>
      </c>
      <c r="AI245" s="17">
        <v>54.4</v>
      </c>
      <c r="AJ245" s="17">
        <v>3.02</v>
      </c>
      <c r="AK245" t="s">
        <v>323</v>
      </c>
      <c r="AM245" s="17">
        <v>4.4</v>
      </c>
      <c r="AN245" s="17"/>
      <c r="AO245" s="17">
        <v>1980</v>
      </c>
      <c r="AP245" s="17"/>
      <c r="AQ245" s="17">
        <v>2760</v>
      </c>
      <c r="AR245" s="17"/>
      <c r="AS245" s="17">
        <v>2.69</v>
      </c>
      <c r="AT245" s="17"/>
      <c r="AU245" s="17">
        <v>1226</v>
      </c>
      <c r="AV245" s="17"/>
      <c r="AW245" s="17">
        <v>3215</v>
      </c>
      <c r="AX245" s="17"/>
      <c r="AY245" t="s">
        <v>92</v>
      </c>
      <c r="AZ245" t="s">
        <v>92</v>
      </c>
      <c r="BA245" t="s">
        <v>92</v>
      </c>
      <c r="BB245" t="s">
        <v>92</v>
      </c>
      <c r="BC245" t="s">
        <v>92</v>
      </c>
      <c r="BD245" t="s">
        <v>92</v>
      </c>
      <c r="BE245" t="s">
        <v>92</v>
      </c>
      <c r="BF245" t="s">
        <v>92</v>
      </c>
      <c r="BG245" t="s">
        <v>92</v>
      </c>
      <c r="BH245" t="s">
        <v>92</v>
      </c>
      <c r="BI245" t="s">
        <v>92</v>
      </c>
      <c r="BJ245" t="s">
        <v>92</v>
      </c>
      <c r="BK245" t="s">
        <v>92</v>
      </c>
      <c r="BL245" t="s">
        <v>92</v>
      </c>
      <c r="BM245" t="s">
        <v>92</v>
      </c>
      <c r="BN245" t="s">
        <v>92</v>
      </c>
      <c r="BO245" t="s">
        <v>92</v>
      </c>
      <c r="BP245" t="s">
        <v>92</v>
      </c>
      <c r="BQ245" t="s">
        <v>92</v>
      </c>
      <c r="BR245" t="s">
        <v>92</v>
      </c>
      <c r="BS245" t="s">
        <v>92</v>
      </c>
      <c r="BT245" t="s">
        <v>92</v>
      </c>
      <c r="BU245" t="s">
        <v>92</v>
      </c>
      <c r="BV245" t="s">
        <v>92</v>
      </c>
      <c r="BW245" t="s">
        <v>92</v>
      </c>
      <c r="BX245" t="s">
        <v>92</v>
      </c>
      <c r="BY245" t="str">
        <f>IF(COUNTIF('Data Upload-prod'!E:E,F245)=0,"Missing","Exist")</f>
        <v>Exist</v>
      </c>
    </row>
    <row r="246" hidden="1" spans="1:77">
      <c r="A246" s="16">
        <v>44805</v>
      </c>
      <c r="B246" s="16">
        <v>44944</v>
      </c>
      <c r="C246" t="s">
        <v>132</v>
      </c>
      <c r="D246" t="s">
        <v>120</v>
      </c>
      <c r="E246" t="s">
        <v>501</v>
      </c>
      <c r="F246" t="s">
        <v>605</v>
      </c>
      <c r="G246" t="s">
        <v>145</v>
      </c>
      <c r="H246" t="s">
        <v>363</v>
      </c>
      <c r="I246" t="s">
        <v>124</v>
      </c>
      <c r="J246" s="17">
        <v>53</v>
      </c>
      <c r="K246" s="17">
        <v>2600</v>
      </c>
      <c r="L246" s="17">
        <v>2430</v>
      </c>
      <c r="M246" s="17">
        <v>17810000</v>
      </c>
      <c r="N246" s="17">
        <v>22621900.59</v>
      </c>
      <c r="O246" s="17">
        <v>47.68</v>
      </c>
      <c r="P246" s="17">
        <v>66.25</v>
      </c>
      <c r="Q246" t="s">
        <v>84</v>
      </c>
      <c r="R246" t="s">
        <v>84</v>
      </c>
      <c r="S246" t="s">
        <v>85</v>
      </c>
      <c r="T246" t="s">
        <v>84</v>
      </c>
      <c r="U246" t="s">
        <v>84</v>
      </c>
      <c r="V246" s="16">
        <v>44820</v>
      </c>
      <c r="W246" s="18">
        <v>44819.4166666667</v>
      </c>
      <c r="X246" s="18">
        <v>44889.9375</v>
      </c>
      <c r="Y246" s="17">
        <v>2593.6</v>
      </c>
      <c r="Z246" t="s">
        <v>87</v>
      </c>
      <c r="AA246" s="17">
        <v>2676.6</v>
      </c>
      <c r="AB246" s="17">
        <v>2498.87</v>
      </c>
      <c r="AC246" t="s">
        <v>84</v>
      </c>
      <c r="AD246" s="17">
        <v>32201093.26</v>
      </c>
      <c r="AE246" t="s">
        <v>84</v>
      </c>
      <c r="AF246" s="17">
        <v>84.51</v>
      </c>
      <c r="AG246" t="s">
        <v>84</v>
      </c>
      <c r="AH246" t="s">
        <v>84</v>
      </c>
      <c r="AI246" s="17">
        <v>9.02</v>
      </c>
      <c r="AJ246" s="17">
        <v>7.72</v>
      </c>
      <c r="AK246" t="s">
        <v>323</v>
      </c>
      <c r="AM246" s="17">
        <v>4.4</v>
      </c>
      <c r="AN246" s="17"/>
      <c r="AO246" s="17">
        <v>1980</v>
      </c>
      <c r="AP246" s="17"/>
      <c r="AQ246" s="17">
        <v>2760</v>
      </c>
      <c r="AR246" s="17"/>
      <c r="AS246" s="17">
        <v>2.65</v>
      </c>
      <c r="AT246" s="17"/>
      <c r="AU246" s="17">
        <v>1457</v>
      </c>
      <c r="AV246" s="17"/>
      <c r="AW246" s="17">
        <v>2635</v>
      </c>
      <c r="AX246" s="17"/>
      <c r="AY246" t="s">
        <v>92</v>
      </c>
      <c r="AZ246" t="s">
        <v>92</v>
      </c>
      <c r="BA246" t="s">
        <v>92</v>
      </c>
      <c r="BB246" t="s">
        <v>92</v>
      </c>
      <c r="BC246" t="s">
        <v>92</v>
      </c>
      <c r="BD246" t="s">
        <v>92</v>
      </c>
      <c r="BE246" t="s">
        <v>92</v>
      </c>
      <c r="BF246" t="s">
        <v>92</v>
      </c>
      <c r="BG246" t="s">
        <v>92</v>
      </c>
      <c r="BH246" t="s">
        <v>92</v>
      </c>
      <c r="BI246" t="s">
        <v>92</v>
      </c>
      <c r="BJ246" t="s">
        <v>92</v>
      </c>
      <c r="BK246" t="s">
        <v>92</v>
      </c>
      <c r="BL246" t="s">
        <v>92</v>
      </c>
      <c r="BM246" t="s">
        <v>92</v>
      </c>
      <c r="BN246" t="s">
        <v>92</v>
      </c>
      <c r="BO246" t="s">
        <v>92</v>
      </c>
      <c r="BP246" t="s">
        <v>92</v>
      </c>
      <c r="BQ246" t="s">
        <v>92</v>
      </c>
      <c r="BR246" t="s">
        <v>92</v>
      </c>
      <c r="BS246" t="s">
        <v>92</v>
      </c>
      <c r="BT246" t="s">
        <v>92</v>
      </c>
      <c r="BU246" t="s">
        <v>92</v>
      </c>
      <c r="BV246" t="s">
        <v>92</v>
      </c>
      <c r="BW246" t="s">
        <v>92</v>
      </c>
      <c r="BX246" t="s">
        <v>92</v>
      </c>
      <c r="BY246" t="str">
        <f>IF(COUNTIF('Data Upload-prod'!E:E,F246)=0,"Missing","Exist")</f>
        <v>Exist</v>
      </c>
    </row>
    <row r="247" hidden="1" spans="1:77">
      <c r="A247" s="16">
        <v>44796</v>
      </c>
      <c r="B247" s="16">
        <v>44910</v>
      </c>
      <c r="C247" t="s">
        <v>346</v>
      </c>
      <c r="D247" t="s">
        <v>78</v>
      </c>
      <c r="E247" t="s">
        <v>386</v>
      </c>
      <c r="F247" t="s">
        <v>606</v>
      </c>
      <c r="G247" t="s">
        <v>81</v>
      </c>
      <c r="H247" t="s">
        <v>154</v>
      </c>
      <c r="I247" t="s">
        <v>124</v>
      </c>
      <c r="J247" s="17">
        <v>52.12</v>
      </c>
      <c r="K247" s="17">
        <v>2925</v>
      </c>
      <c r="L247" s="17">
        <v>2050</v>
      </c>
      <c r="M247" t="s">
        <v>84</v>
      </c>
      <c r="N247" t="s">
        <v>84</v>
      </c>
      <c r="O247" t="s">
        <v>84</v>
      </c>
      <c r="P247" t="s">
        <v>84</v>
      </c>
      <c r="Q247" s="17">
        <v>17540000</v>
      </c>
      <c r="R247" s="17">
        <v>47.2</v>
      </c>
      <c r="S247" t="s">
        <v>106</v>
      </c>
      <c r="T247" t="s">
        <v>84</v>
      </c>
      <c r="U247" t="s">
        <v>86</v>
      </c>
      <c r="V247" s="16">
        <v>44818</v>
      </c>
      <c r="W247" s="18">
        <v>44803.125</v>
      </c>
      <c r="X247" s="18">
        <v>44853.1666666667</v>
      </c>
      <c r="Y247" s="17">
        <v>2837.48</v>
      </c>
      <c r="Z247" t="s">
        <v>87</v>
      </c>
      <c r="AA247" s="17">
        <v>2914</v>
      </c>
      <c r="AB247" s="17">
        <v>2043</v>
      </c>
      <c r="AC247" t="s">
        <v>84</v>
      </c>
      <c r="AD247" t="s">
        <v>84</v>
      </c>
      <c r="AE247" t="s">
        <v>84</v>
      </c>
      <c r="AF247" t="s">
        <v>84</v>
      </c>
      <c r="AG247" s="17">
        <v>16284000</v>
      </c>
      <c r="AH247" s="17">
        <v>50.1</v>
      </c>
      <c r="AI247" s="17">
        <v>7</v>
      </c>
      <c r="AJ247" s="17">
        <v>7</v>
      </c>
      <c r="AK247" t="s">
        <v>208</v>
      </c>
      <c r="AM247" s="17">
        <v>2.1</v>
      </c>
      <c r="AN247" s="17"/>
      <c r="AO247" s="17">
        <v>700</v>
      </c>
      <c r="AP247" s="17"/>
      <c r="AQ247" s="17">
        <v>1220</v>
      </c>
      <c r="AR247" s="17"/>
      <c r="AS247" s="17">
        <v>1.6</v>
      </c>
      <c r="AT247" s="17"/>
      <c r="AU247" s="17">
        <v>500</v>
      </c>
      <c r="AV247" s="17"/>
      <c r="AW247" s="17">
        <v>1400</v>
      </c>
      <c r="AX247" s="17"/>
      <c r="AY247" t="s">
        <v>92</v>
      </c>
      <c r="AZ247" t="s">
        <v>92</v>
      </c>
      <c r="BA247" t="s">
        <v>92</v>
      </c>
      <c r="BB247" t="s">
        <v>92</v>
      </c>
      <c r="BC247" t="s">
        <v>92</v>
      </c>
      <c r="BD247" s="17">
        <v>5.1</v>
      </c>
      <c r="BE247" s="17">
        <v>2100939</v>
      </c>
      <c r="BF247" t="s">
        <v>92</v>
      </c>
      <c r="BG247" t="s">
        <v>92</v>
      </c>
      <c r="BH247" t="s">
        <v>93</v>
      </c>
      <c r="BI247" t="s">
        <v>94</v>
      </c>
      <c r="BJ247" t="s">
        <v>109</v>
      </c>
      <c r="BK247" t="s">
        <v>85</v>
      </c>
      <c r="BL247" t="s">
        <v>85</v>
      </c>
      <c r="BM247" t="s">
        <v>96</v>
      </c>
      <c r="BN247" t="s">
        <v>97</v>
      </c>
      <c r="BO247" t="s">
        <v>98</v>
      </c>
      <c r="BP247" t="s">
        <v>99</v>
      </c>
      <c r="BQ247" s="17">
        <v>1423.884514</v>
      </c>
      <c r="BR247" t="s">
        <v>138</v>
      </c>
      <c r="BS247" t="s">
        <v>156</v>
      </c>
      <c r="BT247" t="s">
        <v>99</v>
      </c>
      <c r="BU247" s="17">
        <v>8.9</v>
      </c>
      <c r="BV247" t="s">
        <v>110</v>
      </c>
      <c r="BW247" t="s">
        <v>85</v>
      </c>
      <c r="BX247" t="s">
        <v>85</v>
      </c>
      <c r="BY247" t="str">
        <f>IF(COUNTIF('Data Upload-prod'!E:E,F247)=0,"Missing","Exist")</f>
        <v>Exist</v>
      </c>
    </row>
    <row r="248" hidden="1" spans="1:77">
      <c r="A248" s="16">
        <v>44791</v>
      </c>
      <c r="B248" s="16">
        <v>45028</v>
      </c>
      <c r="C248" t="s">
        <v>281</v>
      </c>
      <c r="D248" t="s">
        <v>78</v>
      </c>
      <c r="E248" t="s">
        <v>282</v>
      </c>
      <c r="F248" t="s">
        <v>607</v>
      </c>
      <c r="G248" t="s">
        <v>81</v>
      </c>
      <c r="H248" t="s">
        <v>284</v>
      </c>
      <c r="I248" t="s">
        <v>83</v>
      </c>
      <c r="J248" s="17">
        <v>74</v>
      </c>
      <c r="K248" s="17">
        <v>3316</v>
      </c>
      <c r="L248" s="17">
        <v>1605</v>
      </c>
      <c r="M248" t="s">
        <v>84</v>
      </c>
      <c r="N248" t="s">
        <v>84</v>
      </c>
      <c r="O248" t="s">
        <v>84</v>
      </c>
      <c r="P248" t="s">
        <v>84</v>
      </c>
      <c r="Q248" s="17">
        <v>10880000</v>
      </c>
      <c r="R248" s="17">
        <v>30.32</v>
      </c>
      <c r="S248" t="s">
        <v>106</v>
      </c>
      <c r="T248" t="s">
        <v>84</v>
      </c>
      <c r="U248" t="s">
        <v>86</v>
      </c>
      <c r="V248" s="16">
        <v>44822.4791666667</v>
      </c>
      <c r="W248" s="18">
        <v>44798.4583333333</v>
      </c>
      <c r="X248" s="18">
        <v>44880.5</v>
      </c>
      <c r="Y248" s="17">
        <v>2524.7</v>
      </c>
      <c r="Z248" t="s">
        <v>87</v>
      </c>
      <c r="AA248" s="17">
        <v>2634</v>
      </c>
      <c r="AB248" s="17">
        <v>1921</v>
      </c>
      <c r="AC248" t="s">
        <v>84</v>
      </c>
      <c r="AD248" t="s">
        <v>84</v>
      </c>
      <c r="AE248" t="s">
        <v>84</v>
      </c>
      <c r="AF248" t="s">
        <v>84</v>
      </c>
      <c r="AG248" s="17">
        <v>21747476</v>
      </c>
      <c r="AH248" s="17">
        <v>73.67</v>
      </c>
      <c r="AI248" s="17">
        <v>24.66</v>
      </c>
      <c r="AJ248" s="17">
        <v>24.55</v>
      </c>
      <c r="AK248" t="s">
        <v>89</v>
      </c>
      <c r="AM248" s="17">
        <v>2.4</v>
      </c>
      <c r="AN248" s="17"/>
      <c r="AO248" s="17">
        <v>795</v>
      </c>
      <c r="AP248" s="17"/>
      <c r="AQ248" s="17">
        <v>1580</v>
      </c>
      <c r="AR248" s="17"/>
      <c r="AS248" s="17">
        <v>2.25</v>
      </c>
      <c r="AT248" s="17"/>
      <c r="AU248" s="17">
        <v>664.28</v>
      </c>
      <c r="AV248" s="17"/>
      <c r="AW248" s="17">
        <v>969.19</v>
      </c>
      <c r="AX248" s="17"/>
      <c r="AY248" t="s">
        <v>92</v>
      </c>
      <c r="AZ248" t="s">
        <v>92</v>
      </c>
      <c r="BA248" t="s">
        <v>92</v>
      </c>
      <c r="BB248" t="s">
        <v>92</v>
      </c>
      <c r="BC248" t="s">
        <v>92</v>
      </c>
      <c r="BD248" s="17">
        <v>8</v>
      </c>
      <c r="BE248" s="17">
        <v>2931260</v>
      </c>
      <c r="BF248" t="s">
        <v>92</v>
      </c>
      <c r="BG248" t="s">
        <v>92</v>
      </c>
      <c r="BH248" t="s">
        <v>93</v>
      </c>
      <c r="BI248" t="s">
        <v>94</v>
      </c>
      <c r="BJ248" t="s">
        <v>128</v>
      </c>
      <c r="BK248" t="s">
        <v>85</v>
      </c>
      <c r="BL248" t="s">
        <v>85</v>
      </c>
      <c r="BM248" t="s">
        <v>96</v>
      </c>
      <c r="BN248" t="s">
        <v>97</v>
      </c>
      <c r="BO248" t="s">
        <v>98</v>
      </c>
      <c r="BP248" t="s">
        <v>99</v>
      </c>
      <c r="BQ248" s="17">
        <v>4593.4</v>
      </c>
      <c r="BR248" t="s">
        <v>138</v>
      </c>
      <c r="BS248" t="s">
        <v>608</v>
      </c>
      <c r="BT248" t="s">
        <v>99</v>
      </c>
      <c r="BU248" s="17">
        <v>8.6</v>
      </c>
      <c r="BV248" t="s">
        <v>131</v>
      </c>
      <c r="BW248" t="s">
        <v>85</v>
      </c>
      <c r="BX248" t="s">
        <v>85</v>
      </c>
      <c r="BY248" t="str">
        <f>IF(COUNTIF('Data Upload-prod'!E:E,F248)=0,"Missing","Exist")</f>
        <v>Exist</v>
      </c>
    </row>
    <row r="249" hidden="1" spans="1:77">
      <c r="A249" s="16">
        <v>44790</v>
      </c>
      <c r="B249" s="16">
        <v>45036</v>
      </c>
      <c r="C249" t="s">
        <v>281</v>
      </c>
      <c r="D249" t="s">
        <v>78</v>
      </c>
      <c r="E249" t="s">
        <v>282</v>
      </c>
      <c r="F249" t="s">
        <v>609</v>
      </c>
      <c r="G249" t="s">
        <v>81</v>
      </c>
      <c r="H249" t="s">
        <v>284</v>
      </c>
      <c r="I249" t="s">
        <v>83</v>
      </c>
      <c r="J249" s="17">
        <v>74</v>
      </c>
      <c r="K249" s="17">
        <v>3331</v>
      </c>
      <c r="L249" s="17">
        <v>1605</v>
      </c>
      <c r="M249" t="s">
        <v>84</v>
      </c>
      <c r="N249" t="s">
        <v>84</v>
      </c>
      <c r="O249" t="s">
        <v>84</v>
      </c>
      <c r="P249" t="s">
        <v>84</v>
      </c>
      <c r="Q249" s="17">
        <v>12370000</v>
      </c>
      <c r="R249" s="17">
        <v>38.04</v>
      </c>
      <c r="S249" t="s">
        <v>106</v>
      </c>
      <c r="T249" t="s">
        <v>84</v>
      </c>
      <c r="U249" t="s">
        <v>86</v>
      </c>
      <c r="V249" s="16">
        <v>44882.1875</v>
      </c>
      <c r="W249" s="18">
        <v>44812.2083333333</v>
      </c>
      <c r="X249" s="18">
        <v>44905.6770833333</v>
      </c>
      <c r="Y249" s="17">
        <v>3290.7</v>
      </c>
      <c r="Z249" t="s">
        <v>87</v>
      </c>
      <c r="AA249" s="17">
        <v>3400</v>
      </c>
      <c r="AB249" s="17">
        <v>1599.95</v>
      </c>
      <c r="AC249" t="s">
        <v>84</v>
      </c>
      <c r="AD249" t="s">
        <v>84</v>
      </c>
      <c r="AE249" t="s">
        <v>84</v>
      </c>
      <c r="AF249" t="s">
        <v>84</v>
      </c>
      <c r="AG249" s="17">
        <v>10672000</v>
      </c>
      <c r="AH249" s="17">
        <v>33.55</v>
      </c>
      <c r="AI249" s="17">
        <v>2.51</v>
      </c>
      <c r="AJ249" s="17">
        <v>2.05</v>
      </c>
      <c r="AK249" t="s">
        <v>89</v>
      </c>
      <c r="AM249" s="17">
        <v>2.4</v>
      </c>
      <c r="AN249" s="17"/>
      <c r="AO249" s="17">
        <v>795</v>
      </c>
      <c r="AP249" s="17"/>
      <c r="AQ249" s="17">
        <v>1400</v>
      </c>
      <c r="AR249" s="17"/>
      <c r="AS249" s="17">
        <v>1.69</v>
      </c>
      <c r="AT249" s="17"/>
      <c r="AU249" s="17">
        <v>443.3</v>
      </c>
      <c r="AV249" s="17"/>
      <c r="AW249" s="17">
        <v>1072.91</v>
      </c>
      <c r="AX249" s="17"/>
      <c r="AY249" t="s">
        <v>92</v>
      </c>
      <c r="AZ249" t="s">
        <v>92</v>
      </c>
      <c r="BA249" t="s">
        <v>92</v>
      </c>
      <c r="BB249" t="s">
        <v>92</v>
      </c>
      <c r="BC249" t="s">
        <v>92</v>
      </c>
      <c r="BD249" s="17">
        <v>8.31</v>
      </c>
      <c r="BE249" s="17">
        <v>3460047</v>
      </c>
      <c r="BF249" t="s">
        <v>92</v>
      </c>
      <c r="BG249" t="s">
        <v>92</v>
      </c>
      <c r="BH249" t="s">
        <v>93</v>
      </c>
      <c r="BI249" t="s">
        <v>94</v>
      </c>
      <c r="BJ249" t="s">
        <v>128</v>
      </c>
      <c r="BK249" t="s">
        <v>85</v>
      </c>
      <c r="BL249" t="s">
        <v>85</v>
      </c>
      <c r="BM249" t="s">
        <v>96</v>
      </c>
      <c r="BN249" t="s">
        <v>97</v>
      </c>
      <c r="BO249" t="s">
        <v>98</v>
      </c>
      <c r="BP249" t="s">
        <v>99</v>
      </c>
      <c r="BQ249" s="17">
        <v>3431.926</v>
      </c>
      <c r="BR249" t="s">
        <v>138</v>
      </c>
      <c r="BS249" t="s">
        <v>608</v>
      </c>
      <c r="BT249" t="s">
        <v>99</v>
      </c>
      <c r="BU249" s="17">
        <v>8.6</v>
      </c>
      <c r="BV249" t="s">
        <v>131</v>
      </c>
      <c r="BW249" t="s">
        <v>85</v>
      </c>
      <c r="BX249" t="s">
        <v>85</v>
      </c>
      <c r="BY249" t="str">
        <f>IF(COUNTIF('Data Upload-prod'!E:E,F249)=0,"Missing","Exist")</f>
        <v>Exist</v>
      </c>
    </row>
    <row r="250" hidden="1" spans="1:77">
      <c r="A250" s="16">
        <v>44778</v>
      </c>
      <c r="B250" s="16">
        <v>44900</v>
      </c>
      <c r="C250" t="s">
        <v>269</v>
      </c>
      <c r="D250" t="s">
        <v>78</v>
      </c>
      <c r="E250" t="s">
        <v>610</v>
      </c>
      <c r="F250" t="s">
        <v>611</v>
      </c>
      <c r="G250" t="s">
        <v>145</v>
      </c>
      <c r="H250" t="s">
        <v>612</v>
      </c>
      <c r="I250" t="s">
        <v>124</v>
      </c>
      <c r="J250" s="17">
        <v>55.9</v>
      </c>
      <c r="K250" s="17">
        <v>2869.25</v>
      </c>
      <c r="L250" s="17">
        <v>2812.86</v>
      </c>
      <c r="M250" s="17">
        <v>25670000</v>
      </c>
      <c r="N250" s="17">
        <v>25670000</v>
      </c>
      <c r="O250" s="17">
        <v>55.43</v>
      </c>
      <c r="P250" s="17">
        <v>55.4</v>
      </c>
      <c r="Q250" t="s">
        <v>84</v>
      </c>
      <c r="R250" t="s">
        <v>84</v>
      </c>
      <c r="S250" t="s">
        <v>85</v>
      </c>
      <c r="T250" t="s">
        <v>84</v>
      </c>
      <c r="U250" t="s">
        <v>84</v>
      </c>
      <c r="V250" s="16">
        <v>44800</v>
      </c>
      <c r="W250" s="18">
        <v>44796.6875</v>
      </c>
      <c r="X250" s="18">
        <v>44841.8333333333</v>
      </c>
      <c r="Y250" s="17">
        <v>2774.37</v>
      </c>
      <c r="Z250" t="s">
        <v>87</v>
      </c>
      <c r="AA250" s="17">
        <v>2862.24</v>
      </c>
      <c r="AB250" s="17">
        <v>2802.8</v>
      </c>
      <c r="AC250" t="s">
        <v>84</v>
      </c>
      <c r="AD250" s="17">
        <v>23280000</v>
      </c>
      <c r="AE250" t="s">
        <v>84</v>
      </c>
      <c r="AF250" s="17">
        <v>45.15</v>
      </c>
      <c r="AG250" t="s">
        <v>84</v>
      </c>
      <c r="AH250" t="s">
        <v>84</v>
      </c>
      <c r="AI250" s="17">
        <v>1.75</v>
      </c>
      <c r="AJ250" s="17">
        <v>1.75</v>
      </c>
      <c r="AK250" t="s">
        <v>374</v>
      </c>
      <c r="AM250" s="17">
        <v>5</v>
      </c>
      <c r="AN250" s="17"/>
      <c r="AO250" s="17">
        <v>2360</v>
      </c>
      <c r="AP250" s="17"/>
      <c r="AQ250" s="17">
        <v>4280</v>
      </c>
      <c r="AR250" s="17"/>
      <c r="AS250" s="17">
        <v>2.4</v>
      </c>
      <c r="AT250" s="17"/>
      <c r="AU250" s="17">
        <v>1414</v>
      </c>
      <c r="AV250" s="17"/>
      <c r="AW250" s="17">
        <v>2439</v>
      </c>
      <c r="AX250" s="17"/>
      <c r="AY250" t="s">
        <v>92</v>
      </c>
      <c r="AZ250" t="s">
        <v>92</v>
      </c>
      <c r="BA250" t="s">
        <v>92</v>
      </c>
      <c r="BB250" t="s">
        <v>92</v>
      </c>
      <c r="BC250" t="s">
        <v>92</v>
      </c>
      <c r="BD250" t="s">
        <v>92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92</v>
      </c>
      <c r="BM250" t="s">
        <v>92</v>
      </c>
      <c r="BN250" t="s">
        <v>92</v>
      </c>
      <c r="BO250" t="s">
        <v>92</v>
      </c>
      <c r="BP250" t="s">
        <v>92</v>
      </c>
      <c r="BQ250" t="s">
        <v>92</v>
      </c>
      <c r="BR250" t="s">
        <v>92</v>
      </c>
      <c r="BS250" t="s">
        <v>92</v>
      </c>
      <c r="BT250" t="s">
        <v>92</v>
      </c>
      <c r="BU250" t="s">
        <v>92</v>
      </c>
      <c r="BV250" t="s">
        <v>92</v>
      </c>
      <c r="BW250" t="s">
        <v>92</v>
      </c>
      <c r="BX250" t="s">
        <v>92</v>
      </c>
      <c r="BY250" t="str">
        <f>IF(COUNTIF('Data Upload-prod'!E:E,F250)=0,"Missing","Exist")</f>
        <v>Exist</v>
      </c>
    </row>
    <row r="251" hidden="1" spans="1:77">
      <c r="A251" s="16">
        <v>44756</v>
      </c>
      <c r="B251" t="s">
        <v>84</v>
      </c>
      <c r="C251" t="s">
        <v>141</v>
      </c>
      <c r="D251" t="s">
        <v>120</v>
      </c>
      <c r="E251" t="s">
        <v>613</v>
      </c>
      <c r="F251" t="s">
        <v>614</v>
      </c>
      <c r="G251" t="s">
        <v>145</v>
      </c>
      <c r="H251" t="s">
        <v>202</v>
      </c>
      <c r="I251" t="s">
        <v>124</v>
      </c>
      <c r="J251" s="17">
        <v>82.51</v>
      </c>
      <c r="K251" s="17">
        <v>2369.09</v>
      </c>
      <c r="L251" s="17">
        <v>2337.7</v>
      </c>
      <c r="M251" s="17">
        <v>12430000</v>
      </c>
      <c r="N251" s="17">
        <v>23980000</v>
      </c>
      <c r="O251" s="17">
        <v>30.14</v>
      </c>
      <c r="P251" s="17">
        <v>65.13</v>
      </c>
      <c r="Q251" t="s">
        <v>84</v>
      </c>
      <c r="R251" t="s">
        <v>84</v>
      </c>
      <c r="S251" t="s">
        <v>106</v>
      </c>
      <c r="T251" t="s">
        <v>84</v>
      </c>
      <c r="U251" t="s">
        <v>84</v>
      </c>
      <c r="V251" s="16">
        <v>44799</v>
      </c>
      <c r="W251" s="18">
        <v>44796.5</v>
      </c>
      <c r="X251" s="18">
        <v>44871</v>
      </c>
      <c r="Y251" s="17">
        <v>2738.89</v>
      </c>
      <c r="Z251" t="s">
        <v>87</v>
      </c>
      <c r="AA251" s="17">
        <v>2852.79</v>
      </c>
      <c r="AB251" s="17">
        <v>2684.55</v>
      </c>
      <c r="AC251" t="s">
        <v>84</v>
      </c>
      <c r="AD251" s="17">
        <v>23005000</v>
      </c>
      <c r="AE251" t="s">
        <v>84</v>
      </c>
      <c r="AF251" s="17">
        <v>74.32</v>
      </c>
      <c r="AG251" t="s">
        <v>84</v>
      </c>
      <c r="AH251" t="s">
        <v>84</v>
      </c>
      <c r="AI251" s="17">
        <v>24</v>
      </c>
      <c r="AJ251" s="17">
        <v>11</v>
      </c>
      <c r="AK251" t="s">
        <v>323</v>
      </c>
      <c r="AM251" s="17">
        <v>4.4</v>
      </c>
      <c r="AN251" s="17"/>
      <c r="AO251" s="17">
        <v>1980</v>
      </c>
      <c r="AP251" s="17"/>
      <c r="AQ251" s="17">
        <v>2760</v>
      </c>
      <c r="AR251" s="17"/>
      <c r="AS251" s="17">
        <v>3.32</v>
      </c>
      <c r="AT251" s="17"/>
      <c r="AU251" s="17">
        <v>1139</v>
      </c>
      <c r="AV251" s="17"/>
      <c r="AW251" s="17">
        <v>1828</v>
      </c>
      <c r="AX251" s="17"/>
      <c r="AY251" t="s">
        <v>92</v>
      </c>
      <c r="AZ251" t="s">
        <v>92</v>
      </c>
      <c r="BA251" t="s">
        <v>92</v>
      </c>
      <c r="BB251" t="s">
        <v>92</v>
      </c>
      <c r="BC251" t="s">
        <v>92</v>
      </c>
      <c r="BD251" t="s">
        <v>92</v>
      </c>
      <c r="BE251" t="s">
        <v>92</v>
      </c>
      <c r="BF251" t="s">
        <v>92</v>
      </c>
      <c r="BG251" t="s">
        <v>92</v>
      </c>
      <c r="BH251" t="s">
        <v>92</v>
      </c>
      <c r="BI251" t="s">
        <v>92</v>
      </c>
      <c r="BJ251" t="s">
        <v>92</v>
      </c>
      <c r="BK251" t="s">
        <v>92</v>
      </c>
      <c r="BL251" t="s">
        <v>92</v>
      </c>
      <c r="BM251" t="s">
        <v>92</v>
      </c>
      <c r="BN251" t="s">
        <v>92</v>
      </c>
      <c r="BO251" t="s">
        <v>92</v>
      </c>
      <c r="BP251" t="s">
        <v>92</v>
      </c>
      <c r="BQ251" t="s">
        <v>92</v>
      </c>
      <c r="BR251" t="s">
        <v>92</v>
      </c>
      <c r="BS251" t="s">
        <v>92</v>
      </c>
      <c r="BT251" t="s">
        <v>92</v>
      </c>
      <c r="BU251" t="s">
        <v>92</v>
      </c>
      <c r="BV251" t="s">
        <v>92</v>
      </c>
      <c r="BW251" t="s">
        <v>92</v>
      </c>
      <c r="BX251" t="s">
        <v>92</v>
      </c>
      <c r="BY251" t="str">
        <f>IF(COUNTIF('Data Upload-prod'!E:E,F251)=0,"Missing","Exist")</f>
        <v>Exist</v>
      </c>
    </row>
    <row r="252" hidden="1" spans="1:77">
      <c r="A252" s="16">
        <v>44752</v>
      </c>
      <c r="B252" s="16">
        <v>44978</v>
      </c>
      <c r="C252" t="s">
        <v>132</v>
      </c>
      <c r="D252" t="s">
        <v>78</v>
      </c>
      <c r="E252" t="s">
        <v>422</v>
      </c>
      <c r="F252" t="s">
        <v>615</v>
      </c>
      <c r="G252" t="s">
        <v>81</v>
      </c>
      <c r="H252" t="s">
        <v>514</v>
      </c>
      <c r="I252" t="s">
        <v>124</v>
      </c>
      <c r="J252" s="17">
        <v>68.5</v>
      </c>
      <c r="K252" s="17">
        <v>1654.27</v>
      </c>
      <c r="L252" s="17">
        <v>1609.07</v>
      </c>
      <c r="M252" t="s">
        <v>84</v>
      </c>
      <c r="N252" t="s">
        <v>84</v>
      </c>
      <c r="O252" t="s">
        <v>84</v>
      </c>
      <c r="P252" t="s">
        <v>84</v>
      </c>
      <c r="Q252" s="17">
        <v>16397789.44</v>
      </c>
      <c r="R252" s="17">
        <v>33.56</v>
      </c>
      <c r="S252" t="s">
        <v>106</v>
      </c>
      <c r="T252" t="s">
        <v>84</v>
      </c>
      <c r="U252" t="s">
        <v>86</v>
      </c>
      <c r="V252" s="16">
        <v>44848</v>
      </c>
      <c r="W252" s="18">
        <v>44783</v>
      </c>
      <c r="X252" s="18">
        <v>44895.2083333333</v>
      </c>
      <c r="Y252" s="17">
        <v>2944.23</v>
      </c>
      <c r="Z252" t="s">
        <v>87</v>
      </c>
      <c r="AA252" s="17">
        <v>3057</v>
      </c>
      <c r="AB252" s="17">
        <v>2448.7</v>
      </c>
      <c r="AC252" t="s">
        <v>84</v>
      </c>
      <c r="AD252" t="s">
        <v>84</v>
      </c>
      <c r="AE252" t="s">
        <v>84</v>
      </c>
      <c r="AF252" t="s">
        <v>84</v>
      </c>
      <c r="AG252" s="17">
        <v>14275578.1</v>
      </c>
      <c r="AH252" s="17">
        <v>29.75</v>
      </c>
      <c r="AI252" s="17">
        <v>7.28</v>
      </c>
      <c r="AJ252" s="17">
        <v>7.28</v>
      </c>
      <c r="AK252" t="s">
        <v>208</v>
      </c>
      <c r="AM252" s="17">
        <v>2.1</v>
      </c>
      <c r="AN252" s="17"/>
      <c r="AO252" s="17">
        <v>700</v>
      </c>
      <c r="AP252" s="17"/>
      <c r="AQ252" s="17">
        <v>1225</v>
      </c>
      <c r="AR252" s="17"/>
      <c r="AS252" s="17">
        <v>1.51</v>
      </c>
      <c r="AT252" s="17"/>
      <c r="AU252" s="17">
        <v>625</v>
      </c>
      <c r="AV252" s="17"/>
      <c r="AW252" s="17">
        <v>1020</v>
      </c>
      <c r="AX252" s="17"/>
      <c r="AY252" t="s">
        <v>92</v>
      </c>
      <c r="AZ252" t="s">
        <v>92</v>
      </c>
      <c r="BA252" t="s">
        <v>92</v>
      </c>
      <c r="BB252" t="s">
        <v>92</v>
      </c>
      <c r="BC252" t="s">
        <v>92</v>
      </c>
      <c r="BD252" s="17">
        <v>4.04</v>
      </c>
      <c r="BE252" s="17">
        <v>2828464.79</v>
      </c>
      <c r="BF252" t="s">
        <v>92</v>
      </c>
      <c r="BG252" t="s">
        <v>92</v>
      </c>
      <c r="BH252" t="s">
        <v>93</v>
      </c>
      <c r="BI252" t="s">
        <v>94</v>
      </c>
      <c r="BJ252" t="s">
        <v>128</v>
      </c>
      <c r="BK252" t="s">
        <v>85</v>
      </c>
      <c r="BL252" t="s">
        <v>85</v>
      </c>
      <c r="BM252" t="s">
        <v>96</v>
      </c>
      <c r="BN252" t="s">
        <v>97</v>
      </c>
      <c r="BO252" t="s">
        <v>98</v>
      </c>
      <c r="BP252" t="s">
        <v>103</v>
      </c>
      <c r="BQ252" s="17">
        <v>3258.033</v>
      </c>
      <c r="BR252" t="s">
        <v>100</v>
      </c>
      <c r="BS252" t="s">
        <v>285</v>
      </c>
      <c r="BT252" t="s">
        <v>550</v>
      </c>
      <c r="BU252" s="17">
        <v>8.6</v>
      </c>
      <c r="BV252" t="s">
        <v>191</v>
      </c>
      <c r="BW252" t="s">
        <v>85</v>
      </c>
      <c r="BX252" t="s">
        <v>85</v>
      </c>
      <c r="BY252" t="str">
        <f>IF(COUNTIF('Data Upload-prod'!E:E,F252)=0,"Missing","Exist")</f>
        <v>Exist</v>
      </c>
    </row>
    <row r="253" hidden="1" spans="1:77">
      <c r="A253" s="16">
        <v>44735</v>
      </c>
      <c r="B253" s="16">
        <v>44897</v>
      </c>
      <c r="C253" t="s">
        <v>132</v>
      </c>
      <c r="D253" t="s">
        <v>78</v>
      </c>
      <c r="E253" t="s">
        <v>422</v>
      </c>
      <c r="F253" t="s">
        <v>616</v>
      </c>
      <c r="G253" t="s">
        <v>81</v>
      </c>
      <c r="H253" t="s">
        <v>514</v>
      </c>
      <c r="I253" t="s">
        <v>124</v>
      </c>
      <c r="J253" s="17">
        <v>72</v>
      </c>
      <c r="K253" s="17">
        <v>2237.43</v>
      </c>
      <c r="L253" s="17">
        <v>1688.02</v>
      </c>
      <c r="M253" t="s">
        <v>84</v>
      </c>
      <c r="N253" t="s">
        <v>84</v>
      </c>
      <c r="O253" t="s">
        <v>84</v>
      </c>
      <c r="P253" t="s">
        <v>84</v>
      </c>
      <c r="Q253" s="17">
        <v>14374049.12</v>
      </c>
      <c r="R253" s="17">
        <v>29.37</v>
      </c>
      <c r="S253" t="s">
        <v>106</v>
      </c>
      <c r="T253" t="s">
        <v>84</v>
      </c>
      <c r="U253" t="s">
        <v>86</v>
      </c>
      <c r="V253" s="16">
        <v>44751</v>
      </c>
      <c r="W253" s="18">
        <v>44751.4583333333</v>
      </c>
      <c r="X253" s="18">
        <v>44828</v>
      </c>
      <c r="Y253" s="17">
        <v>2141.71</v>
      </c>
      <c r="Z253" t="s">
        <v>87</v>
      </c>
      <c r="AA253" s="17">
        <v>2254</v>
      </c>
      <c r="AB253" s="17">
        <v>1692.28</v>
      </c>
      <c r="AC253" t="s">
        <v>84</v>
      </c>
      <c r="AD253" t="s">
        <v>84</v>
      </c>
      <c r="AE253" t="s">
        <v>84</v>
      </c>
      <c r="AF253" t="s">
        <v>84</v>
      </c>
      <c r="AG253" s="17">
        <v>13993294.8</v>
      </c>
      <c r="AH253" s="17">
        <v>28.31</v>
      </c>
      <c r="AI253" s="17">
        <v>6.11</v>
      </c>
      <c r="AJ253" s="17">
        <v>6.11</v>
      </c>
      <c r="AK253" t="s">
        <v>208</v>
      </c>
      <c r="AM253" s="17">
        <v>2.1</v>
      </c>
      <c r="AN253" s="17"/>
      <c r="AO253" s="17">
        <v>700</v>
      </c>
      <c r="AP253" s="17"/>
      <c r="AQ253" s="17">
        <v>1225</v>
      </c>
      <c r="AR253" s="17"/>
      <c r="AS253" s="17">
        <v>1.81</v>
      </c>
      <c r="AT253" s="17"/>
      <c r="AU253" s="17">
        <v>967</v>
      </c>
      <c r="AV253" s="17"/>
      <c r="AW253" s="17">
        <v>1730</v>
      </c>
      <c r="AX253" s="17"/>
      <c r="AY253" t="s">
        <v>92</v>
      </c>
      <c r="AZ253" t="s">
        <v>92</v>
      </c>
      <c r="BA253" t="s">
        <v>92</v>
      </c>
      <c r="BB253" t="s">
        <v>92</v>
      </c>
      <c r="BC253" t="s">
        <v>92</v>
      </c>
      <c r="BD253" s="17">
        <v>3.25</v>
      </c>
      <c r="BE253" s="17">
        <v>3026486.27</v>
      </c>
      <c r="BF253" t="s">
        <v>92</v>
      </c>
      <c r="BG253" t="s">
        <v>92</v>
      </c>
      <c r="BH253" t="s">
        <v>93</v>
      </c>
      <c r="BI253" t="s">
        <v>94</v>
      </c>
      <c r="BJ253" t="s">
        <v>128</v>
      </c>
      <c r="BK253" t="s">
        <v>85</v>
      </c>
      <c r="BL253" t="s">
        <v>85</v>
      </c>
      <c r="BM253" t="s">
        <v>96</v>
      </c>
      <c r="BN253" t="s">
        <v>97</v>
      </c>
      <c r="BO253" t="s">
        <v>98</v>
      </c>
      <c r="BP253" t="s">
        <v>103</v>
      </c>
      <c r="BQ253" s="17">
        <v>715.5861</v>
      </c>
      <c r="BR253" t="s">
        <v>100</v>
      </c>
      <c r="BS253" t="s">
        <v>285</v>
      </c>
      <c r="BT253" t="s">
        <v>550</v>
      </c>
      <c r="BU253" s="17">
        <v>8.6</v>
      </c>
      <c r="BV253" t="s">
        <v>191</v>
      </c>
      <c r="BW253" t="s">
        <v>85</v>
      </c>
      <c r="BX253" t="s">
        <v>85</v>
      </c>
      <c r="BY253" t="str">
        <f>IF(COUNTIF('Data Upload-prod'!E:E,F253)=0,"Missing","Exist")</f>
        <v>Exist</v>
      </c>
    </row>
    <row r="254" hidden="1" spans="1:77">
      <c r="A254" s="16">
        <v>44735</v>
      </c>
      <c r="B254" s="16">
        <v>44882</v>
      </c>
      <c r="C254" t="s">
        <v>132</v>
      </c>
      <c r="D254" t="s">
        <v>78</v>
      </c>
      <c r="E254" t="s">
        <v>422</v>
      </c>
      <c r="F254" t="s">
        <v>617</v>
      </c>
      <c r="G254" t="s">
        <v>81</v>
      </c>
      <c r="H254" t="s">
        <v>514</v>
      </c>
      <c r="I254" t="s">
        <v>124</v>
      </c>
      <c r="J254" s="17">
        <v>72</v>
      </c>
      <c r="K254" s="17">
        <v>4284.74</v>
      </c>
      <c r="L254" s="17">
        <v>2145.3</v>
      </c>
      <c r="M254" t="s">
        <v>84</v>
      </c>
      <c r="N254" t="s">
        <v>84</v>
      </c>
      <c r="O254" t="s">
        <v>84</v>
      </c>
      <c r="P254" t="s">
        <v>84</v>
      </c>
      <c r="Q254" s="17">
        <v>19142403.97</v>
      </c>
      <c r="R254" s="17">
        <v>42.31</v>
      </c>
      <c r="S254" t="s">
        <v>85</v>
      </c>
      <c r="T254" t="s">
        <v>84</v>
      </c>
      <c r="U254" t="s">
        <v>86</v>
      </c>
      <c r="V254" s="16">
        <v>44746</v>
      </c>
      <c r="W254" s="18">
        <v>44746.2708333333</v>
      </c>
      <c r="X254" s="18">
        <v>44832.625</v>
      </c>
      <c r="Y254" s="17">
        <v>4227.71</v>
      </c>
      <c r="Z254" t="s">
        <v>87</v>
      </c>
      <c r="AA254" s="17">
        <v>4340</v>
      </c>
      <c r="AB254" s="17">
        <v>2149.82</v>
      </c>
      <c r="AC254" t="s">
        <v>84</v>
      </c>
      <c r="AD254" t="s">
        <v>84</v>
      </c>
      <c r="AE254" t="s">
        <v>84</v>
      </c>
      <c r="AF254" t="s">
        <v>84</v>
      </c>
      <c r="AG254" s="17">
        <v>18911558.48</v>
      </c>
      <c r="AH254" s="17">
        <v>40.42</v>
      </c>
      <c r="AI254" s="17">
        <v>0.41</v>
      </c>
      <c r="AJ254" s="17">
        <v>0.41</v>
      </c>
      <c r="AK254" t="s">
        <v>208</v>
      </c>
      <c r="AM254" s="17">
        <v>2.1</v>
      </c>
      <c r="AN254" s="17"/>
      <c r="AO254" s="17">
        <v>700</v>
      </c>
      <c r="AP254" s="17"/>
      <c r="AQ254" s="17">
        <v>1225</v>
      </c>
      <c r="AR254" s="17"/>
      <c r="AS254" s="17">
        <v>1.64</v>
      </c>
      <c r="AT254" s="17"/>
      <c r="AU254" s="17">
        <v>778</v>
      </c>
      <c r="AV254" s="17"/>
      <c r="AW254" s="17">
        <v>1200</v>
      </c>
      <c r="AX254" s="17"/>
      <c r="AY254" t="s">
        <v>92</v>
      </c>
      <c r="AZ254" t="s">
        <v>92</v>
      </c>
      <c r="BA254" t="s">
        <v>92</v>
      </c>
      <c r="BB254" t="s">
        <v>92</v>
      </c>
      <c r="BC254" t="s">
        <v>92</v>
      </c>
      <c r="BD254" s="17">
        <v>4.17</v>
      </c>
      <c r="BE254" s="17">
        <v>3246689.93</v>
      </c>
      <c r="BF254" t="s">
        <v>92</v>
      </c>
      <c r="BG254" t="s">
        <v>92</v>
      </c>
      <c r="BH254" t="s">
        <v>93</v>
      </c>
      <c r="BI254" t="s">
        <v>94</v>
      </c>
      <c r="BJ254" t="s">
        <v>128</v>
      </c>
      <c r="BK254" t="s">
        <v>85</v>
      </c>
      <c r="BL254" t="s">
        <v>85</v>
      </c>
      <c r="BM254" t="s">
        <v>96</v>
      </c>
      <c r="BN254" t="s">
        <v>97</v>
      </c>
      <c r="BO254" t="s">
        <v>98</v>
      </c>
      <c r="BP254" t="s">
        <v>103</v>
      </c>
      <c r="BQ254" s="17">
        <v>2109.3549</v>
      </c>
      <c r="BR254" t="s">
        <v>100</v>
      </c>
      <c r="BS254" t="s">
        <v>285</v>
      </c>
      <c r="BT254" t="s">
        <v>550</v>
      </c>
      <c r="BU254" s="17">
        <v>8.6</v>
      </c>
      <c r="BV254" t="s">
        <v>191</v>
      </c>
      <c r="BW254" t="s">
        <v>85</v>
      </c>
      <c r="BX254" t="s">
        <v>85</v>
      </c>
      <c r="BY254" t="str">
        <f>IF(COUNTIF('Data Upload-prod'!E:E,F254)=0,"Missing","Exist")</f>
        <v>Exist</v>
      </c>
    </row>
    <row r="255" hidden="1" spans="1:77">
      <c r="A255" s="16">
        <v>44731</v>
      </c>
      <c r="B255" s="16">
        <v>44848</v>
      </c>
      <c r="C255" t="s">
        <v>269</v>
      </c>
      <c r="D255" t="s">
        <v>78</v>
      </c>
      <c r="E255" t="s">
        <v>440</v>
      </c>
      <c r="F255" t="s">
        <v>618</v>
      </c>
      <c r="G255" t="s">
        <v>81</v>
      </c>
      <c r="H255" t="s">
        <v>612</v>
      </c>
      <c r="I255" t="s">
        <v>124</v>
      </c>
      <c r="J255" s="17">
        <v>54.31</v>
      </c>
      <c r="K255" s="17">
        <v>3853.31</v>
      </c>
      <c r="L255" s="17">
        <v>1196.27</v>
      </c>
      <c r="M255" t="s">
        <v>84</v>
      </c>
      <c r="N255" t="s">
        <v>84</v>
      </c>
      <c r="O255" t="s">
        <v>84</v>
      </c>
      <c r="P255" t="s">
        <v>84</v>
      </c>
      <c r="Q255" s="17">
        <v>16900000</v>
      </c>
      <c r="R255" s="17">
        <v>48.4</v>
      </c>
      <c r="S255" t="s">
        <v>85</v>
      </c>
      <c r="T255" t="s">
        <v>84</v>
      </c>
      <c r="U255" t="s">
        <v>86</v>
      </c>
      <c r="V255" s="16">
        <v>44747</v>
      </c>
      <c r="W255" s="18">
        <v>44747</v>
      </c>
      <c r="X255" s="18">
        <v>44796</v>
      </c>
      <c r="Y255" s="17">
        <v>3750.96</v>
      </c>
      <c r="Z255" t="s">
        <v>87</v>
      </c>
      <c r="AA255" s="17">
        <v>3850.96</v>
      </c>
      <c r="AB255" s="17">
        <v>1182.03</v>
      </c>
      <c r="AC255" t="s">
        <v>84</v>
      </c>
      <c r="AD255" t="s">
        <v>84</v>
      </c>
      <c r="AE255" t="s">
        <v>84</v>
      </c>
      <c r="AF255" t="s">
        <v>84</v>
      </c>
      <c r="AG255" s="17">
        <v>22800000</v>
      </c>
      <c r="AH255" s="17">
        <v>54.7</v>
      </c>
      <c r="AI255" s="17">
        <v>2.5</v>
      </c>
      <c r="AJ255" s="17">
        <v>2.5</v>
      </c>
      <c r="AK255" t="s">
        <v>114</v>
      </c>
      <c r="AM255" s="17">
        <v>2.2</v>
      </c>
      <c r="AN255" s="17"/>
      <c r="AO255" s="17">
        <v>915</v>
      </c>
      <c r="AP255" s="17"/>
      <c r="AQ255" s="17">
        <v>1450</v>
      </c>
      <c r="AR255" s="17"/>
      <c r="AS255" s="17">
        <v>2.4</v>
      </c>
      <c r="AT255" s="17"/>
      <c r="AU255" s="17">
        <v>922</v>
      </c>
      <c r="AV255" s="17"/>
      <c r="AW255" s="17">
        <v>1558</v>
      </c>
      <c r="AX255" s="17"/>
      <c r="AY255" t="s">
        <v>92</v>
      </c>
      <c r="AZ255" t="s">
        <v>92</v>
      </c>
      <c r="BA255" t="s">
        <v>92</v>
      </c>
      <c r="BB255" t="s">
        <v>92</v>
      </c>
      <c r="BC255" t="s">
        <v>92</v>
      </c>
      <c r="BD255" s="17">
        <v>8</v>
      </c>
      <c r="BE255" s="17">
        <v>5360000</v>
      </c>
      <c r="BF255" t="s">
        <v>92</v>
      </c>
      <c r="BG255" t="s">
        <v>92</v>
      </c>
      <c r="BH255" t="s">
        <v>93</v>
      </c>
      <c r="BI255" t="s">
        <v>94</v>
      </c>
      <c r="BJ255" t="s">
        <v>128</v>
      </c>
      <c r="BK255" t="s">
        <v>85</v>
      </c>
      <c r="BL255" t="s">
        <v>85</v>
      </c>
      <c r="BM255" t="s">
        <v>273</v>
      </c>
      <c r="BN255" t="s">
        <v>97</v>
      </c>
      <c r="BO255" t="s">
        <v>98</v>
      </c>
      <c r="BP255" t="s">
        <v>99</v>
      </c>
      <c r="BQ255" s="17">
        <v>785.43</v>
      </c>
      <c r="BR255" t="s">
        <v>138</v>
      </c>
      <c r="BS255" t="s">
        <v>92</v>
      </c>
      <c r="BT255" t="s">
        <v>99</v>
      </c>
      <c r="BU255" s="17">
        <v>9</v>
      </c>
      <c r="BV255" t="s">
        <v>256</v>
      </c>
      <c r="BW255" t="s">
        <v>85</v>
      </c>
      <c r="BX255" t="s">
        <v>85</v>
      </c>
      <c r="BY255" t="str">
        <f>IF(COUNTIF('Data Upload-prod'!E:E,F255)=0,"Missing","Exist")</f>
        <v>Exist</v>
      </c>
    </row>
    <row r="256" hidden="1" spans="1:77">
      <c r="A256" s="16">
        <v>44728</v>
      </c>
      <c r="B256" s="16">
        <v>45175</v>
      </c>
      <c r="C256" t="s">
        <v>132</v>
      </c>
      <c r="D256" t="s">
        <v>120</v>
      </c>
      <c r="E256" t="s">
        <v>203</v>
      </c>
      <c r="F256" t="s">
        <v>619</v>
      </c>
      <c r="G256" t="s">
        <v>81</v>
      </c>
      <c r="H256" t="s">
        <v>135</v>
      </c>
      <c r="I256" t="s">
        <v>124</v>
      </c>
      <c r="J256" s="17">
        <v>29.69</v>
      </c>
      <c r="K256" s="17">
        <v>3307.53</v>
      </c>
      <c r="L256" s="17">
        <v>1758.76</v>
      </c>
      <c r="M256" t="s">
        <v>84</v>
      </c>
      <c r="N256" t="s">
        <v>84</v>
      </c>
      <c r="O256" t="s">
        <v>84</v>
      </c>
      <c r="P256" t="s">
        <v>84</v>
      </c>
      <c r="Q256" s="17">
        <v>9293795.11</v>
      </c>
      <c r="R256" s="17">
        <v>23.64</v>
      </c>
      <c r="S256" t="s">
        <v>85</v>
      </c>
      <c r="T256" t="s">
        <v>84</v>
      </c>
      <c r="U256" t="s">
        <v>86</v>
      </c>
      <c r="V256" s="16">
        <v>44736</v>
      </c>
      <c r="W256" s="18">
        <v>44736</v>
      </c>
      <c r="X256" s="18">
        <v>44840</v>
      </c>
      <c r="Y256" s="17">
        <v>3279.85</v>
      </c>
      <c r="Z256" t="s">
        <v>87</v>
      </c>
      <c r="AA256" s="17">
        <v>3346.54</v>
      </c>
      <c r="AB256" s="17">
        <v>1775.59</v>
      </c>
      <c r="AC256" t="s">
        <v>84</v>
      </c>
      <c r="AD256" t="s">
        <v>84</v>
      </c>
      <c r="AE256" t="s">
        <v>84</v>
      </c>
      <c r="AF256" t="s">
        <v>84</v>
      </c>
      <c r="AG256" s="17">
        <v>9067244.4</v>
      </c>
      <c r="AH256" s="17">
        <v>29.73</v>
      </c>
      <c r="AI256" s="17">
        <v>3.33</v>
      </c>
      <c r="AJ256" s="17">
        <v>2.94</v>
      </c>
      <c r="AK256" t="s">
        <v>208</v>
      </c>
      <c r="AM256" s="17">
        <v>2.2</v>
      </c>
      <c r="AN256" s="17"/>
      <c r="AO256" s="17">
        <v>830</v>
      </c>
      <c r="AP256" s="17"/>
      <c r="AQ256" s="17">
        <v>1395</v>
      </c>
      <c r="AR256" s="17"/>
      <c r="AS256" s="17">
        <v>1.77</v>
      </c>
      <c r="AT256" s="17"/>
      <c r="AU256" s="17">
        <v>523</v>
      </c>
      <c r="AV256" s="17"/>
      <c r="AW256" s="17">
        <v>826</v>
      </c>
      <c r="AX256" s="17"/>
      <c r="AY256" t="s">
        <v>92</v>
      </c>
      <c r="AZ256" t="s">
        <v>92</v>
      </c>
      <c r="BA256" t="s">
        <v>92</v>
      </c>
      <c r="BB256" t="s">
        <v>92</v>
      </c>
      <c r="BC256" t="s">
        <v>92</v>
      </c>
      <c r="BD256" s="17">
        <v>9.9</v>
      </c>
      <c r="BE256" s="17">
        <v>2038102.74</v>
      </c>
      <c r="BF256" t="s">
        <v>92</v>
      </c>
      <c r="BG256" t="s">
        <v>92</v>
      </c>
      <c r="BH256" t="s">
        <v>93</v>
      </c>
      <c r="BI256" t="s">
        <v>94</v>
      </c>
      <c r="BJ256" t="s">
        <v>173</v>
      </c>
      <c r="BK256" t="s">
        <v>85</v>
      </c>
      <c r="BL256" t="s">
        <v>85</v>
      </c>
      <c r="BM256" t="s">
        <v>96</v>
      </c>
      <c r="BN256" t="s">
        <v>490</v>
      </c>
      <c r="BO256" t="s">
        <v>216</v>
      </c>
      <c r="BP256" t="s">
        <v>99</v>
      </c>
      <c r="BQ256" t="s">
        <v>92</v>
      </c>
      <c r="BR256" t="s">
        <v>100</v>
      </c>
      <c r="BS256" t="s">
        <v>156</v>
      </c>
      <c r="BT256" t="s">
        <v>175</v>
      </c>
      <c r="BU256" s="17">
        <v>9.1</v>
      </c>
      <c r="BV256" t="s">
        <v>191</v>
      </c>
      <c r="BW256" t="s">
        <v>85</v>
      </c>
      <c r="BX256" t="s">
        <v>85</v>
      </c>
      <c r="BY256" t="str">
        <f>IF(COUNTIF('Data Upload-prod'!E:E,F256)=0,"Missing","Exist")</f>
        <v>Exist</v>
      </c>
    </row>
    <row r="257" hidden="1" spans="1:77">
      <c r="A257" s="16">
        <v>44711</v>
      </c>
      <c r="B257" t="s">
        <v>84</v>
      </c>
      <c r="C257" t="s">
        <v>360</v>
      </c>
      <c r="D257" t="s">
        <v>120</v>
      </c>
      <c r="E257" t="s">
        <v>620</v>
      </c>
      <c r="F257" t="s">
        <v>621</v>
      </c>
      <c r="G257" t="s">
        <v>81</v>
      </c>
      <c r="H257" t="s">
        <v>289</v>
      </c>
      <c r="I257" t="s">
        <v>124</v>
      </c>
      <c r="J257" s="17">
        <v>40.2</v>
      </c>
      <c r="K257" s="17">
        <v>1198.34</v>
      </c>
      <c r="L257" s="17">
        <v>1082.48</v>
      </c>
      <c r="M257" t="s">
        <v>84</v>
      </c>
      <c r="N257" t="s">
        <v>84</v>
      </c>
      <c r="O257" t="s">
        <v>84</v>
      </c>
      <c r="P257" t="s">
        <v>84</v>
      </c>
      <c r="Q257" s="17">
        <v>5866029</v>
      </c>
      <c r="R257" s="17">
        <v>8.48</v>
      </c>
      <c r="S257" t="s">
        <v>106</v>
      </c>
      <c r="T257" t="s">
        <v>84</v>
      </c>
      <c r="U257" t="s">
        <v>84</v>
      </c>
      <c r="V257" s="16">
        <v>44734.3020833333</v>
      </c>
      <c r="W257" s="18">
        <v>44733.4166666667</v>
      </c>
      <c r="X257" s="18">
        <v>44864</v>
      </c>
      <c r="Y257" s="17">
        <v>916.2</v>
      </c>
      <c r="Z257" t="s">
        <v>87</v>
      </c>
      <c r="AA257" s="17">
        <v>1008</v>
      </c>
      <c r="AB257" s="17">
        <v>921.1</v>
      </c>
      <c r="AC257" t="s">
        <v>84</v>
      </c>
      <c r="AD257" t="s">
        <v>84</v>
      </c>
      <c r="AE257" t="s">
        <v>84</v>
      </c>
      <c r="AF257" t="s">
        <v>84</v>
      </c>
      <c r="AG257" s="17">
        <v>9160500.84</v>
      </c>
      <c r="AH257" s="17">
        <v>24.29</v>
      </c>
      <c r="AI257" s="17">
        <v>60.77</v>
      </c>
      <c r="AJ257" s="17">
        <v>60.77</v>
      </c>
      <c r="AK257" t="s">
        <v>165</v>
      </c>
      <c r="AM257" s="17">
        <v>2</v>
      </c>
      <c r="AN257" s="17"/>
      <c r="AO257" s="17">
        <v>725</v>
      </c>
      <c r="AP257" s="17"/>
      <c r="AQ257" s="17">
        <v>1325</v>
      </c>
      <c r="AR257" s="17"/>
      <c r="AS257" s="13" t="s">
        <v>150</v>
      </c>
      <c r="AT257" s="13"/>
      <c r="AU257" s="13" t="s">
        <v>150</v>
      </c>
      <c r="AW257" s="13" t="s">
        <v>150</v>
      </c>
      <c r="AY257" t="s">
        <v>92</v>
      </c>
      <c r="AZ257" t="s">
        <v>92</v>
      </c>
      <c r="BA257" t="s">
        <v>92</v>
      </c>
      <c r="BB257" t="s">
        <v>92</v>
      </c>
      <c r="BC257" t="s">
        <v>92</v>
      </c>
      <c r="BD257" t="s">
        <v>92</v>
      </c>
      <c r="BE257" t="s">
        <v>92</v>
      </c>
      <c r="BF257" t="s">
        <v>92</v>
      </c>
      <c r="BG257" t="s">
        <v>92</v>
      </c>
      <c r="BH257" t="s">
        <v>92</v>
      </c>
      <c r="BI257" t="s">
        <v>92</v>
      </c>
      <c r="BJ257" t="s">
        <v>92</v>
      </c>
      <c r="BK257" t="s">
        <v>92</v>
      </c>
      <c r="BL257" t="s">
        <v>92</v>
      </c>
      <c r="BM257" t="s">
        <v>92</v>
      </c>
      <c r="BN257" t="s">
        <v>92</v>
      </c>
      <c r="BO257" t="s">
        <v>92</v>
      </c>
      <c r="BP257" t="s">
        <v>92</v>
      </c>
      <c r="BQ257" t="s">
        <v>92</v>
      </c>
      <c r="BR257" t="s">
        <v>92</v>
      </c>
      <c r="BS257" t="s">
        <v>92</v>
      </c>
      <c r="BT257" t="s">
        <v>92</v>
      </c>
      <c r="BU257" t="s">
        <v>92</v>
      </c>
      <c r="BV257" t="s">
        <v>92</v>
      </c>
      <c r="BW257" t="s">
        <v>92</v>
      </c>
      <c r="BX257" t="s">
        <v>92</v>
      </c>
      <c r="BY257" t="str">
        <f>IF(COUNTIF('Data Upload-prod'!E:E,F257)=0,"Missing","Exist")</f>
        <v>Exist</v>
      </c>
    </row>
    <row r="258" hidden="1" spans="1:77">
      <c r="A258" s="16">
        <v>44711</v>
      </c>
      <c r="B258" s="16">
        <v>44964</v>
      </c>
      <c r="C258" t="s">
        <v>360</v>
      </c>
      <c r="D258" t="s">
        <v>120</v>
      </c>
      <c r="E258" t="s">
        <v>620</v>
      </c>
      <c r="F258" t="s">
        <v>622</v>
      </c>
      <c r="G258" t="s">
        <v>81</v>
      </c>
      <c r="H258" t="s">
        <v>289</v>
      </c>
      <c r="I258" t="s">
        <v>124</v>
      </c>
      <c r="J258" s="17">
        <v>40.2</v>
      </c>
      <c r="K258" s="17">
        <v>1758.9</v>
      </c>
      <c r="L258" s="17">
        <v>1067.9</v>
      </c>
      <c r="M258" t="s">
        <v>84</v>
      </c>
      <c r="N258" t="s">
        <v>84</v>
      </c>
      <c r="O258" t="s">
        <v>84</v>
      </c>
      <c r="P258" t="s">
        <v>84</v>
      </c>
      <c r="Q258" s="17">
        <v>7999172</v>
      </c>
      <c r="R258" s="17">
        <v>17.42</v>
      </c>
      <c r="S258" t="s">
        <v>85</v>
      </c>
      <c r="T258" t="s">
        <v>84</v>
      </c>
      <c r="U258" t="s">
        <v>86</v>
      </c>
      <c r="V258" s="16">
        <v>44729</v>
      </c>
      <c r="W258" s="18">
        <v>44729</v>
      </c>
      <c r="X258" s="18">
        <v>44844</v>
      </c>
      <c r="Y258" s="17">
        <v>1715</v>
      </c>
      <c r="Z258" t="s">
        <v>87</v>
      </c>
      <c r="AA258" s="17">
        <v>1806</v>
      </c>
      <c r="AB258" s="17">
        <v>1063</v>
      </c>
      <c r="AC258" t="s">
        <v>84</v>
      </c>
      <c r="AD258" t="s">
        <v>84</v>
      </c>
      <c r="AE258" t="s">
        <v>84</v>
      </c>
      <c r="AF258" t="s">
        <v>84</v>
      </c>
      <c r="AG258" s="17">
        <v>15595473.73</v>
      </c>
      <c r="AH258" s="17">
        <v>37.21</v>
      </c>
      <c r="AI258" s="17">
        <v>7.28</v>
      </c>
      <c r="AJ258" s="17">
        <v>7.28</v>
      </c>
      <c r="AK258" t="s">
        <v>165</v>
      </c>
      <c r="AM258" s="17">
        <v>2</v>
      </c>
      <c r="AN258" s="17"/>
      <c r="AO258" s="17">
        <v>725</v>
      </c>
      <c r="AP258" s="17"/>
      <c r="AQ258" s="17">
        <v>1325</v>
      </c>
      <c r="AR258" s="17"/>
      <c r="AS258" s="17">
        <v>2.66</v>
      </c>
      <c r="AT258" s="17"/>
      <c r="AU258" s="17">
        <v>1057.7</v>
      </c>
      <c r="AV258" s="17"/>
      <c r="AW258" s="17">
        <v>1240.4</v>
      </c>
      <c r="AX258" s="17"/>
      <c r="AY258" t="s">
        <v>92</v>
      </c>
      <c r="AZ258" t="s">
        <v>92</v>
      </c>
      <c r="BA258" t="s">
        <v>92</v>
      </c>
      <c r="BB258" t="s">
        <v>92</v>
      </c>
      <c r="BC258" t="s">
        <v>92</v>
      </c>
      <c r="BD258" s="17">
        <v>3.8</v>
      </c>
      <c r="BE258" s="17">
        <v>2375925</v>
      </c>
      <c r="BF258" t="s">
        <v>92</v>
      </c>
      <c r="BG258" t="s">
        <v>92</v>
      </c>
      <c r="BH258" t="s">
        <v>93</v>
      </c>
      <c r="BI258" t="s">
        <v>94</v>
      </c>
      <c r="BJ258" t="s">
        <v>173</v>
      </c>
      <c r="BK258" t="s">
        <v>85</v>
      </c>
      <c r="BL258" t="s">
        <v>85</v>
      </c>
      <c r="BM258" t="s">
        <v>96</v>
      </c>
      <c r="BN258" t="s">
        <v>97</v>
      </c>
      <c r="BO258" t="s">
        <v>98</v>
      </c>
      <c r="BP258" t="s">
        <v>99</v>
      </c>
      <c r="BQ258" s="17">
        <v>33</v>
      </c>
      <c r="BR258" t="s">
        <v>138</v>
      </c>
      <c r="BS258" t="s">
        <v>92</v>
      </c>
      <c r="BT258" t="s">
        <v>99</v>
      </c>
      <c r="BU258" s="17">
        <v>8.6</v>
      </c>
      <c r="BV258" t="s">
        <v>131</v>
      </c>
      <c r="BW258" t="s">
        <v>85</v>
      </c>
      <c r="BX258" t="s">
        <v>85</v>
      </c>
      <c r="BY258" t="str">
        <f>IF(COUNTIF('Data Upload-prod'!E:E,F258)=0,"Missing","Exist")</f>
        <v>Exist</v>
      </c>
    </row>
    <row r="259" hidden="1" spans="1:77">
      <c r="A259" s="16">
        <v>44711</v>
      </c>
      <c r="B259" t="s">
        <v>84</v>
      </c>
      <c r="C259" t="s">
        <v>360</v>
      </c>
      <c r="D259" t="s">
        <v>120</v>
      </c>
      <c r="E259" t="s">
        <v>620</v>
      </c>
      <c r="F259" t="s">
        <v>623</v>
      </c>
      <c r="G259" t="s">
        <v>81</v>
      </c>
      <c r="H259" t="s">
        <v>289</v>
      </c>
      <c r="I259" t="s">
        <v>124</v>
      </c>
      <c r="J259" s="17">
        <v>40.2</v>
      </c>
      <c r="K259" s="17">
        <v>1118.73</v>
      </c>
      <c r="L259" s="17">
        <v>969.53</v>
      </c>
      <c r="M259" t="s">
        <v>84</v>
      </c>
      <c r="N259" t="s">
        <v>84</v>
      </c>
      <c r="O259" t="s">
        <v>84</v>
      </c>
      <c r="P259" t="s">
        <v>84</v>
      </c>
      <c r="Q259" s="17">
        <v>5975561</v>
      </c>
      <c r="R259" s="17">
        <v>11.07</v>
      </c>
      <c r="S259" t="s">
        <v>85</v>
      </c>
      <c r="T259" t="s">
        <v>84</v>
      </c>
      <c r="U259" t="s">
        <v>86</v>
      </c>
      <c r="V259" s="16">
        <v>44740.1979166667</v>
      </c>
      <c r="W259" s="18">
        <v>44732.125</v>
      </c>
      <c r="X259" s="18">
        <v>44836.5</v>
      </c>
      <c r="Y259" s="17">
        <v>1026.4</v>
      </c>
      <c r="Z259" t="s">
        <v>87</v>
      </c>
      <c r="AA259" s="17">
        <v>1118.2</v>
      </c>
      <c r="AB259" s="17">
        <v>974</v>
      </c>
      <c r="AC259" t="s">
        <v>84</v>
      </c>
      <c r="AD259" t="s">
        <v>84</v>
      </c>
      <c r="AE259" t="s">
        <v>84</v>
      </c>
      <c r="AF259" t="s">
        <v>84</v>
      </c>
      <c r="AG259" s="17">
        <v>6579229.43</v>
      </c>
      <c r="AH259" s="17">
        <v>12.85</v>
      </c>
      <c r="AI259" s="17">
        <v>0.32</v>
      </c>
      <c r="AJ259" s="17">
        <v>0.32</v>
      </c>
      <c r="AK259" t="s">
        <v>624</v>
      </c>
      <c r="AM259" s="17">
        <v>1.1</v>
      </c>
      <c r="AN259" s="17"/>
      <c r="AO259" s="17">
        <v>420</v>
      </c>
      <c r="AP259" s="17"/>
      <c r="AQ259" s="17">
        <v>680</v>
      </c>
      <c r="AR259" s="17"/>
      <c r="AS259" s="17">
        <v>2.82</v>
      </c>
      <c r="AT259" s="17"/>
      <c r="AU259" s="17">
        <v>1302.9</v>
      </c>
      <c r="AV259" s="17"/>
      <c r="AW259" s="17">
        <v>1793.61</v>
      </c>
      <c r="AX259" s="17"/>
      <c r="AY259" t="s">
        <v>92</v>
      </c>
      <c r="AZ259" t="s">
        <v>92</v>
      </c>
      <c r="BA259" t="s">
        <v>92</v>
      </c>
      <c r="BB259" t="s">
        <v>92</v>
      </c>
      <c r="BC259" t="s">
        <v>92</v>
      </c>
      <c r="BD259" s="17">
        <v>2.7</v>
      </c>
      <c r="BE259" s="17">
        <v>1926225</v>
      </c>
      <c r="BF259" t="s">
        <v>92</v>
      </c>
      <c r="BG259" t="s">
        <v>92</v>
      </c>
      <c r="BH259" t="s">
        <v>93</v>
      </c>
      <c r="BI259" t="s">
        <v>94</v>
      </c>
      <c r="BJ259" t="s">
        <v>625</v>
      </c>
      <c r="BK259" t="s">
        <v>85</v>
      </c>
      <c r="BL259" t="s">
        <v>85</v>
      </c>
      <c r="BM259" t="s">
        <v>96</v>
      </c>
      <c r="BN259" t="s">
        <v>97</v>
      </c>
      <c r="BO259" t="s">
        <v>98</v>
      </c>
      <c r="BP259" t="s">
        <v>99</v>
      </c>
      <c r="BQ259" s="17">
        <v>34</v>
      </c>
      <c r="BR259" t="s">
        <v>138</v>
      </c>
      <c r="BS259" t="s">
        <v>92</v>
      </c>
      <c r="BT259" t="s">
        <v>99</v>
      </c>
      <c r="BU259" s="17">
        <v>8.6</v>
      </c>
      <c r="BV259" t="s">
        <v>256</v>
      </c>
      <c r="BW259" t="s">
        <v>85</v>
      </c>
      <c r="BX259" t="s">
        <v>85</v>
      </c>
      <c r="BY259" t="str">
        <f>IF(COUNTIF('Data Upload-prod'!E:E,F259)=0,"Missing","Exist")</f>
        <v>Exist</v>
      </c>
    </row>
    <row r="260" hidden="1" spans="1:77">
      <c r="A260" s="16">
        <v>44704</v>
      </c>
      <c r="B260" s="16">
        <v>45175</v>
      </c>
      <c r="C260" t="s">
        <v>132</v>
      </c>
      <c r="D260" t="s">
        <v>120</v>
      </c>
      <c r="E260" t="s">
        <v>203</v>
      </c>
      <c r="F260" t="s">
        <v>626</v>
      </c>
      <c r="G260" t="s">
        <v>81</v>
      </c>
      <c r="H260" t="s">
        <v>135</v>
      </c>
      <c r="I260" t="s">
        <v>124</v>
      </c>
      <c r="J260" s="17">
        <v>29.69</v>
      </c>
      <c r="K260" s="17">
        <v>2785.74</v>
      </c>
      <c r="L260" s="17">
        <v>1549.68</v>
      </c>
      <c r="M260" t="s">
        <v>84</v>
      </c>
      <c r="N260" t="s">
        <v>84</v>
      </c>
      <c r="O260" t="s">
        <v>84</v>
      </c>
      <c r="P260" t="s">
        <v>84</v>
      </c>
      <c r="Q260" s="17">
        <v>9584033.81</v>
      </c>
      <c r="R260" s="17">
        <v>27.49</v>
      </c>
      <c r="S260" t="s">
        <v>85</v>
      </c>
      <c r="T260" t="s">
        <v>84</v>
      </c>
      <c r="U260" t="s">
        <v>86</v>
      </c>
      <c r="V260" s="16">
        <v>44731</v>
      </c>
      <c r="W260" s="18">
        <v>44731.875</v>
      </c>
      <c r="X260" s="18">
        <v>44789</v>
      </c>
      <c r="Y260" s="17">
        <v>2575.8</v>
      </c>
      <c r="Z260" t="s">
        <v>87</v>
      </c>
      <c r="AA260" s="17">
        <v>2642.49</v>
      </c>
      <c r="AB260" s="17">
        <v>1560.8</v>
      </c>
      <c r="AC260" t="s">
        <v>84</v>
      </c>
      <c r="AD260" t="s">
        <v>84</v>
      </c>
      <c r="AE260" t="s">
        <v>84</v>
      </c>
      <c r="AF260" t="s">
        <v>84</v>
      </c>
      <c r="AG260" s="17">
        <v>9589563.9</v>
      </c>
      <c r="AH260" s="17">
        <v>28.17</v>
      </c>
      <c r="AI260" s="17">
        <v>7.1</v>
      </c>
      <c r="AJ260" s="17">
        <v>7.03</v>
      </c>
      <c r="AK260" t="s">
        <v>208</v>
      </c>
      <c r="AM260" s="17">
        <v>2.2</v>
      </c>
      <c r="AN260" s="17"/>
      <c r="AO260" s="17">
        <v>830</v>
      </c>
      <c r="AP260" s="17"/>
      <c r="AQ260" s="17">
        <v>1380</v>
      </c>
      <c r="AR260" s="17"/>
      <c r="AS260" s="17">
        <v>1.97</v>
      </c>
      <c r="AT260" s="17"/>
      <c r="AU260" s="17">
        <v>556</v>
      </c>
      <c r="AV260" s="17"/>
      <c r="AW260" s="17">
        <v>1106</v>
      </c>
      <c r="AX260" s="17"/>
      <c r="AY260" t="s">
        <v>92</v>
      </c>
      <c r="AZ260" t="s">
        <v>92</v>
      </c>
      <c r="BA260" t="s">
        <v>92</v>
      </c>
      <c r="BB260" t="s">
        <v>92</v>
      </c>
      <c r="BC260" t="s">
        <v>92</v>
      </c>
      <c r="BD260" s="17">
        <v>6.29</v>
      </c>
      <c r="BE260" s="17">
        <v>2206609</v>
      </c>
      <c r="BF260" t="s">
        <v>92</v>
      </c>
      <c r="BG260" t="s">
        <v>92</v>
      </c>
      <c r="BH260" t="s">
        <v>93</v>
      </c>
      <c r="BI260" t="s">
        <v>94</v>
      </c>
      <c r="BJ260" t="s">
        <v>128</v>
      </c>
      <c r="BK260" t="s">
        <v>627</v>
      </c>
      <c r="BL260" t="s">
        <v>85</v>
      </c>
      <c r="BM260" t="s">
        <v>96</v>
      </c>
      <c r="BN260" t="s">
        <v>253</v>
      </c>
      <c r="BO260" t="s">
        <v>216</v>
      </c>
      <c r="BP260" t="s">
        <v>99</v>
      </c>
      <c r="BQ260" s="17">
        <v>1162</v>
      </c>
      <c r="BR260" t="s">
        <v>100</v>
      </c>
      <c r="BS260" t="s">
        <v>608</v>
      </c>
      <c r="BT260" t="s">
        <v>175</v>
      </c>
      <c r="BU260" s="17">
        <v>9.6</v>
      </c>
      <c r="BV260" t="s">
        <v>191</v>
      </c>
      <c r="BW260" t="s">
        <v>85</v>
      </c>
      <c r="BX260" t="s">
        <v>337</v>
      </c>
      <c r="BY260" t="str">
        <f>IF(COUNTIF('Data Upload-prod'!E:E,F260)=0,"Missing","Exist")</f>
        <v>Exist</v>
      </c>
    </row>
    <row r="261" hidden="1" spans="1:77">
      <c r="A261" s="16">
        <v>44704</v>
      </c>
      <c r="B261" s="16">
        <v>44785</v>
      </c>
      <c r="C261" t="s">
        <v>132</v>
      </c>
      <c r="D261" t="s">
        <v>78</v>
      </c>
      <c r="E261" t="s">
        <v>628</v>
      </c>
      <c r="F261" t="s">
        <v>629</v>
      </c>
      <c r="G261" t="s">
        <v>81</v>
      </c>
      <c r="H261" t="s">
        <v>198</v>
      </c>
      <c r="I261" t="s">
        <v>83</v>
      </c>
      <c r="J261" s="17">
        <v>76.7</v>
      </c>
      <c r="K261" s="17">
        <v>1735</v>
      </c>
      <c r="L261" s="17">
        <v>1388</v>
      </c>
      <c r="M261" t="s">
        <v>84</v>
      </c>
      <c r="N261" t="s">
        <v>84</v>
      </c>
      <c r="O261" t="s">
        <v>84</v>
      </c>
      <c r="P261" t="s">
        <v>84</v>
      </c>
      <c r="Q261" s="17">
        <v>10232618.13</v>
      </c>
      <c r="R261" s="17">
        <v>35.88</v>
      </c>
      <c r="S261" t="s">
        <v>85</v>
      </c>
      <c r="T261" t="s">
        <v>84</v>
      </c>
      <c r="U261" t="s">
        <v>86</v>
      </c>
      <c r="V261" s="16">
        <v>44716</v>
      </c>
      <c r="W261" s="18">
        <v>44712</v>
      </c>
      <c r="X261" s="18">
        <v>44736.6875</v>
      </c>
      <c r="Y261" s="17">
        <v>1621.22</v>
      </c>
      <c r="Z261" t="s">
        <v>87</v>
      </c>
      <c r="AA261" s="17">
        <v>1735</v>
      </c>
      <c r="AB261" s="17">
        <v>1385.27</v>
      </c>
      <c r="AC261" t="s">
        <v>84</v>
      </c>
      <c r="AD261" t="s">
        <v>84</v>
      </c>
      <c r="AE261" t="s">
        <v>84</v>
      </c>
      <c r="AF261" t="s">
        <v>84</v>
      </c>
      <c r="AG261" s="17">
        <v>8166095.63</v>
      </c>
      <c r="AH261" s="17">
        <v>24.69</v>
      </c>
      <c r="AI261" s="17">
        <v>11.81</v>
      </c>
      <c r="AJ261" s="17">
        <v>11.81</v>
      </c>
      <c r="AK261" t="s">
        <v>298</v>
      </c>
      <c r="AM261" s="17">
        <v>1.8</v>
      </c>
      <c r="AN261" s="17"/>
      <c r="AO261" s="17">
        <v>600</v>
      </c>
      <c r="AP261" s="17"/>
      <c r="AQ261" s="17">
        <v>1670</v>
      </c>
      <c r="AR261" s="17"/>
      <c r="AS261" s="17">
        <v>1.37</v>
      </c>
      <c r="AT261" s="17"/>
      <c r="AU261" s="17">
        <v>778</v>
      </c>
      <c r="AV261" s="17"/>
      <c r="AW261" s="17">
        <v>2067</v>
      </c>
      <c r="AX261" s="17"/>
      <c r="AY261" t="s">
        <v>92</v>
      </c>
      <c r="AZ261" t="s">
        <v>92</v>
      </c>
      <c r="BA261" t="s">
        <v>92</v>
      </c>
      <c r="BB261" t="s">
        <v>92</v>
      </c>
      <c r="BC261" t="s">
        <v>92</v>
      </c>
      <c r="BD261" s="17">
        <v>5.13</v>
      </c>
      <c r="BE261" s="17">
        <v>3032320</v>
      </c>
      <c r="BF261" t="s">
        <v>92</v>
      </c>
      <c r="BG261" t="s">
        <v>92</v>
      </c>
      <c r="BH261" t="s">
        <v>93</v>
      </c>
      <c r="BI261" t="s">
        <v>94</v>
      </c>
      <c r="BJ261" t="s">
        <v>173</v>
      </c>
      <c r="BK261" t="s">
        <v>85</v>
      </c>
      <c r="BL261" t="s">
        <v>85</v>
      </c>
      <c r="BM261" t="s">
        <v>159</v>
      </c>
      <c r="BN261" t="s">
        <v>253</v>
      </c>
      <c r="BO261" t="s">
        <v>98</v>
      </c>
      <c r="BP261" t="s">
        <v>630</v>
      </c>
      <c r="BQ261" s="17">
        <v>178.9</v>
      </c>
      <c r="BR261" t="s">
        <v>100</v>
      </c>
      <c r="BS261" t="s">
        <v>130</v>
      </c>
      <c r="BT261" t="s">
        <v>255</v>
      </c>
      <c r="BU261" s="17">
        <v>8.5</v>
      </c>
      <c r="BV261" t="s">
        <v>110</v>
      </c>
      <c r="BW261" t="s">
        <v>85</v>
      </c>
      <c r="BX261" t="s">
        <v>85</v>
      </c>
      <c r="BY261" t="str">
        <f>IF(COUNTIF('Data Upload-prod'!E:E,F261)=0,"Missing","Exist")</f>
        <v>Exist</v>
      </c>
    </row>
    <row r="262" hidden="1" spans="1:77">
      <c r="A262" s="16">
        <v>44704</v>
      </c>
      <c r="B262" s="16">
        <v>45175</v>
      </c>
      <c r="C262" t="s">
        <v>132</v>
      </c>
      <c r="D262" t="s">
        <v>120</v>
      </c>
      <c r="E262" t="s">
        <v>203</v>
      </c>
      <c r="F262" t="s">
        <v>631</v>
      </c>
      <c r="G262" t="s">
        <v>81</v>
      </c>
      <c r="H262" t="s">
        <v>135</v>
      </c>
      <c r="I262" t="s">
        <v>124</v>
      </c>
      <c r="J262" s="17">
        <v>29.69</v>
      </c>
      <c r="K262" s="17">
        <v>2737.88</v>
      </c>
      <c r="L262" s="17">
        <v>1554.86</v>
      </c>
      <c r="M262" t="s">
        <v>84</v>
      </c>
      <c r="N262" t="s">
        <v>84</v>
      </c>
      <c r="O262" t="s">
        <v>84</v>
      </c>
      <c r="P262" t="s">
        <v>84</v>
      </c>
      <c r="Q262" s="17">
        <v>9677784</v>
      </c>
      <c r="R262" s="17">
        <v>25.85</v>
      </c>
      <c r="S262" t="s">
        <v>85</v>
      </c>
      <c r="T262" t="s">
        <v>84</v>
      </c>
      <c r="U262" t="s">
        <v>86</v>
      </c>
      <c r="V262" s="16">
        <v>44763</v>
      </c>
      <c r="W262" s="18">
        <v>44762.1666666667</v>
      </c>
      <c r="X262" s="18">
        <v>44830.25</v>
      </c>
      <c r="Y262" s="17">
        <v>2671.2</v>
      </c>
      <c r="Z262" t="s">
        <v>87</v>
      </c>
      <c r="AA262" s="17">
        <v>2737.88</v>
      </c>
      <c r="AB262" s="17">
        <v>1554.86</v>
      </c>
      <c r="AC262" t="s">
        <v>84</v>
      </c>
      <c r="AD262" t="s">
        <v>84</v>
      </c>
      <c r="AE262" t="s">
        <v>84</v>
      </c>
      <c r="AF262" t="s">
        <v>84</v>
      </c>
      <c r="AG262" s="17">
        <v>12200559.79</v>
      </c>
      <c r="AH262" s="17">
        <v>36.44</v>
      </c>
      <c r="AI262" s="17">
        <v>1.89</v>
      </c>
      <c r="AJ262" s="17">
        <v>1.89</v>
      </c>
      <c r="AK262" s="13" t="s">
        <v>149</v>
      </c>
      <c r="AL262" s="13"/>
      <c r="AM262" t="s">
        <v>92</v>
      </c>
      <c r="AO262" t="s">
        <v>92</v>
      </c>
      <c r="AQ262" t="s">
        <v>92</v>
      </c>
      <c r="AS262" s="17">
        <v>2.34</v>
      </c>
      <c r="AT262" s="17"/>
      <c r="AU262" s="17">
        <v>695</v>
      </c>
      <c r="AV262" s="17"/>
      <c r="AW262" s="17">
        <v>1102</v>
      </c>
      <c r="AX262" s="17"/>
      <c r="AY262" t="s">
        <v>92</v>
      </c>
      <c r="AZ262" t="s">
        <v>92</v>
      </c>
      <c r="BA262" t="s">
        <v>92</v>
      </c>
      <c r="BB262" s="13" t="s">
        <v>92</v>
      </c>
      <c r="BC262" s="13" t="s">
        <v>92</v>
      </c>
      <c r="BD262" s="17">
        <v>8.21</v>
      </c>
      <c r="BE262" s="17">
        <v>3007672.39</v>
      </c>
      <c r="BF262" t="s">
        <v>92</v>
      </c>
      <c r="BG262" t="s">
        <v>92</v>
      </c>
      <c r="BH262" t="s">
        <v>93</v>
      </c>
      <c r="BI262" t="s">
        <v>94</v>
      </c>
      <c r="BJ262" t="s">
        <v>128</v>
      </c>
      <c r="BK262" t="s">
        <v>627</v>
      </c>
      <c r="BL262" t="s">
        <v>85</v>
      </c>
      <c r="BM262" t="s">
        <v>96</v>
      </c>
      <c r="BN262" t="s">
        <v>253</v>
      </c>
      <c r="BO262" t="s">
        <v>216</v>
      </c>
      <c r="BP262" t="s">
        <v>99</v>
      </c>
      <c r="BQ262" s="17">
        <v>384</v>
      </c>
      <c r="BR262" t="s">
        <v>100</v>
      </c>
      <c r="BS262" t="s">
        <v>608</v>
      </c>
      <c r="BT262" t="s">
        <v>175</v>
      </c>
      <c r="BU262" s="17">
        <v>9.3</v>
      </c>
      <c r="BV262" t="s">
        <v>191</v>
      </c>
      <c r="BW262" t="s">
        <v>85</v>
      </c>
      <c r="BX262" t="s">
        <v>337</v>
      </c>
      <c r="BY262" t="str">
        <f>IF(COUNTIF('Data Upload-prod'!E:E,F262)=0,"Missing","Exist")</f>
        <v>Exist</v>
      </c>
    </row>
    <row r="263" hidden="1" spans="1:77">
      <c r="A263" s="16">
        <v>44701</v>
      </c>
      <c r="B263" s="16">
        <v>44990</v>
      </c>
      <c r="C263" t="s">
        <v>346</v>
      </c>
      <c r="D263" t="s">
        <v>78</v>
      </c>
      <c r="E263" t="s">
        <v>152</v>
      </c>
      <c r="F263" t="s">
        <v>632</v>
      </c>
      <c r="G263" t="s">
        <v>81</v>
      </c>
      <c r="H263" t="s">
        <v>154</v>
      </c>
      <c r="I263" t="s">
        <v>124</v>
      </c>
      <c r="J263" s="17">
        <v>56</v>
      </c>
      <c r="K263" s="17">
        <v>7473</v>
      </c>
      <c r="L263" s="17">
        <v>1977.2</v>
      </c>
      <c r="M263" t="s">
        <v>84</v>
      </c>
      <c r="N263" t="s">
        <v>84</v>
      </c>
      <c r="O263" t="s">
        <v>84</v>
      </c>
      <c r="P263" t="s">
        <v>84</v>
      </c>
      <c r="Q263" s="17">
        <v>28840000</v>
      </c>
      <c r="R263" s="17">
        <v>62.27</v>
      </c>
      <c r="S263" t="s">
        <v>106</v>
      </c>
      <c r="T263" t="s">
        <v>84</v>
      </c>
      <c r="U263" t="s">
        <v>86</v>
      </c>
      <c r="V263" s="16">
        <v>44730</v>
      </c>
      <c r="W263" s="18">
        <v>44729.875</v>
      </c>
      <c r="X263" s="18">
        <v>44988.75</v>
      </c>
      <c r="Y263" s="17">
        <v>13275.48</v>
      </c>
      <c r="Z263" t="s">
        <v>87</v>
      </c>
      <c r="AA263" s="17">
        <v>6963</v>
      </c>
      <c r="AB263" s="17">
        <v>1974.3</v>
      </c>
      <c r="AC263" t="s">
        <v>84</v>
      </c>
      <c r="AD263" t="s">
        <v>84</v>
      </c>
      <c r="AE263" t="s">
        <v>84</v>
      </c>
      <c r="AF263" t="s">
        <v>84</v>
      </c>
      <c r="AG263" s="17">
        <v>45390000</v>
      </c>
      <c r="AH263" s="17">
        <v>142.54</v>
      </c>
      <c r="AI263" s="17">
        <v>9.75</v>
      </c>
      <c r="AJ263" s="17">
        <v>9.75</v>
      </c>
      <c r="AK263" t="s">
        <v>114</v>
      </c>
      <c r="AM263" s="17">
        <v>2.2</v>
      </c>
      <c r="AN263" s="17"/>
      <c r="AO263" s="17">
        <v>915</v>
      </c>
      <c r="AP263" s="17"/>
      <c r="AQ263" s="17">
        <v>1520</v>
      </c>
      <c r="AR263" s="17"/>
      <c r="AS263" s="17">
        <v>3.52</v>
      </c>
      <c r="AT263" s="17"/>
      <c r="AU263" s="17">
        <v>1152.83</v>
      </c>
      <c r="AV263" s="17"/>
      <c r="AW263" s="17">
        <v>1539.42</v>
      </c>
      <c r="AX263" s="17"/>
      <c r="AY263" t="s">
        <v>92</v>
      </c>
      <c r="AZ263" t="s">
        <v>92</v>
      </c>
      <c r="BA263" t="s">
        <v>92</v>
      </c>
      <c r="BB263" t="s">
        <v>92</v>
      </c>
      <c r="BC263" t="s">
        <v>92</v>
      </c>
      <c r="BD263" s="17">
        <v>36.37</v>
      </c>
      <c r="BE263" s="17">
        <v>10099319.78</v>
      </c>
      <c r="BF263" t="s">
        <v>92</v>
      </c>
      <c r="BG263" t="s">
        <v>92</v>
      </c>
      <c r="BH263" t="s">
        <v>93</v>
      </c>
      <c r="BI263" t="s">
        <v>94</v>
      </c>
      <c r="BJ263" t="s">
        <v>109</v>
      </c>
      <c r="BK263" t="s">
        <v>85</v>
      </c>
      <c r="BL263" t="s">
        <v>85</v>
      </c>
      <c r="BM263" t="s">
        <v>96</v>
      </c>
      <c r="BN263" t="s">
        <v>97</v>
      </c>
      <c r="BO263" t="s">
        <v>98</v>
      </c>
      <c r="BP263" t="s">
        <v>99</v>
      </c>
      <c r="BQ263" s="17">
        <v>1919</v>
      </c>
      <c r="BR263" t="s">
        <v>138</v>
      </c>
      <c r="BS263" t="s">
        <v>156</v>
      </c>
      <c r="BT263" t="s">
        <v>99</v>
      </c>
      <c r="BU263" s="17">
        <v>8.9</v>
      </c>
      <c r="BV263" t="s">
        <v>110</v>
      </c>
      <c r="BW263" t="s">
        <v>85</v>
      </c>
      <c r="BX263" t="s">
        <v>85</v>
      </c>
      <c r="BY263" t="str">
        <f>IF(COUNTIF('Data Upload-prod'!E:E,F263)=0,"Missing","Exist")</f>
        <v>Exist</v>
      </c>
    </row>
    <row r="264" hidden="1" spans="1:77">
      <c r="A264" s="16">
        <v>44697</v>
      </c>
      <c r="B264" s="16">
        <v>44848</v>
      </c>
      <c r="C264" t="s">
        <v>633</v>
      </c>
      <c r="D264" t="s">
        <v>120</v>
      </c>
      <c r="E264" t="s">
        <v>634</v>
      </c>
      <c r="F264" t="s">
        <v>635</v>
      </c>
      <c r="G264" t="s">
        <v>145</v>
      </c>
      <c r="H264" t="s">
        <v>181</v>
      </c>
      <c r="I264" t="s">
        <v>124</v>
      </c>
      <c r="J264" s="17">
        <v>89</v>
      </c>
      <c r="K264" s="17">
        <v>1432</v>
      </c>
      <c r="L264" s="17">
        <v>1432</v>
      </c>
      <c r="M264" s="17">
        <v>11283000</v>
      </c>
      <c r="N264" s="17">
        <v>13230000</v>
      </c>
      <c r="O264" s="17">
        <v>24.4</v>
      </c>
      <c r="P264" s="17">
        <v>32.3</v>
      </c>
      <c r="Q264" t="s">
        <v>84</v>
      </c>
      <c r="R264" t="s">
        <v>84</v>
      </c>
      <c r="S264" t="s">
        <v>106</v>
      </c>
      <c r="T264" t="s">
        <v>84</v>
      </c>
      <c r="U264" t="s">
        <v>84</v>
      </c>
      <c r="V264" s="16">
        <v>44788</v>
      </c>
      <c r="W264" s="18">
        <v>44783.875</v>
      </c>
      <c r="X264" s="18">
        <v>44820.7708333333</v>
      </c>
      <c r="Y264" s="17">
        <v>1311.15</v>
      </c>
      <c r="Z264" t="s">
        <v>87</v>
      </c>
      <c r="AA264" s="17">
        <v>1435</v>
      </c>
      <c r="AB264" s="17">
        <v>1435</v>
      </c>
      <c r="AC264" t="s">
        <v>84</v>
      </c>
      <c r="AD264" s="17">
        <v>15590000</v>
      </c>
      <c r="AE264" t="s">
        <v>84</v>
      </c>
      <c r="AF264" s="17">
        <v>36.9</v>
      </c>
      <c r="AG264" t="s">
        <v>84</v>
      </c>
      <c r="AH264" t="s">
        <v>84</v>
      </c>
      <c r="AI264" s="17">
        <v>1.9</v>
      </c>
      <c r="AJ264" s="17">
        <v>1.9</v>
      </c>
      <c r="AK264" t="s">
        <v>544</v>
      </c>
      <c r="AM264" s="17">
        <v>1.2</v>
      </c>
      <c r="AN264" s="17"/>
      <c r="AO264" s="17">
        <v>385</v>
      </c>
      <c r="AP264" s="17"/>
      <c r="AQ264" s="17">
        <v>930</v>
      </c>
      <c r="AR264" s="17"/>
      <c r="AS264" s="17">
        <v>1.3</v>
      </c>
      <c r="AT264" s="17"/>
      <c r="AU264" s="17">
        <v>523</v>
      </c>
      <c r="AV264" s="17"/>
      <c r="AW264" s="17">
        <v>1663</v>
      </c>
      <c r="AX264" s="17"/>
      <c r="AY264" t="s">
        <v>92</v>
      </c>
      <c r="AZ264" t="s">
        <v>92</v>
      </c>
      <c r="BA264" t="s">
        <v>92</v>
      </c>
      <c r="BB264" t="s">
        <v>92</v>
      </c>
      <c r="BC264" t="s">
        <v>92</v>
      </c>
      <c r="BD264" t="s">
        <v>92</v>
      </c>
      <c r="BE264" t="s">
        <v>92</v>
      </c>
      <c r="BF264" t="s">
        <v>92</v>
      </c>
      <c r="BG264" t="s">
        <v>92</v>
      </c>
      <c r="BH264" t="s">
        <v>92</v>
      </c>
      <c r="BI264" t="s">
        <v>92</v>
      </c>
      <c r="BJ264" t="s">
        <v>92</v>
      </c>
      <c r="BK264" t="s">
        <v>92</v>
      </c>
      <c r="BL264" t="s">
        <v>92</v>
      </c>
      <c r="BM264" t="s">
        <v>92</v>
      </c>
      <c r="BN264" t="s">
        <v>92</v>
      </c>
      <c r="BO264" t="s">
        <v>92</v>
      </c>
      <c r="BP264" t="s">
        <v>92</v>
      </c>
      <c r="BQ264" t="s">
        <v>92</v>
      </c>
      <c r="BR264" t="s">
        <v>92</v>
      </c>
      <c r="BS264" t="s">
        <v>92</v>
      </c>
      <c r="BT264" t="s">
        <v>92</v>
      </c>
      <c r="BU264" t="s">
        <v>92</v>
      </c>
      <c r="BV264" t="s">
        <v>92</v>
      </c>
      <c r="BW264" t="s">
        <v>92</v>
      </c>
      <c r="BX264" t="s">
        <v>92</v>
      </c>
      <c r="BY264" t="str">
        <f>IF(COUNTIF('Data Upload-prod'!E:E,F264)=0,"Missing","Exist")</f>
        <v>Exist</v>
      </c>
    </row>
    <row r="265" hidden="1" spans="1:77">
      <c r="A265" s="16">
        <v>44678</v>
      </c>
      <c r="B265" t="s">
        <v>84</v>
      </c>
      <c r="C265" t="s">
        <v>132</v>
      </c>
      <c r="D265" t="s">
        <v>120</v>
      </c>
      <c r="E265" t="s">
        <v>203</v>
      </c>
      <c r="F265" t="s">
        <v>636</v>
      </c>
      <c r="G265" t="s">
        <v>81</v>
      </c>
      <c r="H265" t="s">
        <v>135</v>
      </c>
      <c r="I265" t="s">
        <v>124</v>
      </c>
      <c r="J265" s="17">
        <v>29.69</v>
      </c>
      <c r="K265" s="17">
        <v>1774.76</v>
      </c>
      <c r="L265" s="17">
        <v>1607.13</v>
      </c>
      <c r="M265" t="s">
        <v>84</v>
      </c>
      <c r="N265" t="s">
        <v>84</v>
      </c>
      <c r="O265" t="s">
        <v>84</v>
      </c>
      <c r="P265" t="s">
        <v>84</v>
      </c>
      <c r="Q265" s="17">
        <v>6445825</v>
      </c>
      <c r="R265" s="17">
        <v>15.52</v>
      </c>
      <c r="S265" t="s">
        <v>85</v>
      </c>
      <c r="T265" t="s">
        <v>84</v>
      </c>
      <c r="U265" t="s">
        <v>86</v>
      </c>
      <c r="V265" s="16">
        <v>44713</v>
      </c>
      <c r="W265" s="18">
        <v>44712.7916666667</v>
      </c>
      <c r="X265" s="18">
        <v>44815.25</v>
      </c>
      <c r="Y265" s="17">
        <v>1713.26</v>
      </c>
      <c r="Z265" t="s">
        <v>87</v>
      </c>
      <c r="AA265" s="17">
        <v>1779.95</v>
      </c>
      <c r="AB265" s="17">
        <v>1606.89</v>
      </c>
      <c r="AC265" t="s">
        <v>84</v>
      </c>
      <c r="AD265" t="s">
        <v>84</v>
      </c>
      <c r="AE265" t="s">
        <v>84</v>
      </c>
      <c r="AF265" t="s">
        <v>84</v>
      </c>
      <c r="AG265" s="17">
        <v>5939645.1</v>
      </c>
      <c r="AH265" s="17">
        <v>16.82</v>
      </c>
      <c r="AI265" s="17">
        <v>1.5</v>
      </c>
      <c r="AJ265" s="17">
        <v>1.5</v>
      </c>
      <c r="AK265" t="s">
        <v>208</v>
      </c>
      <c r="AM265" s="17">
        <v>2.2</v>
      </c>
      <c r="AN265" s="17"/>
      <c r="AO265" s="17">
        <v>830</v>
      </c>
      <c r="AP265" s="17"/>
      <c r="AQ265" s="17">
        <v>1395</v>
      </c>
      <c r="AR265" s="17"/>
      <c r="AS265" s="17">
        <v>1.59</v>
      </c>
      <c r="AT265" s="17"/>
      <c r="AU265" s="17">
        <v>476</v>
      </c>
      <c r="AV265" s="17"/>
      <c r="AW265" s="17">
        <v>1104</v>
      </c>
      <c r="AX265" s="17"/>
      <c r="AY265" t="s">
        <v>92</v>
      </c>
      <c r="AZ265" t="s">
        <v>92</v>
      </c>
      <c r="BA265" t="s">
        <v>92</v>
      </c>
      <c r="BB265" t="s">
        <v>92</v>
      </c>
      <c r="BC265" t="s">
        <v>92</v>
      </c>
      <c r="BD265" s="17">
        <v>6.24</v>
      </c>
      <c r="BE265" s="17">
        <v>2184927.92</v>
      </c>
      <c r="BF265" t="s">
        <v>92</v>
      </c>
      <c r="BG265" t="s">
        <v>92</v>
      </c>
      <c r="BH265" t="s">
        <v>93</v>
      </c>
      <c r="BI265" t="s">
        <v>94</v>
      </c>
      <c r="BJ265" t="s">
        <v>173</v>
      </c>
      <c r="BK265" t="s">
        <v>85</v>
      </c>
      <c r="BL265" t="s">
        <v>85</v>
      </c>
      <c r="BM265" t="s">
        <v>96</v>
      </c>
      <c r="BN265" t="s">
        <v>253</v>
      </c>
      <c r="BO265" t="s">
        <v>216</v>
      </c>
      <c r="BP265" t="s">
        <v>99</v>
      </c>
      <c r="BQ265" t="s">
        <v>92</v>
      </c>
      <c r="BR265" t="s">
        <v>100</v>
      </c>
      <c r="BS265" t="s">
        <v>156</v>
      </c>
      <c r="BT265" t="s">
        <v>175</v>
      </c>
      <c r="BU265" s="17">
        <v>9.7</v>
      </c>
      <c r="BV265" t="s">
        <v>191</v>
      </c>
      <c r="BW265" t="s">
        <v>85</v>
      </c>
      <c r="BX265" t="s">
        <v>85</v>
      </c>
      <c r="BY265" t="str">
        <f>IF(COUNTIF('Data Upload-prod'!E:E,F265)=0,"Missing","Exist")</f>
        <v>Exist</v>
      </c>
    </row>
    <row r="266" hidden="1" spans="1:77">
      <c r="A266" s="16">
        <v>44678</v>
      </c>
      <c r="B266" t="s">
        <v>84</v>
      </c>
      <c r="C266" t="s">
        <v>132</v>
      </c>
      <c r="D266" t="s">
        <v>120</v>
      </c>
      <c r="E266" t="s">
        <v>203</v>
      </c>
      <c r="F266" t="s">
        <v>637</v>
      </c>
      <c r="G266" t="s">
        <v>81</v>
      </c>
      <c r="H266" t="s">
        <v>135</v>
      </c>
      <c r="I266" t="s">
        <v>124</v>
      </c>
      <c r="J266" s="17">
        <v>29.69</v>
      </c>
      <c r="K266" s="17">
        <v>1837.55</v>
      </c>
      <c r="L266" s="17">
        <v>1642.79</v>
      </c>
      <c r="M266" t="s">
        <v>84</v>
      </c>
      <c r="N266" t="s">
        <v>84</v>
      </c>
      <c r="O266" t="s">
        <v>84</v>
      </c>
      <c r="P266" t="s">
        <v>84</v>
      </c>
      <c r="Q266" s="17">
        <v>6291239.17</v>
      </c>
      <c r="R266" s="17">
        <v>15.09</v>
      </c>
      <c r="S266" t="s">
        <v>85</v>
      </c>
      <c r="T266" t="s">
        <v>84</v>
      </c>
      <c r="U266" t="s">
        <v>86</v>
      </c>
      <c r="V266" s="16">
        <v>44708</v>
      </c>
      <c r="W266" s="18">
        <v>44707.8541666667</v>
      </c>
      <c r="X266" s="18">
        <v>44808</v>
      </c>
      <c r="Y266" s="17">
        <v>1717.83</v>
      </c>
      <c r="Z266" t="s">
        <v>87</v>
      </c>
      <c r="AA266" s="17">
        <v>1784.52</v>
      </c>
      <c r="AB266" s="17">
        <v>1604.33</v>
      </c>
      <c r="AC266" t="s">
        <v>84</v>
      </c>
      <c r="AD266" t="s">
        <v>84</v>
      </c>
      <c r="AE266" t="s">
        <v>84</v>
      </c>
      <c r="AF266" t="s">
        <v>84</v>
      </c>
      <c r="AG266" s="17">
        <v>7338865.03</v>
      </c>
      <c r="AH266" s="17">
        <v>19.08</v>
      </c>
      <c r="AI266" s="17">
        <v>2.51</v>
      </c>
      <c r="AJ266" s="17">
        <v>2.18</v>
      </c>
      <c r="AK266" s="13" t="s">
        <v>149</v>
      </c>
      <c r="AL266" s="13"/>
      <c r="AM266" t="s">
        <v>92</v>
      </c>
      <c r="AO266" t="s">
        <v>92</v>
      </c>
      <c r="AQ266" t="s">
        <v>92</v>
      </c>
      <c r="AS266" s="17">
        <v>1.74</v>
      </c>
      <c r="AT266" s="17"/>
      <c r="AU266" s="17">
        <v>627</v>
      </c>
      <c r="AV266" s="17"/>
      <c r="AW266" s="17">
        <v>1253</v>
      </c>
      <c r="AX266" s="17"/>
      <c r="AY266" t="s">
        <v>92</v>
      </c>
      <c r="AZ266" t="s">
        <v>92</v>
      </c>
      <c r="BA266" t="s">
        <v>92</v>
      </c>
      <c r="BB266" s="13" t="s">
        <v>92</v>
      </c>
      <c r="BC266" s="13" t="s">
        <v>92</v>
      </c>
      <c r="BD266" s="17">
        <v>7.34</v>
      </c>
      <c r="BE266" s="17">
        <v>2250810</v>
      </c>
      <c r="BF266" t="s">
        <v>92</v>
      </c>
      <c r="BG266" t="s">
        <v>92</v>
      </c>
      <c r="BH266" t="s">
        <v>93</v>
      </c>
      <c r="BI266" t="s">
        <v>94</v>
      </c>
      <c r="BJ266" t="s">
        <v>173</v>
      </c>
      <c r="BK266" t="s">
        <v>85</v>
      </c>
      <c r="BL266" t="s">
        <v>85</v>
      </c>
      <c r="BM266" t="s">
        <v>96</v>
      </c>
      <c r="BN266" t="s">
        <v>490</v>
      </c>
      <c r="BO266" t="s">
        <v>216</v>
      </c>
      <c r="BP266" t="s">
        <v>99</v>
      </c>
      <c r="BQ266" t="s">
        <v>92</v>
      </c>
      <c r="BR266" t="s">
        <v>100</v>
      </c>
      <c r="BS266" t="s">
        <v>156</v>
      </c>
      <c r="BT266" t="s">
        <v>175</v>
      </c>
      <c r="BU266" s="17">
        <v>9.6</v>
      </c>
      <c r="BV266" t="s">
        <v>191</v>
      </c>
      <c r="BW266" t="s">
        <v>85</v>
      </c>
      <c r="BX266" t="s">
        <v>85</v>
      </c>
      <c r="BY266" t="str">
        <f>IF(COUNTIF('Data Upload-prod'!E:E,F266)=0,"Missing","Exist")</f>
        <v>Exist</v>
      </c>
    </row>
    <row r="267" hidden="1" spans="1:77">
      <c r="A267" s="16">
        <v>44675</v>
      </c>
      <c r="B267" s="16">
        <v>44800</v>
      </c>
      <c r="C267" t="s">
        <v>633</v>
      </c>
      <c r="D267" t="s">
        <v>120</v>
      </c>
      <c r="E267" t="s">
        <v>638</v>
      </c>
      <c r="F267" t="s">
        <v>639</v>
      </c>
      <c r="G267" t="s">
        <v>145</v>
      </c>
      <c r="H267" t="s">
        <v>181</v>
      </c>
      <c r="I267" t="s">
        <v>124</v>
      </c>
      <c r="J267" s="17">
        <v>92.7</v>
      </c>
      <c r="K267" s="17">
        <v>1553</v>
      </c>
      <c r="L267" s="17">
        <v>1553</v>
      </c>
      <c r="M267" s="17">
        <v>10183000</v>
      </c>
      <c r="N267" s="17">
        <v>10183000</v>
      </c>
      <c r="O267" s="17">
        <v>22</v>
      </c>
      <c r="P267" s="17">
        <v>22</v>
      </c>
      <c r="Q267" t="s">
        <v>84</v>
      </c>
      <c r="R267" t="s">
        <v>84</v>
      </c>
      <c r="S267" t="s">
        <v>85</v>
      </c>
      <c r="T267" t="s">
        <v>84</v>
      </c>
      <c r="U267" t="s">
        <v>84</v>
      </c>
      <c r="V267" s="16">
        <v>44765</v>
      </c>
      <c r="W267" s="18">
        <v>44759.3020833333</v>
      </c>
      <c r="X267" s="18">
        <v>44783.875</v>
      </c>
      <c r="Y267" s="17">
        <v>1442.45</v>
      </c>
      <c r="Z267" t="s">
        <v>87</v>
      </c>
      <c r="AA267" s="17">
        <v>1570</v>
      </c>
      <c r="AB267" s="17">
        <v>1471</v>
      </c>
      <c r="AC267" t="s">
        <v>84</v>
      </c>
      <c r="AD267" s="17">
        <v>13350000</v>
      </c>
      <c r="AE267" t="s">
        <v>84</v>
      </c>
      <c r="AF267" s="17">
        <v>24.57</v>
      </c>
      <c r="AG267" t="s">
        <v>84</v>
      </c>
      <c r="AH267" t="s">
        <v>84</v>
      </c>
      <c r="AI267" s="17">
        <v>11.57</v>
      </c>
      <c r="AJ267" s="17">
        <v>0.34</v>
      </c>
      <c r="AK267" t="s">
        <v>300</v>
      </c>
      <c r="AM267" s="17">
        <v>2.4</v>
      </c>
      <c r="AN267" s="17"/>
      <c r="AO267" s="17">
        <v>1375</v>
      </c>
      <c r="AP267" s="17"/>
      <c r="AQ267" s="17">
        <v>3025</v>
      </c>
      <c r="AR267" s="17"/>
      <c r="AS267" s="17">
        <v>1.33</v>
      </c>
      <c r="AT267" s="17"/>
      <c r="AU267" s="17">
        <v>722</v>
      </c>
      <c r="AV267" s="17"/>
      <c r="AW267" s="17">
        <v>1842</v>
      </c>
      <c r="AX267" s="17"/>
      <c r="AY267" t="s">
        <v>92</v>
      </c>
      <c r="AZ267" t="s">
        <v>92</v>
      </c>
      <c r="BA267" t="s">
        <v>92</v>
      </c>
      <c r="BB267" t="s">
        <v>92</v>
      </c>
      <c r="BC267" t="s">
        <v>92</v>
      </c>
      <c r="BD267" t="s">
        <v>92</v>
      </c>
      <c r="BE267" t="s">
        <v>92</v>
      </c>
      <c r="BF267" t="s">
        <v>92</v>
      </c>
      <c r="BG267" t="s">
        <v>92</v>
      </c>
      <c r="BH267" t="s">
        <v>92</v>
      </c>
      <c r="BI267" t="s">
        <v>92</v>
      </c>
      <c r="BJ267" t="s">
        <v>92</v>
      </c>
      <c r="BK267" t="s">
        <v>92</v>
      </c>
      <c r="BL267" t="s">
        <v>92</v>
      </c>
      <c r="BM267" t="s">
        <v>92</v>
      </c>
      <c r="BN267" t="s">
        <v>92</v>
      </c>
      <c r="BO267" t="s">
        <v>92</v>
      </c>
      <c r="BP267" t="s">
        <v>92</v>
      </c>
      <c r="BQ267" t="s">
        <v>92</v>
      </c>
      <c r="BR267" t="s">
        <v>92</v>
      </c>
      <c r="BS267" t="s">
        <v>92</v>
      </c>
      <c r="BT267" t="s">
        <v>92</v>
      </c>
      <c r="BU267" t="s">
        <v>92</v>
      </c>
      <c r="BV267" t="s">
        <v>92</v>
      </c>
      <c r="BW267" t="s">
        <v>92</v>
      </c>
      <c r="BX267" t="s">
        <v>92</v>
      </c>
      <c r="BY267" t="str">
        <f>IF(COUNTIF('Data Upload-prod'!E:E,F267)=0,"Missing","Exist")</f>
        <v>Exist</v>
      </c>
    </row>
    <row r="268" hidden="1" spans="1:77">
      <c r="A268" s="16">
        <v>44670</v>
      </c>
      <c r="B268" s="16">
        <v>44788</v>
      </c>
      <c r="C268" t="s">
        <v>269</v>
      </c>
      <c r="D268" t="s">
        <v>78</v>
      </c>
      <c r="E268" t="s">
        <v>610</v>
      </c>
      <c r="F268" t="s">
        <v>640</v>
      </c>
      <c r="G268" t="s">
        <v>81</v>
      </c>
      <c r="H268" t="s">
        <v>612</v>
      </c>
      <c r="I268" t="s">
        <v>124</v>
      </c>
      <c r="J268" s="17">
        <v>56.99</v>
      </c>
      <c r="K268" s="17">
        <v>3469.98</v>
      </c>
      <c r="L268" s="17">
        <v>2615.67</v>
      </c>
      <c r="M268" t="s">
        <v>84</v>
      </c>
      <c r="N268" t="s">
        <v>84</v>
      </c>
      <c r="O268" t="s">
        <v>84</v>
      </c>
      <c r="P268" t="s">
        <v>84</v>
      </c>
      <c r="Q268" s="17">
        <v>23730000</v>
      </c>
      <c r="R268" s="17">
        <v>44.96</v>
      </c>
      <c r="S268" t="s">
        <v>85</v>
      </c>
      <c r="T268" t="s">
        <v>84</v>
      </c>
      <c r="U268" t="s">
        <v>86</v>
      </c>
      <c r="V268" s="16">
        <v>44694</v>
      </c>
      <c r="W268" s="18">
        <v>44694</v>
      </c>
      <c r="X268" s="18">
        <v>44734.75</v>
      </c>
      <c r="Y268" s="17">
        <v>3375.37</v>
      </c>
      <c r="Z268" t="s">
        <v>87</v>
      </c>
      <c r="AA268" s="17">
        <v>3476.99</v>
      </c>
      <c r="AB268" s="17">
        <v>2619.87</v>
      </c>
      <c r="AC268" t="s">
        <v>84</v>
      </c>
      <c r="AD268" t="s">
        <v>84</v>
      </c>
      <c r="AE268" t="s">
        <v>84</v>
      </c>
      <c r="AF268" t="s">
        <v>84</v>
      </c>
      <c r="AG268" s="17">
        <v>21450000</v>
      </c>
      <c r="AH268" s="17">
        <v>38.92</v>
      </c>
      <c r="AI268" s="17">
        <v>2.78</v>
      </c>
      <c r="AJ268" s="17">
        <v>2.78</v>
      </c>
      <c r="AK268" t="s">
        <v>276</v>
      </c>
      <c r="AM268" s="17">
        <v>3.7</v>
      </c>
      <c r="AN268" s="17"/>
      <c r="AO268" s="17">
        <v>1585</v>
      </c>
      <c r="AP268" s="17"/>
      <c r="AQ268" s="17">
        <v>3400</v>
      </c>
      <c r="AR268" s="17"/>
      <c r="AS268" s="17">
        <v>2.2</v>
      </c>
      <c r="AT268" s="17"/>
      <c r="AU268" s="17">
        <v>1132</v>
      </c>
      <c r="AV268" s="17"/>
      <c r="AW268" s="17">
        <v>1803</v>
      </c>
      <c r="AX268" s="17"/>
      <c r="AY268" t="s">
        <v>92</v>
      </c>
      <c r="AZ268" t="s">
        <v>92</v>
      </c>
      <c r="BA268" t="s">
        <v>92</v>
      </c>
      <c r="BB268" t="s">
        <v>92</v>
      </c>
      <c r="BC268" t="s">
        <v>92</v>
      </c>
      <c r="BD268" s="17">
        <v>10.4</v>
      </c>
      <c r="BE268" s="17">
        <v>5966608</v>
      </c>
      <c r="BF268" t="s">
        <v>92</v>
      </c>
      <c r="BG268" t="s">
        <v>92</v>
      </c>
      <c r="BH268" t="s">
        <v>93</v>
      </c>
      <c r="BI268" t="s">
        <v>94</v>
      </c>
      <c r="BJ268" t="s">
        <v>173</v>
      </c>
      <c r="BK268" t="s">
        <v>85</v>
      </c>
      <c r="BL268" t="s">
        <v>85</v>
      </c>
      <c r="BM268" t="s">
        <v>273</v>
      </c>
      <c r="BN268" t="s">
        <v>97</v>
      </c>
      <c r="BO268" t="s">
        <v>98</v>
      </c>
      <c r="BP268" t="s">
        <v>641</v>
      </c>
      <c r="BQ268" s="17">
        <v>48</v>
      </c>
      <c r="BR268" t="s">
        <v>138</v>
      </c>
      <c r="BS268" t="s">
        <v>92</v>
      </c>
      <c r="BT268" t="s">
        <v>642</v>
      </c>
      <c r="BU268" s="17">
        <v>8.4</v>
      </c>
      <c r="BV268" t="s">
        <v>131</v>
      </c>
      <c r="BW268" t="s">
        <v>85</v>
      </c>
      <c r="BX268" t="s">
        <v>85</v>
      </c>
      <c r="BY268" t="str">
        <f>IF(COUNTIF('Data Upload-prod'!E:E,F268)=0,"Missing","Exist")</f>
        <v>Exist</v>
      </c>
    </row>
    <row r="269" hidden="1" spans="1:77">
      <c r="A269" s="16">
        <v>44665</v>
      </c>
      <c r="B269" t="s">
        <v>84</v>
      </c>
      <c r="C269" t="s">
        <v>141</v>
      </c>
      <c r="D269" t="s">
        <v>120</v>
      </c>
      <c r="E269" t="s">
        <v>643</v>
      </c>
      <c r="F269" t="s">
        <v>644</v>
      </c>
      <c r="G269" t="s">
        <v>145</v>
      </c>
      <c r="H269" t="s">
        <v>202</v>
      </c>
      <c r="I269" t="s">
        <v>124</v>
      </c>
      <c r="J269" s="17">
        <v>89.7</v>
      </c>
      <c r="K269" s="17">
        <v>2992.38</v>
      </c>
      <c r="L269" s="17">
        <v>2960.99</v>
      </c>
      <c r="M269" s="17">
        <v>13280000</v>
      </c>
      <c r="N269" s="17">
        <v>15610000</v>
      </c>
      <c r="O269" s="17">
        <v>31.64</v>
      </c>
      <c r="P269" s="17">
        <v>39.65</v>
      </c>
      <c r="Q269" t="s">
        <v>84</v>
      </c>
      <c r="R269" t="s">
        <v>84</v>
      </c>
      <c r="S269" t="s">
        <v>85</v>
      </c>
      <c r="T269" t="s">
        <v>84</v>
      </c>
      <c r="U269" t="s">
        <v>84</v>
      </c>
      <c r="V269" s="16">
        <v>44749</v>
      </c>
      <c r="W269" s="18">
        <v>44744.5</v>
      </c>
      <c r="X269" s="18">
        <v>44796</v>
      </c>
      <c r="Y269" s="17">
        <v>2334.56</v>
      </c>
      <c r="Z269" t="s">
        <v>87</v>
      </c>
      <c r="AA269" s="17">
        <v>2455.65</v>
      </c>
      <c r="AB269" s="17">
        <v>2447.42</v>
      </c>
      <c r="AC269" s="17">
        <v>17670000</v>
      </c>
      <c r="AD269" t="s">
        <v>84</v>
      </c>
      <c r="AE269" s="17">
        <v>52.22</v>
      </c>
      <c r="AF269" t="s">
        <v>84</v>
      </c>
      <c r="AG269" t="s">
        <v>84</v>
      </c>
      <c r="AH269" t="s">
        <v>84</v>
      </c>
      <c r="AI269" s="17">
        <v>28.53</v>
      </c>
      <c r="AJ269" s="17">
        <v>28.21</v>
      </c>
      <c r="AK269" t="s">
        <v>323</v>
      </c>
      <c r="AM269" s="17">
        <v>4.4</v>
      </c>
      <c r="AN269" s="17"/>
      <c r="AO269" s="17">
        <v>1980</v>
      </c>
      <c r="AP269" s="17"/>
      <c r="AQ269" s="17">
        <v>2760</v>
      </c>
      <c r="AR269" s="17"/>
      <c r="AS269" s="17">
        <v>4.56</v>
      </c>
      <c r="AT269" s="17"/>
      <c r="AU269" s="17">
        <v>1578</v>
      </c>
      <c r="AV269" s="17"/>
      <c r="AW269" s="17">
        <v>2307</v>
      </c>
      <c r="AX269" s="17"/>
      <c r="AY269" t="s">
        <v>92</v>
      </c>
      <c r="AZ269" t="s">
        <v>92</v>
      </c>
      <c r="BA269" t="s">
        <v>92</v>
      </c>
      <c r="BB269" t="s">
        <v>92</v>
      </c>
      <c r="BC269" t="s">
        <v>92</v>
      </c>
      <c r="BD269" t="s">
        <v>92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92</v>
      </c>
      <c r="BM269" t="s">
        <v>92</v>
      </c>
      <c r="BN269" t="s">
        <v>92</v>
      </c>
      <c r="BO269" t="s">
        <v>92</v>
      </c>
      <c r="BP269" t="s">
        <v>92</v>
      </c>
      <c r="BQ269" t="s">
        <v>92</v>
      </c>
      <c r="BR269" t="s">
        <v>92</v>
      </c>
      <c r="BS269" t="s">
        <v>92</v>
      </c>
      <c r="BT269" t="s">
        <v>92</v>
      </c>
      <c r="BU269" t="s">
        <v>92</v>
      </c>
      <c r="BV269" t="s">
        <v>92</v>
      </c>
      <c r="BW269" t="s">
        <v>92</v>
      </c>
      <c r="BX269" t="s">
        <v>92</v>
      </c>
      <c r="BY269" t="str">
        <f>IF(COUNTIF('Data Upload-prod'!E:E,F269)=0,"Missing","Exist")</f>
        <v>Exist</v>
      </c>
    </row>
    <row r="270" hidden="1" spans="1:77">
      <c r="A270" s="16">
        <v>44664</v>
      </c>
      <c r="B270" s="16">
        <v>45026</v>
      </c>
      <c r="C270" t="s">
        <v>281</v>
      </c>
      <c r="D270" t="s">
        <v>78</v>
      </c>
      <c r="E270" t="s">
        <v>282</v>
      </c>
      <c r="F270" t="s">
        <v>645</v>
      </c>
      <c r="G270" t="s">
        <v>81</v>
      </c>
      <c r="H270" t="s">
        <v>284</v>
      </c>
      <c r="I270" t="s">
        <v>83</v>
      </c>
      <c r="J270" s="17">
        <v>72</v>
      </c>
      <c r="K270" s="17">
        <v>3540.3</v>
      </c>
      <c r="L270" s="17">
        <v>1860.3</v>
      </c>
      <c r="M270" t="s">
        <v>84</v>
      </c>
      <c r="N270" t="s">
        <v>84</v>
      </c>
      <c r="O270" t="s">
        <v>84</v>
      </c>
      <c r="P270" t="s">
        <v>84</v>
      </c>
      <c r="Q270" s="17">
        <v>10343034</v>
      </c>
      <c r="R270" s="17">
        <v>32.82</v>
      </c>
      <c r="S270" t="s">
        <v>106</v>
      </c>
      <c r="T270" t="s">
        <v>84</v>
      </c>
      <c r="U270" t="s">
        <v>86</v>
      </c>
      <c r="V270" s="16">
        <v>44726.4583333333</v>
      </c>
      <c r="W270" s="18">
        <v>44724.25</v>
      </c>
      <c r="X270" s="18">
        <v>44765.75</v>
      </c>
      <c r="Y270" s="17">
        <v>3211.7</v>
      </c>
      <c r="Z270" t="s">
        <v>87</v>
      </c>
      <c r="AA270" s="17">
        <v>3319</v>
      </c>
      <c r="AB270" s="17">
        <v>1600.8</v>
      </c>
      <c r="AC270" t="s">
        <v>84</v>
      </c>
      <c r="AD270" t="s">
        <v>84</v>
      </c>
      <c r="AE270" t="s">
        <v>84</v>
      </c>
      <c r="AF270" t="s">
        <v>84</v>
      </c>
      <c r="AG270" s="17">
        <v>12170165</v>
      </c>
      <c r="AH270" s="17">
        <v>41.65</v>
      </c>
      <c r="AI270" s="17">
        <v>4.78</v>
      </c>
      <c r="AJ270" s="17">
        <v>4.23</v>
      </c>
      <c r="AK270" t="s">
        <v>89</v>
      </c>
      <c r="AM270" s="17">
        <v>2.4</v>
      </c>
      <c r="AN270" s="17"/>
      <c r="AO270" s="17">
        <v>795</v>
      </c>
      <c r="AP270" s="17"/>
      <c r="AQ270" s="17">
        <v>1400</v>
      </c>
      <c r="AR270" s="17"/>
      <c r="AS270" s="17">
        <v>1.84</v>
      </c>
      <c r="AT270" s="17"/>
      <c r="AU270" s="17">
        <v>483.01</v>
      </c>
      <c r="AV270" s="17"/>
      <c r="AW270" s="17">
        <v>674.29</v>
      </c>
      <c r="AX270" s="17"/>
      <c r="AY270" t="s">
        <v>92</v>
      </c>
      <c r="AZ270" t="s">
        <v>92</v>
      </c>
      <c r="BA270" t="s">
        <v>92</v>
      </c>
      <c r="BB270" t="s">
        <v>92</v>
      </c>
      <c r="BC270" t="s">
        <v>92</v>
      </c>
      <c r="BD270" s="17">
        <v>7.4</v>
      </c>
      <c r="BE270" s="17">
        <v>2982698</v>
      </c>
      <c r="BF270" t="s">
        <v>92</v>
      </c>
      <c r="BG270" t="s">
        <v>92</v>
      </c>
      <c r="BH270" t="s">
        <v>93</v>
      </c>
      <c r="BI270" t="s">
        <v>94</v>
      </c>
      <c r="BJ270" t="s">
        <v>128</v>
      </c>
      <c r="BK270" t="s">
        <v>85</v>
      </c>
      <c r="BL270" t="s">
        <v>85</v>
      </c>
      <c r="BM270" t="s">
        <v>96</v>
      </c>
      <c r="BN270" t="s">
        <v>97</v>
      </c>
      <c r="BO270" t="s">
        <v>98</v>
      </c>
      <c r="BP270" t="s">
        <v>99</v>
      </c>
      <c r="BQ270" s="17">
        <v>3937.2</v>
      </c>
      <c r="BR270" t="s">
        <v>138</v>
      </c>
      <c r="BS270" t="s">
        <v>608</v>
      </c>
      <c r="BT270" t="s">
        <v>99</v>
      </c>
      <c r="BU270" s="17">
        <v>8.6</v>
      </c>
      <c r="BV270" t="s">
        <v>131</v>
      </c>
      <c r="BW270" t="s">
        <v>85</v>
      </c>
      <c r="BX270" t="s">
        <v>85</v>
      </c>
      <c r="BY270" t="str">
        <f>IF(COUNTIF('Data Upload-prod'!E:E,F270)=0,"Missing","Exist")</f>
        <v>Exist</v>
      </c>
    </row>
    <row r="271" hidden="1" spans="1:77">
      <c r="A271" s="16">
        <v>44657</v>
      </c>
      <c r="B271" s="16">
        <v>44776</v>
      </c>
      <c r="C271" t="s">
        <v>633</v>
      </c>
      <c r="D271" t="s">
        <v>120</v>
      </c>
      <c r="E271" t="s">
        <v>646</v>
      </c>
      <c r="F271" t="s">
        <v>647</v>
      </c>
      <c r="G271" t="s">
        <v>145</v>
      </c>
      <c r="H271" t="s">
        <v>181</v>
      </c>
      <c r="I271" t="s">
        <v>124</v>
      </c>
      <c r="J271" s="17">
        <v>90.7</v>
      </c>
      <c r="K271" s="17">
        <v>1532</v>
      </c>
      <c r="L271" s="17">
        <v>1532</v>
      </c>
      <c r="M271" s="17">
        <v>10115000</v>
      </c>
      <c r="N271" s="17">
        <v>13330000</v>
      </c>
      <c r="O271" s="17">
        <v>21.1</v>
      </c>
      <c r="P271" s="17">
        <v>29.8</v>
      </c>
      <c r="Q271" t="s">
        <v>84</v>
      </c>
      <c r="R271" t="s">
        <v>84</v>
      </c>
      <c r="S271" t="s">
        <v>85</v>
      </c>
      <c r="T271" t="s">
        <v>84</v>
      </c>
      <c r="U271" t="s">
        <v>84</v>
      </c>
      <c r="V271" s="16">
        <v>44739</v>
      </c>
      <c r="W271" s="18">
        <v>44733.25</v>
      </c>
      <c r="X271" s="18">
        <v>44759.3020833333</v>
      </c>
      <c r="Y271" s="17">
        <v>1409.3</v>
      </c>
      <c r="Z271" t="s">
        <v>87</v>
      </c>
      <c r="AA271" s="17">
        <v>1535</v>
      </c>
      <c r="AB271" s="17">
        <v>1535</v>
      </c>
      <c r="AC271" s="17">
        <v>12016000</v>
      </c>
      <c r="AD271" t="s">
        <v>84</v>
      </c>
      <c r="AE271" s="17">
        <v>26.05</v>
      </c>
      <c r="AF271" t="s">
        <v>84</v>
      </c>
      <c r="AG271" t="s">
        <v>84</v>
      </c>
      <c r="AH271" t="s">
        <v>84</v>
      </c>
      <c r="AI271" s="17">
        <v>18.2</v>
      </c>
      <c r="AJ271" s="17">
        <v>0.2</v>
      </c>
      <c r="AK271" t="s">
        <v>300</v>
      </c>
      <c r="AM271" s="17">
        <v>2.4</v>
      </c>
      <c r="AN271" s="17"/>
      <c r="AO271" s="17">
        <v>1375</v>
      </c>
      <c r="AP271" s="17"/>
      <c r="AQ271" s="17">
        <v>3025</v>
      </c>
      <c r="AR271" s="17"/>
      <c r="AS271" s="17">
        <v>1.44</v>
      </c>
      <c r="AT271" s="17"/>
      <c r="AU271" s="17">
        <v>627</v>
      </c>
      <c r="AV271" s="17"/>
      <c r="AW271" s="17">
        <v>1551</v>
      </c>
      <c r="AX271" s="17"/>
      <c r="AY271" t="s">
        <v>92</v>
      </c>
      <c r="AZ271" t="s">
        <v>92</v>
      </c>
      <c r="BA271" t="s">
        <v>92</v>
      </c>
      <c r="BB271" t="s">
        <v>92</v>
      </c>
      <c r="BC271" t="s">
        <v>92</v>
      </c>
      <c r="BD271" t="s">
        <v>92</v>
      </c>
      <c r="BE271" t="s">
        <v>92</v>
      </c>
      <c r="BF271" t="s">
        <v>92</v>
      </c>
      <c r="BG271" t="s">
        <v>92</v>
      </c>
      <c r="BH271" t="s">
        <v>92</v>
      </c>
      <c r="BI271" t="s">
        <v>92</v>
      </c>
      <c r="BJ271" t="s">
        <v>92</v>
      </c>
      <c r="BK271" t="s">
        <v>92</v>
      </c>
      <c r="BL271" t="s">
        <v>92</v>
      </c>
      <c r="BM271" t="s">
        <v>92</v>
      </c>
      <c r="BN271" t="s">
        <v>92</v>
      </c>
      <c r="BO271" t="s">
        <v>92</v>
      </c>
      <c r="BP271" t="s">
        <v>92</v>
      </c>
      <c r="BQ271" t="s">
        <v>92</v>
      </c>
      <c r="BR271" t="s">
        <v>92</v>
      </c>
      <c r="BS271" t="s">
        <v>92</v>
      </c>
      <c r="BT271" t="s">
        <v>92</v>
      </c>
      <c r="BU271" t="s">
        <v>92</v>
      </c>
      <c r="BV271" t="s">
        <v>92</v>
      </c>
      <c r="BW271" t="s">
        <v>92</v>
      </c>
      <c r="BX271" t="s">
        <v>92</v>
      </c>
      <c r="BY271" t="str">
        <f>IF(COUNTIF('Data Upload-prod'!E:E,F271)=0,"Missing","Exist")</f>
        <v>Exist</v>
      </c>
    </row>
    <row r="272" hidden="1" spans="1:77">
      <c r="A272" s="16">
        <v>44655</v>
      </c>
      <c r="B272" s="16">
        <v>44893</v>
      </c>
      <c r="C272" t="s">
        <v>360</v>
      </c>
      <c r="D272" t="s">
        <v>120</v>
      </c>
      <c r="E272" t="s">
        <v>648</v>
      </c>
      <c r="F272" t="s">
        <v>649</v>
      </c>
      <c r="G272" t="s">
        <v>81</v>
      </c>
      <c r="H272" t="s">
        <v>289</v>
      </c>
      <c r="I272" t="s">
        <v>124</v>
      </c>
      <c r="J272" s="17">
        <v>47.5</v>
      </c>
      <c r="K272" s="17">
        <v>2627.9</v>
      </c>
      <c r="L272" s="17">
        <v>2083.1</v>
      </c>
      <c r="M272" t="s">
        <v>84</v>
      </c>
      <c r="N272" t="s">
        <v>84</v>
      </c>
      <c r="O272" t="s">
        <v>84</v>
      </c>
      <c r="P272" t="s">
        <v>84</v>
      </c>
      <c r="Q272" s="17">
        <v>4291054.24</v>
      </c>
      <c r="R272" s="17">
        <v>10.52</v>
      </c>
      <c r="S272" t="s">
        <v>106</v>
      </c>
      <c r="T272" t="s">
        <v>84</v>
      </c>
      <c r="U272" t="s">
        <v>84</v>
      </c>
      <c r="V272" s="16">
        <v>44670</v>
      </c>
      <c r="W272" s="18">
        <v>44656.5208333333</v>
      </c>
      <c r="X272" s="18">
        <v>44807.25</v>
      </c>
      <c r="Y272" s="17">
        <v>2535.4</v>
      </c>
      <c r="Z272" t="s">
        <v>87</v>
      </c>
      <c r="AA272" s="17">
        <v>2625</v>
      </c>
      <c r="AB272" s="17">
        <v>2032.61</v>
      </c>
      <c r="AC272" t="s">
        <v>84</v>
      </c>
      <c r="AD272" t="s">
        <v>84</v>
      </c>
      <c r="AE272" t="s">
        <v>84</v>
      </c>
      <c r="AF272" t="s">
        <v>84</v>
      </c>
      <c r="AG272" s="17">
        <v>6604189.38</v>
      </c>
      <c r="AH272" s="17">
        <v>12.85</v>
      </c>
      <c r="AI272" s="17">
        <v>5.59</v>
      </c>
      <c r="AJ272" s="17">
        <v>5.59</v>
      </c>
      <c r="AK272" t="s">
        <v>298</v>
      </c>
      <c r="AM272" s="17">
        <v>1.8</v>
      </c>
      <c r="AN272" s="17"/>
      <c r="AO272" s="17">
        <v>600</v>
      </c>
      <c r="AP272" s="17"/>
      <c r="AQ272" s="17">
        <v>1000</v>
      </c>
      <c r="AR272" s="17"/>
      <c r="AS272" s="17">
        <v>1.6</v>
      </c>
      <c r="AT272" s="17"/>
      <c r="AU272" s="17">
        <v>722.14</v>
      </c>
      <c r="AV272" s="17"/>
      <c r="AW272" s="17">
        <v>1272.4</v>
      </c>
      <c r="AX272" s="17"/>
      <c r="AY272" t="s">
        <v>92</v>
      </c>
      <c r="AZ272" t="s">
        <v>92</v>
      </c>
      <c r="BA272" t="s">
        <v>92</v>
      </c>
      <c r="BB272" t="s">
        <v>92</v>
      </c>
      <c r="BC272" t="s">
        <v>92</v>
      </c>
      <c r="BD272" t="s">
        <v>92</v>
      </c>
      <c r="BE272" t="s">
        <v>92</v>
      </c>
      <c r="BF272" t="s">
        <v>92</v>
      </c>
      <c r="BG272" t="s">
        <v>92</v>
      </c>
      <c r="BH272" t="s">
        <v>92</v>
      </c>
      <c r="BI272" t="s">
        <v>92</v>
      </c>
      <c r="BJ272" t="s">
        <v>92</v>
      </c>
      <c r="BK272" t="s">
        <v>92</v>
      </c>
      <c r="BL272" t="s">
        <v>92</v>
      </c>
      <c r="BM272" t="s">
        <v>92</v>
      </c>
      <c r="BN272" t="s">
        <v>92</v>
      </c>
      <c r="BO272" t="s">
        <v>92</v>
      </c>
      <c r="BP272" t="s">
        <v>92</v>
      </c>
      <c r="BQ272" t="s">
        <v>92</v>
      </c>
      <c r="BR272" t="s">
        <v>92</v>
      </c>
      <c r="BS272" t="s">
        <v>92</v>
      </c>
      <c r="BT272" t="s">
        <v>92</v>
      </c>
      <c r="BU272" t="s">
        <v>92</v>
      </c>
      <c r="BV272" t="s">
        <v>92</v>
      </c>
      <c r="BW272" t="s">
        <v>92</v>
      </c>
      <c r="BX272" t="s">
        <v>92</v>
      </c>
      <c r="BY272" t="str">
        <f>IF(COUNTIF('Data Upload-prod'!E:E,F272)=0,"Missing","Exist")</f>
        <v>Exist</v>
      </c>
    </row>
    <row r="273" hidden="1" spans="1:77">
      <c r="A273" s="16">
        <v>44646</v>
      </c>
      <c r="B273" s="16">
        <v>44774</v>
      </c>
      <c r="C273" t="s">
        <v>132</v>
      </c>
      <c r="D273" t="s">
        <v>78</v>
      </c>
      <c r="E273" t="s">
        <v>628</v>
      </c>
      <c r="F273" t="s">
        <v>650</v>
      </c>
      <c r="G273" t="s">
        <v>81</v>
      </c>
      <c r="H273" t="s">
        <v>198</v>
      </c>
      <c r="I273" t="s">
        <v>83</v>
      </c>
      <c r="J273" s="17">
        <v>76.7</v>
      </c>
      <c r="K273" s="17">
        <v>2101.4</v>
      </c>
      <c r="L273" s="17">
        <v>1362.3</v>
      </c>
      <c r="M273" t="s">
        <v>84</v>
      </c>
      <c r="N273" t="s">
        <v>84</v>
      </c>
      <c r="O273" t="s">
        <v>84</v>
      </c>
      <c r="P273" t="s">
        <v>84</v>
      </c>
      <c r="Q273" s="17">
        <v>12917149.59</v>
      </c>
      <c r="R273" s="17">
        <v>33.69</v>
      </c>
      <c r="S273" t="s">
        <v>85</v>
      </c>
      <c r="T273" t="s">
        <v>84</v>
      </c>
      <c r="U273" t="s">
        <v>86</v>
      </c>
      <c r="V273" s="16">
        <v>44670</v>
      </c>
      <c r="W273" s="18">
        <v>44670</v>
      </c>
      <c r="X273" s="18">
        <v>44712</v>
      </c>
      <c r="Y273" s="17">
        <v>1932.22</v>
      </c>
      <c r="Z273" t="s">
        <v>87</v>
      </c>
      <c r="AA273" s="17">
        <v>2046</v>
      </c>
      <c r="AB273" s="17">
        <v>1348.63</v>
      </c>
      <c r="AC273" t="s">
        <v>84</v>
      </c>
      <c r="AD273" t="s">
        <v>84</v>
      </c>
      <c r="AE273" t="s">
        <v>84</v>
      </c>
      <c r="AF273" t="s">
        <v>84</v>
      </c>
      <c r="AG273" s="17">
        <v>12846719.68</v>
      </c>
      <c r="AH273" s="17">
        <v>42</v>
      </c>
      <c r="AI273" s="17">
        <v>11.68</v>
      </c>
      <c r="AJ273" s="17">
        <v>11.68</v>
      </c>
      <c r="AK273" t="s">
        <v>298</v>
      </c>
      <c r="AM273" s="17">
        <v>1.8</v>
      </c>
      <c r="AN273" s="17"/>
      <c r="AO273" s="17">
        <v>600</v>
      </c>
      <c r="AP273" s="17"/>
      <c r="AQ273" s="17">
        <v>2170</v>
      </c>
      <c r="AR273" s="17"/>
      <c r="AS273" s="17">
        <v>2.57</v>
      </c>
      <c r="AT273" s="17"/>
      <c r="AU273" s="17">
        <v>1069</v>
      </c>
      <c r="AV273" s="17"/>
      <c r="AW273" s="17">
        <v>2572</v>
      </c>
      <c r="AX273" s="17"/>
      <c r="AY273" t="s">
        <v>92</v>
      </c>
      <c r="AZ273" t="s">
        <v>92</v>
      </c>
      <c r="BA273" t="s">
        <v>92</v>
      </c>
      <c r="BB273" t="s">
        <v>92</v>
      </c>
      <c r="BC273" t="s">
        <v>92</v>
      </c>
      <c r="BD273" s="17">
        <v>16.76</v>
      </c>
      <c r="BE273" s="17">
        <v>5585216</v>
      </c>
      <c r="BF273" t="s">
        <v>92</v>
      </c>
      <c r="BG273" t="s">
        <v>92</v>
      </c>
      <c r="BH273" t="s">
        <v>93</v>
      </c>
      <c r="BI273" t="s">
        <v>94</v>
      </c>
      <c r="BJ273" t="s">
        <v>215</v>
      </c>
      <c r="BK273" t="s">
        <v>85</v>
      </c>
      <c r="BL273" t="s">
        <v>85</v>
      </c>
      <c r="BM273" t="s">
        <v>96</v>
      </c>
      <c r="BN273" t="s">
        <v>253</v>
      </c>
      <c r="BO273" t="s">
        <v>98</v>
      </c>
      <c r="BP273" t="s">
        <v>99</v>
      </c>
      <c r="BQ273" s="17">
        <v>708.7</v>
      </c>
      <c r="BR273" t="s">
        <v>138</v>
      </c>
      <c r="BS273" t="s">
        <v>156</v>
      </c>
      <c r="BT273" t="s">
        <v>175</v>
      </c>
      <c r="BU273" s="17">
        <v>8.5</v>
      </c>
      <c r="BV273" t="s">
        <v>131</v>
      </c>
      <c r="BW273" t="s">
        <v>85</v>
      </c>
      <c r="BX273" t="s">
        <v>85</v>
      </c>
      <c r="BY273" t="str">
        <f>IF(COUNTIF('Data Upload-prod'!E:E,F273)=0,"Missing","Exist")</f>
        <v>Exist</v>
      </c>
    </row>
    <row r="274" hidden="1" spans="1:77">
      <c r="A274" s="16">
        <v>44638</v>
      </c>
      <c r="B274" s="16">
        <v>44840</v>
      </c>
      <c r="C274" t="s">
        <v>132</v>
      </c>
      <c r="D274" t="s">
        <v>78</v>
      </c>
      <c r="E274" t="s">
        <v>628</v>
      </c>
      <c r="F274" t="s">
        <v>651</v>
      </c>
      <c r="G274" t="s">
        <v>81</v>
      </c>
      <c r="H274" t="s">
        <v>198</v>
      </c>
      <c r="I274" t="s">
        <v>83</v>
      </c>
      <c r="J274" s="17">
        <v>76.7</v>
      </c>
      <c r="K274" s="17">
        <v>2120</v>
      </c>
      <c r="L274" s="17">
        <v>1253.08</v>
      </c>
      <c r="M274" t="s">
        <v>84</v>
      </c>
      <c r="N274" t="s">
        <v>84</v>
      </c>
      <c r="O274" t="s">
        <v>84</v>
      </c>
      <c r="P274" t="s">
        <v>84</v>
      </c>
      <c r="Q274" s="17">
        <v>7173603.36</v>
      </c>
      <c r="R274" s="17">
        <v>19.6</v>
      </c>
      <c r="S274" t="s">
        <v>106</v>
      </c>
      <c r="T274" t="s">
        <v>84</v>
      </c>
      <c r="U274" t="s">
        <v>84</v>
      </c>
      <c r="V274" t="s">
        <v>84</v>
      </c>
      <c r="W274" s="18">
        <v>44661</v>
      </c>
      <c r="X274" s="18">
        <v>44784</v>
      </c>
      <c r="Y274" s="17">
        <v>2052.28</v>
      </c>
      <c r="Z274" t="s">
        <v>87</v>
      </c>
      <c r="AA274" s="17">
        <v>2166.08</v>
      </c>
      <c r="AB274" s="17">
        <v>1252.73</v>
      </c>
      <c r="AC274" t="s">
        <v>84</v>
      </c>
      <c r="AD274" t="s">
        <v>84</v>
      </c>
      <c r="AE274" t="s">
        <v>84</v>
      </c>
      <c r="AF274" t="s">
        <v>84</v>
      </c>
      <c r="AG274" s="17">
        <v>15275854.19</v>
      </c>
      <c r="AH274" s="17">
        <v>55.83</v>
      </c>
      <c r="AI274" s="17">
        <v>36.19</v>
      </c>
      <c r="AJ274" s="17">
        <v>33.94</v>
      </c>
      <c r="AK274" s="13" t="s">
        <v>149</v>
      </c>
      <c r="AL274" s="13"/>
      <c r="AM274" t="s">
        <v>92</v>
      </c>
      <c r="AO274" t="s">
        <v>92</v>
      </c>
      <c r="AQ274" t="s">
        <v>92</v>
      </c>
      <c r="AS274" s="17">
        <v>4.31</v>
      </c>
      <c r="AT274" s="17"/>
      <c r="AU274" s="17">
        <v>1070</v>
      </c>
      <c r="AV274" s="17"/>
      <c r="AW274" s="17">
        <v>1562</v>
      </c>
      <c r="AX274" s="17"/>
      <c r="AY274" t="s">
        <v>92</v>
      </c>
      <c r="AZ274" t="s">
        <v>92</v>
      </c>
      <c r="BA274" t="s">
        <v>92</v>
      </c>
      <c r="BB274" s="13" t="s">
        <v>92</v>
      </c>
      <c r="BC274" s="13" t="s">
        <v>92</v>
      </c>
      <c r="BD274" t="s">
        <v>92</v>
      </c>
      <c r="BE274" t="s">
        <v>92</v>
      </c>
      <c r="BF274" t="s">
        <v>92</v>
      </c>
      <c r="BG274" t="s">
        <v>92</v>
      </c>
      <c r="BH274" t="s">
        <v>92</v>
      </c>
      <c r="BI274" t="s">
        <v>92</v>
      </c>
      <c r="BJ274" t="s">
        <v>92</v>
      </c>
      <c r="BK274" t="s">
        <v>92</v>
      </c>
      <c r="BL274" t="s">
        <v>92</v>
      </c>
      <c r="BM274" t="s">
        <v>92</v>
      </c>
      <c r="BN274" t="s">
        <v>92</v>
      </c>
      <c r="BO274" t="s">
        <v>92</v>
      </c>
      <c r="BP274" t="s">
        <v>92</v>
      </c>
      <c r="BQ274" t="s">
        <v>92</v>
      </c>
      <c r="BR274" t="s">
        <v>92</v>
      </c>
      <c r="BS274" t="s">
        <v>92</v>
      </c>
      <c r="BT274" t="s">
        <v>92</v>
      </c>
      <c r="BU274" t="s">
        <v>92</v>
      </c>
      <c r="BV274" t="s">
        <v>92</v>
      </c>
      <c r="BW274" t="s">
        <v>92</v>
      </c>
      <c r="BX274" t="s">
        <v>92</v>
      </c>
      <c r="BY274" t="str">
        <f>IF(COUNTIF('Data Upload-prod'!E:E,F274)=0,"Missing","Exist")</f>
        <v>Exist</v>
      </c>
    </row>
    <row r="275" hidden="1" spans="1:77">
      <c r="A275" s="16">
        <v>44624</v>
      </c>
      <c r="B275" s="16">
        <v>44852</v>
      </c>
      <c r="C275" t="s">
        <v>132</v>
      </c>
      <c r="D275" t="s">
        <v>78</v>
      </c>
      <c r="E275" t="s">
        <v>422</v>
      </c>
      <c r="F275" t="s">
        <v>652</v>
      </c>
      <c r="G275" t="s">
        <v>81</v>
      </c>
      <c r="H275" t="s">
        <v>514</v>
      </c>
      <c r="I275" t="s">
        <v>124</v>
      </c>
      <c r="J275" s="17">
        <v>72</v>
      </c>
      <c r="K275" s="17">
        <v>3279.29</v>
      </c>
      <c r="L275" s="17">
        <v>2148.29</v>
      </c>
      <c r="M275" t="s">
        <v>84</v>
      </c>
      <c r="N275" t="s">
        <v>84</v>
      </c>
      <c r="O275" t="s">
        <v>84</v>
      </c>
      <c r="P275" t="s">
        <v>84</v>
      </c>
      <c r="Q275" s="17">
        <v>18764917.13</v>
      </c>
      <c r="R275" s="17">
        <v>36.7</v>
      </c>
      <c r="S275" t="s">
        <v>106</v>
      </c>
      <c r="T275" t="s">
        <v>84</v>
      </c>
      <c r="U275" t="s">
        <v>86</v>
      </c>
      <c r="V275" s="16">
        <v>44731</v>
      </c>
      <c r="W275" s="18">
        <v>44639</v>
      </c>
      <c r="X275" s="18">
        <v>44793.1458333333</v>
      </c>
      <c r="Y275" s="17">
        <v>3170.71</v>
      </c>
      <c r="Z275" t="s">
        <v>87</v>
      </c>
      <c r="AA275" s="17">
        <v>3283</v>
      </c>
      <c r="AB275" s="17">
        <v>2294</v>
      </c>
      <c r="AC275" t="s">
        <v>84</v>
      </c>
      <c r="AD275" t="s">
        <v>84</v>
      </c>
      <c r="AE275" t="s">
        <v>84</v>
      </c>
      <c r="AF275" t="s">
        <v>84</v>
      </c>
      <c r="AG275" s="17">
        <v>30844898.72</v>
      </c>
      <c r="AH275" s="17">
        <v>69.33</v>
      </c>
      <c r="AI275" s="17">
        <v>13.09</v>
      </c>
      <c r="AJ275" s="17">
        <v>13.01</v>
      </c>
      <c r="AK275" t="s">
        <v>208</v>
      </c>
      <c r="AM275" s="17">
        <v>2.1</v>
      </c>
      <c r="AN275" s="17"/>
      <c r="AO275" s="17">
        <v>700</v>
      </c>
      <c r="AP275" s="17"/>
      <c r="AQ275" s="17">
        <v>1225</v>
      </c>
      <c r="AR275" s="17"/>
      <c r="AS275" s="17">
        <v>2.72</v>
      </c>
      <c r="AT275" s="17"/>
      <c r="AU275" s="17">
        <v>1123.12</v>
      </c>
      <c r="AV275" s="17"/>
      <c r="AW275" s="17">
        <v>2275.17</v>
      </c>
      <c r="AX275" s="17"/>
      <c r="AY275" t="s">
        <v>92</v>
      </c>
      <c r="AZ275" t="s">
        <v>92</v>
      </c>
      <c r="BA275" t="s">
        <v>92</v>
      </c>
      <c r="BB275" t="s">
        <v>92</v>
      </c>
      <c r="BC275" t="s">
        <v>92</v>
      </c>
      <c r="BD275" s="17">
        <v>4.89</v>
      </c>
      <c r="BE275" s="17">
        <v>3436569.73</v>
      </c>
      <c r="BF275" t="s">
        <v>92</v>
      </c>
      <c r="BG275" t="s">
        <v>92</v>
      </c>
      <c r="BH275" t="s">
        <v>93</v>
      </c>
      <c r="BI275" t="s">
        <v>94</v>
      </c>
      <c r="BJ275" t="s">
        <v>128</v>
      </c>
      <c r="BK275" t="s">
        <v>85</v>
      </c>
      <c r="BL275" t="s">
        <v>85</v>
      </c>
      <c r="BM275" t="s">
        <v>96</v>
      </c>
      <c r="BN275" t="s">
        <v>97</v>
      </c>
      <c r="BO275" t="s">
        <v>98</v>
      </c>
      <c r="BP275" t="s">
        <v>103</v>
      </c>
      <c r="BQ275" s="17">
        <v>3005.396</v>
      </c>
      <c r="BR275" t="s">
        <v>100</v>
      </c>
      <c r="BS275" t="s">
        <v>285</v>
      </c>
      <c r="BT275" t="s">
        <v>550</v>
      </c>
      <c r="BU275" s="17">
        <v>8.6</v>
      </c>
      <c r="BV275" t="s">
        <v>191</v>
      </c>
      <c r="BW275" t="s">
        <v>85</v>
      </c>
      <c r="BX275" t="s">
        <v>85</v>
      </c>
      <c r="BY275" t="str">
        <f>IF(COUNTIF('Data Upload-prod'!E:E,F275)=0,"Missing","Exist")</f>
        <v>Exist</v>
      </c>
    </row>
    <row r="276" hidden="1" spans="1:77">
      <c r="A276" s="16">
        <v>44624</v>
      </c>
      <c r="B276" s="16">
        <v>44897</v>
      </c>
      <c r="C276" t="s">
        <v>132</v>
      </c>
      <c r="D276" t="s">
        <v>78</v>
      </c>
      <c r="E276" t="s">
        <v>422</v>
      </c>
      <c r="F276" t="s">
        <v>653</v>
      </c>
      <c r="G276" t="s">
        <v>81</v>
      </c>
      <c r="H276" t="s">
        <v>514</v>
      </c>
      <c r="I276" t="s">
        <v>124</v>
      </c>
      <c r="J276" s="17">
        <v>72</v>
      </c>
      <c r="K276" s="17">
        <v>3740</v>
      </c>
      <c r="L276" s="17">
        <v>2148</v>
      </c>
      <c r="M276" t="s">
        <v>84</v>
      </c>
      <c r="N276" t="s">
        <v>84</v>
      </c>
      <c r="O276" t="s">
        <v>84</v>
      </c>
      <c r="P276" t="s">
        <v>84</v>
      </c>
      <c r="Q276" s="17">
        <v>19076813.59</v>
      </c>
      <c r="R276" s="17">
        <v>32.15</v>
      </c>
      <c r="S276" t="s">
        <v>106</v>
      </c>
      <c r="T276" t="s">
        <v>84</v>
      </c>
      <c r="U276" t="s">
        <v>86</v>
      </c>
      <c r="V276" s="16">
        <v>44802</v>
      </c>
      <c r="W276" s="18">
        <v>44802.7916666667</v>
      </c>
      <c r="X276" s="18">
        <v>44835.6875</v>
      </c>
      <c r="Y276" s="17">
        <v>3505.71</v>
      </c>
      <c r="Z276" t="s">
        <v>87</v>
      </c>
      <c r="AA276" s="17">
        <v>3618</v>
      </c>
      <c r="AB276" s="17">
        <v>2189.79</v>
      </c>
      <c r="AC276" t="s">
        <v>84</v>
      </c>
      <c r="AD276" t="s">
        <v>84</v>
      </c>
      <c r="AE276" t="s">
        <v>84</v>
      </c>
      <c r="AF276" t="s">
        <v>84</v>
      </c>
      <c r="AG276" s="17">
        <v>24986818.87</v>
      </c>
      <c r="AH276" s="17">
        <v>58.23</v>
      </c>
      <c r="AI276" s="17">
        <v>28.66</v>
      </c>
      <c r="AJ276" s="17">
        <v>28.66</v>
      </c>
      <c r="AK276" t="s">
        <v>165</v>
      </c>
      <c r="AM276" s="17">
        <v>3.2</v>
      </c>
      <c r="AN276" s="17"/>
      <c r="AO276" s="17">
        <v>1300</v>
      </c>
      <c r="AP276" s="17"/>
      <c r="AQ276" s="17">
        <v>1830</v>
      </c>
      <c r="AR276" s="17"/>
      <c r="AS276" s="17">
        <v>2.67</v>
      </c>
      <c r="AT276" s="17"/>
      <c r="AU276" s="17">
        <v>1008</v>
      </c>
      <c r="AV276" s="17"/>
      <c r="AW276" s="17">
        <v>1540</v>
      </c>
      <c r="AX276" s="17"/>
      <c r="AY276" t="s">
        <v>92</v>
      </c>
      <c r="AZ276" t="s">
        <v>92</v>
      </c>
      <c r="BA276" t="s">
        <v>92</v>
      </c>
      <c r="BB276" t="s">
        <v>92</v>
      </c>
      <c r="BC276" t="s">
        <v>92</v>
      </c>
      <c r="BD276" s="17">
        <v>5.57</v>
      </c>
      <c r="BE276" s="17">
        <v>3027017.79</v>
      </c>
      <c r="BF276" t="s">
        <v>92</v>
      </c>
      <c r="BG276" t="s">
        <v>92</v>
      </c>
      <c r="BH276" t="s">
        <v>93</v>
      </c>
      <c r="BI276" t="s">
        <v>94</v>
      </c>
      <c r="BJ276" t="s">
        <v>128</v>
      </c>
      <c r="BK276" t="s">
        <v>85</v>
      </c>
      <c r="BL276" t="s">
        <v>85</v>
      </c>
      <c r="BM276" t="s">
        <v>96</v>
      </c>
      <c r="BN276" t="s">
        <v>97</v>
      </c>
      <c r="BO276" t="s">
        <v>98</v>
      </c>
      <c r="BP276" t="s">
        <v>103</v>
      </c>
      <c r="BQ276" s="17">
        <v>2980.7885</v>
      </c>
      <c r="BR276" t="s">
        <v>100</v>
      </c>
      <c r="BS276" t="s">
        <v>285</v>
      </c>
      <c r="BT276" t="s">
        <v>550</v>
      </c>
      <c r="BU276" s="17">
        <v>8.6</v>
      </c>
      <c r="BV276" t="s">
        <v>191</v>
      </c>
      <c r="BW276" t="s">
        <v>85</v>
      </c>
      <c r="BX276" t="s">
        <v>85</v>
      </c>
      <c r="BY276" t="str">
        <f>IF(COUNTIF('Data Upload-prod'!E:E,F276)=0,"Missing","Exist")</f>
        <v>Exist</v>
      </c>
    </row>
    <row r="277" hidden="1" spans="1:77">
      <c r="A277" s="16">
        <v>44623</v>
      </c>
      <c r="B277" s="16">
        <v>44790</v>
      </c>
      <c r="C277" t="s">
        <v>346</v>
      </c>
      <c r="D277" t="s">
        <v>78</v>
      </c>
      <c r="E277" t="s">
        <v>152</v>
      </c>
      <c r="F277" t="s">
        <v>654</v>
      </c>
      <c r="G277" t="s">
        <v>81</v>
      </c>
      <c r="H277" t="s">
        <v>154</v>
      </c>
      <c r="I277" t="s">
        <v>124</v>
      </c>
      <c r="J277" s="17">
        <v>56</v>
      </c>
      <c r="K277" s="17">
        <v>5643.41</v>
      </c>
      <c r="L277" s="17">
        <v>2014.76</v>
      </c>
      <c r="M277" t="s">
        <v>84</v>
      </c>
      <c r="N277" t="s">
        <v>84</v>
      </c>
      <c r="O277" t="s">
        <v>84</v>
      </c>
      <c r="P277" t="s">
        <v>84</v>
      </c>
      <c r="Q277" s="17">
        <v>18870000</v>
      </c>
      <c r="R277" s="17">
        <v>52.61</v>
      </c>
      <c r="S277" t="s">
        <v>85</v>
      </c>
      <c r="T277" t="s">
        <v>84</v>
      </c>
      <c r="U277" t="s">
        <v>86</v>
      </c>
      <c r="V277" s="16">
        <v>44634</v>
      </c>
      <c r="W277" s="18">
        <v>44633.375</v>
      </c>
      <c r="X277" s="18">
        <v>44729.875</v>
      </c>
      <c r="Y277" s="17">
        <v>4389.35</v>
      </c>
      <c r="Z277" t="s">
        <v>87</v>
      </c>
      <c r="AA277" s="17">
        <v>4490</v>
      </c>
      <c r="AB277" s="17">
        <v>2020.38</v>
      </c>
      <c r="AC277" t="s">
        <v>84</v>
      </c>
      <c r="AD277" t="s">
        <v>84</v>
      </c>
      <c r="AE277" t="s">
        <v>84</v>
      </c>
      <c r="AF277" t="s">
        <v>84</v>
      </c>
      <c r="AG277" s="17">
        <v>17030000</v>
      </c>
      <c r="AH277" s="17">
        <v>56</v>
      </c>
      <c r="AI277" s="17">
        <v>11.72</v>
      </c>
      <c r="AJ277" s="17">
        <v>11.72</v>
      </c>
      <c r="AK277" t="s">
        <v>208</v>
      </c>
      <c r="AM277" s="17">
        <v>2.1</v>
      </c>
      <c r="AN277" s="17"/>
      <c r="AO277" s="17">
        <v>700</v>
      </c>
      <c r="AP277" s="17"/>
      <c r="AQ277" s="17">
        <v>1220</v>
      </c>
      <c r="AR277" s="17"/>
      <c r="AS277" s="17">
        <v>2.19</v>
      </c>
      <c r="AT277" s="17"/>
      <c r="AU277" s="17">
        <v>687.16</v>
      </c>
      <c r="AV277" s="17"/>
      <c r="AW277" s="17">
        <v>937.59</v>
      </c>
      <c r="AX277" s="17"/>
      <c r="AY277" t="s">
        <v>92</v>
      </c>
      <c r="AZ277" t="s">
        <v>92</v>
      </c>
      <c r="BA277" t="s">
        <v>92</v>
      </c>
      <c r="BB277" t="s">
        <v>92</v>
      </c>
      <c r="BC277" t="s">
        <v>92</v>
      </c>
      <c r="BD277" s="17">
        <v>14.34</v>
      </c>
      <c r="BE277" s="17">
        <v>4374763.03</v>
      </c>
      <c r="BF277" t="s">
        <v>92</v>
      </c>
      <c r="BG277" t="s">
        <v>92</v>
      </c>
      <c r="BH277" t="s">
        <v>93</v>
      </c>
      <c r="BI277" t="s">
        <v>94</v>
      </c>
      <c r="BJ277" t="s">
        <v>173</v>
      </c>
      <c r="BK277" t="s">
        <v>85</v>
      </c>
      <c r="BL277" t="s">
        <v>85</v>
      </c>
      <c r="BM277" t="s">
        <v>96</v>
      </c>
      <c r="BN277" t="s">
        <v>97</v>
      </c>
      <c r="BO277" t="s">
        <v>98</v>
      </c>
      <c r="BP277" t="s">
        <v>350</v>
      </c>
      <c r="BQ277" s="17">
        <v>787.4015748</v>
      </c>
      <c r="BR277" t="s">
        <v>100</v>
      </c>
      <c r="BS277" t="s">
        <v>156</v>
      </c>
      <c r="BT277" t="s">
        <v>350</v>
      </c>
      <c r="BU277" s="17">
        <v>8.9</v>
      </c>
      <c r="BV277" t="s">
        <v>110</v>
      </c>
      <c r="BW277" t="s">
        <v>85</v>
      </c>
      <c r="BX277" t="s">
        <v>85</v>
      </c>
      <c r="BY277" t="str">
        <f>IF(COUNTIF('Data Upload-prod'!E:E,F277)=0,"Missing","Exist")</f>
        <v>Exist</v>
      </c>
    </row>
    <row r="278" hidden="1" spans="1:77">
      <c r="A278" s="16">
        <v>44617</v>
      </c>
      <c r="B278" s="16">
        <v>44799</v>
      </c>
      <c r="C278" t="s">
        <v>655</v>
      </c>
      <c r="D278" t="s">
        <v>120</v>
      </c>
      <c r="E278" t="s">
        <v>656</v>
      </c>
      <c r="F278" t="s">
        <v>657</v>
      </c>
      <c r="G278" t="s">
        <v>145</v>
      </c>
      <c r="H278" t="s">
        <v>658</v>
      </c>
      <c r="I278" t="s">
        <v>231</v>
      </c>
      <c r="J278" s="17">
        <v>104</v>
      </c>
      <c r="K278" s="17">
        <v>2294</v>
      </c>
      <c r="L278" s="17">
        <v>2294</v>
      </c>
      <c r="M278" s="17">
        <v>19451295</v>
      </c>
      <c r="N278" s="17">
        <v>24056339</v>
      </c>
      <c r="O278" s="17">
        <v>34.6</v>
      </c>
      <c r="P278" s="17">
        <v>45</v>
      </c>
      <c r="Q278" t="s">
        <v>84</v>
      </c>
      <c r="R278" t="s">
        <v>84</v>
      </c>
      <c r="S278" t="s">
        <v>85</v>
      </c>
      <c r="T278" t="s">
        <v>84</v>
      </c>
      <c r="U278" t="s">
        <v>84</v>
      </c>
      <c r="V278" s="16">
        <v>44708</v>
      </c>
      <c r="W278" s="18">
        <v>44700.5416666667</v>
      </c>
      <c r="X278" s="18">
        <v>44741.5</v>
      </c>
      <c r="Y278" s="17">
        <v>2274</v>
      </c>
      <c r="Z278" t="s">
        <v>87</v>
      </c>
      <c r="AA278" s="17">
        <v>2402</v>
      </c>
      <c r="AB278" s="17">
        <v>2402</v>
      </c>
      <c r="AC278" s="17">
        <v>23946501</v>
      </c>
      <c r="AD278" t="s">
        <v>84</v>
      </c>
      <c r="AE278" s="17">
        <v>40.96</v>
      </c>
      <c r="AF278" t="s">
        <v>84</v>
      </c>
      <c r="AG278" t="s">
        <v>84</v>
      </c>
      <c r="AH278" t="s">
        <v>84</v>
      </c>
      <c r="AI278" s="17">
        <v>2.82</v>
      </c>
      <c r="AJ278" s="17">
        <v>2.82</v>
      </c>
      <c r="AK278" t="s">
        <v>323</v>
      </c>
      <c r="AM278" s="17">
        <v>4.4</v>
      </c>
      <c r="AN278" s="17"/>
      <c r="AO278" s="17">
        <v>1980</v>
      </c>
      <c r="AP278" s="17"/>
      <c r="AQ278" s="17">
        <v>2760</v>
      </c>
      <c r="AR278" s="17"/>
      <c r="AS278" s="17">
        <v>3.16</v>
      </c>
      <c r="AT278" s="17"/>
      <c r="AU278" s="17">
        <v>1897</v>
      </c>
      <c r="AV278" s="17"/>
      <c r="AW278" s="17">
        <v>3212</v>
      </c>
      <c r="AX278" s="17"/>
      <c r="AY278" t="s">
        <v>92</v>
      </c>
      <c r="AZ278" t="s">
        <v>92</v>
      </c>
      <c r="BA278" t="s">
        <v>92</v>
      </c>
      <c r="BB278" t="s">
        <v>92</v>
      </c>
      <c r="BC278" t="s">
        <v>92</v>
      </c>
      <c r="BD278" t="s">
        <v>92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92</v>
      </c>
      <c r="BM278" t="s">
        <v>92</v>
      </c>
      <c r="BN278" t="s">
        <v>92</v>
      </c>
      <c r="BO278" t="s">
        <v>92</v>
      </c>
      <c r="BP278" t="s">
        <v>92</v>
      </c>
      <c r="BQ278" t="s">
        <v>92</v>
      </c>
      <c r="BR278" t="s">
        <v>92</v>
      </c>
      <c r="BS278" t="s">
        <v>92</v>
      </c>
      <c r="BT278" t="s">
        <v>92</v>
      </c>
      <c r="BU278" t="s">
        <v>92</v>
      </c>
      <c r="BV278" t="s">
        <v>92</v>
      </c>
      <c r="BW278" t="s">
        <v>92</v>
      </c>
      <c r="BX278" t="s">
        <v>92</v>
      </c>
      <c r="BY278" t="str">
        <f>IF(COUNTIF('Data Upload-prod'!E:E,F278)=0,"Missing","Exist")</f>
        <v>Exist</v>
      </c>
    </row>
    <row r="279" hidden="1" spans="1:77">
      <c r="A279" s="16">
        <v>44617</v>
      </c>
      <c r="B279" s="16">
        <v>44834</v>
      </c>
      <c r="C279" t="s">
        <v>655</v>
      </c>
      <c r="D279" t="s">
        <v>120</v>
      </c>
      <c r="E279" t="s">
        <v>659</v>
      </c>
      <c r="F279" t="s">
        <v>660</v>
      </c>
      <c r="G279" t="s">
        <v>145</v>
      </c>
      <c r="H279" t="s">
        <v>658</v>
      </c>
      <c r="I279" t="s">
        <v>231</v>
      </c>
      <c r="J279" s="17">
        <v>118.4</v>
      </c>
      <c r="K279" s="17">
        <v>2212</v>
      </c>
      <c r="L279" s="17">
        <v>2212</v>
      </c>
      <c r="M279" s="17">
        <v>16393012</v>
      </c>
      <c r="N279" s="17">
        <v>19938360</v>
      </c>
      <c r="O279" s="17">
        <v>29.8</v>
      </c>
      <c r="P279" s="17">
        <v>37.9</v>
      </c>
      <c r="Q279" t="s">
        <v>84</v>
      </c>
      <c r="R279" t="s">
        <v>84</v>
      </c>
      <c r="S279" t="s">
        <v>85</v>
      </c>
      <c r="T279" t="s">
        <v>84</v>
      </c>
      <c r="U279" t="s">
        <v>84</v>
      </c>
      <c r="V279" s="16">
        <v>44744</v>
      </c>
      <c r="W279" s="18">
        <v>44742.8125</v>
      </c>
      <c r="X279" s="18">
        <v>44784.5833333333</v>
      </c>
      <c r="Y279" s="17">
        <v>1539.6</v>
      </c>
      <c r="Z279" t="s">
        <v>87</v>
      </c>
      <c r="AA279" s="17">
        <v>1681</v>
      </c>
      <c r="AB279" s="17">
        <v>1681</v>
      </c>
      <c r="AC279" t="s">
        <v>84</v>
      </c>
      <c r="AD279" s="17">
        <v>23000263</v>
      </c>
      <c r="AE279" t="s">
        <v>84</v>
      </c>
      <c r="AF279" s="17">
        <v>43.08</v>
      </c>
      <c r="AG279" t="s">
        <v>84</v>
      </c>
      <c r="AH279" t="s">
        <v>84</v>
      </c>
      <c r="AI279" s="17">
        <v>10.04</v>
      </c>
      <c r="AJ279" s="17">
        <v>10.04</v>
      </c>
      <c r="AK279" t="s">
        <v>323</v>
      </c>
      <c r="AM279" s="17">
        <v>4.4</v>
      </c>
      <c r="AN279" s="17"/>
      <c r="AO279" s="17">
        <v>1980</v>
      </c>
      <c r="AP279" s="17"/>
      <c r="AQ279" s="17">
        <v>2760</v>
      </c>
      <c r="AR279" s="17"/>
      <c r="AS279" s="17">
        <v>4.06</v>
      </c>
      <c r="AT279" s="17"/>
      <c r="AU279" s="17">
        <v>1591</v>
      </c>
      <c r="AV279" s="17"/>
      <c r="AW279" s="17">
        <v>4558</v>
      </c>
      <c r="AX279" s="17"/>
      <c r="AY279" t="s">
        <v>92</v>
      </c>
      <c r="AZ279" t="s">
        <v>92</v>
      </c>
      <c r="BA279" t="s">
        <v>92</v>
      </c>
      <c r="BB279" t="s">
        <v>92</v>
      </c>
      <c r="BC279" t="s">
        <v>92</v>
      </c>
      <c r="BD279" t="s">
        <v>92</v>
      </c>
      <c r="BE279" t="s">
        <v>92</v>
      </c>
      <c r="BF279" t="s">
        <v>92</v>
      </c>
      <c r="BG279" t="s">
        <v>92</v>
      </c>
      <c r="BH279" t="s">
        <v>92</v>
      </c>
      <c r="BI279" t="s">
        <v>92</v>
      </c>
      <c r="BJ279" t="s">
        <v>92</v>
      </c>
      <c r="BK279" t="s">
        <v>92</v>
      </c>
      <c r="BL279" t="s">
        <v>92</v>
      </c>
      <c r="BM279" t="s">
        <v>92</v>
      </c>
      <c r="BN279" t="s">
        <v>92</v>
      </c>
      <c r="BO279" t="s">
        <v>92</v>
      </c>
      <c r="BP279" t="s">
        <v>92</v>
      </c>
      <c r="BQ279" t="s">
        <v>92</v>
      </c>
      <c r="BR279" t="s">
        <v>92</v>
      </c>
      <c r="BS279" t="s">
        <v>92</v>
      </c>
      <c r="BT279" t="s">
        <v>92</v>
      </c>
      <c r="BU279" t="s">
        <v>92</v>
      </c>
      <c r="BV279" t="s">
        <v>92</v>
      </c>
      <c r="BW279" t="s">
        <v>92</v>
      </c>
      <c r="BX279" t="s">
        <v>92</v>
      </c>
      <c r="BY279" t="str">
        <f>IF(COUNTIF('Data Upload-prod'!E:E,F279)=0,"Missing","Exist")</f>
        <v>Exist</v>
      </c>
    </row>
    <row r="280" hidden="1" spans="1:77">
      <c r="A280" s="16">
        <v>44615</v>
      </c>
      <c r="B280" s="16">
        <v>44736</v>
      </c>
      <c r="C280" t="s">
        <v>346</v>
      </c>
      <c r="D280" t="s">
        <v>78</v>
      </c>
      <c r="E280" t="s">
        <v>152</v>
      </c>
      <c r="F280" t="s">
        <v>661</v>
      </c>
      <c r="G280" t="s">
        <v>81</v>
      </c>
      <c r="H280" t="s">
        <v>154</v>
      </c>
      <c r="I280" t="s">
        <v>124</v>
      </c>
      <c r="J280" s="17">
        <v>56</v>
      </c>
      <c r="K280" s="17">
        <v>4505</v>
      </c>
      <c r="L280" s="17">
        <v>2026</v>
      </c>
      <c r="M280" t="s">
        <v>84</v>
      </c>
      <c r="N280" t="s">
        <v>84</v>
      </c>
      <c r="O280" t="s">
        <v>84</v>
      </c>
      <c r="P280" t="s">
        <v>84</v>
      </c>
      <c r="Q280" s="17">
        <v>16800000</v>
      </c>
      <c r="R280" s="17">
        <v>43.12</v>
      </c>
      <c r="S280" t="s">
        <v>85</v>
      </c>
      <c r="T280" t="s">
        <v>84</v>
      </c>
      <c r="U280" t="s">
        <v>86</v>
      </c>
      <c r="V280" s="16">
        <v>44635</v>
      </c>
      <c r="W280" s="18">
        <v>44635</v>
      </c>
      <c r="X280" s="18">
        <v>44675.5</v>
      </c>
      <c r="Y280" s="17">
        <v>4389.35</v>
      </c>
      <c r="Z280" t="s">
        <v>87</v>
      </c>
      <c r="AA280" s="17">
        <v>4490</v>
      </c>
      <c r="AB280" s="17">
        <v>2020.38</v>
      </c>
      <c r="AC280" t="s">
        <v>84</v>
      </c>
      <c r="AD280" t="s">
        <v>84</v>
      </c>
      <c r="AE280" t="s">
        <v>84</v>
      </c>
      <c r="AF280" t="s">
        <v>84</v>
      </c>
      <c r="AG280" s="17">
        <v>13570000</v>
      </c>
      <c r="AH280" s="17">
        <v>40.43</v>
      </c>
      <c r="AI280" s="17">
        <v>18.19</v>
      </c>
      <c r="AJ280" s="17">
        <v>18.19</v>
      </c>
      <c r="AK280" t="s">
        <v>208</v>
      </c>
      <c r="AM280" s="17">
        <v>2.1</v>
      </c>
      <c r="AN280" s="17"/>
      <c r="AO280" s="17">
        <v>700</v>
      </c>
      <c r="AP280" s="17"/>
      <c r="AQ280" s="17">
        <v>1220</v>
      </c>
      <c r="AR280" s="17"/>
      <c r="AS280" s="17">
        <v>1.44</v>
      </c>
      <c r="AT280" s="17"/>
      <c r="AU280" s="17">
        <v>406.81</v>
      </c>
      <c r="AV280" s="17"/>
      <c r="AW280" s="17">
        <v>972.16</v>
      </c>
      <c r="AX280" s="17"/>
      <c r="AY280" t="s">
        <v>92</v>
      </c>
      <c r="AZ280" t="s">
        <v>92</v>
      </c>
      <c r="BA280" t="s">
        <v>92</v>
      </c>
      <c r="BB280" t="s">
        <v>92</v>
      </c>
      <c r="BC280" t="s">
        <v>92</v>
      </c>
      <c r="BD280" s="17">
        <v>10.7</v>
      </c>
      <c r="BE280" s="17">
        <v>4669717.85</v>
      </c>
      <c r="BF280" t="s">
        <v>92</v>
      </c>
      <c r="BG280" t="s">
        <v>92</v>
      </c>
      <c r="BH280" t="s">
        <v>93</v>
      </c>
      <c r="BI280" t="s">
        <v>94</v>
      </c>
      <c r="BJ280" t="s">
        <v>173</v>
      </c>
      <c r="BK280" t="s">
        <v>85</v>
      </c>
      <c r="BL280" t="s">
        <v>85</v>
      </c>
      <c r="BM280" t="s">
        <v>96</v>
      </c>
      <c r="BN280" t="s">
        <v>97</v>
      </c>
      <c r="BO280" t="s">
        <v>98</v>
      </c>
      <c r="BP280" t="s">
        <v>99</v>
      </c>
      <c r="BQ280" s="17">
        <v>183.7270341</v>
      </c>
      <c r="BR280" t="s">
        <v>138</v>
      </c>
      <c r="BS280" t="s">
        <v>156</v>
      </c>
      <c r="BT280" t="s">
        <v>99</v>
      </c>
      <c r="BU280" s="17">
        <v>8.9</v>
      </c>
      <c r="BV280" t="s">
        <v>110</v>
      </c>
      <c r="BW280" t="s">
        <v>85</v>
      </c>
      <c r="BX280" t="s">
        <v>85</v>
      </c>
      <c r="BY280" t="str">
        <f>IF(COUNTIF('Data Upload-prod'!E:E,F280)=0,"Missing","Exist")</f>
        <v>Exist</v>
      </c>
    </row>
    <row r="281" hidden="1" spans="1:77">
      <c r="A281" s="16">
        <v>44603</v>
      </c>
      <c r="B281" t="s">
        <v>84</v>
      </c>
      <c r="C281" t="s">
        <v>141</v>
      </c>
      <c r="D281" t="s">
        <v>120</v>
      </c>
      <c r="E281" t="s">
        <v>662</v>
      </c>
      <c r="F281" t="s">
        <v>663</v>
      </c>
      <c r="G281" t="s">
        <v>145</v>
      </c>
      <c r="H281" t="s">
        <v>202</v>
      </c>
      <c r="I281" t="s">
        <v>124</v>
      </c>
      <c r="J281" s="17">
        <v>84.49</v>
      </c>
      <c r="K281" s="17">
        <v>3007.92</v>
      </c>
      <c r="L281" s="17">
        <v>2976.53</v>
      </c>
      <c r="M281" s="17">
        <v>13440000</v>
      </c>
      <c r="N281" s="17">
        <v>15880000</v>
      </c>
      <c r="O281" s="17">
        <v>33</v>
      </c>
      <c r="P281" s="17">
        <v>41.6</v>
      </c>
      <c r="Q281" t="s">
        <v>84</v>
      </c>
      <c r="R281" t="s">
        <v>84</v>
      </c>
      <c r="S281" t="s">
        <v>85</v>
      </c>
      <c r="T281" t="s">
        <v>84</v>
      </c>
      <c r="U281" t="s">
        <v>84</v>
      </c>
      <c r="V281" s="16">
        <v>44676</v>
      </c>
      <c r="W281" s="18">
        <v>44669</v>
      </c>
      <c r="X281" s="18">
        <v>44744</v>
      </c>
      <c r="Y281" s="17">
        <v>2497.65</v>
      </c>
      <c r="Z281" t="s">
        <v>87</v>
      </c>
      <c r="AA281" s="17">
        <v>2613.53</v>
      </c>
      <c r="AB281" s="17">
        <v>2612.92</v>
      </c>
      <c r="AC281" t="s">
        <v>84</v>
      </c>
      <c r="AD281" s="17">
        <v>20958000</v>
      </c>
      <c r="AE281" t="s">
        <v>84</v>
      </c>
      <c r="AF281" s="17">
        <v>74.77</v>
      </c>
      <c r="AG281" t="s">
        <v>84</v>
      </c>
      <c r="AH281" t="s">
        <v>84</v>
      </c>
      <c r="AI281" s="17">
        <v>32</v>
      </c>
      <c r="AJ281" s="17">
        <v>31</v>
      </c>
      <c r="AK281" t="s">
        <v>323</v>
      </c>
      <c r="AM281" s="17">
        <v>4.4</v>
      </c>
      <c r="AN281" s="17"/>
      <c r="AO281" s="17">
        <v>1980</v>
      </c>
      <c r="AP281" s="17"/>
      <c r="AQ281" s="17">
        <v>2760</v>
      </c>
      <c r="AR281" s="17"/>
      <c r="AS281" s="17">
        <v>6.31</v>
      </c>
      <c r="AT281" s="17"/>
      <c r="AU281" s="17">
        <v>1786</v>
      </c>
      <c r="AV281" s="17"/>
      <c r="AW281" s="17">
        <v>2563</v>
      </c>
      <c r="AX281" s="17"/>
      <c r="AY281" t="s">
        <v>92</v>
      </c>
      <c r="AZ281" t="s">
        <v>92</v>
      </c>
      <c r="BA281" t="s">
        <v>92</v>
      </c>
      <c r="BB281" t="s">
        <v>92</v>
      </c>
      <c r="BC281" t="s">
        <v>92</v>
      </c>
      <c r="BD281" t="s">
        <v>92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92</v>
      </c>
      <c r="BM281" t="s">
        <v>92</v>
      </c>
      <c r="BN281" t="s">
        <v>92</v>
      </c>
      <c r="BO281" t="s">
        <v>92</v>
      </c>
      <c r="BP281" t="s">
        <v>92</v>
      </c>
      <c r="BQ281" t="s">
        <v>92</v>
      </c>
      <c r="BR281" t="s">
        <v>92</v>
      </c>
      <c r="BS281" t="s">
        <v>92</v>
      </c>
      <c r="BT281" t="s">
        <v>92</v>
      </c>
      <c r="BU281" t="s">
        <v>92</v>
      </c>
      <c r="BV281" t="s">
        <v>92</v>
      </c>
      <c r="BW281" t="s">
        <v>92</v>
      </c>
      <c r="BX281" t="s">
        <v>92</v>
      </c>
      <c r="BY281" t="str">
        <f>IF(COUNTIF('Data Upload-prod'!E:E,F281)=0,"Missing","Exist")</f>
        <v>Exist</v>
      </c>
    </row>
    <row r="282" hidden="1" spans="1:77">
      <c r="A282" s="16">
        <v>44588</v>
      </c>
      <c r="B282" s="16">
        <v>44781</v>
      </c>
      <c r="C282" t="s">
        <v>633</v>
      </c>
      <c r="D282" t="s">
        <v>120</v>
      </c>
      <c r="E282" t="s">
        <v>664</v>
      </c>
      <c r="F282" t="s">
        <v>665</v>
      </c>
      <c r="G282" t="s">
        <v>145</v>
      </c>
      <c r="H282" t="s">
        <v>181</v>
      </c>
      <c r="I282" t="s">
        <v>124</v>
      </c>
      <c r="J282" s="17">
        <v>64.3</v>
      </c>
      <c r="K282" s="17">
        <v>2830</v>
      </c>
      <c r="L282" s="17">
        <v>2282</v>
      </c>
      <c r="M282" s="17">
        <v>21500000</v>
      </c>
      <c r="N282" s="17">
        <v>21500000</v>
      </c>
      <c r="O282" s="17">
        <v>42.5</v>
      </c>
      <c r="P282" s="17">
        <v>42.5</v>
      </c>
      <c r="Q282" t="s">
        <v>84</v>
      </c>
      <c r="R282" t="s">
        <v>84</v>
      </c>
      <c r="S282" t="s">
        <v>85</v>
      </c>
      <c r="T282" t="s">
        <v>84</v>
      </c>
      <c r="U282" t="s">
        <v>84</v>
      </c>
      <c r="V282" s="16">
        <v>44702</v>
      </c>
      <c r="W282" s="18">
        <v>44691.1770833333</v>
      </c>
      <c r="X282" s="18">
        <v>44733.25</v>
      </c>
      <c r="Y282" s="17">
        <v>2737.88</v>
      </c>
      <c r="Z282" t="s">
        <v>87</v>
      </c>
      <c r="AA282" s="17">
        <v>2837</v>
      </c>
      <c r="AB282" s="17">
        <v>2285.15</v>
      </c>
      <c r="AC282" t="s">
        <v>84</v>
      </c>
      <c r="AD282" s="17">
        <v>20000000</v>
      </c>
      <c r="AE282" t="s">
        <v>84</v>
      </c>
      <c r="AF282" s="17">
        <v>42.1</v>
      </c>
      <c r="AG282" t="s">
        <v>84</v>
      </c>
      <c r="AH282" t="s">
        <v>84</v>
      </c>
      <c r="AI282" s="17">
        <v>6.61</v>
      </c>
      <c r="AJ282" s="17">
        <v>6.61</v>
      </c>
      <c r="AK282" t="s">
        <v>300</v>
      </c>
      <c r="AM282" s="17">
        <v>2.4</v>
      </c>
      <c r="AN282" s="17"/>
      <c r="AO282" s="17">
        <v>1375</v>
      </c>
      <c r="AP282" s="17"/>
      <c r="AQ282" s="17">
        <v>3025</v>
      </c>
      <c r="AR282" s="17"/>
      <c r="AS282" s="17">
        <v>2.25</v>
      </c>
      <c r="AT282" s="17"/>
      <c r="AU282" s="17">
        <v>1544</v>
      </c>
      <c r="AV282" s="17"/>
      <c r="AW282" s="17">
        <v>862</v>
      </c>
      <c r="AX282" s="17"/>
      <c r="AY282" t="s">
        <v>92</v>
      </c>
      <c r="AZ282" t="s">
        <v>92</v>
      </c>
      <c r="BA282" t="s">
        <v>92</v>
      </c>
      <c r="BB282" t="s">
        <v>92</v>
      </c>
      <c r="BC282" t="s">
        <v>92</v>
      </c>
      <c r="BD282" t="s">
        <v>92</v>
      </c>
      <c r="BE282" t="s">
        <v>92</v>
      </c>
      <c r="BF282" t="s">
        <v>92</v>
      </c>
      <c r="BG282" t="s">
        <v>92</v>
      </c>
      <c r="BH282" t="s">
        <v>92</v>
      </c>
      <c r="BI282" t="s">
        <v>92</v>
      </c>
      <c r="BJ282" t="s">
        <v>92</v>
      </c>
      <c r="BK282" t="s">
        <v>92</v>
      </c>
      <c r="BL282" t="s">
        <v>92</v>
      </c>
      <c r="BM282" t="s">
        <v>92</v>
      </c>
      <c r="BN282" t="s">
        <v>92</v>
      </c>
      <c r="BO282" t="s">
        <v>92</v>
      </c>
      <c r="BP282" t="s">
        <v>92</v>
      </c>
      <c r="BQ282" t="s">
        <v>92</v>
      </c>
      <c r="BR282" t="s">
        <v>92</v>
      </c>
      <c r="BS282" t="s">
        <v>92</v>
      </c>
      <c r="BT282" t="s">
        <v>92</v>
      </c>
      <c r="BU282" t="s">
        <v>92</v>
      </c>
      <c r="BV282" t="s">
        <v>92</v>
      </c>
      <c r="BW282" t="s">
        <v>92</v>
      </c>
      <c r="BX282" t="s">
        <v>92</v>
      </c>
      <c r="BY282" t="str">
        <f>IF(COUNTIF('Data Upload-prod'!E:E,F282)=0,"Missing","Exist")</f>
        <v>Exist</v>
      </c>
    </row>
    <row r="283" hidden="1" spans="1:77">
      <c r="A283" s="16">
        <v>44579</v>
      </c>
      <c r="B283" t="s">
        <v>84</v>
      </c>
      <c r="C283" t="s">
        <v>141</v>
      </c>
      <c r="D283" t="s">
        <v>142</v>
      </c>
      <c r="E283" t="s">
        <v>666</v>
      </c>
      <c r="F283" t="s">
        <v>667</v>
      </c>
      <c r="G283" t="s">
        <v>81</v>
      </c>
      <c r="H283" t="s">
        <v>668</v>
      </c>
      <c r="I283" t="s">
        <v>147</v>
      </c>
      <c r="J283" s="17">
        <v>1200.76</v>
      </c>
      <c r="K283" s="17">
        <v>4155.44</v>
      </c>
      <c r="L283" s="17">
        <v>2682.72</v>
      </c>
      <c r="M283" t="s">
        <v>84</v>
      </c>
      <c r="N283" t="s">
        <v>84</v>
      </c>
      <c r="O283" t="s">
        <v>84</v>
      </c>
      <c r="P283" t="s">
        <v>84</v>
      </c>
      <c r="Q283" s="17">
        <v>35300000</v>
      </c>
      <c r="R283" s="17">
        <v>38.8</v>
      </c>
      <c r="S283" t="s">
        <v>85</v>
      </c>
      <c r="T283" t="s">
        <v>84</v>
      </c>
      <c r="U283" t="s">
        <v>84</v>
      </c>
      <c r="V283" s="16">
        <v>44623</v>
      </c>
      <c r="W283" s="18">
        <v>44622</v>
      </c>
      <c r="X283" s="18">
        <v>44830</v>
      </c>
      <c r="Y283" s="17">
        <v>2866.51</v>
      </c>
      <c r="Z283" t="s">
        <v>148</v>
      </c>
      <c r="AA283" s="17">
        <v>4093.26</v>
      </c>
      <c r="AB283" s="17">
        <v>2672.05</v>
      </c>
      <c r="AC283" t="s">
        <v>84</v>
      </c>
      <c r="AD283" t="s">
        <v>84</v>
      </c>
      <c r="AE283" t="s">
        <v>84</v>
      </c>
      <c r="AF283" t="s">
        <v>84</v>
      </c>
      <c r="AG283" s="17">
        <v>39289267</v>
      </c>
      <c r="AH283" s="17">
        <v>53.17</v>
      </c>
      <c r="AI283" s="17">
        <v>31.05</v>
      </c>
      <c r="AJ283" s="17">
        <v>31.05</v>
      </c>
      <c r="AK283" t="s">
        <v>669</v>
      </c>
      <c r="AM283" s="17">
        <v>3.6</v>
      </c>
      <c r="AN283" s="17"/>
      <c r="AO283" s="17">
        <v>2590</v>
      </c>
      <c r="AP283" s="17"/>
      <c r="AQ283" s="17">
        <v>4150</v>
      </c>
      <c r="AR283" s="17"/>
      <c r="AS283" s="13" t="s">
        <v>150</v>
      </c>
      <c r="AT283" s="13"/>
      <c r="AU283" s="13" t="s">
        <v>150</v>
      </c>
      <c r="AW283" s="13" t="s">
        <v>150</v>
      </c>
      <c r="AY283" t="s">
        <v>92</v>
      </c>
      <c r="AZ283" t="s">
        <v>92</v>
      </c>
      <c r="BA283" t="s">
        <v>92</v>
      </c>
      <c r="BB283" t="s">
        <v>92</v>
      </c>
      <c r="BC283" t="s">
        <v>92</v>
      </c>
      <c r="BD283" t="s">
        <v>92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92</v>
      </c>
      <c r="BM283" t="s">
        <v>92</v>
      </c>
      <c r="BN283" t="s">
        <v>92</v>
      </c>
      <c r="BO283" t="s">
        <v>92</v>
      </c>
      <c r="BP283" t="s">
        <v>92</v>
      </c>
      <c r="BQ283" t="s">
        <v>92</v>
      </c>
      <c r="BR283" t="s">
        <v>92</v>
      </c>
      <c r="BS283" t="s">
        <v>92</v>
      </c>
      <c r="BT283" t="s">
        <v>92</v>
      </c>
      <c r="BU283" t="s">
        <v>92</v>
      </c>
      <c r="BV283" t="s">
        <v>92</v>
      </c>
      <c r="BW283" t="s">
        <v>92</v>
      </c>
      <c r="BX283" t="s">
        <v>92</v>
      </c>
      <c r="BY283" t="str">
        <f>IF(COUNTIF('Data Upload-prod'!E:E,F283)=0,"Missing","Exist")</f>
        <v>Exist</v>
      </c>
    </row>
    <row r="284" hidden="1" spans="1:77">
      <c r="A284" s="16">
        <v>44579</v>
      </c>
      <c r="B284" t="s">
        <v>84</v>
      </c>
      <c r="C284" t="s">
        <v>141</v>
      </c>
      <c r="D284" t="s">
        <v>142</v>
      </c>
      <c r="E284" t="s">
        <v>666</v>
      </c>
      <c r="F284" t="s">
        <v>670</v>
      </c>
      <c r="G284" t="s">
        <v>81</v>
      </c>
      <c r="H284" t="s">
        <v>668</v>
      </c>
      <c r="I284" t="s">
        <v>147</v>
      </c>
      <c r="J284" s="17">
        <v>1201.07</v>
      </c>
      <c r="K284" s="17">
        <v>4228.28</v>
      </c>
      <c r="L284" s="17">
        <v>2431.18</v>
      </c>
      <c r="M284" t="s">
        <v>84</v>
      </c>
      <c r="N284" t="s">
        <v>84</v>
      </c>
      <c r="O284" t="s">
        <v>84</v>
      </c>
      <c r="P284" t="s">
        <v>84</v>
      </c>
      <c r="Q284" s="17">
        <v>36100000</v>
      </c>
      <c r="R284" s="17">
        <v>42.7</v>
      </c>
      <c r="S284" t="s">
        <v>85</v>
      </c>
      <c r="T284" t="s">
        <v>84</v>
      </c>
      <c r="U284" t="s">
        <v>84</v>
      </c>
      <c r="V284" s="16">
        <v>44628</v>
      </c>
      <c r="W284" s="18">
        <v>44628</v>
      </c>
      <c r="X284" s="18">
        <v>44803</v>
      </c>
      <c r="Y284" s="17">
        <v>3179.82</v>
      </c>
      <c r="Z284" t="s">
        <v>148</v>
      </c>
      <c r="AA284" s="17">
        <v>4406.89</v>
      </c>
      <c r="AB284" s="17">
        <v>2447.73</v>
      </c>
      <c r="AC284" t="s">
        <v>84</v>
      </c>
      <c r="AD284" t="s">
        <v>84</v>
      </c>
      <c r="AE284" t="s">
        <v>84</v>
      </c>
      <c r="AF284" t="s">
        <v>84</v>
      </c>
      <c r="AG284" s="17">
        <v>36550000</v>
      </c>
      <c r="AH284" s="17">
        <v>51.86</v>
      </c>
      <c r="AI284" s="17">
        <v>14.7</v>
      </c>
      <c r="AJ284" s="17">
        <v>14.7</v>
      </c>
      <c r="AK284" t="s">
        <v>669</v>
      </c>
      <c r="AM284" s="17">
        <v>3.6</v>
      </c>
      <c r="AN284" s="17"/>
      <c r="AO284" s="17">
        <v>2590</v>
      </c>
      <c r="AP284" s="17"/>
      <c r="AQ284" s="17">
        <v>4150</v>
      </c>
      <c r="AR284" s="17"/>
      <c r="AS284" s="13" t="s">
        <v>150</v>
      </c>
      <c r="AT284" s="13"/>
      <c r="AU284" s="13" t="s">
        <v>150</v>
      </c>
      <c r="AW284" s="13" t="s">
        <v>150</v>
      </c>
      <c r="AY284" t="s">
        <v>92</v>
      </c>
      <c r="AZ284" t="s">
        <v>92</v>
      </c>
      <c r="BA284" t="s">
        <v>92</v>
      </c>
      <c r="BB284" t="s">
        <v>92</v>
      </c>
      <c r="BC284" t="s">
        <v>92</v>
      </c>
      <c r="BD284" t="s">
        <v>92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92</v>
      </c>
      <c r="BM284" t="s">
        <v>92</v>
      </c>
      <c r="BN284" t="s">
        <v>92</v>
      </c>
      <c r="BO284" t="s">
        <v>92</v>
      </c>
      <c r="BP284" t="s">
        <v>92</v>
      </c>
      <c r="BQ284" t="s">
        <v>92</v>
      </c>
      <c r="BR284" t="s">
        <v>92</v>
      </c>
      <c r="BS284" t="s">
        <v>92</v>
      </c>
      <c r="BT284" t="s">
        <v>92</v>
      </c>
      <c r="BU284" t="s">
        <v>92</v>
      </c>
      <c r="BV284" t="s">
        <v>92</v>
      </c>
      <c r="BW284" t="s">
        <v>92</v>
      </c>
      <c r="BX284" t="s">
        <v>92</v>
      </c>
      <c r="BY284" t="str">
        <f>IF(COUNTIF('Data Upload-prod'!E:E,F284)=0,"Missing","Exist")</f>
        <v>Exist</v>
      </c>
    </row>
    <row r="285" hidden="1" spans="1:77">
      <c r="A285" s="16">
        <v>44579</v>
      </c>
      <c r="B285" t="s">
        <v>84</v>
      </c>
      <c r="C285" t="s">
        <v>141</v>
      </c>
      <c r="D285" t="s">
        <v>142</v>
      </c>
      <c r="E285" t="s">
        <v>666</v>
      </c>
      <c r="F285" t="s">
        <v>671</v>
      </c>
      <c r="G285" t="s">
        <v>81</v>
      </c>
      <c r="H285" t="s">
        <v>668</v>
      </c>
      <c r="I285" t="s">
        <v>147</v>
      </c>
      <c r="J285" s="17">
        <v>1087.38</v>
      </c>
      <c r="K285" s="17">
        <v>2932.67</v>
      </c>
      <c r="L285" s="17">
        <v>2488.17</v>
      </c>
      <c r="M285" t="s">
        <v>84</v>
      </c>
      <c r="N285" t="s">
        <v>84</v>
      </c>
      <c r="O285" t="s">
        <v>84</v>
      </c>
      <c r="P285" t="s">
        <v>84</v>
      </c>
      <c r="Q285" s="17">
        <v>42100000</v>
      </c>
      <c r="R285" s="17">
        <v>52.5</v>
      </c>
      <c r="S285" t="s">
        <v>85</v>
      </c>
      <c r="T285" t="s">
        <v>84</v>
      </c>
      <c r="U285" t="s">
        <v>84</v>
      </c>
      <c r="V285" s="16">
        <v>44636</v>
      </c>
      <c r="W285" s="18">
        <v>44633.5208333333</v>
      </c>
      <c r="X285" s="18">
        <v>44764.90625</v>
      </c>
      <c r="Y285" s="17">
        <v>1840.6</v>
      </c>
      <c r="Z285" t="s">
        <v>148</v>
      </c>
      <c r="AA285" s="17">
        <v>2953.98</v>
      </c>
      <c r="AB285" s="17">
        <v>2516.61</v>
      </c>
      <c r="AC285" t="s">
        <v>84</v>
      </c>
      <c r="AD285" t="s">
        <v>84</v>
      </c>
      <c r="AE285" t="s">
        <v>84</v>
      </c>
      <c r="AF285" t="s">
        <v>84</v>
      </c>
      <c r="AG285" s="17">
        <v>40446664.64</v>
      </c>
      <c r="AH285" s="17">
        <v>56.59</v>
      </c>
      <c r="AI285" s="17">
        <v>33.8</v>
      </c>
      <c r="AJ285" s="17">
        <v>33.8</v>
      </c>
      <c r="AK285" t="s">
        <v>669</v>
      </c>
      <c r="AM285" s="17">
        <v>3.6</v>
      </c>
      <c r="AN285" s="17"/>
      <c r="AO285" s="17">
        <v>2590</v>
      </c>
      <c r="AP285" s="17"/>
      <c r="AQ285" s="17">
        <v>4150</v>
      </c>
      <c r="AR285" s="17"/>
      <c r="AS285" s="13" t="s">
        <v>150</v>
      </c>
      <c r="AT285" s="13"/>
      <c r="AU285" s="13" t="s">
        <v>150</v>
      </c>
      <c r="AW285" s="13" t="s">
        <v>150</v>
      </c>
      <c r="AY285" t="s">
        <v>92</v>
      </c>
      <c r="AZ285" t="s">
        <v>92</v>
      </c>
      <c r="BA285" t="s">
        <v>92</v>
      </c>
      <c r="BB285" t="s">
        <v>92</v>
      </c>
      <c r="BC285" t="s">
        <v>92</v>
      </c>
      <c r="BD285" t="s">
        <v>92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92</v>
      </c>
      <c r="BM285" t="s">
        <v>92</v>
      </c>
      <c r="BN285" t="s">
        <v>92</v>
      </c>
      <c r="BO285" t="s">
        <v>92</v>
      </c>
      <c r="BP285" t="s">
        <v>92</v>
      </c>
      <c r="BQ285" t="s">
        <v>92</v>
      </c>
      <c r="BR285" t="s">
        <v>92</v>
      </c>
      <c r="BS285" t="s">
        <v>92</v>
      </c>
      <c r="BT285" t="s">
        <v>92</v>
      </c>
      <c r="BU285" t="s">
        <v>92</v>
      </c>
      <c r="BV285" t="s">
        <v>92</v>
      </c>
      <c r="BW285" t="s">
        <v>92</v>
      </c>
      <c r="BX285" t="s">
        <v>92</v>
      </c>
      <c r="BY285" t="str">
        <f>IF(COUNTIF('Data Upload-prod'!E:E,F285)=0,"Missing","Exist")</f>
        <v>Exist</v>
      </c>
    </row>
    <row r="286" hidden="1" spans="1:77">
      <c r="A286" s="16">
        <v>44577</v>
      </c>
      <c r="B286" s="16">
        <v>44959</v>
      </c>
      <c r="C286" t="s">
        <v>360</v>
      </c>
      <c r="D286" t="s">
        <v>120</v>
      </c>
      <c r="E286" t="s">
        <v>672</v>
      </c>
      <c r="F286" t="s">
        <v>673</v>
      </c>
      <c r="G286" t="s">
        <v>145</v>
      </c>
      <c r="H286" t="s">
        <v>168</v>
      </c>
      <c r="I286" t="s">
        <v>124</v>
      </c>
      <c r="J286" s="17">
        <v>92.3</v>
      </c>
      <c r="K286" s="17">
        <v>3409</v>
      </c>
      <c r="L286" s="17">
        <v>3232</v>
      </c>
      <c r="M286" s="17">
        <v>13190000</v>
      </c>
      <c r="N286" s="17">
        <v>24070000</v>
      </c>
      <c r="O286" s="17">
        <v>34.3</v>
      </c>
      <c r="P286" s="17">
        <v>66.94</v>
      </c>
      <c r="Q286" t="s">
        <v>84</v>
      </c>
      <c r="R286" t="s">
        <v>84</v>
      </c>
      <c r="S286" t="s">
        <v>85</v>
      </c>
      <c r="T286" t="s">
        <v>84</v>
      </c>
      <c r="U286" t="s">
        <v>84</v>
      </c>
      <c r="V286" s="16">
        <v>44764</v>
      </c>
      <c r="W286" s="18">
        <v>44764.6666666667</v>
      </c>
      <c r="X286" s="18">
        <v>44831.8125</v>
      </c>
      <c r="Y286" s="17">
        <v>3223.7</v>
      </c>
      <c r="Z286" t="s">
        <v>87</v>
      </c>
      <c r="AA286" s="17">
        <v>3348</v>
      </c>
      <c r="AB286" s="17">
        <v>3182.19</v>
      </c>
      <c r="AC286" t="s">
        <v>84</v>
      </c>
      <c r="AD286" s="17">
        <v>29660238</v>
      </c>
      <c r="AE286" t="s">
        <v>84</v>
      </c>
      <c r="AF286" s="17">
        <v>87.52</v>
      </c>
      <c r="AG286" t="s">
        <v>84</v>
      </c>
      <c r="AH286" t="s">
        <v>84</v>
      </c>
      <c r="AI286" s="17">
        <v>14.17</v>
      </c>
      <c r="AJ286" s="17">
        <v>8.58</v>
      </c>
      <c r="AK286" t="s">
        <v>295</v>
      </c>
      <c r="AM286" s="17">
        <v>2.7</v>
      </c>
      <c r="AN286" s="17"/>
      <c r="AO286" s="17">
        <v>1490</v>
      </c>
      <c r="AP286" s="17"/>
      <c r="AQ286" s="17">
        <v>2760</v>
      </c>
      <c r="AR286" s="17"/>
      <c r="AS286" s="17">
        <v>2.92</v>
      </c>
      <c r="AT286" s="17"/>
      <c r="AU286" s="17">
        <v>978</v>
      </c>
      <c r="AV286" s="17"/>
      <c r="AW286" s="17">
        <v>1960</v>
      </c>
      <c r="AX286" s="17"/>
      <c r="AY286" t="s">
        <v>92</v>
      </c>
      <c r="AZ286" t="s">
        <v>92</v>
      </c>
      <c r="BA286" t="s">
        <v>92</v>
      </c>
      <c r="BB286" t="s">
        <v>92</v>
      </c>
      <c r="BC286" t="s">
        <v>92</v>
      </c>
      <c r="BD286" t="s">
        <v>92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92</v>
      </c>
      <c r="BM286" t="s">
        <v>92</v>
      </c>
      <c r="BN286" t="s">
        <v>92</v>
      </c>
      <c r="BO286" t="s">
        <v>92</v>
      </c>
      <c r="BP286" t="s">
        <v>92</v>
      </c>
      <c r="BQ286" t="s">
        <v>92</v>
      </c>
      <c r="BR286" t="s">
        <v>92</v>
      </c>
      <c r="BS286" t="s">
        <v>92</v>
      </c>
      <c r="BT286" t="s">
        <v>92</v>
      </c>
      <c r="BU286" t="s">
        <v>92</v>
      </c>
      <c r="BV286" t="s">
        <v>92</v>
      </c>
      <c r="BW286" t="s">
        <v>92</v>
      </c>
      <c r="BX286" t="s">
        <v>92</v>
      </c>
      <c r="BY286" t="str">
        <f>IF(COUNTIF('Data Upload-prod'!E:E,F286)=0,"Missing","Exist")</f>
        <v>Exist</v>
      </c>
    </row>
    <row r="287" hidden="1" spans="1:77">
      <c r="A287" s="16">
        <v>44547</v>
      </c>
      <c r="B287" s="16">
        <v>44700</v>
      </c>
      <c r="C287" t="s">
        <v>187</v>
      </c>
      <c r="D287" t="s">
        <v>78</v>
      </c>
      <c r="E287" t="s">
        <v>188</v>
      </c>
      <c r="F287" t="s">
        <v>674</v>
      </c>
      <c r="G287" t="s">
        <v>81</v>
      </c>
      <c r="H287" t="s">
        <v>181</v>
      </c>
      <c r="I287" t="s">
        <v>124</v>
      </c>
      <c r="J287" s="17">
        <v>64.8</v>
      </c>
      <c r="K287" s="17">
        <v>2000</v>
      </c>
      <c r="L287" s="17">
        <v>1509.5</v>
      </c>
      <c r="M287" t="s">
        <v>84</v>
      </c>
      <c r="N287" t="s">
        <v>84</v>
      </c>
      <c r="O287" t="s">
        <v>84</v>
      </c>
      <c r="P287" t="s">
        <v>84</v>
      </c>
      <c r="Q287" s="17">
        <v>8805377</v>
      </c>
      <c r="R287" s="17">
        <v>25.5</v>
      </c>
      <c r="S287" t="s">
        <v>85</v>
      </c>
      <c r="T287" t="s">
        <v>84</v>
      </c>
      <c r="U287" t="s">
        <v>86</v>
      </c>
      <c r="V287" s="16">
        <v>44579</v>
      </c>
      <c r="W287" s="18">
        <v>44562.7916666667</v>
      </c>
      <c r="X287" s="18">
        <v>44648.5833333333</v>
      </c>
      <c r="Y287" s="17">
        <v>1823.22</v>
      </c>
      <c r="Z287" t="s">
        <v>87</v>
      </c>
      <c r="AA287" s="17">
        <v>1937.8</v>
      </c>
      <c r="AB287" s="17">
        <v>1454.8</v>
      </c>
      <c r="AC287" t="s">
        <v>84</v>
      </c>
      <c r="AD287" t="s">
        <v>84</v>
      </c>
      <c r="AE287" t="s">
        <v>84</v>
      </c>
      <c r="AF287" t="s">
        <v>84</v>
      </c>
      <c r="AG287" s="17">
        <v>12100000</v>
      </c>
      <c r="AH287" s="17">
        <v>50.96</v>
      </c>
      <c r="AI287" s="17">
        <v>14.25</v>
      </c>
      <c r="AJ287" s="17">
        <v>14.25</v>
      </c>
      <c r="AK287" t="s">
        <v>208</v>
      </c>
      <c r="AM287" s="17">
        <v>2.1</v>
      </c>
      <c r="AN287" s="17"/>
      <c r="AO287" s="17">
        <v>700</v>
      </c>
      <c r="AP287" s="17"/>
      <c r="AQ287" s="17">
        <v>1220</v>
      </c>
      <c r="AR287" s="17"/>
      <c r="AS287" s="17">
        <v>3.04</v>
      </c>
      <c r="AT287" s="17"/>
      <c r="AU287" s="17">
        <v>707</v>
      </c>
      <c r="AV287" s="17"/>
      <c r="AW287" s="17">
        <v>1897.3</v>
      </c>
      <c r="AX287" s="17"/>
      <c r="AY287" t="s">
        <v>92</v>
      </c>
      <c r="AZ287" t="s">
        <v>92</v>
      </c>
      <c r="BA287" t="s">
        <v>92</v>
      </c>
      <c r="BB287" t="s">
        <v>92</v>
      </c>
      <c r="BC287" t="s">
        <v>92</v>
      </c>
      <c r="BD287" s="17">
        <v>6.5</v>
      </c>
      <c r="BE287" s="17">
        <v>1726632</v>
      </c>
      <c r="BF287" t="s">
        <v>92</v>
      </c>
      <c r="BG287" t="s">
        <v>92</v>
      </c>
      <c r="BH287" t="s">
        <v>93</v>
      </c>
      <c r="BI287" t="s">
        <v>94</v>
      </c>
      <c r="BJ287" t="s">
        <v>173</v>
      </c>
      <c r="BK287" t="s">
        <v>85</v>
      </c>
      <c r="BL287" t="s">
        <v>85</v>
      </c>
      <c r="BM287" t="s">
        <v>96</v>
      </c>
      <c r="BN287" t="s">
        <v>97</v>
      </c>
      <c r="BO287" t="s">
        <v>98</v>
      </c>
      <c r="BP287" t="s">
        <v>99</v>
      </c>
      <c r="BQ287" s="17">
        <v>0</v>
      </c>
      <c r="BR287" t="s">
        <v>138</v>
      </c>
      <c r="BS287" t="s">
        <v>92</v>
      </c>
      <c r="BT287" t="s">
        <v>99</v>
      </c>
      <c r="BU287" s="17">
        <v>8.6</v>
      </c>
      <c r="BV287" t="s">
        <v>131</v>
      </c>
      <c r="BW287" t="s">
        <v>129</v>
      </c>
      <c r="BX287" t="s">
        <v>85</v>
      </c>
      <c r="BY287" t="str">
        <f>IF(COUNTIF('Data Upload-prod'!E:E,F287)=0,"Missing","Exist")</f>
        <v>Exist</v>
      </c>
    </row>
    <row r="288" hidden="1" spans="1:77">
      <c r="A288" s="16">
        <v>44536</v>
      </c>
      <c r="B288" s="16">
        <v>44712</v>
      </c>
      <c r="C288" t="s">
        <v>269</v>
      </c>
      <c r="D288" t="s">
        <v>78</v>
      </c>
      <c r="E288" t="s">
        <v>610</v>
      </c>
      <c r="F288" t="s">
        <v>675</v>
      </c>
      <c r="G288" t="s">
        <v>81</v>
      </c>
      <c r="H288" t="s">
        <v>612</v>
      </c>
      <c r="I288" t="s">
        <v>124</v>
      </c>
      <c r="J288" s="17">
        <v>56.99</v>
      </c>
      <c r="K288" s="17">
        <v>3482.78</v>
      </c>
      <c r="L288" s="17">
        <v>2531.55</v>
      </c>
      <c r="M288" t="s">
        <v>84</v>
      </c>
      <c r="N288" t="s">
        <v>84</v>
      </c>
      <c r="O288" t="s">
        <v>84</v>
      </c>
      <c r="P288" t="s">
        <v>84</v>
      </c>
      <c r="Q288" s="17">
        <v>26700000</v>
      </c>
      <c r="R288" s="17">
        <v>48.9</v>
      </c>
      <c r="S288" t="s">
        <v>85</v>
      </c>
      <c r="T288" t="s">
        <v>84</v>
      </c>
      <c r="U288" t="s">
        <v>86</v>
      </c>
      <c r="V288" s="16">
        <v>44545</v>
      </c>
      <c r="W288" s="18">
        <v>44545.2291666667</v>
      </c>
      <c r="X288" s="18">
        <v>44651.0208333333</v>
      </c>
      <c r="Y288" s="17">
        <v>3383.72</v>
      </c>
      <c r="Z288" t="s">
        <v>87</v>
      </c>
      <c r="AA288" s="17">
        <v>3485.34</v>
      </c>
      <c r="AB288" s="17">
        <v>2560.26</v>
      </c>
      <c r="AC288" t="s">
        <v>84</v>
      </c>
      <c r="AD288" t="s">
        <v>84</v>
      </c>
      <c r="AE288" t="s">
        <v>84</v>
      </c>
      <c r="AF288" t="s">
        <v>84</v>
      </c>
      <c r="AG288" s="17">
        <v>21420000</v>
      </c>
      <c r="AH288" s="17">
        <v>43.69</v>
      </c>
      <c r="AI288" s="17">
        <v>9.21</v>
      </c>
      <c r="AJ288" s="17">
        <v>9.06</v>
      </c>
      <c r="AK288" t="s">
        <v>276</v>
      </c>
      <c r="AM288" s="17">
        <v>3.7</v>
      </c>
      <c r="AN288" s="17"/>
      <c r="AO288" s="17">
        <v>1585</v>
      </c>
      <c r="AP288" s="17"/>
      <c r="AQ288" s="17">
        <v>3400</v>
      </c>
      <c r="AR288" s="17"/>
      <c r="AS288" s="17">
        <v>2.2</v>
      </c>
      <c r="AT288" s="17"/>
      <c r="AU288" s="17">
        <v>1024</v>
      </c>
      <c r="AV288" s="17"/>
      <c r="AW288" s="17">
        <v>1691</v>
      </c>
      <c r="AX288" s="17"/>
      <c r="AY288" t="s">
        <v>92</v>
      </c>
      <c r="AZ288" t="s">
        <v>92</v>
      </c>
      <c r="BA288" t="s">
        <v>92</v>
      </c>
      <c r="BB288" t="s">
        <v>92</v>
      </c>
      <c r="BC288" t="s">
        <v>92</v>
      </c>
      <c r="BD288" s="17">
        <v>16</v>
      </c>
      <c r="BE288" s="17">
        <v>6832138</v>
      </c>
      <c r="BF288" t="s">
        <v>92</v>
      </c>
      <c r="BG288" t="s">
        <v>92</v>
      </c>
      <c r="BH288" t="s">
        <v>93</v>
      </c>
      <c r="BI288" t="s">
        <v>278</v>
      </c>
      <c r="BJ288" t="s">
        <v>173</v>
      </c>
      <c r="BK288" t="s">
        <v>85</v>
      </c>
      <c r="BL288" t="s">
        <v>85</v>
      </c>
      <c r="BM288" t="s">
        <v>273</v>
      </c>
      <c r="BN288" t="s">
        <v>97</v>
      </c>
      <c r="BO288" t="s">
        <v>98</v>
      </c>
      <c r="BP288" t="s">
        <v>641</v>
      </c>
      <c r="BQ288" s="17">
        <v>1200</v>
      </c>
      <c r="BR288" t="s">
        <v>138</v>
      </c>
      <c r="BS288" t="s">
        <v>92</v>
      </c>
      <c r="BT288" t="s">
        <v>642</v>
      </c>
      <c r="BU288" s="17">
        <v>8.34</v>
      </c>
      <c r="BV288" t="s">
        <v>131</v>
      </c>
      <c r="BW288" t="s">
        <v>85</v>
      </c>
      <c r="BX288" t="s">
        <v>85</v>
      </c>
      <c r="BY288" t="str">
        <f>IF(COUNTIF('Data Upload-prod'!E:E,F288)=0,"Missing","Exist")</f>
        <v>Exist</v>
      </c>
    </row>
    <row r="289" hidden="1" spans="1:77">
      <c r="A289" s="16">
        <v>44536</v>
      </c>
      <c r="B289" s="16">
        <v>44756</v>
      </c>
      <c r="C289" t="s">
        <v>269</v>
      </c>
      <c r="D289" t="s">
        <v>78</v>
      </c>
      <c r="E289" t="s">
        <v>440</v>
      </c>
      <c r="F289" t="s">
        <v>676</v>
      </c>
      <c r="G289" t="s">
        <v>81</v>
      </c>
      <c r="H289" t="s">
        <v>612</v>
      </c>
      <c r="I289" t="s">
        <v>124</v>
      </c>
      <c r="J289" s="17">
        <v>56.99</v>
      </c>
      <c r="K289" s="17">
        <v>3378.85</v>
      </c>
      <c r="L289" s="17">
        <v>2557.45</v>
      </c>
      <c r="M289" t="s">
        <v>84</v>
      </c>
      <c r="N289" t="s">
        <v>84</v>
      </c>
      <c r="O289" t="s">
        <v>84</v>
      </c>
      <c r="P289" t="s">
        <v>84</v>
      </c>
      <c r="Q289" s="17">
        <v>26450000</v>
      </c>
      <c r="R289" s="17">
        <v>46.68</v>
      </c>
      <c r="S289" t="s">
        <v>85</v>
      </c>
      <c r="T289" t="s">
        <v>84</v>
      </c>
      <c r="U289" t="s">
        <v>84</v>
      </c>
      <c r="V289" s="16">
        <v>44543</v>
      </c>
      <c r="W289" s="18">
        <v>44543.375</v>
      </c>
      <c r="X289" s="18">
        <v>44648.375</v>
      </c>
      <c r="Y289" s="17">
        <v>3183.66</v>
      </c>
      <c r="Z289" t="s">
        <v>87</v>
      </c>
      <c r="AA289" s="17">
        <v>3285.28</v>
      </c>
      <c r="AB289" s="17">
        <v>2556.02</v>
      </c>
      <c r="AC289" t="s">
        <v>84</v>
      </c>
      <c r="AD289" t="s">
        <v>84</v>
      </c>
      <c r="AE289" t="s">
        <v>84</v>
      </c>
      <c r="AF289" t="s">
        <v>84</v>
      </c>
      <c r="AG289" s="17">
        <v>20240000</v>
      </c>
      <c r="AH289" s="17">
        <v>41.71</v>
      </c>
      <c r="AI289" s="17">
        <v>9.89</v>
      </c>
      <c r="AJ289" s="17">
        <v>9.89</v>
      </c>
      <c r="AK289" t="s">
        <v>276</v>
      </c>
      <c r="AM289" s="17">
        <v>3.7</v>
      </c>
      <c r="AN289" s="17"/>
      <c r="AO289" s="17">
        <v>1585</v>
      </c>
      <c r="AP289" s="17"/>
      <c r="AQ289" s="17">
        <v>3400</v>
      </c>
      <c r="AR289" s="17"/>
      <c r="AS289" s="17">
        <v>2.4</v>
      </c>
      <c r="AT289" s="17"/>
      <c r="AU289" s="17">
        <v>1080</v>
      </c>
      <c r="AV289" s="17"/>
      <c r="AW289" s="17">
        <v>1673</v>
      </c>
      <c r="AX289" s="17"/>
      <c r="AY289" t="s">
        <v>92</v>
      </c>
      <c r="AZ289" t="s">
        <v>92</v>
      </c>
      <c r="BA289" t="s">
        <v>92</v>
      </c>
      <c r="BB289" t="s">
        <v>92</v>
      </c>
      <c r="BC289" t="s">
        <v>92</v>
      </c>
      <c r="BD289" t="s">
        <v>92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92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92</v>
      </c>
      <c r="BS289" t="s">
        <v>92</v>
      </c>
      <c r="BT289" t="s">
        <v>92</v>
      </c>
      <c r="BU289" t="s">
        <v>92</v>
      </c>
      <c r="BV289" t="s">
        <v>92</v>
      </c>
      <c r="BW289" t="s">
        <v>92</v>
      </c>
      <c r="BX289" t="s">
        <v>92</v>
      </c>
      <c r="BY289" t="str">
        <f>IF(COUNTIF('Data Upload-prod'!E:E,F289)=0,"Missing","Exist")</f>
        <v>Exist</v>
      </c>
    </row>
    <row r="290" hidden="1" spans="1:77">
      <c r="A290" s="16">
        <v>44536</v>
      </c>
      <c r="B290" s="16">
        <v>44763</v>
      </c>
      <c r="C290" t="s">
        <v>269</v>
      </c>
      <c r="D290" t="s">
        <v>78</v>
      </c>
      <c r="E290" t="s">
        <v>610</v>
      </c>
      <c r="F290" t="s">
        <v>677</v>
      </c>
      <c r="G290" t="s">
        <v>81</v>
      </c>
      <c r="H290" t="s">
        <v>612</v>
      </c>
      <c r="I290" t="s">
        <v>124</v>
      </c>
      <c r="J290" s="17">
        <v>56.99</v>
      </c>
      <c r="K290" s="17">
        <v>4373.67</v>
      </c>
      <c r="L290" s="17">
        <v>2557.45</v>
      </c>
      <c r="M290" t="s">
        <v>84</v>
      </c>
      <c r="N290" t="s">
        <v>84</v>
      </c>
      <c r="O290" t="s">
        <v>84</v>
      </c>
      <c r="P290" t="s">
        <v>84</v>
      </c>
      <c r="Q290" s="17">
        <v>30420000</v>
      </c>
      <c r="R290" s="17">
        <v>65.03</v>
      </c>
      <c r="S290" t="s">
        <v>85</v>
      </c>
      <c r="T290" t="s">
        <v>84</v>
      </c>
      <c r="U290" t="s">
        <v>86</v>
      </c>
      <c r="V290" s="16">
        <v>44541</v>
      </c>
      <c r="W290" s="18">
        <v>44541.2083333333</v>
      </c>
      <c r="X290" s="18">
        <v>44703</v>
      </c>
      <c r="Y290" s="17">
        <v>4317.76</v>
      </c>
      <c r="Z290" t="s">
        <v>87</v>
      </c>
      <c r="AA290" s="17">
        <v>4419.38</v>
      </c>
      <c r="AB290" s="17">
        <v>2552.76</v>
      </c>
      <c r="AC290" t="s">
        <v>84</v>
      </c>
      <c r="AD290" t="s">
        <v>84</v>
      </c>
      <c r="AE290" t="s">
        <v>84</v>
      </c>
      <c r="AF290" t="s">
        <v>84</v>
      </c>
      <c r="AG290" s="17">
        <v>30320000</v>
      </c>
      <c r="AH290" s="17">
        <v>68.29</v>
      </c>
      <c r="AI290" s="17">
        <v>2.41</v>
      </c>
      <c r="AJ290" s="17">
        <v>2.35</v>
      </c>
      <c r="AK290" t="s">
        <v>276</v>
      </c>
      <c r="AM290" s="17">
        <v>3.7</v>
      </c>
      <c r="AN290" s="17"/>
      <c r="AO290" s="17">
        <v>1585</v>
      </c>
      <c r="AP290" s="17"/>
      <c r="AQ290" s="17">
        <v>3400</v>
      </c>
      <c r="AR290" s="17"/>
      <c r="AS290" s="17">
        <v>2.6</v>
      </c>
      <c r="AT290" s="17"/>
      <c r="AU290" s="17">
        <v>1068</v>
      </c>
      <c r="AV290" s="17"/>
      <c r="AW290" s="17">
        <v>1712</v>
      </c>
      <c r="AX290" s="17"/>
      <c r="AY290" t="s">
        <v>92</v>
      </c>
      <c r="AZ290" t="s">
        <v>92</v>
      </c>
      <c r="BA290" t="s">
        <v>92</v>
      </c>
      <c r="BB290" t="s">
        <v>92</v>
      </c>
      <c r="BC290" t="s">
        <v>92</v>
      </c>
      <c r="BD290" s="17">
        <v>19.25</v>
      </c>
      <c r="BE290" s="17">
        <v>9151387</v>
      </c>
      <c r="BF290" t="s">
        <v>92</v>
      </c>
      <c r="BG290" t="s">
        <v>92</v>
      </c>
      <c r="BH290" t="s">
        <v>93</v>
      </c>
      <c r="BI290" t="s">
        <v>94</v>
      </c>
      <c r="BJ290" t="s">
        <v>173</v>
      </c>
      <c r="BK290" t="s">
        <v>85</v>
      </c>
      <c r="BL290" t="s">
        <v>85</v>
      </c>
      <c r="BM290" t="s">
        <v>273</v>
      </c>
      <c r="BN290" t="s">
        <v>97</v>
      </c>
      <c r="BO290" t="s">
        <v>98</v>
      </c>
      <c r="BP290" t="s">
        <v>641</v>
      </c>
      <c r="BQ290" s="17">
        <v>1051</v>
      </c>
      <c r="BR290" t="s">
        <v>138</v>
      </c>
      <c r="BS290" t="s">
        <v>92</v>
      </c>
      <c r="BT290" t="s">
        <v>642</v>
      </c>
      <c r="BU290" s="17">
        <v>8.5</v>
      </c>
      <c r="BV290" t="s">
        <v>131</v>
      </c>
      <c r="BW290" t="s">
        <v>85</v>
      </c>
      <c r="BX290" t="s">
        <v>85</v>
      </c>
      <c r="BY290" t="str">
        <f>IF(COUNTIF('Data Upload-prod'!E:E,F290)=0,"Missing","Exist")</f>
        <v>Exist</v>
      </c>
    </row>
    <row r="291" hidden="1" spans="1:77">
      <c r="A291" s="16">
        <v>44517</v>
      </c>
      <c r="B291" s="16">
        <v>44741</v>
      </c>
      <c r="C291" t="s">
        <v>187</v>
      </c>
      <c r="D291" t="s">
        <v>78</v>
      </c>
      <c r="E291" t="s">
        <v>678</v>
      </c>
      <c r="F291" t="s">
        <v>679</v>
      </c>
      <c r="G291" t="s">
        <v>81</v>
      </c>
      <c r="H291" t="s">
        <v>680</v>
      </c>
      <c r="I291" t="s">
        <v>124</v>
      </c>
      <c r="J291" s="17">
        <v>64.8</v>
      </c>
      <c r="K291" s="17">
        <v>4815</v>
      </c>
      <c r="L291" s="17">
        <v>1787.8</v>
      </c>
      <c r="M291" t="s">
        <v>84</v>
      </c>
      <c r="N291" t="s">
        <v>84</v>
      </c>
      <c r="O291" t="s">
        <v>84</v>
      </c>
      <c r="P291" t="s">
        <v>84</v>
      </c>
      <c r="Q291" s="17">
        <v>14950514</v>
      </c>
      <c r="R291" s="17">
        <v>48.82</v>
      </c>
      <c r="S291" t="s">
        <v>106</v>
      </c>
      <c r="T291" t="s">
        <v>84</v>
      </c>
      <c r="U291" t="s">
        <v>86</v>
      </c>
      <c r="V291" s="16">
        <v>44604</v>
      </c>
      <c r="W291" s="18">
        <v>44531.5416666667</v>
      </c>
      <c r="X291" s="18">
        <v>44683.3333333333</v>
      </c>
      <c r="Y291" s="17">
        <v>4763.42</v>
      </c>
      <c r="Z291" t="s">
        <v>87</v>
      </c>
      <c r="AA291" s="17">
        <v>4878</v>
      </c>
      <c r="AB291" s="17">
        <v>1711.5</v>
      </c>
      <c r="AC291" t="s">
        <v>84</v>
      </c>
      <c r="AD291" t="s">
        <v>84</v>
      </c>
      <c r="AE291" t="s">
        <v>84</v>
      </c>
      <c r="AF291" t="s">
        <v>84</v>
      </c>
      <c r="AG291" s="17">
        <v>26900000</v>
      </c>
      <c r="AH291" s="17">
        <v>108.83</v>
      </c>
      <c r="AI291" s="17">
        <v>14.25</v>
      </c>
      <c r="AJ291" s="17">
        <v>14.25</v>
      </c>
      <c r="AK291" t="s">
        <v>89</v>
      </c>
      <c r="AM291" s="17">
        <v>2.4</v>
      </c>
      <c r="AN291" s="17"/>
      <c r="AO291" s="17">
        <v>795</v>
      </c>
      <c r="AP291" s="17"/>
      <c r="AQ291" s="17">
        <v>1580</v>
      </c>
      <c r="AR291" s="17"/>
      <c r="AS291" s="17">
        <v>3.02</v>
      </c>
      <c r="AT291" s="17"/>
      <c r="AU291" s="17">
        <v>804</v>
      </c>
      <c r="AV291" s="17"/>
      <c r="AW291" s="17">
        <v>1391</v>
      </c>
      <c r="AX291" s="17"/>
      <c r="AY291" t="s">
        <v>92</v>
      </c>
      <c r="AZ291" t="s">
        <v>92</v>
      </c>
      <c r="BA291" t="s">
        <v>92</v>
      </c>
      <c r="BB291" t="s">
        <v>92</v>
      </c>
      <c r="BC291" t="s">
        <v>92</v>
      </c>
      <c r="BD291" s="17">
        <v>4.48</v>
      </c>
      <c r="BE291" s="17">
        <v>2407711</v>
      </c>
      <c r="BF291" t="s">
        <v>92</v>
      </c>
      <c r="BG291" t="s">
        <v>92</v>
      </c>
      <c r="BH291" t="s">
        <v>93</v>
      </c>
      <c r="BI291" t="s">
        <v>94</v>
      </c>
      <c r="BJ291" t="s">
        <v>173</v>
      </c>
      <c r="BK291" t="s">
        <v>85</v>
      </c>
      <c r="BL291" t="s">
        <v>85</v>
      </c>
      <c r="BM291" t="s">
        <v>96</v>
      </c>
      <c r="BN291" t="s">
        <v>97</v>
      </c>
      <c r="BO291" t="s">
        <v>98</v>
      </c>
      <c r="BP291" t="s">
        <v>254</v>
      </c>
      <c r="BQ291" s="17">
        <v>0</v>
      </c>
      <c r="BR291" t="s">
        <v>138</v>
      </c>
      <c r="BS291" t="s">
        <v>92</v>
      </c>
      <c r="BT291" t="s">
        <v>255</v>
      </c>
      <c r="BU291" s="17">
        <v>8.6</v>
      </c>
      <c r="BV291" t="s">
        <v>131</v>
      </c>
      <c r="BW291" t="s">
        <v>85</v>
      </c>
      <c r="BX291" t="s">
        <v>85</v>
      </c>
      <c r="BY291" t="str">
        <f>IF(COUNTIF('Data Upload-prod'!E:E,F291)=0,"Missing","Exist")</f>
        <v>Exist</v>
      </c>
    </row>
    <row r="292" hidden="1" spans="1:77">
      <c r="A292" s="16">
        <v>44517</v>
      </c>
      <c r="B292" s="16">
        <v>44693</v>
      </c>
      <c r="C292" t="s">
        <v>346</v>
      </c>
      <c r="D292" t="s">
        <v>78</v>
      </c>
      <c r="E292" t="s">
        <v>152</v>
      </c>
      <c r="F292" t="s">
        <v>681</v>
      </c>
      <c r="G292" t="s">
        <v>81</v>
      </c>
      <c r="H292" t="s">
        <v>154</v>
      </c>
      <c r="I292" t="s">
        <v>124</v>
      </c>
      <c r="J292" s="17">
        <v>56</v>
      </c>
      <c r="K292" s="17">
        <v>4547.7</v>
      </c>
      <c r="L292" s="17">
        <v>2059</v>
      </c>
      <c r="M292" t="s">
        <v>84</v>
      </c>
      <c r="N292" t="s">
        <v>84</v>
      </c>
      <c r="O292" t="s">
        <v>84</v>
      </c>
      <c r="P292" t="s">
        <v>84</v>
      </c>
      <c r="Q292" s="17">
        <v>14980000</v>
      </c>
      <c r="R292" s="17">
        <v>42.4</v>
      </c>
      <c r="S292" t="s">
        <v>85</v>
      </c>
      <c r="T292" t="s">
        <v>84</v>
      </c>
      <c r="U292" t="s">
        <v>86</v>
      </c>
      <c r="V292" s="16">
        <v>44590</v>
      </c>
      <c r="W292" s="18">
        <v>44589.5</v>
      </c>
      <c r="X292" s="18">
        <v>44633.375</v>
      </c>
      <c r="Y292" s="17">
        <v>4584.35</v>
      </c>
      <c r="Z292" t="s">
        <v>87</v>
      </c>
      <c r="AA292" s="17">
        <v>4685</v>
      </c>
      <c r="AB292" s="17">
        <v>2069.54</v>
      </c>
      <c r="AC292" t="s">
        <v>84</v>
      </c>
      <c r="AD292" t="s">
        <v>84</v>
      </c>
      <c r="AE292" t="s">
        <v>84</v>
      </c>
      <c r="AF292" t="s">
        <v>84</v>
      </c>
      <c r="AG292" s="17">
        <v>14810000</v>
      </c>
      <c r="AH292" s="17">
        <v>43.87</v>
      </c>
      <c r="AI292" s="17">
        <v>17.36</v>
      </c>
      <c r="AJ292" s="17">
        <v>16.6</v>
      </c>
      <c r="AK292" t="s">
        <v>208</v>
      </c>
      <c r="AM292" s="17">
        <v>2.1</v>
      </c>
      <c r="AN292" s="17"/>
      <c r="AO292" s="17">
        <v>700</v>
      </c>
      <c r="AP292" s="17"/>
      <c r="AQ292" s="17">
        <v>1220</v>
      </c>
      <c r="AR292" s="17"/>
      <c r="AS292" s="17">
        <v>1.85</v>
      </c>
      <c r="AT292" s="17"/>
      <c r="AU292" s="17">
        <v>514.83</v>
      </c>
      <c r="AV292" s="17"/>
      <c r="AW292" s="17">
        <v>1006.6</v>
      </c>
      <c r="AX292" s="17"/>
      <c r="AY292" t="s">
        <v>92</v>
      </c>
      <c r="AZ292" t="s">
        <v>92</v>
      </c>
      <c r="BA292" t="s">
        <v>92</v>
      </c>
      <c r="BB292" t="s">
        <v>92</v>
      </c>
      <c r="BC292" t="s">
        <v>92</v>
      </c>
      <c r="BD292" s="17">
        <v>10.71</v>
      </c>
      <c r="BE292" s="17">
        <v>4128732.84</v>
      </c>
      <c r="BF292" t="s">
        <v>92</v>
      </c>
      <c r="BG292" t="s">
        <v>92</v>
      </c>
      <c r="BH292" t="s">
        <v>93</v>
      </c>
      <c r="BI292" t="s">
        <v>94</v>
      </c>
      <c r="BJ292" t="s">
        <v>173</v>
      </c>
      <c r="BK292" t="s">
        <v>85</v>
      </c>
      <c r="BL292" t="s">
        <v>85</v>
      </c>
      <c r="BM292" t="s">
        <v>96</v>
      </c>
      <c r="BN292" t="s">
        <v>97</v>
      </c>
      <c r="BO292" t="s">
        <v>98</v>
      </c>
      <c r="BP292" t="s">
        <v>350</v>
      </c>
      <c r="BQ292" s="17">
        <v>590.5511811</v>
      </c>
      <c r="BR292" t="s">
        <v>100</v>
      </c>
      <c r="BS292" t="s">
        <v>156</v>
      </c>
      <c r="BT292" t="s">
        <v>350</v>
      </c>
      <c r="BU292" s="17">
        <v>8.9</v>
      </c>
      <c r="BV292" t="s">
        <v>110</v>
      </c>
      <c r="BW292" t="s">
        <v>85</v>
      </c>
      <c r="BX292" t="s">
        <v>85</v>
      </c>
      <c r="BY292" t="str">
        <f>IF(COUNTIF('Data Upload-prod'!E:E,F292)=0,"Missing","Exist")</f>
        <v>Exist</v>
      </c>
    </row>
    <row r="293" hidden="1" spans="1:77">
      <c r="A293" s="16">
        <v>44494</v>
      </c>
      <c r="B293" s="16">
        <v>44575</v>
      </c>
      <c r="C293" t="s">
        <v>132</v>
      </c>
      <c r="D293" t="s">
        <v>120</v>
      </c>
      <c r="E293" t="s">
        <v>463</v>
      </c>
      <c r="F293" t="s">
        <v>682</v>
      </c>
      <c r="G293" t="s">
        <v>81</v>
      </c>
      <c r="H293" t="s">
        <v>363</v>
      </c>
      <c r="I293" t="s">
        <v>124</v>
      </c>
      <c r="J293" s="17">
        <v>69</v>
      </c>
      <c r="K293" s="17">
        <v>1070</v>
      </c>
      <c r="L293" s="17">
        <v>816</v>
      </c>
      <c r="M293" t="s">
        <v>84</v>
      </c>
      <c r="N293" t="s">
        <v>84</v>
      </c>
      <c r="O293" t="s">
        <v>84</v>
      </c>
      <c r="P293" t="s">
        <v>84</v>
      </c>
      <c r="Q293" s="17">
        <v>6614228.44</v>
      </c>
      <c r="R293" s="17">
        <v>16</v>
      </c>
      <c r="S293" t="s">
        <v>106</v>
      </c>
      <c r="T293" t="s">
        <v>84</v>
      </c>
      <c r="U293" t="s">
        <v>86</v>
      </c>
      <c r="V293" s="16">
        <v>44506</v>
      </c>
      <c r="W293" s="18">
        <v>44506</v>
      </c>
      <c r="X293" s="18">
        <v>44562</v>
      </c>
      <c r="Y293" s="17">
        <v>941</v>
      </c>
      <c r="Z293" t="s">
        <v>87</v>
      </c>
      <c r="AA293" s="17">
        <v>1055</v>
      </c>
      <c r="AB293" s="17">
        <v>803.49</v>
      </c>
      <c r="AC293" t="s">
        <v>84</v>
      </c>
      <c r="AD293" t="s">
        <v>84</v>
      </c>
      <c r="AE293" t="s">
        <v>84</v>
      </c>
      <c r="AF293" t="s">
        <v>84</v>
      </c>
      <c r="AG293" s="17">
        <v>6933000.65</v>
      </c>
      <c r="AH293" s="17">
        <v>20.1</v>
      </c>
      <c r="AI293" t="s">
        <v>92</v>
      </c>
      <c r="AJ293" t="s">
        <v>92</v>
      </c>
      <c r="AK293" t="s">
        <v>208</v>
      </c>
      <c r="AM293" s="17">
        <v>2.2</v>
      </c>
      <c r="AN293" s="17"/>
      <c r="AO293" s="17">
        <v>830</v>
      </c>
      <c r="AP293" s="17"/>
      <c r="AQ293" s="17">
        <v>1380</v>
      </c>
      <c r="AR293" s="17"/>
      <c r="AS293" s="17">
        <v>2.54</v>
      </c>
      <c r="AT293" s="17"/>
      <c r="AU293" s="17">
        <v>1076</v>
      </c>
      <c r="AV293" s="17"/>
      <c r="AW293" s="17">
        <v>1603</v>
      </c>
      <c r="AX293" s="17"/>
      <c r="AY293" t="s">
        <v>92</v>
      </c>
      <c r="AZ293" t="s">
        <v>92</v>
      </c>
      <c r="BA293" t="s">
        <v>92</v>
      </c>
      <c r="BB293" t="s">
        <v>92</v>
      </c>
      <c r="BC293" t="s">
        <v>92</v>
      </c>
      <c r="BD293" s="17">
        <v>3.35</v>
      </c>
      <c r="BE293" s="17">
        <v>1823947</v>
      </c>
      <c r="BF293" t="s">
        <v>92</v>
      </c>
      <c r="BG293" t="s">
        <v>92</v>
      </c>
      <c r="BH293" t="s">
        <v>93</v>
      </c>
      <c r="BI293" t="s">
        <v>94</v>
      </c>
      <c r="BJ293" t="s">
        <v>128</v>
      </c>
      <c r="BK293" t="s">
        <v>85</v>
      </c>
      <c r="BL293" t="s">
        <v>85</v>
      </c>
      <c r="BM293" t="s">
        <v>96</v>
      </c>
      <c r="BN293" t="s">
        <v>97</v>
      </c>
      <c r="BO293" t="s">
        <v>98</v>
      </c>
      <c r="BP293" t="s">
        <v>99</v>
      </c>
      <c r="BQ293" s="17">
        <v>1788.145</v>
      </c>
      <c r="BR293" t="s">
        <v>138</v>
      </c>
      <c r="BS293" t="s">
        <v>285</v>
      </c>
      <c r="BT293" t="s">
        <v>175</v>
      </c>
      <c r="BU293" s="17">
        <v>9</v>
      </c>
      <c r="BV293" t="s">
        <v>191</v>
      </c>
      <c r="BW293" t="s">
        <v>85</v>
      </c>
      <c r="BX293" t="s">
        <v>85</v>
      </c>
      <c r="BY293" t="str">
        <f>IF(COUNTIF('Data Upload-prod'!E:E,F293)=0,"Missing","Exist")</f>
        <v>Exist</v>
      </c>
    </row>
    <row r="294" hidden="1" spans="1:77">
      <c r="A294" s="16">
        <v>44490</v>
      </c>
      <c r="B294" s="16">
        <v>44600</v>
      </c>
      <c r="C294" t="s">
        <v>132</v>
      </c>
      <c r="D294" t="s">
        <v>120</v>
      </c>
      <c r="E294" t="s">
        <v>463</v>
      </c>
      <c r="F294" t="s">
        <v>683</v>
      </c>
      <c r="G294" t="s">
        <v>81</v>
      </c>
      <c r="H294" t="s">
        <v>363</v>
      </c>
      <c r="I294" t="s">
        <v>124</v>
      </c>
      <c r="J294" s="17">
        <v>68</v>
      </c>
      <c r="K294" s="17">
        <v>1328</v>
      </c>
      <c r="L294" s="17">
        <v>1148</v>
      </c>
      <c r="M294" t="s">
        <v>84</v>
      </c>
      <c r="N294" t="s">
        <v>84</v>
      </c>
      <c r="O294" t="s">
        <v>84</v>
      </c>
      <c r="P294" t="s">
        <v>84</v>
      </c>
      <c r="Q294" s="17">
        <v>11966876.16</v>
      </c>
      <c r="R294" s="17">
        <v>40.37</v>
      </c>
      <c r="S294" t="s">
        <v>85</v>
      </c>
      <c r="T294" t="s">
        <v>84</v>
      </c>
      <c r="U294" t="s">
        <v>86</v>
      </c>
      <c r="V294" s="16">
        <v>44519</v>
      </c>
      <c r="W294" s="18">
        <v>44519.5</v>
      </c>
      <c r="X294" s="18">
        <v>44555</v>
      </c>
      <c r="Y294" s="17">
        <v>1213.93</v>
      </c>
      <c r="Z294" t="s">
        <v>87</v>
      </c>
      <c r="AA294" s="17">
        <v>1321</v>
      </c>
      <c r="AB294" s="17">
        <v>1142</v>
      </c>
      <c r="AC294" t="s">
        <v>84</v>
      </c>
      <c r="AD294" t="s">
        <v>84</v>
      </c>
      <c r="AE294" t="s">
        <v>84</v>
      </c>
      <c r="AF294" t="s">
        <v>84</v>
      </c>
      <c r="AG294" s="17">
        <v>9290288.9</v>
      </c>
      <c r="AH294" s="17">
        <v>24.13</v>
      </c>
      <c r="AI294" s="17">
        <v>1.12</v>
      </c>
      <c r="AJ294" s="17">
        <v>0.04</v>
      </c>
      <c r="AK294" t="s">
        <v>208</v>
      </c>
      <c r="AM294" s="17">
        <v>2.2</v>
      </c>
      <c r="AN294" s="17"/>
      <c r="AO294" s="17">
        <v>830</v>
      </c>
      <c r="AP294" s="17"/>
      <c r="AQ294" s="17">
        <v>1380</v>
      </c>
      <c r="AR294" s="17"/>
      <c r="AS294" s="17">
        <v>2.26</v>
      </c>
      <c r="AT294" s="17"/>
      <c r="AU294" s="17">
        <v>1168</v>
      </c>
      <c r="AV294" s="17"/>
      <c r="AW294" s="17">
        <v>1856</v>
      </c>
      <c r="AX294" s="17"/>
      <c r="AY294" t="s">
        <v>92</v>
      </c>
      <c r="AZ294" t="s">
        <v>92</v>
      </c>
      <c r="BA294" t="s">
        <v>92</v>
      </c>
      <c r="BB294" t="s">
        <v>92</v>
      </c>
      <c r="BC294" t="s">
        <v>92</v>
      </c>
      <c r="BD294" s="17">
        <v>7.04</v>
      </c>
      <c r="BE294" s="17">
        <v>2778223</v>
      </c>
      <c r="BF294" t="s">
        <v>92</v>
      </c>
      <c r="BG294" t="s">
        <v>92</v>
      </c>
      <c r="BH294" t="s">
        <v>93</v>
      </c>
      <c r="BI294" t="s">
        <v>94</v>
      </c>
      <c r="BJ294" t="s">
        <v>128</v>
      </c>
      <c r="BK294" t="s">
        <v>85</v>
      </c>
      <c r="BL294" t="s">
        <v>85</v>
      </c>
      <c r="BM294" t="s">
        <v>96</v>
      </c>
      <c r="BN294" t="s">
        <v>569</v>
      </c>
      <c r="BO294" t="s">
        <v>216</v>
      </c>
      <c r="BP294" t="s">
        <v>99</v>
      </c>
      <c r="BQ294" s="17">
        <v>638.74508</v>
      </c>
      <c r="BR294" t="s">
        <v>138</v>
      </c>
      <c r="BS294" t="s">
        <v>285</v>
      </c>
      <c r="BT294" t="s">
        <v>175</v>
      </c>
      <c r="BU294" s="17">
        <v>9</v>
      </c>
      <c r="BV294" t="s">
        <v>191</v>
      </c>
      <c r="BW294" t="s">
        <v>85</v>
      </c>
      <c r="BX294" t="s">
        <v>85</v>
      </c>
      <c r="BY294" t="str">
        <f>IF(COUNTIF('Data Upload-prod'!E:E,F294)=0,"Missing","Exist")</f>
        <v>Exist</v>
      </c>
    </row>
    <row r="295" hidden="1" spans="1:77">
      <c r="A295" s="16">
        <v>44487</v>
      </c>
      <c r="B295" s="16">
        <v>44648</v>
      </c>
      <c r="C295" t="s">
        <v>346</v>
      </c>
      <c r="D295" t="s">
        <v>78</v>
      </c>
      <c r="E295" t="s">
        <v>152</v>
      </c>
      <c r="F295" t="s">
        <v>684</v>
      </c>
      <c r="G295" t="s">
        <v>81</v>
      </c>
      <c r="H295" t="s">
        <v>154</v>
      </c>
      <c r="I295" t="s">
        <v>124</v>
      </c>
      <c r="J295" s="17">
        <v>56</v>
      </c>
      <c r="K295" s="17">
        <v>3878</v>
      </c>
      <c r="L295" s="17">
        <v>2032</v>
      </c>
      <c r="M295" t="s">
        <v>84</v>
      </c>
      <c r="N295" t="s">
        <v>84</v>
      </c>
      <c r="O295" t="s">
        <v>84</v>
      </c>
      <c r="P295" t="s">
        <v>84</v>
      </c>
      <c r="Q295" s="17">
        <v>15850000</v>
      </c>
      <c r="R295" s="17">
        <v>41.5</v>
      </c>
      <c r="S295" t="s">
        <v>85</v>
      </c>
      <c r="T295" t="s">
        <v>84</v>
      </c>
      <c r="U295" t="s">
        <v>86</v>
      </c>
      <c r="V295" s="16">
        <v>44555</v>
      </c>
      <c r="W295" s="18">
        <v>44554.8125</v>
      </c>
      <c r="X295" s="18">
        <v>44589.5</v>
      </c>
      <c r="Y295" s="17">
        <v>3681.35</v>
      </c>
      <c r="Z295" t="s">
        <v>87</v>
      </c>
      <c r="AA295" s="17">
        <v>3782</v>
      </c>
      <c r="AB295" s="17">
        <v>2026.54</v>
      </c>
      <c r="AC295" t="s">
        <v>84</v>
      </c>
      <c r="AD295" t="s">
        <v>84</v>
      </c>
      <c r="AE295" t="s">
        <v>84</v>
      </c>
      <c r="AF295" t="s">
        <v>84</v>
      </c>
      <c r="AG295" s="17">
        <v>12760000</v>
      </c>
      <c r="AH295" s="17">
        <v>35.69</v>
      </c>
      <c r="AI295" s="17">
        <v>4.64</v>
      </c>
      <c r="AJ295" s="17">
        <v>4.64</v>
      </c>
      <c r="AK295" t="s">
        <v>208</v>
      </c>
      <c r="AM295" s="17">
        <v>2.1</v>
      </c>
      <c r="AN295" s="17"/>
      <c r="AO295" s="17">
        <v>700</v>
      </c>
      <c r="AP295" s="17"/>
      <c r="AQ295" s="17">
        <v>1220</v>
      </c>
      <c r="AR295" s="17"/>
      <c r="AS295" s="17">
        <v>1.53</v>
      </c>
      <c r="AT295" s="17"/>
      <c r="AU295" s="17">
        <v>475.1</v>
      </c>
      <c r="AV295" s="17"/>
      <c r="AW295" s="17">
        <v>1078.5</v>
      </c>
      <c r="AX295" s="17"/>
      <c r="AY295" t="s">
        <v>92</v>
      </c>
      <c r="AZ295" t="s">
        <v>92</v>
      </c>
      <c r="BA295" t="s">
        <v>92</v>
      </c>
      <c r="BB295" t="s">
        <v>92</v>
      </c>
      <c r="BC295" t="s">
        <v>92</v>
      </c>
      <c r="BD295" s="17">
        <v>8.86</v>
      </c>
      <c r="BE295" s="17">
        <v>3643905.83</v>
      </c>
      <c r="BF295" t="s">
        <v>92</v>
      </c>
      <c r="BG295" t="s">
        <v>92</v>
      </c>
      <c r="BH295" t="s">
        <v>93</v>
      </c>
      <c r="BI295" t="s">
        <v>94</v>
      </c>
      <c r="BJ295" t="s">
        <v>173</v>
      </c>
      <c r="BK295" t="s">
        <v>85</v>
      </c>
      <c r="BL295" t="s">
        <v>85</v>
      </c>
      <c r="BM295" t="s">
        <v>96</v>
      </c>
      <c r="BN295" t="s">
        <v>97</v>
      </c>
      <c r="BO295" t="s">
        <v>98</v>
      </c>
      <c r="BP295" t="s">
        <v>350</v>
      </c>
      <c r="BQ295" s="17">
        <v>954.7244094</v>
      </c>
      <c r="BR295" t="s">
        <v>100</v>
      </c>
      <c r="BS295" t="s">
        <v>156</v>
      </c>
      <c r="BT295" t="s">
        <v>350</v>
      </c>
      <c r="BU295" s="17">
        <v>8.7</v>
      </c>
      <c r="BV295" t="s">
        <v>110</v>
      </c>
      <c r="BW295" t="s">
        <v>85</v>
      </c>
      <c r="BX295" t="s">
        <v>85</v>
      </c>
      <c r="BY295" t="str">
        <f>IF(COUNTIF('Data Upload-prod'!E:E,F295)=0,"Missing","Exist")</f>
        <v>Exist</v>
      </c>
    </row>
    <row r="296" hidden="1" spans="1:77">
      <c r="A296" s="16">
        <v>44476</v>
      </c>
      <c r="B296" s="16">
        <v>44655</v>
      </c>
      <c r="C296" t="s">
        <v>132</v>
      </c>
      <c r="D296" t="s">
        <v>120</v>
      </c>
      <c r="E296" t="s">
        <v>685</v>
      </c>
      <c r="F296" t="s">
        <v>686</v>
      </c>
      <c r="G296" t="s">
        <v>81</v>
      </c>
      <c r="H296" t="s">
        <v>484</v>
      </c>
      <c r="I296" t="s">
        <v>83</v>
      </c>
      <c r="J296" s="17">
        <v>80.2</v>
      </c>
      <c r="K296" s="17">
        <v>1994.63</v>
      </c>
      <c r="L296" s="17">
        <v>1142.83</v>
      </c>
      <c r="M296" t="s">
        <v>84</v>
      </c>
      <c r="N296" t="s">
        <v>84</v>
      </c>
      <c r="O296" t="s">
        <v>84</v>
      </c>
      <c r="P296" t="s">
        <v>84</v>
      </c>
      <c r="Q296" s="17">
        <v>7163495.06</v>
      </c>
      <c r="R296" s="17">
        <v>14.7</v>
      </c>
      <c r="S296" t="s">
        <v>106</v>
      </c>
      <c r="T296" t="s">
        <v>84</v>
      </c>
      <c r="U296" t="s">
        <v>86</v>
      </c>
      <c r="V296" t="s">
        <v>84</v>
      </c>
      <c r="W296" s="18">
        <v>44533.6458333333</v>
      </c>
      <c r="X296" s="18">
        <v>44601.2604166667</v>
      </c>
      <c r="Y296" s="17">
        <v>2322.3</v>
      </c>
      <c r="Z296" t="s">
        <v>87</v>
      </c>
      <c r="AA296" s="17">
        <v>2438</v>
      </c>
      <c r="AB296" s="17">
        <v>1145.63</v>
      </c>
      <c r="AC296" t="s">
        <v>84</v>
      </c>
      <c r="AD296" t="s">
        <v>84</v>
      </c>
      <c r="AE296" t="s">
        <v>84</v>
      </c>
      <c r="AF296" t="s">
        <v>84</v>
      </c>
      <c r="AG296" s="17">
        <v>17329127</v>
      </c>
      <c r="AH296" s="17">
        <v>53.68</v>
      </c>
      <c r="AI296" s="17">
        <v>23</v>
      </c>
      <c r="AJ296" s="17">
        <v>11.7</v>
      </c>
      <c r="AK296" t="s">
        <v>208</v>
      </c>
      <c r="AM296" s="17">
        <v>2.2</v>
      </c>
      <c r="AN296" s="17"/>
      <c r="AO296" s="17">
        <v>830</v>
      </c>
      <c r="AP296" s="17"/>
      <c r="AQ296" s="17">
        <v>1380</v>
      </c>
      <c r="AR296" s="17"/>
      <c r="AS296" s="17">
        <v>2.05</v>
      </c>
      <c r="AT296" s="17"/>
      <c r="AU296" s="17">
        <v>1633.79</v>
      </c>
      <c r="AV296" s="17"/>
      <c r="AW296" s="17">
        <v>2032.58</v>
      </c>
      <c r="AX296" s="17"/>
      <c r="AY296" t="s">
        <v>92</v>
      </c>
      <c r="AZ296" t="s">
        <v>92</v>
      </c>
      <c r="BA296" t="s">
        <v>92</v>
      </c>
      <c r="BB296" t="s">
        <v>92</v>
      </c>
      <c r="BC296" t="s">
        <v>92</v>
      </c>
      <c r="BD296" s="17">
        <v>6.86</v>
      </c>
      <c r="BE296" s="17">
        <v>2009260.01</v>
      </c>
      <c r="BF296" t="s">
        <v>92</v>
      </c>
      <c r="BG296" t="s">
        <v>92</v>
      </c>
      <c r="BH296" t="s">
        <v>93</v>
      </c>
      <c r="BI296" t="s">
        <v>94</v>
      </c>
      <c r="BJ296" t="s">
        <v>128</v>
      </c>
      <c r="BK296" t="s">
        <v>85</v>
      </c>
      <c r="BL296" t="s">
        <v>85</v>
      </c>
      <c r="BM296" t="s">
        <v>273</v>
      </c>
      <c r="BN296" t="s">
        <v>97</v>
      </c>
      <c r="BO296" t="s">
        <v>98</v>
      </c>
      <c r="BP296" t="s">
        <v>99</v>
      </c>
      <c r="BQ296" s="17">
        <v>1453.483</v>
      </c>
      <c r="BR296" t="s">
        <v>138</v>
      </c>
      <c r="BS296" t="s">
        <v>156</v>
      </c>
      <c r="BT296" t="s">
        <v>175</v>
      </c>
      <c r="BU296" s="17">
        <v>9.5</v>
      </c>
      <c r="BV296" t="s">
        <v>191</v>
      </c>
      <c r="BW296" t="s">
        <v>85</v>
      </c>
      <c r="BX296" t="s">
        <v>85</v>
      </c>
      <c r="BY296" t="str">
        <f>IF(COUNTIF('Data Upload-prod'!E:E,F296)=0,"Missing","Exist")</f>
        <v>Exist</v>
      </c>
    </row>
    <row r="297" hidden="1" spans="1:77">
      <c r="A297" s="16">
        <v>44466</v>
      </c>
      <c r="B297" s="16">
        <v>44612</v>
      </c>
      <c r="C297" t="s">
        <v>132</v>
      </c>
      <c r="D297" t="s">
        <v>120</v>
      </c>
      <c r="E297" t="s">
        <v>687</v>
      </c>
      <c r="F297" t="s">
        <v>688</v>
      </c>
      <c r="G297" t="s">
        <v>145</v>
      </c>
      <c r="H297" t="s">
        <v>135</v>
      </c>
      <c r="I297" t="s">
        <v>124</v>
      </c>
      <c r="J297" s="17">
        <v>60</v>
      </c>
      <c r="K297" s="17">
        <v>1887</v>
      </c>
      <c r="L297" s="17">
        <v>1887</v>
      </c>
      <c r="M297" s="17">
        <v>15450000</v>
      </c>
      <c r="N297" s="17">
        <v>16270000</v>
      </c>
      <c r="O297" s="17">
        <v>41.75</v>
      </c>
      <c r="P297" s="17">
        <v>46.46</v>
      </c>
      <c r="Q297" t="s">
        <v>84</v>
      </c>
      <c r="R297" t="s">
        <v>84</v>
      </c>
      <c r="S297" t="s">
        <v>85</v>
      </c>
      <c r="T297" t="s">
        <v>84</v>
      </c>
      <c r="U297" t="s">
        <v>84</v>
      </c>
      <c r="V297" s="16">
        <v>44506</v>
      </c>
      <c r="W297" s="18">
        <v>44493.7708333333</v>
      </c>
      <c r="X297" s="18">
        <v>44561.2916666667</v>
      </c>
      <c r="Y297" s="17">
        <v>1760</v>
      </c>
      <c r="Z297" t="s">
        <v>87</v>
      </c>
      <c r="AA297" s="17">
        <v>1850</v>
      </c>
      <c r="AB297" s="17">
        <v>1757.4</v>
      </c>
      <c r="AC297" t="s">
        <v>84</v>
      </c>
      <c r="AD297" s="17">
        <v>18993289.39</v>
      </c>
      <c r="AE297" t="s">
        <v>84</v>
      </c>
      <c r="AF297" s="17">
        <v>67.52</v>
      </c>
      <c r="AG297" t="s">
        <v>84</v>
      </c>
      <c r="AH297" t="s">
        <v>84</v>
      </c>
      <c r="AI297" s="17">
        <v>23.39</v>
      </c>
      <c r="AJ297" s="17">
        <v>4.95</v>
      </c>
      <c r="AK297" t="s">
        <v>295</v>
      </c>
      <c r="AM297" s="17">
        <v>2.7</v>
      </c>
      <c r="AN297" s="17"/>
      <c r="AO297" s="17">
        <v>1490</v>
      </c>
      <c r="AP297" s="17"/>
      <c r="AQ297" s="17">
        <v>2760</v>
      </c>
      <c r="AR297" s="17"/>
      <c r="AS297" s="17">
        <v>3.27</v>
      </c>
      <c r="AT297" s="17"/>
      <c r="AU297" s="17">
        <v>1360</v>
      </c>
      <c r="AV297" s="17"/>
      <c r="AW297" s="17">
        <v>1934</v>
      </c>
      <c r="AX297" s="17"/>
      <c r="AY297" t="s">
        <v>92</v>
      </c>
      <c r="AZ297" t="s">
        <v>92</v>
      </c>
      <c r="BA297" t="s">
        <v>92</v>
      </c>
      <c r="BB297" t="s">
        <v>92</v>
      </c>
      <c r="BC297" t="s">
        <v>92</v>
      </c>
      <c r="BD297" t="s">
        <v>92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92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92</v>
      </c>
      <c r="BS297" t="s">
        <v>92</v>
      </c>
      <c r="BT297" t="s">
        <v>92</v>
      </c>
      <c r="BU297" t="s">
        <v>92</v>
      </c>
      <c r="BV297" t="s">
        <v>92</v>
      </c>
      <c r="BW297" t="s">
        <v>92</v>
      </c>
      <c r="BX297" t="s">
        <v>92</v>
      </c>
      <c r="BY297" t="str">
        <f>IF(COUNTIF('Data Upload-prod'!E:E,F297)=0,"Missing","Exist")</f>
        <v>Exist</v>
      </c>
    </row>
    <row r="298" hidden="1" spans="1:77">
      <c r="A298" s="16">
        <v>44462</v>
      </c>
      <c r="B298" s="16">
        <v>44545</v>
      </c>
      <c r="C298" t="s">
        <v>132</v>
      </c>
      <c r="D298" t="s">
        <v>120</v>
      </c>
      <c r="E298" t="s">
        <v>463</v>
      </c>
      <c r="F298" t="s">
        <v>689</v>
      </c>
      <c r="G298" t="s">
        <v>81</v>
      </c>
      <c r="H298" t="s">
        <v>363</v>
      </c>
      <c r="I298" t="s">
        <v>124</v>
      </c>
      <c r="J298" s="17">
        <v>69</v>
      </c>
      <c r="K298" s="17">
        <v>825</v>
      </c>
      <c r="L298" s="17">
        <v>790</v>
      </c>
      <c r="M298" t="s">
        <v>84</v>
      </c>
      <c r="N298" t="s">
        <v>84</v>
      </c>
      <c r="O298" t="s">
        <v>84</v>
      </c>
      <c r="P298" t="s">
        <v>84</v>
      </c>
      <c r="Q298" s="17">
        <v>5729796</v>
      </c>
      <c r="R298" s="17">
        <v>13.91</v>
      </c>
      <c r="S298" t="s">
        <v>85</v>
      </c>
      <c r="T298" t="s">
        <v>84</v>
      </c>
      <c r="U298" t="s">
        <v>86</v>
      </c>
      <c r="V298" s="16">
        <v>44508.1041666667</v>
      </c>
      <c r="W298" s="18">
        <v>44508.1041666667</v>
      </c>
      <c r="X298" s="18">
        <v>44519.5</v>
      </c>
      <c r="Y298" s="17">
        <v>709</v>
      </c>
      <c r="Z298" t="s">
        <v>87</v>
      </c>
      <c r="AA298" s="17">
        <v>823</v>
      </c>
      <c r="AB298" s="17">
        <v>786.23</v>
      </c>
      <c r="AC298" t="s">
        <v>84</v>
      </c>
      <c r="AD298" t="s">
        <v>84</v>
      </c>
      <c r="AE298" t="s">
        <v>84</v>
      </c>
      <c r="AF298" t="s">
        <v>84</v>
      </c>
      <c r="AG298" s="17">
        <v>5324746.54</v>
      </c>
      <c r="AH298" s="17">
        <v>11.4</v>
      </c>
      <c r="AI298" s="17">
        <v>23.76</v>
      </c>
      <c r="AJ298" s="17">
        <v>23.76</v>
      </c>
      <c r="AK298" t="s">
        <v>208</v>
      </c>
      <c r="AM298" s="17">
        <v>2.2</v>
      </c>
      <c r="AN298" s="17"/>
      <c r="AO298" s="17">
        <v>830</v>
      </c>
      <c r="AP298" s="17"/>
      <c r="AQ298" s="17">
        <v>1380</v>
      </c>
      <c r="AR298" s="17"/>
      <c r="AS298" s="17">
        <v>1.83</v>
      </c>
      <c r="AT298" s="17"/>
      <c r="AU298" s="17">
        <v>855</v>
      </c>
      <c r="AV298" s="17"/>
      <c r="AW298" s="17">
        <v>1972</v>
      </c>
      <c r="AX298" s="17"/>
      <c r="AY298" t="s">
        <v>92</v>
      </c>
      <c r="AZ298" t="s">
        <v>92</v>
      </c>
      <c r="BA298" t="s">
        <v>92</v>
      </c>
      <c r="BB298" t="s">
        <v>92</v>
      </c>
      <c r="BC298" t="s">
        <v>92</v>
      </c>
      <c r="BD298" s="17">
        <v>5.94</v>
      </c>
      <c r="BE298" s="17">
        <v>3023524</v>
      </c>
      <c r="BF298" t="s">
        <v>92</v>
      </c>
      <c r="BG298" t="s">
        <v>92</v>
      </c>
      <c r="BH298" t="s">
        <v>93</v>
      </c>
      <c r="BI298" t="s">
        <v>94</v>
      </c>
      <c r="BJ298" t="s">
        <v>128</v>
      </c>
      <c r="BK298" t="s">
        <v>85</v>
      </c>
      <c r="BL298" t="s">
        <v>85</v>
      </c>
      <c r="BM298" t="s">
        <v>96</v>
      </c>
      <c r="BN298" t="s">
        <v>97</v>
      </c>
      <c r="BO298" t="s">
        <v>98</v>
      </c>
      <c r="BP298" t="s">
        <v>99</v>
      </c>
      <c r="BQ298" s="17">
        <v>551.208</v>
      </c>
      <c r="BR298" t="s">
        <v>100</v>
      </c>
      <c r="BS298" t="s">
        <v>285</v>
      </c>
      <c r="BT298" t="s">
        <v>175</v>
      </c>
      <c r="BU298" s="17">
        <v>9</v>
      </c>
      <c r="BV298" t="s">
        <v>191</v>
      </c>
      <c r="BW298" t="s">
        <v>85</v>
      </c>
      <c r="BX298" t="s">
        <v>85</v>
      </c>
      <c r="BY298" t="str">
        <f>IF(COUNTIF('Data Upload-prod'!E:E,F298)=0,"Missing","Exist")</f>
        <v>Exist</v>
      </c>
    </row>
    <row r="299" hidden="1" spans="1:77">
      <c r="A299" s="16">
        <v>44454</v>
      </c>
      <c r="B299" s="16">
        <v>44651</v>
      </c>
      <c r="C299" t="s">
        <v>132</v>
      </c>
      <c r="D299" t="s">
        <v>78</v>
      </c>
      <c r="E299" t="s">
        <v>690</v>
      </c>
      <c r="F299" t="s">
        <v>691</v>
      </c>
      <c r="G299" t="s">
        <v>81</v>
      </c>
      <c r="H299" t="s">
        <v>202</v>
      </c>
      <c r="I299" t="s">
        <v>124</v>
      </c>
      <c r="J299" s="17">
        <v>76</v>
      </c>
      <c r="K299" s="17">
        <v>1740</v>
      </c>
      <c r="L299" s="17">
        <v>1701</v>
      </c>
      <c r="M299" t="s">
        <v>84</v>
      </c>
      <c r="N299" t="s">
        <v>84</v>
      </c>
      <c r="O299" t="s">
        <v>84</v>
      </c>
      <c r="P299" t="s">
        <v>84</v>
      </c>
      <c r="Q299" s="17">
        <v>16458913.44</v>
      </c>
      <c r="R299" s="17">
        <v>42.06</v>
      </c>
      <c r="S299" t="s">
        <v>106</v>
      </c>
      <c r="T299" t="s">
        <v>84</v>
      </c>
      <c r="U299" t="s">
        <v>84</v>
      </c>
      <c r="V299" s="16">
        <v>44485</v>
      </c>
      <c r="W299" s="18">
        <v>44485</v>
      </c>
      <c r="X299" s="18">
        <v>44600</v>
      </c>
      <c r="Y299" s="17">
        <v>1262</v>
      </c>
      <c r="Z299" t="s">
        <v>87</v>
      </c>
      <c r="AA299" s="17">
        <v>1378</v>
      </c>
      <c r="AB299" s="17">
        <v>1207.25</v>
      </c>
      <c r="AC299" t="s">
        <v>84</v>
      </c>
      <c r="AD299" t="s">
        <v>84</v>
      </c>
      <c r="AE299" t="s">
        <v>84</v>
      </c>
      <c r="AF299" t="s">
        <v>84</v>
      </c>
      <c r="AG299" s="17">
        <v>36834036.89</v>
      </c>
      <c r="AH299" s="17">
        <v>115</v>
      </c>
      <c r="AI299" s="17">
        <v>28.64</v>
      </c>
      <c r="AJ299" s="17">
        <v>23.95</v>
      </c>
      <c r="AK299" t="s">
        <v>208</v>
      </c>
      <c r="AM299" s="17">
        <v>2.1</v>
      </c>
      <c r="AN299" s="17"/>
      <c r="AO299" s="17">
        <v>700</v>
      </c>
      <c r="AP299" s="17"/>
      <c r="AQ299" s="17">
        <v>1225</v>
      </c>
      <c r="AR299" s="17"/>
      <c r="AS299" s="17">
        <v>26.66</v>
      </c>
      <c r="AT299" s="17"/>
      <c r="AU299" s="17">
        <v>7660</v>
      </c>
      <c r="AV299" s="17"/>
      <c r="AW299" s="17">
        <v>8337</v>
      </c>
      <c r="AX299" s="17"/>
      <c r="AY299" t="s">
        <v>92</v>
      </c>
      <c r="AZ299" t="s">
        <v>92</v>
      </c>
      <c r="BA299" t="s">
        <v>92</v>
      </c>
      <c r="BB299" t="s">
        <v>92</v>
      </c>
      <c r="BC299" t="s">
        <v>92</v>
      </c>
      <c r="BD299" t="s">
        <v>92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92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92</v>
      </c>
      <c r="BS299" t="s">
        <v>92</v>
      </c>
      <c r="BT299" t="s">
        <v>92</v>
      </c>
      <c r="BU299" t="s">
        <v>92</v>
      </c>
      <c r="BV299" t="s">
        <v>92</v>
      </c>
      <c r="BW299" t="s">
        <v>92</v>
      </c>
      <c r="BX299" t="s">
        <v>92</v>
      </c>
      <c r="BY299" t="str">
        <f>IF(COUNTIF('Data Upload-prod'!E:E,F299)=0,"Missing","Exist")</f>
        <v>Exist</v>
      </c>
    </row>
    <row r="300" hidden="1" spans="1:77">
      <c r="A300" s="16">
        <v>44452</v>
      </c>
      <c r="B300" s="16">
        <v>44725</v>
      </c>
      <c r="C300" t="s">
        <v>269</v>
      </c>
      <c r="D300" t="s">
        <v>78</v>
      </c>
      <c r="E300" t="s">
        <v>692</v>
      </c>
      <c r="F300" t="s">
        <v>693</v>
      </c>
      <c r="G300" t="s">
        <v>81</v>
      </c>
      <c r="H300" t="s">
        <v>612</v>
      </c>
      <c r="I300" t="s">
        <v>124</v>
      </c>
      <c r="J300" s="17">
        <v>55.5</v>
      </c>
      <c r="K300" s="17">
        <v>3324.74</v>
      </c>
      <c r="L300" s="17">
        <v>1240.07</v>
      </c>
      <c r="M300" t="s">
        <v>84</v>
      </c>
      <c r="N300" t="s">
        <v>84</v>
      </c>
      <c r="O300" t="s">
        <v>84</v>
      </c>
      <c r="P300" t="s">
        <v>84</v>
      </c>
      <c r="Q300" s="17">
        <v>12200000</v>
      </c>
      <c r="R300" s="17">
        <v>32.12</v>
      </c>
      <c r="S300" t="s">
        <v>85</v>
      </c>
      <c r="T300" t="s">
        <v>84</v>
      </c>
      <c r="U300" t="s">
        <v>86</v>
      </c>
      <c r="V300" s="16">
        <v>44482</v>
      </c>
      <c r="W300" s="18">
        <v>44481.625</v>
      </c>
      <c r="X300" s="18">
        <v>44526.2083333333</v>
      </c>
      <c r="Y300" s="17">
        <v>3283.63</v>
      </c>
      <c r="Z300" t="s">
        <v>87</v>
      </c>
      <c r="AA300" s="17">
        <v>3384.94</v>
      </c>
      <c r="AB300" s="17">
        <v>1232.92</v>
      </c>
      <c r="AC300" t="s">
        <v>84</v>
      </c>
      <c r="AD300" t="s">
        <v>84</v>
      </c>
      <c r="AE300" t="s">
        <v>84</v>
      </c>
      <c r="AF300" t="s">
        <v>84</v>
      </c>
      <c r="AG300" s="17">
        <v>16530000</v>
      </c>
      <c r="AH300" s="17">
        <v>37.04</v>
      </c>
      <c r="AI300" s="17">
        <v>0.9</v>
      </c>
      <c r="AJ300" s="17">
        <v>0.9</v>
      </c>
      <c r="AK300" t="s">
        <v>114</v>
      </c>
      <c r="AM300" s="17">
        <v>2.2</v>
      </c>
      <c r="AN300" s="17"/>
      <c r="AO300" s="17">
        <v>915</v>
      </c>
      <c r="AP300" s="17"/>
      <c r="AQ300" s="17">
        <v>1450</v>
      </c>
      <c r="AR300" s="17"/>
      <c r="AS300" s="17">
        <v>2.5</v>
      </c>
      <c r="AT300" s="17"/>
      <c r="AU300" s="17">
        <v>1018</v>
      </c>
      <c r="AV300" s="17"/>
      <c r="AW300" s="17">
        <v>1567</v>
      </c>
      <c r="AX300" s="17"/>
      <c r="AY300" t="s">
        <v>92</v>
      </c>
      <c r="AZ300" t="s">
        <v>92</v>
      </c>
      <c r="BA300" t="s">
        <v>92</v>
      </c>
      <c r="BB300" t="s">
        <v>92</v>
      </c>
      <c r="BC300" t="s">
        <v>92</v>
      </c>
      <c r="BD300" s="17">
        <v>7.77</v>
      </c>
      <c r="BE300" s="17">
        <v>2530000</v>
      </c>
      <c r="BF300" t="s">
        <v>92</v>
      </c>
      <c r="BG300" t="s">
        <v>92</v>
      </c>
      <c r="BH300" t="s">
        <v>93</v>
      </c>
      <c r="BI300" t="s">
        <v>94</v>
      </c>
      <c r="BJ300" t="s">
        <v>128</v>
      </c>
      <c r="BK300" t="s">
        <v>85</v>
      </c>
      <c r="BL300" t="s">
        <v>85</v>
      </c>
      <c r="BM300" t="s">
        <v>273</v>
      </c>
      <c r="BN300" t="s">
        <v>97</v>
      </c>
      <c r="BO300" t="s">
        <v>98</v>
      </c>
      <c r="BP300" t="s">
        <v>99</v>
      </c>
      <c r="BQ300" s="17">
        <v>1877.37</v>
      </c>
      <c r="BR300" t="s">
        <v>138</v>
      </c>
      <c r="BS300" t="s">
        <v>92</v>
      </c>
      <c r="BT300" t="s">
        <v>99</v>
      </c>
      <c r="BU300" s="17">
        <v>9.3</v>
      </c>
      <c r="BV300" t="s">
        <v>256</v>
      </c>
      <c r="BW300" t="s">
        <v>85</v>
      </c>
      <c r="BX300" t="s">
        <v>85</v>
      </c>
      <c r="BY300" t="str">
        <f>IF(COUNTIF('Data Upload-prod'!E:E,F300)=0,"Missing","Exist")</f>
        <v>Exist</v>
      </c>
    </row>
    <row r="301" hidden="1" spans="1:77">
      <c r="A301" s="16">
        <v>44442</v>
      </c>
      <c r="B301" s="16">
        <v>44951</v>
      </c>
      <c r="C301" t="s">
        <v>132</v>
      </c>
      <c r="D301" t="s">
        <v>120</v>
      </c>
      <c r="E301" t="s">
        <v>382</v>
      </c>
      <c r="F301" t="s">
        <v>694</v>
      </c>
      <c r="G301" t="s">
        <v>81</v>
      </c>
      <c r="H301" t="s">
        <v>247</v>
      </c>
      <c r="I301" t="s">
        <v>231</v>
      </c>
      <c r="J301" s="17">
        <v>108</v>
      </c>
      <c r="K301" s="17">
        <v>3085</v>
      </c>
      <c r="L301" s="17">
        <v>2643</v>
      </c>
      <c r="M301" t="s">
        <v>84</v>
      </c>
      <c r="N301" t="s">
        <v>84</v>
      </c>
      <c r="O301" t="s">
        <v>84</v>
      </c>
      <c r="P301" t="s">
        <v>84</v>
      </c>
      <c r="Q301" s="17">
        <v>29422230</v>
      </c>
      <c r="R301" s="17">
        <v>36.04</v>
      </c>
      <c r="S301" t="s">
        <v>85</v>
      </c>
      <c r="T301" t="s">
        <v>84</v>
      </c>
      <c r="U301" t="s">
        <v>86</v>
      </c>
      <c r="V301" s="16">
        <v>44474</v>
      </c>
      <c r="W301" s="18">
        <v>44474.375</v>
      </c>
      <c r="X301" s="18">
        <v>44867.3333333333</v>
      </c>
      <c r="Y301" s="17">
        <v>3057.2</v>
      </c>
      <c r="Z301" t="s">
        <v>87</v>
      </c>
      <c r="AA301" s="17">
        <v>3204</v>
      </c>
      <c r="AB301" s="17">
        <v>2772</v>
      </c>
      <c r="AC301" t="s">
        <v>84</v>
      </c>
      <c r="AD301" t="s">
        <v>84</v>
      </c>
      <c r="AE301" t="s">
        <v>84</v>
      </c>
      <c r="AF301" t="s">
        <v>84</v>
      </c>
      <c r="AG301" s="17">
        <v>42563446.34</v>
      </c>
      <c r="AH301" s="17">
        <v>86.98</v>
      </c>
      <c r="AI301" s="17">
        <v>0</v>
      </c>
      <c r="AJ301" s="17">
        <v>0</v>
      </c>
      <c r="AK301" t="s">
        <v>276</v>
      </c>
      <c r="AM301" s="17">
        <v>3.7</v>
      </c>
      <c r="AN301" s="17"/>
      <c r="AO301" s="17">
        <v>1585</v>
      </c>
      <c r="AP301" s="17"/>
      <c r="AQ301" s="17">
        <v>3400</v>
      </c>
      <c r="AR301" s="17"/>
      <c r="AS301" s="17">
        <v>6.24</v>
      </c>
      <c r="AT301" s="17"/>
      <c r="AU301" s="17">
        <v>2641</v>
      </c>
      <c r="AV301" s="17"/>
      <c r="AW301" s="17">
        <v>4054</v>
      </c>
      <c r="AX301" s="17"/>
      <c r="AY301" t="s">
        <v>92</v>
      </c>
      <c r="AZ301" t="s">
        <v>92</v>
      </c>
      <c r="BA301" t="s">
        <v>92</v>
      </c>
      <c r="BB301" t="s">
        <v>92</v>
      </c>
      <c r="BC301" t="s">
        <v>92</v>
      </c>
      <c r="BD301" s="17">
        <v>17.42</v>
      </c>
      <c r="BE301" s="17">
        <v>14126784</v>
      </c>
      <c r="BF301" t="s">
        <v>92</v>
      </c>
      <c r="BG301" t="s">
        <v>92</v>
      </c>
      <c r="BH301" t="s">
        <v>127</v>
      </c>
      <c r="BI301" t="s">
        <v>278</v>
      </c>
      <c r="BJ301" t="s">
        <v>173</v>
      </c>
      <c r="BK301" t="s">
        <v>85</v>
      </c>
      <c r="BL301" t="s">
        <v>85</v>
      </c>
      <c r="BM301" t="s">
        <v>137</v>
      </c>
      <c r="BN301" t="s">
        <v>97</v>
      </c>
      <c r="BO301" t="s">
        <v>98</v>
      </c>
      <c r="BP301" t="s">
        <v>641</v>
      </c>
      <c r="BQ301" s="17">
        <v>302</v>
      </c>
      <c r="BR301" t="s">
        <v>100</v>
      </c>
      <c r="BS301" t="s">
        <v>156</v>
      </c>
      <c r="BT301" t="s">
        <v>695</v>
      </c>
      <c r="BU301" s="17">
        <v>13.95</v>
      </c>
      <c r="BV301" t="s">
        <v>451</v>
      </c>
      <c r="BW301" t="s">
        <v>85</v>
      </c>
      <c r="BX301" t="s">
        <v>85</v>
      </c>
      <c r="BY301" t="str">
        <f>IF(COUNTIF('Data Upload-prod'!E:E,F301)=0,"Missing","Exist")</f>
        <v>Exist</v>
      </c>
    </row>
    <row r="302" hidden="1" spans="1:77">
      <c r="A302" s="16">
        <v>44442</v>
      </c>
      <c r="B302" s="16">
        <v>44977</v>
      </c>
      <c r="C302" t="s">
        <v>132</v>
      </c>
      <c r="D302" t="s">
        <v>120</v>
      </c>
      <c r="E302" t="s">
        <v>382</v>
      </c>
      <c r="F302" t="s">
        <v>696</v>
      </c>
      <c r="G302" t="s">
        <v>81</v>
      </c>
      <c r="H302" t="s">
        <v>247</v>
      </c>
      <c r="I302" t="s">
        <v>231</v>
      </c>
      <c r="J302" s="17">
        <v>108</v>
      </c>
      <c r="K302" s="17">
        <v>2778</v>
      </c>
      <c r="L302" s="17">
        <v>2778</v>
      </c>
      <c r="M302" t="s">
        <v>84</v>
      </c>
      <c r="N302" t="s">
        <v>84</v>
      </c>
      <c r="O302" t="s">
        <v>84</v>
      </c>
      <c r="P302" t="s">
        <v>84</v>
      </c>
      <c r="Q302" s="17">
        <v>33449984.03</v>
      </c>
      <c r="R302" s="17">
        <v>38.47</v>
      </c>
      <c r="S302" t="s">
        <v>85</v>
      </c>
      <c r="T302" t="s">
        <v>84</v>
      </c>
      <c r="U302" t="s">
        <v>86</v>
      </c>
      <c r="V302" s="16">
        <v>44482</v>
      </c>
      <c r="W302" s="18">
        <v>44481.75</v>
      </c>
      <c r="X302" s="18">
        <v>44887.625</v>
      </c>
      <c r="Y302" s="17">
        <v>2631.2</v>
      </c>
      <c r="Z302" t="s">
        <v>87</v>
      </c>
      <c r="AA302" s="17">
        <v>2778</v>
      </c>
      <c r="AB302" s="17">
        <v>2777.94</v>
      </c>
      <c r="AC302" t="s">
        <v>84</v>
      </c>
      <c r="AD302" t="s">
        <v>84</v>
      </c>
      <c r="AE302" t="s">
        <v>84</v>
      </c>
      <c r="AF302" t="s">
        <v>84</v>
      </c>
      <c r="AG302" s="17">
        <v>67049439.13</v>
      </c>
      <c r="AH302" s="17">
        <v>141.54</v>
      </c>
      <c r="AI302" s="17">
        <v>65.65</v>
      </c>
      <c r="AJ302" s="17">
        <v>64.39</v>
      </c>
      <c r="AK302" t="s">
        <v>276</v>
      </c>
      <c r="AM302" s="17">
        <v>3.7</v>
      </c>
      <c r="AN302" s="17"/>
      <c r="AO302" s="17">
        <v>1585</v>
      </c>
      <c r="AP302" s="17"/>
      <c r="AQ302" s="17">
        <v>3400</v>
      </c>
      <c r="AR302" s="17"/>
      <c r="AS302" s="17">
        <v>5.38</v>
      </c>
      <c r="AT302" s="17"/>
      <c r="AU302" s="17">
        <v>3028.21</v>
      </c>
      <c r="AV302" s="17"/>
      <c r="AW302" s="17">
        <v>7417.3</v>
      </c>
      <c r="AX302" s="17"/>
      <c r="AY302" t="s">
        <v>92</v>
      </c>
      <c r="AZ302" t="s">
        <v>92</v>
      </c>
      <c r="BA302" t="s">
        <v>92</v>
      </c>
      <c r="BB302" t="s">
        <v>92</v>
      </c>
      <c r="BC302" t="s">
        <v>92</v>
      </c>
      <c r="BD302" s="17">
        <v>92.4</v>
      </c>
      <c r="BE302" s="17">
        <v>40199210.9</v>
      </c>
      <c r="BF302" t="s">
        <v>92</v>
      </c>
      <c r="BG302" t="s">
        <v>92</v>
      </c>
      <c r="BH302" t="s">
        <v>127</v>
      </c>
      <c r="BI302" t="s">
        <v>278</v>
      </c>
      <c r="BJ302" t="s">
        <v>173</v>
      </c>
      <c r="BK302" t="s">
        <v>85</v>
      </c>
      <c r="BL302" t="s">
        <v>85</v>
      </c>
      <c r="BM302" t="s">
        <v>137</v>
      </c>
      <c r="BN302" t="s">
        <v>97</v>
      </c>
      <c r="BO302" t="s">
        <v>98</v>
      </c>
      <c r="BP302" t="s">
        <v>641</v>
      </c>
      <c r="BQ302" s="17">
        <v>878.65</v>
      </c>
      <c r="BR302" t="s">
        <v>100</v>
      </c>
      <c r="BS302" t="s">
        <v>156</v>
      </c>
      <c r="BT302" t="s">
        <v>695</v>
      </c>
      <c r="BU302" s="17">
        <v>14.4</v>
      </c>
      <c r="BV302" t="s">
        <v>451</v>
      </c>
      <c r="BW302" t="s">
        <v>85</v>
      </c>
      <c r="BX302" t="s">
        <v>85</v>
      </c>
      <c r="BY302" t="str">
        <f>IF(COUNTIF('Data Upload-prod'!E:E,F302)=0,"Missing","Exist")</f>
        <v>Exist</v>
      </c>
    </row>
    <row r="303" hidden="1" spans="1:77">
      <c r="A303" s="16">
        <v>44435</v>
      </c>
      <c r="B303" s="16">
        <v>44599</v>
      </c>
      <c r="C303" t="s">
        <v>132</v>
      </c>
      <c r="D303" t="s">
        <v>120</v>
      </c>
      <c r="E303" t="s">
        <v>697</v>
      </c>
      <c r="F303" t="s">
        <v>698</v>
      </c>
      <c r="G303" t="s">
        <v>81</v>
      </c>
      <c r="H303" t="s">
        <v>168</v>
      </c>
      <c r="I303" t="s">
        <v>124</v>
      </c>
      <c r="J303" s="17">
        <v>94.8</v>
      </c>
      <c r="K303" s="17">
        <v>4714.37</v>
      </c>
      <c r="L303" s="17">
        <v>1363.49</v>
      </c>
      <c r="M303" t="s">
        <v>84</v>
      </c>
      <c r="N303" t="s">
        <v>84</v>
      </c>
      <c r="O303" t="s">
        <v>84</v>
      </c>
      <c r="P303" t="s">
        <v>84</v>
      </c>
      <c r="Q303" s="17">
        <v>20580000</v>
      </c>
      <c r="R303" s="17">
        <v>52.63</v>
      </c>
      <c r="S303" t="s">
        <v>85</v>
      </c>
      <c r="T303" t="s">
        <v>84</v>
      </c>
      <c r="U303" t="s">
        <v>86</v>
      </c>
      <c r="V303" s="16">
        <v>44454</v>
      </c>
      <c r="W303" s="18">
        <v>44454</v>
      </c>
      <c r="X303" s="18">
        <v>44552</v>
      </c>
      <c r="Y303" s="17">
        <v>4609.01</v>
      </c>
      <c r="Z303" t="s">
        <v>87</v>
      </c>
      <c r="AA303" s="17">
        <v>4749</v>
      </c>
      <c r="AB303" s="17">
        <v>1387.84</v>
      </c>
      <c r="AC303" t="s">
        <v>84</v>
      </c>
      <c r="AD303" t="s">
        <v>84</v>
      </c>
      <c r="AE303" t="s">
        <v>84</v>
      </c>
      <c r="AF303" t="s">
        <v>84</v>
      </c>
      <c r="AG303" s="17">
        <v>23906482.81</v>
      </c>
      <c r="AH303" s="17">
        <v>70.43</v>
      </c>
      <c r="AI303" s="17">
        <v>9.13</v>
      </c>
      <c r="AJ303" s="17">
        <v>8.99</v>
      </c>
      <c r="AK303" t="s">
        <v>126</v>
      </c>
      <c r="AM303" s="17">
        <v>2.5</v>
      </c>
      <c r="AN303" s="17"/>
      <c r="AO303" s="17">
        <v>1010</v>
      </c>
      <c r="AP303" s="17"/>
      <c r="AQ303" s="17">
        <v>1705</v>
      </c>
      <c r="AR303" s="17"/>
      <c r="AS303" s="17">
        <v>3.38</v>
      </c>
      <c r="AT303" s="17"/>
      <c r="AU303" s="17">
        <v>1092.6</v>
      </c>
      <c r="AV303" s="17"/>
      <c r="AW303" s="17">
        <v>1373.9</v>
      </c>
      <c r="AX303" s="17"/>
      <c r="AY303" t="s">
        <v>92</v>
      </c>
      <c r="AZ303" t="s">
        <v>92</v>
      </c>
      <c r="BA303" t="s">
        <v>92</v>
      </c>
      <c r="BB303" t="s">
        <v>92</v>
      </c>
      <c r="BC303" t="s">
        <v>92</v>
      </c>
      <c r="BD303" s="17">
        <v>8.73</v>
      </c>
      <c r="BE303" s="17">
        <v>4269322.51</v>
      </c>
      <c r="BF303" t="s">
        <v>92</v>
      </c>
      <c r="BG303" t="s">
        <v>92</v>
      </c>
      <c r="BH303" t="s">
        <v>127</v>
      </c>
      <c r="BI303" t="s">
        <v>94</v>
      </c>
      <c r="BJ303" t="s">
        <v>699</v>
      </c>
      <c r="BK303" t="s">
        <v>85</v>
      </c>
      <c r="BL303" t="s">
        <v>85</v>
      </c>
      <c r="BM303" t="s">
        <v>137</v>
      </c>
      <c r="BN303" t="s">
        <v>97</v>
      </c>
      <c r="BO303" t="s">
        <v>98</v>
      </c>
      <c r="BP303" t="s">
        <v>99</v>
      </c>
      <c r="BQ303" t="s">
        <v>92</v>
      </c>
      <c r="BR303" t="s">
        <v>138</v>
      </c>
      <c r="BS303" t="s">
        <v>156</v>
      </c>
      <c r="BT303" t="s">
        <v>175</v>
      </c>
      <c r="BU303" s="17">
        <v>8.9</v>
      </c>
      <c r="BV303" t="s">
        <v>191</v>
      </c>
      <c r="BW303" t="s">
        <v>85</v>
      </c>
      <c r="BX303" t="s">
        <v>85</v>
      </c>
      <c r="BY303" t="str">
        <f>IF(COUNTIF('Data Upload-prod'!E:E,F303)=0,"Missing","Exist")</f>
        <v>Exist</v>
      </c>
    </row>
    <row r="304" hidden="1" spans="1:77">
      <c r="A304" s="16">
        <v>44431</v>
      </c>
      <c r="B304" s="16">
        <v>44593</v>
      </c>
      <c r="C304" t="s">
        <v>132</v>
      </c>
      <c r="D304" t="s">
        <v>120</v>
      </c>
      <c r="E304" t="s">
        <v>700</v>
      </c>
      <c r="F304" t="s">
        <v>701</v>
      </c>
      <c r="G304" t="s">
        <v>81</v>
      </c>
      <c r="H304" t="s">
        <v>514</v>
      </c>
      <c r="I304" t="s">
        <v>124</v>
      </c>
      <c r="J304" s="17">
        <v>76.01</v>
      </c>
      <c r="K304" s="17">
        <v>2240.48</v>
      </c>
      <c r="L304" s="17">
        <v>2195.67</v>
      </c>
      <c r="M304" t="s">
        <v>84</v>
      </c>
      <c r="N304" t="s">
        <v>84</v>
      </c>
      <c r="O304" t="s">
        <v>84</v>
      </c>
      <c r="P304" t="s">
        <v>84</v>
      </c>
      <c r="Q304" s="17">
        <v>11983433.79</v>
      </c>
      <c r="R304" s="17">
        <v>22.3</v>
      </c>
      <c r="S304" t="s">
        <v>85</v>
      </c>
      <c r="T304" t="s">
        <v>84</v>
      </c>
      <c r="U304" t="s">
        <v>86</v>
      </c>
      <c r="V304" s="16">
        <v>44465</v>
      </c>
      <c r="W304" s="18">
        <v>44465.2083333333</v>
      </c>
      <c r="X304" s="18">
        <v>44546.3958333333</v>
      </c>
      <c r="Y304" s="17">
        <v>3444.25</v>
      </c>
      <c r="Z304" t="s">
        <v>87</v>
      </c>
      <c r="AA304" s="17">
        <v>3565.99</v>
      </c>
      <c r="AB304" s="17">
        <v>2243.8</v>
      </c>
      <c r="AC304" t="s">
        <v>84</v>
      </c>
      <c r="AD304" t="s">
        <v>84</v>
      </c>
      <c r="AE304" t="s">
        <v>84</v>
      </c>
      <c r="AF304" t="s">
        <v>84</v>
      </c>
      <c r="AG304" s="17">
        <v>8706881.81</v>
      </c>
      <c r="AH304" s="17">
        <v>22.31</v>
      </c>
      <c r="AI304" s="17">
        <v>1.31</v>
      </c>
      <c r="AJ304" s="17">
        <v>0</v>
      </c>
      <c r="AK304" t="s">
        <v>208</v>
      </c>
      <c r="AM304" s="17">
        <v>2.2</v>
      </c>
      <c r="AN304" s="17"/>
      <c r="AO304" s="17">
        <v>830</v>
      </c>
      <c r="AP304" s="17"/>
      <c r="AQ304" s="17">
        <v>1395</v>
      </c>
      <c r="AR304" s="17"/>
      <c r="AS304" s="17">
        <v>1.03</v>
      </c>
      <c r="AT304" s="17"/>
      <c r="AU304" s="17">
        <v>249</v>
      </c>
      <c r="AV304" s="17"/>
      <c r="AW304" s="17">
        <v>770</v>
      </c>
      <c r="AX304" s="17"/>
      <c r="AY304" t="s">
        <v>92</v>
      </c>
      <c r="AZ304" t="s">
        <v>92</v>
      </c>
      <c r="BA304" t="s">
        <v>92</v>
      </c>
      <c r="BB304" t="s">
        <v>92</v>
      </c>
      <c r="BC304" t="s">
        <v>92</v>
      </c>
      <c r="BD304" s="17">
        <v>5.46</v>
      </c>
      <c r="BE304" s="17">
        <v>1870736.75</v>
      </c>
      <c r="BF304" t="s">
        <v>92</v>
      </c>
      <c r="BG304" t="s">
        <v>92</v>
      </c>
      <c r="BH304" t="s">
        <v>93</v>
      </c>
      <c r="BI304" t="s">
        <v>94</v>
      </c>
      <c r="BJ304" t="s">
        <v>128</v>
      </c>
      <c r="BK304" t="s">
        <v>85</v>
      </c>
      <c r="BL304" t="s">
        <v>85</v>
      </c>
      <c r="BM304" t="s">
        <v>96</v>
      </c>
      <c r="BN304" t="s">
        <v>569</v>
      </c>
      <c r="BO304" t="s">
        <v>98</v>
      </c>
      <c r="BP304" t="s">
        <v>103</v>
      </c>
      <c r="BQ304" s="17">
        <v>0</v>
      </c>
      <c r="BR304" t="s">
        <v>138</v>
      </c>
      <c r="BS304" t="s">
        <v>338</v>
      </c>
      <c r="BT304" t="s">
        <v>550</v>
      </c>
      <c r="BU304" s="17">
        <v>8.5</v>
      </c>
      <c r="BV304" t="s">
        <v>131</v>
      </c>
      <c r="BW304" t="s">
        <v>85</v>
      </c>
      <c r="BX304" t="s">
        <v>85</v>
      </c>
      <c r="BY304" t="str">
        <f>IF(COUNTIF('Data Upload-prod'!E:E,F304)=0,"Missing","Exist")</f>
        <v>Exist</v>
      </c>
    </row>
    <row r="305" hidden="1" spans="1:77">
      <c r="A305" s="16">
        <v>44431</v>
      </c>
      <c r="B305" s="16">
        <v>44539</v>
      </c>
      <c r="C305" t="s">
        <v>132</v>
      </c>
      <c r="D305" t="s">
        <v>120</v>
      </c>
      <c r="E305" t="s">
        <v>700</v>
      </c>
      <c r="F305" t="s">
        <v>702</v>
      </c>
      <c r="G305" t="s">
        <v>81</v>
      </c>
      <c r="H305" t="s">
        <v>514</v>
      </c>
      <c r="I305" t="s">
        <v>124</v>
      </c>
      <c r="J305" s="17">
        <v>76.01</v>
      </c>
      <c r="K305" s="17">
        <v>3250.53</v>
      </c>
      <c r="L305" s="17">
        <v>2215.06</v>
      </c>
      <c r="M305" t="s">
        <v>84</v>
      </c>
      <c r="N305" t="s">
        <v>84</v>
      </c>
      <c r="O305" t="s">
        <v>84</v>
      </c>
      <c r="P305" t="s">
        <v>84</v>
      </c>
      <c r="Q305" s="17">
        <v>11133921.19</v>
      </c>
      <c r="R305" s="17">
        <v>19.82</v>
      </c>
      <c r="S305" t="s">
        <v>85</v>
      </c>
      <c r="T305" t="s">
        <v>84</v>
      </c>
      <c r="U305" t="s">
        <v>86</v>
      </c>
      <c r="V305" s="16">
        <v>44465</v>
      </c>
      <c r="W305" s="18">
        <v>44465.9479166667</v>
      </c>
      <c r="X305" s="18">
        <v>44503.4479166667</v>
      </c>
      <c r="Y305" s="17">
        <v>3270.53</v>
      </c>
      <c r="Z305" t="s">
        <v>87</v>
      </c>
      <c r="AA305" s="17">
        <v>3392.26</v>
      </c>
      <c r="AB305" s="17">
        <v>2224.35</v>
      </c>
      <c r="AC305" t="s">
        <v>84</v>
      </c>
      <c r="AD305" t="s">
        <v>84</v>
      </c>
      <c r="AE305" t="s">
        <v>84</v>
      </c>
      <c r="AF305" t="s">
        <v>84</v>
      </c>
      <c r="AG305" s="17">
        <v>7392904.95</v>
      </c>
      <c r="AH305" s="17">
        <v>15.93</v>
      </c>
      <c r="AI305" s="17">
        <v>0</v>
      </c>
      <c r="AJ305" s="17">
        <v>0</v>
      </c>
      <c r="AK305" t="s">
        <v>208</v>
      </c>
      <c r="AM305" s="17">
        <v>2.2</v>
      </c>
      <c r="AN305" s="17"/>
      <c r="AO305" s="17">
        <v>830</v>
      </c>
      <c r="AP305" s="17"/>
      <c r="AQ305" s="17">
        <v>1380</v>
      </c>
      <c r="AR305" s="17"/>
      <c r="AS305" s="17">
        <v>1.12</v>
      </c>
      <c r="AT305" s="17"/>
      <c r="AU305" s="17">
        <v>374.46</v>
      </c>
      <c r="AV305" s="17"/>
      <c r="AW305" s="17">
        <v>688.96</v>
      </c>
      <c r="AX305" s="17"/>
      <c r="AY305" t="s">
        <v>92</v>
      </c>
      <c r="AZ305" t="s">
        <v>92</v>
      </c>
      <c r="BA305" t="s">
        <v>92</v>
      </c>
      <c r="BB305" t="s">
        <v>92</v>
      </c>
      <c r="BC305" t="s">
        <v>92</v>
      </c>
      <c r="BD305" s="17">
        <v>3.53</v>
      </c>
      <c r="BE305" s="17">
        <v>1654585.62</v>
      </c>
      <c r="BF305" t="s">
        <v>92</v>
      </c>
      <c r="BG305" t="s">
        <v>92</v>
      </c>
      <c r="BH305" t="s">
        <v>93</v>
      </c>
      <c r="BI305" t="s">
        <v>94</v>
      </c>
      <c r="BJ305" t="s">
        <v>128</v>
      </c>
      <c r="BK305" t="s">
        <v>85</v>
      </c>
      <c r="BL305" t="s">
        <v>85</v>
      </c>
      <c r="BM305" t="s">
        <v>96</v>
      </c>
      <c r="BN305" t="s">
        <v>569</v>
      </c>
      <c r="BO305" t="s">
        <v>98</v>
      </c>
      <c r="BP305" t="s">
        <v>103</v>
      </c>
      <c r="BQ305" s="17">
        <v>0</v>
      </c>
      <c r="BR305" t="s">
        <v>100</v>
      </c>
      <c r="BS305" t="s">
        <v>92</v>
      </c>
      <c r="BT305" t="s">
        <v>550</v>
      </c>
      <c r="BU305" s="17">
        <v>8.5</v>
      </c>
      <c r="BV305" t="s">
        <v>131</v>
      </c>
      <c r="BW305" t="s">
        <v>85</v>
      </c>
      <c r="BX305" t="s">
        <v>85</v>
      </c>
      <c r="BY305" t="str">
        <f>IF(COUNTIF('Data Upload-prod'!E:E,F305)=0,"Missing","Exist")</f>
        <v>Exist</v>
      </c>
    </row>
    <row r="306" hidden="1" spans="1:77">
      <c r="A306" s="16">
        <v>44431</v>
      </c>
      <c r="B306" s="16">
        <v>44593</v>
      </c>
      <c r="C306" t="s">
        <v>132</v>
      </c>
      <c r="D306" t="s">
        <v>120</v>
      </c>
      <c r="E306" t="s">
        <v>700</v>
      </c>
      <c r="F306" t="s">
        <v>703</v>
      </c>
      <c r="G306" t="s">
        <v>81</v>
      </c>
      <c r="H306" t="s">
        <v>514</v>
      </c>
      <c r="I306" t="s">
        <v>124</v>
      </c>
      <c r="J306" s="17">
        <v>75.89</v>
      </c>
      <c r="K306" s="17">
        <v>3089.3</v>
      </c>
      <c r="L306" s="17">
        <v>2218.23</v>
      </c>
      <c r="M306" t="s">
        <v>84</v>
      </c>
      <c r="N306" t="s">
        <v>84</v>
      </c>
      <c r="O306" t="s">
        <v>84</v>
      </c>
      <c r="P306" t="s">
        <v>84</v>
      </c>
      <c r="Q306" s="17">
        <v>11796515.53</v>
      </c>
      <c r="R306" s="17">
        <v>23.42</v>
      </c>
      <c r="S306" t="s">
        <v>85</v>
      </c>
      <c r="T306" t="s">
        <v>84</v>
      </c>
      <c r="U306" t="s">
        <v>86</v>
      </c>
      <c r="V306" s="16">
        <v>44465</v>
      </c>
      <c r="W306" s="18">
        <v>44465</v>
      </c>
      <c r="X306" s="18">
        <v>44533.75</v>
      </c>
      <c r="Y306" s="17">
        <v>3020.12</v>
      </c>
      <c r="Z306" t="s">
        <v>87</v>
      </c>
      <c r="AA306" s="17">
        <v>3141.73</v>
      </c>
      <c r="AB306" s="17">
        <v>2221.43</v>
      </c>
      <c r="AC306" t="s">
        <v>84</v>
      </c>
      <c r="AD306" t="s">
        <v>84</v>
      </c>
      <c r="AE306" t="s">
        <v>84</v>
      </c>
      <c r="AF306" t="s">
        <v>84</v>
      </c>
      <c r="AG306" s="17">
        <v>7463191.76</v>
      </c>
      <c r="AH306" s="17">
        <v>16.91</v>
      </c>
      <c r="AI306" s="17">
        <v>1.4</v>
      </c>
      <c r="AJ306" s="17">
        <v>1.31</v>
      </c>
      <c r="AK306" t="s">
        <v>208</v>
      </c>
      <c r="AM306" s="17">
        <v>2.2</v>
      </c>
      <c r="AN306" s="17"/>
      <c r="AO306" s="17">
        <v>830</v>
      </c>
      <c r="AP306" s="17"/>
      <c r="AQ306" s="17">
        <v>1380</v>
      </c>
      <c r="AR306" s="17"/>
      <c r="AS306" s="17">
        <v>1.23</v>
      </c>
      <c r="AT306" s="17"/>
      <c r="AU306" s="17">
        <v>459</v>
      </c>
      <c r="AV306" s="17"/>
      <c r="AW306" s="17">
        <v>752</v>
      </c>
      <c r="AX306" s="17"/>
      <c r="AY306" t="s">
        <v>92</v>
      </c>
      <c r="AZ306" t="s">
        <v>92</v>
      </c>
      <c r="BA306" t="s">
        <v>92</v>
      </c>
      <c r="BB306" t="s">
        <v>92</v>
      </c>
      <c r="BC306" t="s">
        <v>92</v>
      </c>
      <c r="BD306" s="17">
        <v>4.23</v>
      </c>
      <c r="BE306" s="17">
        <v>1492915.67</v>
      </c>
      <c r="BF306" t="s">
        <v>92</v>
      </c>
      <c r="BG306" t="s">
        <v>92</v>
      </c>
      <c r="BH306" t="s">
        <v>93</v>
      </c>
      <c r="BI306" t="s">
        <v>94</v>
      </c>
      <c r="BJ306" t="s">
        <v>128</v>
      </c>
      <c r="BK306" t="s">
        <v>85</v>
      </c>
      <c r="BL306" t="s">
        <v>85</v>
      </c>
      <c r="BM306" t="s">
        <v>96</v>
      </c>
      <c r="BN306" t="s">
        <v>569</v>
      </c>
      <c r="BO306" t="s">
        <v>98</v>
      </c>
      <c r="BP306" t="s">
        <v>103</v>
      </c>
      <c r="BQ306" s="17">
        <v>0</v>
      </c>
      <c r="BR306" t="s">
        <v>138</v>
      </c>
      <c r="BS306" t="s">
        <v>92</v>
      </c>
      <c r="BT306" t="s">
        <v>550</v>
      </c>
      <c r="BU306" s="17">
        <v>8.5</v>
      </c>
      <c r="BV306" t="s">
        <v>131</v>
      </c>
      <c r="BW306" t="s">
        <v>85</v>
      </c>
      <c r="BX306" t="s">
        <v>85</v>
      </c>
      <c r="BY306" t="str">
        <f>IF(COUNTIF('Data Upload-prod'!E:E,F306)=0,"Missing","Exist")</f>
        <v>Exist</v>
      </c>
    </row>
    <row r="307" hidden="1" spans="1:77">
      <c r="A307" s="16">
        <v>44414</v>
      </c>
      <c r="B307" s="16">
        <v>44511</v>
      </c>
      <c r="C307" t="s">
        <v>132</v>
      </c>
      <c r="D307" t="s">
        <v>120</v>
      </c>
      <c r="E307" t="s">
        <v>704</v>
      </c>
      <c r="F307" t="s">
        <v>705</v>
      </c>
      <c r="G307" t="s">
        <v>81</v>
      </c>
      <c r="H307" t="s">
        <v>135</v>
      </c>
      <c r="I307" t="s">
        <v>124</v>
      </c>
      <c r="J307" s="17">
        <v>46.94</v>
      </c>
      <c r="K307" s="17">
        <v>2300.94</v>
      </c>
      <c r="L307" s="17">
        <v>2216.32</v>
      </c>
      <c r="M307" t="s">
        <v>84</v>
      </c>
      <c r="N307" t="s">
        <v>84</v>
      </c>
      <c r="O307" t="s">
        <v>84</v>
      </c>
      <c r="P307" t="s">
        <v>84</v>
      </c>
      <c r="Q307" s="17">
        <v>12210000</v>
      </c>
      <c r="R307" s="17">
        <v>40.02</v>
      </c>
      <c r="S307" t="s">
        <v>106</v>
      </c>
      <c r="T307" t="s">
        <v>84</v>
      </c>
      <c r="U307" t="s">
        <v>86</v>
      </c>
      <c r="V307" s="16">
        <v>44434.2604166667</v>
      </c>
      <c r="W307" s="18">
        <v>44424</v>
      </c>
      <c r="X307" s="18">
        <v>44474.875</v>
      </c>
      <c r="Y307" s="17">
        <v>2226.09</v>
      </c>
      <c r="Z307" t="s">
        <v>87</v>
      </c>
      <c r="AA307" s="17">
        <v>2293.81</v>
      </c>
      <c r="AB307" s="17">
        <v>2218.38</v>
      </c>
      <c r="AC307" t="s">
        <v>84</v>
      </c>
      <c r="AD307" t="s">
        <v>84</v>
      </c>
      <c r="AE307" t="s">
        <v>84</v>
      </c>
      <c r="AF307" t="s">
        <v>84</v>
      </c>
      <c r="AG307" s="17">
        <v>10162815.81</v>
      </c>
      <c r="AH307" s="17">
        <v>39.04</v>
      </c>
      <c r="AI307" s="17">
        <v>13.24</v>
      </c>
      <c r="AJ307" s="17">
        <v>12.92</v>
      </c>
      <c r="AK307" t="s">
        <v>89</v>
      </c>
      <c r="AM307" s="17">
        <v>2.4</v>
      </c>
      <c r="AN307" s="17"/>
      <c r="AO307" s="17">
        <v>795</v>
      </c>
      <c r="AP307" s="17"/>
      <c r="AQ307" s="17">
        <v>1400</v>
      </c>
      <c r="AR307" s="17"/>
      <c r="AS307" s="17">
        <v>1.44</v>
      </c>
      <c r="AT307" s="17"/>
      <c r="AU307" s="17">
        <v>433</v>
      </c>
      <c r="AV307" s="17"/>
      <c r="AW307" s="17">
        <v>937</v>
      </c>
      <c r="AX307" s="17"/>
      <c r="AY307" t="s">
        <v>92</v>
      </c>
      <c r="AZ307" t="s">
        <v>92</v>
      </c>
      <c r="BA307" t="s">
        <v>92</v>
      </c>
      <c r="BB307" t="s">
        <v>92</v>
      </c>
      <c r="BC307" t="s">
        <v>92</v>
      </c>
      <c r="BD307" s="17">
        <v>8.38</v>
      </c>
      <c r="BE307" s="17">
        <v>1821292</v>
      </c>
      <c r="BF307" t="s">
        <v>92</v>
      </c>
      <c r="BG307" t="s">
        <v>92</v>
      </c>
      <c r="BH307" t="s">
        <v>93</v>
      </c>
      <c r="BI307" t="s">
        <v>94</v>
      </c>
      <c r="BJ307" t="s">
        <v>173</v>
      </c>
      <c r="BK307" t="s">
        <v>85</v>
      </c>
      <c r="BL307" t="s">
        <v>85</v>
      </c>
      <c r="BM307" t="s">
        <v>96</v>
      </c>
      <c r="BN307" t="s">
        <v>253</v>
      </c>
      <c r="BO307" t="s">
        <v>98</v>
      </c>
      <c r="BP307" t="s">
        <v>103</v>
      </c>
      <c r="BQ307" s="17">
        <v>1209</v>
      </c>
      <c r="BR307" t="s">
        <v>100</v>
      </c>
      <c r="BS307" t="s">
        <v>156</v>
      </c>
      <c r="BT307" t="s">
        <v>550</v>
      </c>
      <c r="BU307" s="17">
        <v>9.3</v>
      </c>
      <c r="BV307" t="s">
        <v>191</v>
      </c>
      <c r="BW307" t="s">
        <v>85</v>
      </c>
      <c r="BX307" t="s">
        <v>85</v>
      </c>
      <c r="BY307" t="str">
        <f>IF(COUNTIF('Data Upload-prod'!E:E,F307)=0,"Missing","Exist")</f>
        <v>Exist</v>
      </c>
    </row>
    <row r="308" hidden="1" spans="1:77">
      <c r="A308" s="16">
        <v>44414</v>
      </c>
      <c r="B308" s="16">
        <v>44522</v>
      </c>
      <c r="C308" t="s">
        <v>132</v>
      </c>
      <c r="D308" t="s">
        <v>120</v>
      </c>
      <c r="E308" t="s">
        <v>704</v>
      </c>
      <c r="F308" t="s">
        <v>706</v>
      </c>
      <c r="G308" t="s">
        <v>81</v>
      </c>
      <c r="H308" t="s">
        <v>135</v>
      </c>
      <c r="I308" t="s">
        <v>124</v>
      </c>
      <c r="J308" s="17">
        <v>46.94</v>
      </c>
      <c r="K308" s="17">
        <v>2300.94</v>
      </c>
      <c r="L308" s="17">
        <v>2216.32</v>
      </c>
      <c r="M308" t="s">
        <v>84</v>
      </c>
      <c r="N308" t="s">
        <v>84</v>
      </c>
      <c r="O308" t="s">
        <v>84</v>
      </c>
      <c r="P308" t="s">
        <v>84</v>
      </c>
      <c r="Q308" s="17">
        <v>8387122</v>
      </c>
      <c r="R308" s="17">
        <v>23.4</v>
      </c>
      <c r="S308" t="s">
        <v>85</v>
      </c>
      <c r="T308" t="s">
        <v>84</v>
      </c>
      <c r="U308" t="s">
        <v>86</v>
      </c>
      <c r="V308" t="s">
        <v>84</v>
      </c>
      <c r="W308" s="18">
        <v>44419.875</v>
      </c>
      <c r="X308" s="18">
        <v>44485.7708333333</v>
      </c>
      <c r="Y308" s="17">
        <v>2228.53</v>
      </c>
      <c r="Z308" t="s">
        <v>87</v>
      </c>
      <c r="AA308" s="17">
        <v>2296.25</v>
      </c>
      <c r="AB308" s="17">
        <v>2259.04</v>
      </c>
      <c r="AC308" t="s">
        <v>84</v>
      </c>
      <c r="AD308" t="s">
        <v>84</v>
      </c>
      <c r="AE308" t="s">
        <v>84</v>
      </c>
      <c r="AF308" t="s">
        <v>84</v>
      </c>
      <c r="AG308" s="17">
        <v>8209895</v>
      </c>
      <c r="AH308" s="17">
        <v>27.81</v>
      </c>
      <c r="AI308" s="17">
        <v>3.14</v>
      </c>
      <c r="AJ308" s="17">
        <v>2.84</v>
      </c>
      <c r="AK308" t="s">
        <v>298</v>
      </c>
      <c r="AM308" s="17">
        <v>1.8</v>
      </c>
      <c r="AN308" s="17"/>
      <c r="AO308" s="17">
        <v>600</v>
      </c>
      <c r="AP308" s="17"/>
      <c r="AQ308" s="17">
        <v>1670</v>
      </c>
      <c r="AR308" s="17"/>
      <c r="AS308" s="17">
        <v>1.3</v>
      </c>
      <c r="AT308" s="17"/>
      <c r="AU308" s="17">
        <v>519</v>
      </c>
      <c r="AV308" s="17"/>
      <c r="AW308" s="17">
        <v>1395</v>
      </c>
      <c r="AX308" s="17"/>
      <c r="AY308" t="s">
        <v>92</v>
      </c>
      <c r="AZ308" t="s">
        <v>92</v>
      </c>
      <c r="BA308" t="s">
        <v>92</v>
      </c>
      <c r="BB308" t="s">
        <v>92</v>
      </c>
      <c r="BC308" t="s">
        <v>92</v>
      </c>
      <c r="BD308" s="17">
        <v>10.31</v>
      </c>
      <c r="BE308" s="17">
        <v>1966374</v>
      </c>
      <c r="BF308" t="s">
        <v>92</v>
      </c>
      <c r="BG308" t="s">
        <v>92</v>
      </c>
      <c r="BH308" t="s">
        <v>93</v>
      </c>
      <c r="BI308" t="s">
        <v>94</v>
      </c>
      <c r="BJ308" t="s">
        <v>173</v>
      </c>
      <c r="BK308" t="s">
        <v>85</v>
      </c>
      <c r="BL308" t="s">
        <v>85</v>
      </c>
      <c r="BM308" t="s">
        <v>96</v>
      </c>
      <c r="BN308" t="s">
        <v>174</v>
      </c>
      <c r="BO308" t="s">
        <v>98</v>
      </c>
      <c r="BP308" t="s">
        <v>103</v>
      </c>
      <c r="BQ308" s="17">
        <v>4356</v>
      </c>
      <c r="BR308" t="s">
        <v>100</v>
      </c>
      <c r="BS308" t="s">
        <v>156</v>
      </c>
      <c r="BT308" t="s">
        <v>550</v>
      </c>
      <c r="BU308" s="17">
        <v>9.3</v>
      </c>
      <c r="BV308" t="s">
        <v>191</v>
      </c>
      <c r="BW308" t="s">
        <v>85</v>
      </c>
      <c r="BX308" t="s">
        <v>85</v>
      </c>
      <c r="BY308" t="str">
        <f>IF(COUNTIF('Data Upload-prod'!E:E,F308)=0,"Missing","Exist")</f>
        <v>Exist</v>
      </c>
    </row>
    <row r="309" hidden="1" spans="1:77">
      <c r="A309" s="16">
        <v>44389</v>
      </c>
      <c r="B309" s="16">
        <v>44539</v>
      </c>
      <c r="C309" t="s">
        <v>132</v>
      </c>
      <c r="D309" t="s">
        <v>120</v>
      </c>
      <c r="E309" t="s">
        <v>697</v>
      </c>
      <c r="F309" t="s">
        <v>707</v>
      </c>
      <c r="G309" t="s">
        <v>81</v>
      </c>
      <c r="H309" t="s">
        <v>168</v>
      </c>
      <c r="I309" t="s">
        <v>124</v>
      </c>
      <c r="J309" s="17">
        <v>94.8</v>
      </c>
      <c r="K309" s="17">
        <v>2290.11</v>
      </c>
      <c r="L309" s="17">
        <v>1382.05</v>
      </c>
      <c r="M309" t="s">
        <v>84</v>
      </c>
      <c r="N309" t="s">
        <v>84</v>
      </c>
      <c r="O309" t="s">
        <v>84</v>
      </c>
      <c r="P309" t="s">
        <v>84</v>
      </c>
      <c r="Q309" s="17">
        <v>10695268.62</v>
      </c>
      <c r="R309" s="17">
        <v>21.74</v>
      </c>
      <c r="S309" t="s">
        <v>85</v>
      </c>
      <c r="T309" t="s">
        <v>84</v>
      </c>
      <c r="U309" t="s">
        <v>86</v>
      </c>
      <c r="V309" s="16">
        <v>44461</v>
      </c>
      <c r="W309" s="18">
        <v>44460.4166666667</v>
      </c>
      <c r="X309" s="18">
        <v>44484.5416666667</v>
      </c>
      <c r="Y309" s="17">
        <v>2150.01</v>
      </c>
      <c r="Z309" t="s">
        <v>87</v>
      </c>
      <c r="AA309" s="17">
        <v>2290</v>
      </c>
      <c r="AB309" s="17">
        <v>1369.19</v>
      </c>
      <c r="AC309" t="s">
        <v>84</v>
      </c>
      <c r="AD309" t="s">
        <v>84</v>
      </c>
      <c r="AE309" t="s">
        <v>84</v>
      </c>
      <c r="AF309" t="s">
        <v>84</v>
      </c>
      <c r="AG309" s="17">
        <v>11566644.79</v>
      </c>
      <c r="AH309" s="17">
        <v>24.13</v>
      </c>
      <c r="AI309" s="17">
        <v>7.21</v>
      </c>
      <c r="AJ309" s="17">
        <v>7.08</v>
      </c>
      <c r="AK309" t="s">
        <v>126</v>
      </c>
      <c r="AM309" s="17">
        <v>2.5</v>
      </c>
      <c r="AN309" s="17"/>
      <c r="AO309" s="17">
        <v>1010</v>
      </c>
      <c r="AP309" s="17"/>
      <c r="AQ309" s="17">
        <v>1705</v>
      </c>
      <c r="AR309" s="17"/>
      <c r="AS309" s="17">
        <v>2.51</v>
      </c>
      <c r="AT309" s="17"/>
      <c r="AU309" s="17">
        <v>911</v>
      </c>
      <c r="AV309" s="17"/>
      <c r="AW309" s="17">
        <v>1562</v>
      </c>
      <c r="AX309" s="17"/>
      <c r="AY309" t="s">
        <v>92</v>
      </c>
      <c r="AZ309" t="s">
        <v>92</v>
      </c>
      <c r="BA309" t="s">
        <v>92</v>
      </c>
      <c r="BB309" t="s">
        <v>92</v>
      </c>
      <c r="BC309" t="s">
        <v>92</v>
      </c>
      <c r="BD309" s="17">
        <v>5.85</v>
      </c>
      <c r="BE309" s="17">
        <v>3568907.75</v>
      </c>
      <c r="BF309" t="s">
        <v>92</v>
      </c>
      <c r="BG309" t="s">
        <v>92</v>
      </c>
      <c r="BH309" t="s">
        <v>127</v>
      </c>
      <c r="BI309" t="s">
        <v>94</v>
      </c>
      <c r="BJ309" t="s">
        <v>699</v>
      </c>
      <c r="BK309" t="s">
        <v>85</v>
      </c>
      <c r="BL309" t="s">
        <v>85</v>
      </c>
      <c r="BM309" t="s">
        <v>137</v>
      </c>
      <c r="BN309" t="s">
        <v>97</v>
      </c>
      <c r="BO309" t="s">
        <v>98</v>
      </c>
      <c r="BP309" t="s">
        <v>99</v>
      </c>
      <c r="BQ309" t="s">
        <v>92</v>
      </c>
      <c r="BR309" t="s">
        <v>138</v>
      </c>
      <c r="BS309" t="s">
        <v>156</v>
      </c>
      <c r="BT309" t="s">
        <v>175</v>
      </c>
      <c r="BU309" s="17">
        <v>8.9</v>
      </c>
      <c r="BV309" t="s">
        <v>191</v>
      </c>
      <c r="BW309" t="s">
        <v>85</v>
      </c>
      <c r="BX309" t="s">
        <v>85</v>
      </c>
      <c r="BY309" t="str">
        <f>IF(COUNTIF('Data Upload-prod'!E:E,F309)=0,"Missing","Exist")</f>
        <v>Exist</v>
      </c>
    </row>
    <row r="310" hidden="1" spans="1:77">
      <c r="A310" s="16">
        <v>44369</v>
      </c>
      <c r="B310" s="16">
        <v>44525</v>
      </c>
      <c r="C310" t="s">
        <v>187</v>
      </c>
      <c r="D310" t="s">
        <v>78</v>
      </c>
      <c r="E310" t="s">
        <v>708</v>
      </c>
      <c r="F310" t="s">
        <v>709</v>
      </c>
      <c r="G310" t="s">
        <v>81</v>
      </c>
      <c r="H310" t="s">
        <v>680</v>
      </c>
      <c r="I310" t="s">
        <v>124</v>
      </c>
      <c r="J310" s="17">
        <v>62.5</v>
      </c>
      <c r="K310" s="17">
        <v>2222</v>
      </c>
      <c r="L310" s="17">
        <v>1682</v>
      </c>
      <c r="M310" t="s">
        <v>84</v>
      </c>
      <c r="N310" t="s">
        <v>84</v>
      </c>
      <c r="O310" t="s">
        <v>84</v>
      </c>
      <c r="P310" t="s">
        <v>84</v>
      </c>
      <c r="Q310" s="17">
        <v>5085790</v>
      </c>
      <c r="R310" s="17">
        <v>15.02</v>
      </c>
      <c r="S310" t="s">
        <v>85</v>
      </c>
      <c r="T310" t="s">
        <v>84</v>
      </c>
      <c r="U310" t="s">
        <v>86</v>
      </c>
      <c r="V310" s="16">
        <v>44379.6458333333</v>
      </c>
      <c r="W310" s="18">
        <v>44379</v>
      </c>
      <c r="X310" s="18">
        <v>44474</v>
      </c>
      <c r="Y310" s="17">
        <v>2116.84</v>
      </c>
      <c r="Z310" t="s">
        <v>87</v>
      </c>
      <c r="AA310" s="17">
        <v>2228</v>
      </c>
      <c r="AB310" s="17">
        <v>1698</v>
      </c>
      <c r="AC310" t="s">
        <v>84</v>
      </c>
      <c r="AD310" t="s">
        <v>84</v>
      </c>
      <c r="AE310" t="s">
        <v>84</v>
      </c>
      <c r="AF310" t="s">
        <v>84</v>
      </c>
      <c r="AG310" s="17">
        <v>4737353</v>
      </c>
      <c r="AH310" s="17">
        <v>14.88</v>
      </c>
      <c r="AI310" s="17">
        <v>6</v>
      </c>
      <c r="AJ310" s="17">
        <v>6</v>
      </c>
      <c r="AK310" t="s">
        <v>208</v>
      </c>
      <c r="AM310" s="17">
        <v>2.1</v>
      </c>
      <c r="AN310" s="17"/>
      <c r="AO310" s="17">
        <v>700</v>
      </c>
      <c r="AP310" s="17"/>
      <c r="AQ310" s="17">
        <v>1220</v>
      </c>
      <c r="AR310" s="17"/>
      <c r="AS310" s="17">
        <v>1.22</v>
      </c>
      <c r="AT310" s="17"/>
      <c r="AU310" s="17">
        <v>339</v>
      </c>
      <c r="AV310" s="17"/>
      <c r="AW310" s="17">
        <v>648</v>
      </c>
      <c r="AX310" s="17"/>
      <c r="AY310" t="s">
        <v>92</v>
      </c>
      <c r="AZ310" t="s">
        <v>92</v>
      </c>
      <c r="BA310" t="s">
        <v>92</v>
      </c>
      <c r="BB310" t="s">
        <v>92</v>
      </c>
      <c r="BC310" t="s">
        <v>92</v>
      </c>
      <c r="BD310" s="17">
        <v>5.97</v>
      </c>
      <c r="BE310" s="17">
        <v>2262769.25</v>
      </c>
      <c r="BF310" t="s">
        <v>92</v>
      </c>
      <c r="BG310" t="s">
        <v>92</v>
      </c>
      <c r="BH310" t="s">
        <v>93</v>
      </c>
      <c r="BI310" t="s">
        <v>94</v>
      </c>
      <c r="BJ310" t="s">
        <v>95</v>
      </c>
      <c r="BK310" t="s">
        <v>85</v>
      </c>
      <c r="BL310" t="s">
        <v>85</v>
      </c>
      <c r="BM310" t="s">
        <v>273</v>
      </c>
      <c r="BN310" t="s">
        <v>97</v>
      </c>
      <c r="BO310" t="s">
        <v>98</v>
      </c>
      <c r="BP310" t="s">
        <v>103</v>
      </c>
      <c r="BQ310" s="17">
        <v>0</v>
      </c>
      <c r="BR310" t="s">
        <v>100</v>
      </c>
      <c r="BS310" t="s">
        <v>92</v>
      </c>
      <c r="BT310" t="s">
        <v>99</v>
      </c>
      <c r="BU310" s="17">
        <v>8.6</v>
      </c>
      <c r="BV310" t="s">
        <v>131</v>
      </c>
      <c r="BW310" t="s">
        <v>85</v>
      </c>
      <c r="BX310" t="s">
        <v>85</v>
      </c>
      <c r="BY310" t="str">
        <f>IF(COUNTIF('Data Upload-prod'!E:E,F310)=0,"Missing","Exist")</f>
        <v>Exist</v>
      </c>
    </row>
    <row r="311" hidden="1" spans="1:77">
      <c r="A311" s="16">
        <v>44369</v>
      </c>
      <c r="B311" s="16">
        <v>44516</v>
      </c>
      <c r="C311" t="s">
        <v>187</v>
      </c>
      <c r="D311" t="s">
        <v>78</v>
      </c>
      <c r="E311" t="s">
        <v>708</v>
      </c>
      <c r="F311" t="s">
        <v>710</v>
      </c>
      <c r="G311" t="s">
        <v>81</v>
      </c>
      <c r="H311" t="s">
        <v>181</v>
      </c>
      <c r="I311" t="s">
        <v>124</v>
      </c>
      <c r="J311" s="17">
        <v>62.5</v>
      </c>
      <c r="K311" s="17">
        <v>3035</v>
      </c>
      <c r="L311" s="17">
        <v>1706</v>
      </c>
      <c r="M311" t="s">
        <v>84</v>
      </c>
      <c r="N311" t="s">
        <v>84</v>
      </c>
      <c r="O311" t="s">
        <v>84</v>
      </c>
      <c r="P311" t="s">
        <v>84</v>
      </c>
      <c r="Q311" s="17">
        <v>7651560</v>
      </c>
      <c r="R311" s="17">
        <v>27.25</v>
      </c>
      <c r="S311" t="s">
        <v>85</v>
      </c>
      <c r="T311" t="s">
        <v>84</v>
      </c>
      <c r="U311" t="s">
        <v>86</v>
      </c>
      <c r="V311" s="16">
        <v>44376</v>
      </c>
      <c r="W311" s="18">
        <v>44376</v>
      </c>
      <c r="X311" t="s">
        <v>84</v>
      </c>
      <c r="Y311" s="17">
        <v>2889.84</v>
      </c>
      <c r="Z311" t="s">
        <v>87</v>
      </c>
      <c r="AA311" s="17">
        <v>3001</v>
      </c>
      <c r="AB311" s="17">
        <v>1702.65</v>
      </c>
      <c r="AC311" t="s">
        <v>84</v>
      </c>
      <c r="AD311" t="s">
        <v>84</v>
      </c>
      <c r="AE311" t="s">
        <v>84</v>
      </c>
      <c r="AF311" t="s">
        <v>84</v>
      </c>
      <c r="AG311" s="17">
        <v>5270000</v>
      </c>
      <c r="AH311" s="17">
        <v>17.95</v>
      </c>
      <c r="AI311" s="17">
        <v>0.52</v>
      </c>
      <c r="AJ311" s="17">
        <v>0.52</v>
      </c>
      <c r="AK311" t="s">
        <v>208</v>
      </c>
      <c r="AM311" s="17">
        <v>2.1</v>
      </c>
      <c r="AN311" s="17"/>
      <c r="AO311" s="17">
        <v>700</v>
      </c>
      <c r="AP311" s="17"/>
      <c r="AQ311" s="17">
        <v>1220</v>
      </c>
      <c r="AR311" s="17"/>
      <c r="AS311" s="17">
        <v>1.08</v>
      </c>
      <c r="AT311" s="17"/>
      <c r="AU311" s="17">
        <v>348</v>
      </c>
      <c r="AV311" s="17"/>
      <c r="AW311" s="17">
        <v>535</v>
      </c>
      <c r="AX311" s="17"/>
      <c r="AY311" t="s">
        <v>92</v>
      </c>
      <c r="AZ311" t="s">
        <v>92</v>
      </c>
      <c r="BA311" t="s">
        <v>92</v>
      </c>
      <c r="BB311" t="s">
        <v>92</v>
      </c>
      <c r="BC311" t="s">
        <v>92</v>
      </c>
      <c r="BD311" s="17">
        <v>5.23</v>
      </c>
      <c r="BE311" s="17">
        <v>1845847.96</v>
      </c>
      <c r="BF311" t="s">
        <v>92</v>
      </c>
      <c r="BG311" t="s">
        <v>92</v>
      </c>
      <c r="BH311" t="s">
        <v>93</v>
      </c>
      <c r="BI311" t="s">
        <v>94</v>
      </c>
      <c r="BJ311" t="s">
        <v>173</v>
      </c>
      <c r="BK311" t="s">
        <v>85</v>
      </c>
      <c r="BL311" t="s">
        <v>85</v>
      </c>
      <c r="BM311" t="s">
        <v>96</v>
      </c>
      <c r="BN311" t="s">
        <v>97</v>
      </c>
      <c r="BO311" t="s">
        <v>98</v>
      </c>
      <c r="BP311" t="s">
        <v>103</v>
      </c>
      <c r="BQ311" s="17">
        <v>0</v>
      </c>
      <c r="BR311" t="s">
        <v>100</v>
      </c>
      <c r="BS311" t="s">
        <v>92</v>
      </c>
      <c r="BT311" t="s">
        <v>255</v>
      </c>
      <c r="BU311" s="17">
        <v>8.6</v>
      </c>
      <c r="BV311" t="s">
        <v>131</v>
      </c>
      <c r="BW311" t="s">
        <v>85</v>
      </c>
      <c r="BX311" t="s">
        <v>85</v>
      </c>
      <c r="BY311" t="str">
        <f>IF(COUNTIF('Data Upload-prod'!E:E,F311)=0,"Missing","Exist")</f>
        <v>Exist</v>
      </c>
    </row>
    <row r="312" hidden="1" spans="1:77">
      <c r="A312" s="16">
        <v>44359</v>
      </c>
      <c r="B312" s="16">
        <v>44525</v>
      </c>
      <c r="C312" t="s">
        <v>187</v>
      </c>
      <c r="D312" t="s">
        <v>78</v>
      </c>
      <c r="E312" t="s">
        <v>708</v>
      </c>
      <c r="F312" t="s">
        <v>711</v>
      </c>
      <c r="G312" t="s">
        <v>81</v>
      </c>
      <c r="H312" t="s">
        <v>680</v>
      </c>
      <c r="I312" t="s">
        <v>124</v>
      </c>
      <c r="J312" s="17">
        <v>62.5</v>
      </c>
      <c r="K312" s="17">
        <v>2503</v>
      </c>
      <c r="L312" s="17">
        <v>1629</v>
      </c>
      <c r="M312" t="s">
        <v>84</v>
      </c>
      <c r="N312" t="s">
        <v>84</v>
      </c>
      <c r="O312" t="s">
        <v>84</v>
      </c>
      <c r="P312" t="s">
        <v>84</v>
      </c>
      <c r="Q312" s="17">
        <v>7272528</v>
      </c>
      <c r="R312" s="17">
        <v>22.4</v>
      </c>
      <c r="S312" t="s">
        <v>85</v>
      </c>
      <c r="T312" t="s">
        <v>84</v>
      </c>
      <c r="U312" t="s">
        <v>86</v>
      </c>
      <c r="V312" s="16">
        <v>44368</v>
      </c>
      <c r="W312" s="18">
        <v>44367</v>
      </c>
      <c r="X312" s="18">
        <v>44462</v>
      </c>
      <c r="Y312" s="17">
        <v>2420.84</v>
      </c>
      <c r="Z312" t="s">
        <v>87</v>
      </c>
      <c r="AA312" s="17">
        <v>2532</v>
      </c>
      <c r="AB312" s="17">
        <v>1657</v>
      </c>
      <c r="AC312" t="s">
        <v>84</v>
      </c>
      <c r="AD312" t="s">
        <v>84</v>
      </c>
      <c r="AE312" t="s">
        <v>84</v>
      </c>
      <c r="AF312" t="s">
        <v>84</v>
      </c>
      <c r="AG312" s="17">
        <v>5598047</v>
      </c>
      <c r="AH312" s="17">
        <v>18.25</v>
      </c>
      <c r="AI312" s="17">
        <v>0.74</v>
      </c>
      <c r="AJ312" s="17">
        <v>0.29</v>
      </c>
      <c r="AK312" t="s">
        <v>208</v>
      </c>
      <c r="AM312" s="17">
        <v>2.1</v>
      </c>
      <c r="AN312" s="17"/>
      <c r="AO312" s="17">
        <v>700</v>
      </c>
      <c r="AP312" s="17"/>
      <c r="AQ312" s="17">
        <v>1220</v>
      </c>
      <c r="AR312" s="17"/>
      <c r="AS312" s="17">
        <v>1.24</v>
      </c>
      <c r="AT312" s="17"/>
      <c r="AU312" s="17">
        <v>407</v>
      </c>
      <c r="AV312" s="17"/>
      <c r="AW312" s="17">
        <v>674</v>
      </c>
      <c r="AX312" s="17"/>
      <c r="AY312" t="s">
        <v>92</v>
      </c>
      <c r="AZ312" t="s">
        <v>92</v>
      </c>
      <c r="BA312" t="s">
        <v>92</v>
      </c>
      <c r="BB312" t="s">
        <v>92</v>
      </c>
      <c r="BC312" t="s">
        <v>92</v>
      </c>
      <c r="BD312" s="17">
        <v>5.56</v>
      </c>
      <c r="BE312" s="17">
        <v>2218251.13</v>
      </c>
      <c r="BF312" t="s">
        <v>92</v>
      </c>
      <c r="BG312" t="s">
        <v>92</v>
      </c>
      <c r="BH312" t="s">
        <v>93</v>
      </c>
      <c r="BI312" t="s">
        <v>94</v>
      </c>
      <c r="BJ312" t="s">
        <v>173</v>
      </c>
      <c r="BK312" t="s">
        <v>85</v>
      </c>
      <c r="BL312" t="s">
        <v>85</v>
      </c>
      <c r="BM312" t="s">
        <v>96</v>
      </c>
      <c r="BN312" t="s">
        <v>97</v>
      </c>
      <c r="BO312" t="s">
        <v>98</v>
      </c>
      <c r="BP312" t="s">
        <v>103</v>
      </c>
      <c r="BQ312" s="17">
        <v>0</v>
      </c>
      <c r="BR312" t="s">
        <v>138</v>
      </c>
      <c r="BS312" t="s">
        <v>92</v>
      </c>
      <c r="BT312" t="s">
        <v>99</v>
      </c>
      <c r="BU312" s="17">
        <v>8.6</v>
      </c>
      <c r="BV312" t="s">
        <v>131</v>
      </c>
      <c r="BW312" t="s">
        <v>129</v>
      </c>
      <c r="BX312" t="s">
        <v>85</v>
      </c>
      <c r="BY312" t="str">
        <f>IF(COUNTIF('Data Upload-prod'!E:E,F312)=0,"Missing","Exist")</f>
        <v>Exist</v>
      </c>
    </row>
    <row r="313" hidden="1" spans="1:77">
      <c r="A313" s="16">
        <v>44358</v>
      </c>
      <c r="B313" s="16">
        <v>44490</v>
      </c>
      <c r="C313" t="s">
        <v>187</v>
      </c>
      <c r="D313" t="s">
        <v>78</v>
      </c>
      <c r="E313" t="s">
        <v>708</v>
      </c>
      <c r="F313" t="s">
        <v>712</v>
      </c>
      <c r="G313" t="s">
        <v>81</v>
      </c>
      <c r="H313" t="s">
        <v>680</v>
      </c>
      <c r="I313" t="s">
        <v>124</v>
      </c>
      <c r="J313" s="17">
        <v>62.5</v>
      </c>
      <c r="K313" s="17">
        <v>2152</v>
      </c>
      <c r="L313" s="17">
        <v>1575</v>
      </c>
      <c r="M313" t="s">
        <v>84</v>
      </c>
      <c r="N313" t="s">
        <v>84</v>
      </c>
      <c r="O313" t="s">
        <v>84</v>
      </c>
      <c r="P313" t="s">
        <v>84</v>
      </c>
      <c r="Q313" s="17">
        <v>7525297</v>
      </c>
      <c r="R313" s="17">
        <v>23.2</v>
      </c>
      <c r="S313" t="s">
        <v>85</v>
      </c>
      <c r="T313" t="s">
        <v>84</v>
      </c>
      <c r="U313" t="s">
        <v>86</v>
      </c>
      <c r="V313" s="16">
        <v>44370</v>
      </c>
      <c r="W313" s="18">
        <v>44370.8333333333</v>
      </c>
      <c r="X313" s="18">
        <v>44432.1458333333</v>
      </c>
      <c r="Y313" s="17">
        <v>2265.84</v>
      </c>
      <c r="Z313" t="s">
        <v>87</v>
      </c>
      <c r="AA313" s="17">
        <v>2377</v>
      </c>
      <c r="AB313" s="17">
        <v>1741.79</v>
      </c>
      <c r="AC313" t="s">
        <v>84</v>
      </c>
      <c r="AD313" t="s">
        <v>84</v>
      </c>
      <c r="AE313" t="s">
        <v>84</v>
      </c>
      <c r="AF313" t="s">
        <v>84</v>
      </c>
      <c r="AG313" s="17">
        <v>5570000</v>
      </c>
      <c r="AH313" s="17">
        <v>18.07</v>
      </c>
      <c r="AI313" s="17">
        <v>5.42</v>
      </c>
      <c r="AJ313" s="17">
        <v>5.42</v>
      </c>
      <c r="AK313" t="s">
        <v>208</v>
      </c>
      <c r="AM313" s="17">
        <v>2.1</v>
      </c>
      <c r="AN313" s="17"/>
      <c r="AO313" s="17">
        <v>700</v>
      </c>
      <c r="AP313" s="17"/>
      <c r="AQ313" s="17">
        <v>1220</v>
      </c>
      <c r="AR313" s="17"/>
      <c r="AS313" s="17">
        <v>1.22</v>
      </c>
      <c r="AT313" s="17"/>
      <c r="AU313" s="17">
        <v>402</v>
      </c>
      <c r="AV313" s="17"/>
      <c r="AW313" s="17">
        <v>714</v>
      </c>
      <c r="AX313" s="17"/>
      <c r="AY313" t="s">
        <v>92</v>
      </c>
      <c r="AZ313" t="s">
        <v>92</v>
      </c>
      <c r="BA313" t="s">
        <v>92</v>
      </c>
      <c r="BB313" t="s">
        <v>92</v>
      </c>
      <c r="BC313" t="s">
        <v>92</v>
      </c>
      <c r="BD313" s="17">
        <v>6.15</v>
      </c>
      <c r="BE313" s="17">
        <v>2428549.97</v>
      </c>
      <c r="BF313" t="s">
        <v>92</v>
      </c>
      <c r="BG313" t="s">
        <v>92</v>
      </c>
      <c r="BH313" t="s">
        <v>93</v>
      </c>
      <c r="BI313" t="s">
        <v>94</v>
      </c>
      <c r="BJ313" t="s">
        <v>173</v>
      </c>
      <c r="BK313" t="s">
        <v>85</v>
      </c>
      <c r="BL313" t="s">
        <v>85</v>
      </c>
      <c r="BM313" t="s">
        <v>96</v>
      </c>
      <c r="BN313" t="s">
        <v>97</v>
      </c>
      <c r="BO313" t="s">
        <v>98</v>
      </c>
      <c r="BP313" t="s">
        <v>103</v>
      </c>
      <c r="BQ313" s="17">
        <v>0</v>
      </c>
      <c r="BR313" t="s">
        <v>138</v>
      </c>
      <c r="BS313" t="s">
        <v>92</v>
      </c>
      <c r="BT313" t="s">
        <v>99</v>
      </c>
      <c r="BU313" s="17">
        <v>8.6</v>
      </c>
      <c r="BV313" t="s">
        <v>131</v>
      </c>
      <c r="BW313" t="s">
        <v>129</v>
      </c>
      <c r="BX313" t="s">
        <v>85</v>
      </c>
      <c r="BY313" t="str">
        <f>IF(COUNTIF('Data Upload-prod'!E:E,F313)=0,"Missing","Exist")</f>
        <v>Exist</v>
      </c>
    </row>
    <row r="314" hidden="1" spans="1:77">
      <c r="A314" s="16">
        <v>44358</v>
      </c>
      <c r="B314" s="16">
        <v>44475</v>
      </c>
      <c r="C314" t="s">
        <v>187</v>
      </c>
      <c r="D314" t="s">
        <v>78</v>
      </c>
      <c r="E314" t="s">
        <v>708</v>
      </c>
      <c r="F314" t="s">
        <v>713</v>
      </c>
      <c r="G314" t="s">
        <v>81</v>
      </c>
      <c r="H314" t="s">
        <v>680</v>
      </c>
      <c r="I314" t="s">
        <v>124</v>
      </c>
      <c r="J314" s="17">
        <v>62.5</v>
      </c>
      <c r="K314" s="17">
        <v>1937</v>
      </c>
      <c r="L314" s="17">
        <v>1690</v>
      </c>
      <c r="M314" t="s">
        <v>84</v>
      </c>
      <c r="N314" t="s">
        <v>84</v>
      </c>
      <c r="O314" t="s">
        <v>84</v>
      </c>
      <c r="P314" t="s">
        <v>84</v>
      </c>
      <c r="Q314" s="17">
        <v>6363952</v>
      </c>
      <c r="R314" s="17">
        <v>18.8</v>
      </c>
      <c r="S314" t="s">
        <v>85</v>
      </c>
      <c r="T314" t="s">
        <v>84</v>
      </c>
      <c r="U314" t="s">
        <v>86</v>
      </c>
      <c r="V314" s="16">
        <v>44414</v>
      </c>
      <c r="W314" s="18">
        <v>44373</v>
      </c>
      <c r="X314" s="18">
        <v>44421</v>
      </c>
      <c r="Y314" s="17">
        <v>1918.84</v>
      </c>
      <c r="Z314" t="s">
        <v>87</v>
      </c>
      <c r="AA314" s="17">
        <v>2030</v>
      </c>
      <c r="AB314" s="17">
        <v>1728.96</v>
      </c>
      <c r="AC314" t="s">
        <v>84</v>
      </c>
      <c r="AD314" t="s">
        <v>84</v>
      </c>
      <c r="AE314" t="s">
        <v>84</v>
      </c>
      <c r="AF314" t="s">
        <v>84</v>
      </c>
      <c r="AG314" s="17">
        <v>5520000</v>
      </c>
      <c r="AH314" s="17">
        <v>18.74</v>
      </c>
      <c r="AI314" s="17">
        <v>13.73</v>
      </c>
      <c r="AJ314" s="17">
        <v>13.73</v>
      </c>
      <c r="AK314" t="s">
        <v>208</v>
      </c>
      <c r="AM314" s="17">
        <v>2.1</v>
      </c>
      <c r="AN314" s="17"/>
      <c r="AO314" s="17">
        <v>700</v>
      </c>
      <c r="AP314" s="17"/>
      <c r="AQ314" s="17">
        <v>1220</v>
      </c>
      <c r="AR314" s="17"/>
      <c r="AS314" s="17">
        <v>1.7</v>
      </c>
      <c r="AT314" s="17"/>
      <c r="AU314" s="17">
        <v>553</v>
      </c>
      <c r="AV314" s="17"/>
      <c r="AW314" s="17">
        <v>829</v>
      </c>
      <c r="AX314" s="17"/>
      <c r="AY314" t="s">
        <v>92</v>
      </c>
      <c r="AZ314" t="s">
        <v>92</v>
      </c>
      <c r="BA314" t="s">
        <v>92</v>
      </c>
      <c r="BB314" t="s">
        <v>92</v>
      </c>
      <c r="BC314" t="s">
        <v>92</v>
      </c>
      <c r="BD314" s="17">
        <v>5.13</v>
      </c>
      <c r="BE314" s="17">
        <v>1832211</v>
      </c>
      <c r="BF314" t="s">
        <v>92</v>
      </c>
      <c r="BG314" t="s">
        <v>92</v>
      </c>
      <c r="BH314" t="s">
        <v>93</v>
      </c>
      <c r="BI314" t="s">
        <v>94</v>
      </c>
      <c r="BJ314" t="s">
        <v>173</v>
      </c>
      <c r="BK314" t="s">
        <v>85</v>
      </c>
      <c r="BL314" t="s">
        <v>85</v>
      </c>
      <c r="BM314" t="s">
        <v>96</v>
      </c>
      <c r="BN314" t="s">
        <v>97</v>
      </c>
      <c r="BO314" t="s">
        <v>98</v>
      </c>
      <c r="BP314" t="s">
        <v>103</v>
      </c>
      <c r="BQ314" s="17">
        <v>0</v>
      </c>
      <c r="BR314" t="s">
        <v>138</v>
      </c>
      <c r="BS314" t="s">
        <v>92</v>
      </c>
      <c r="BT314" t="s">
        <v>99</v>
      </c>
      <c r="BU314" s="17">
        <v>8.6</v>
      </c>
      <c r="BV314" t="s">
        <v>131</v>
      </c>
      <c r="BW314" t="s">
        <v>129</v>
      </c>
      <c r="BX314" t="s">
        <v>85</v>
      </c>
      <c r="BY314" t="str">
        <f>IF(COUNTIF('Data Upload-prod'!E:E,F314)=0,"Missing","Exist")</f>
        <v>Exist</v>
      </c>
    </row>
    <row r="315" hidden="1" spans="1:77">
      <c r="A315" s="16">
        <v>44358</v>
      </c>
      <c r="B315" s="16">
        <v>44475</v>
      </c>
      <c r="C315" t="s">
        <v>187</v>
      </c>
      <c r="D315" t="s">
        <v>78</v>
      </c>
      <c r="E315" t="s">
        <v>708</v>
      </c>
      <c r="F315" t="s">
        <v>714</v>
      </c>
      <c r="G315" t="s">
        <v>81</v>
      </c>
      <c r="H315" t="s">
        <v>680</v>
      </c>
      <c r="I315" t="s">
        <v>124</v>
      </c>
      <c r="J315" s="17">
        <v>62.5</v>
      </c>
      <c r="K315" s="17">
        <v>2520</v>
      </c>
      <c r="L315" s="17">
        <v>1700</v>
      </c>
      <c r="M315" t="s">
        <v>84</v>
      </c>
      <c r="N315" t="s">
        <v>84</v>
      </c>
      <c r="O315" t="s">
        <v>84</v>
      </c>
      <c r="P315" t="s">
        <v>84</v>
      </c>
      <c r="Q315" s="17">
        <v>7265825</v>
      </c>
      <c r="R315" s="17">
        <v>23.1</v>
      </c>
      <c r="S315" t="s">
        <v>381</v>
      </c>
      <c r="T315" t="s">
        <v>84</v>
      </c>
      <c r="U315" t="s">
        <v>86</v>
      </c>
      <c r="V315" s="16">
        <v>44382</v>
      </c>
      <c r="W315" s="18">
        <v>44381.7083333333</v>
      </c>
      <c r="X315" s="18">
        <v>44427</v>
      </c>
      <c r="Y315" s="17">
        <v>2477.84</v>
      </c>
      <c r="Z315" t="s">
        <v>87</v>
      </c>
      <c r="AA315" s="17">
        <v>2589</v>
      </c>
      <c r="AB315" s="17">
        <v>1734.83</v>
      </c>
      <c r="AC315" t="s">
        <v>84</v>
      </c>
      <c r="AD315" t="s">
        <v>84</v>
      </c>
      <c r="AE315" t="s">
        <v>84</v>
      </c>
      <c r="AF315" t="s">
        <v>84</v>
      </c>
      <c r="AG315" s="17">
        <v>5788312</v>
      </c>
      <c r="AH315" s="17">
        <v>19.29</v>
      </c>
      <c r="AI315" s="17">
        <v>3</v>
      </c>
      <c r="AJ315" s="17">
        <v>2.21</v>
      </c>
      <c r="AK315" t="s">
        <v>208</v>
      </c>
      <c r="AM315" s="17">
        <v>2.1</v>
      </c>
      <c r="AN315" s="17"/>
      <c r="AO315" s="17">
        <v>700</v>
      </c>
      <c r="AP315" s="17"/>
      <c r="AQ315" s="17">
        <v>1220</v>
      </c>
      <c r="AR315" s="17"/>
      <c r="AS315" s="17">
        <v>1.2</v>
      </c>
      <c r="AT315" s="17"/>
      <c r="AU315" s="17">
        <v>407</v>
      </c>
      <c r="AV315" s="17"/>
      <c r="AW315" s="17">
        <v>681</v>
      </c>
      <c r="AX315" s="17"/>
      <c r="AY315" t="s">
        <v>92</v>
      </c>
      <c r="AZ315" t="s">
        <v>92</v>
      </c>
      <c r="BA315" t="s">
        <v>92</v>
      </c>
      <c r="BB315" t="s">
        <v>92</v>
      </c>
      <c r="BC315" t="s">
        <v>92</v>
      </c>
      <c r="BD315" s="17">
        <v>6.13</v>
      </c>
      <c r="BE315" s="17">
        <v>2327087.03</v>
      </c>
      <c r="BF315" t="s">
        <v>92</v>
      </c>
      <c r="BG315" t="s">
        <v>92</v>
      </c>
      <c r="BH315" t="s">
        <v>93</v>
      </c>
      <c r="BI315" t="s">
        <v>94</v>
      </c>
      <c r="BJ315" t="s">
        <v>173</v>
      </c>
      <c r="BK315" t="s">
        <v>85</v>
      </c>
      <c r="BL315" t="s">
        <v>85</v>
      </c>
      <c r="BM315" t="s">
        <v>96</v>
      </c>
      <c r="BN315" t="s">
        <v>97</v>
      </c>
      <c r="BO315" t="s">
        <v>98</v>
      </c>
      <c r="BP315" t="s">
        <v>103</v>
      </c>
      <c r="BQ315" s="17">
        <v>0</v>
      </c>
      <c r="BR315" t="s">
        <v>138</v>
      </c>
      <c r="BS315" t="s">
        <v>92</v>
      </c>
      <c r="BT315" t="s">
        <v>99</v>
      </c>
      <c r="BU315" s="17">
        <v>8.6</v>
      </c>
      <c r="BV315" t="s">
        <v>131</v>
      </c>
      <c r="BW315" t="s">
        <v>129</v>
      </c>
      <c r="BX315" t="s">
        <v>85</v>
      </c>
      <c r="BY315" t="str">
        <f>IF(COUNTIF('Data Upload-prod'!E:E,F315)=0,"Missing","Exist")</f>
        <v>Exist</v>
      </c>
    </row>
    <row r="316" hidden="1" spans="1:77">
      <c r="A316" s="16">
        <v>44352</v>
      </c>
      <c r="B316" s="16">
        <v>44568</v>
      </c>
      <c r="C316" t="s">
        <v>360</v>
      </c>
      <c r="D316" t="s">
        <v>120</v>
      </c>
      <c r="E316" t="s">
        <v>715</v>
      </c>
      <c r="F316" t="s">
        <v>716</v>
      </c>
      <c r="G316" t="s">
        <v>81</v>
      </c>
      <c r="H316" t="s">
        <v>289</v>
      </c>
      <c r="I316" t="s">
        <v>124</v>
      </c>
      <c r="J316" s="17">
        <v>40.85</v>
      </c>
      <c r="K316" s="17">
        <v>3123</v>
      </c>
      <c r="L316" s="17">
        <v>1484.42</v>
      </c>
      <c r="M316" t="s">
        <v>84</v>
      </c>
      <c r="N316" t="s">
        <v>84</v>
      </c>
      <c r="O316" t="s">
        <v>84</v>
      </c>
      <c r="P316" t="s">
        <v>84</v>
      </c>
      <c r="Q316" s="17">
        <v>8126457.28</v>
      </c>
      <c r="R316" s="17">
        <v>17.01</v>
      </c>
      <c r="S316" t="s">
        <v>106</v>
      </c>
      <c r="T316" t="s">
        <v>84</v>
      </c>
      <c r="U316" t="s">
        <v>86</v>
      </c>
      <c r="V316" s="16">
        <v>44379.9166666667</v>
      </c>
      <c r="W316" s="18">
        <v>44379.8958333333</v>
      </c>
      <c r="X316" s="18">
        <v>44502.5</v>
      </c>
      <c r="Y316" s="17">
        <v>3008</v>
      </c>
      <c r="Z316" t="s">
        <v>87</v>
      </c>
      <c r="AA316" s="17">
        <v>3094.85</v>
      </c>
      <c r="AB316" s="17">
        <v>1453.77</v>
      </c>
      <c r="AC316" t="s">
        <v>84</v>
      </c>
      <c r="AD316" t="s">
        <v>84</v>
      </c>
      <c r="AE316" t="s">
        <v>84</v>
      </c>
      <c r="AF316" t="s">
        <v>84</v>
      </c>
      <c r="AG316" s="17">
        <v>17814833.8</v>
      </c>
      <c r="AH316" s="17">
        <v>55.84</v>
      </c>
      <c r="AI316" s="17">
        <v>30.15</v>
      </c>
      <c r="AJ316" s="17">
        <v>30.15</v>
      </c>
      <c r="AK316" t="s">
        <v>165</v>
      </c>
      <c r="AM316" s="17">
        <v>2</v>
      </c>
      <c r="AN316" s="17"/>
      <c r="AO316" s="17">
        <v>725</v>
      </c>
      <c r="AP316" s="17"/>
      <c r="AQ316" s="17">
        <v>1295</v>
      </c>
      <c r="AR316" s="17"/>
      <c r="AS316" s="17">
        <v>5.11</v>
      </c>
      <c r="AT316" s="17"/>
      <c r="AU316" s="17">
        <v>1516</v>
      </c>
      <c r="AV316" s="17"/>
      <c r="AW316" s="17">
        <v>1754</v>
      </c>
      <c r="AX316" s="17"/>
      <c r="AY316" t="s">
        <v>92</v>
      </c>
      <c r="AZ316" t="s">
        <v>92</v>
      </c>
      <c r="BA316" t="s">
        <v>92</v>
      </c>
      <c r="BB316" t="s">
        <v>92</v>
      </c>
      <c r="BC316" t="s">
        <v>92</v>
      </c>
      <c r="BD316" s="17">
        <v>4.46</v>
      </c>
      <c r="BE316" s="17">
        <v>2967882.2</v>
      </c>
      <c r="BF316" t="s">
        <v>92</v>
      </c>
      <c r="BG316" t="s">
        <v>92</v>
      </c>
      <c r="BH316" t="s">
        <v>93</v>
      </c>
      <c r="BI316" t="s">
        <v>94</v>
      </c>
      <c r="BJ316" t="s">
        <v>625</v>
      </c>
      <c r="BK316" t="s">
        <v>85</v>
      </c>
      <c r="BL316" t="s">
        <v>85</v>
      </c>
      <c r="BM316" t="s">
        <v>96</v>
      </c>
      <c r="BN316" t="s">
        <v>97</v>
      </c>
      <c r="BO316" t="s">
        <v>98</v>
      </c>
      <c r="BP316" t="s">
        <v>99</v>
      </c>
      <c r="BQ316" s="17">
        <v>595</v>
      </c>
      <c r="BR316" t="s">
        <v>138</v>
      </c>
      <c r="BS316" t="s">
        <v>92</v>
      </c>
      <c r="BT316" t="s">
        <v>99</v>
      </c>
      <c r="BU316" s="17">
        <v>9.3</v>
      </c>
      <c r="BV316" t="s">
        <v>308</v>
      </c>
      <c r="BW316" t="s">
        <v>85</v>
      </c>
      <c r="BX316" t="s">
        <v>85</v>
      </c>
      <c r="BY316" t="str">
        <f>IF(COUNTIF('Data Upload-prod'!E:E,F316)=0,"Missing","Exist")</f>
        <v>Exist</v>
      </c>
    </row>
    <row r="317" hidden="1" spans="1:77">
      <c r="A317" s="16">
        <v>44340</v>
      </c>
      <c r="B317" s="16">
        <v>44475</v>
      </c>
      <c r="C317" t="s">
        <v>132</v>
      </c>
      <c r="D317" t="s">
        <v>120</v>
      </c>
      <c r="E317" t="s">
        <v>717</v>
      </c>
      <c r="F317" t="s">
        <v>718</v>
      </c>
      <c r="G317" t="s">
        <v>81</v>
      </c>
      <c r="H317" t="s">
        <v>514</v>
      </c>
      <c r="I317" t="s">
        <v>124</v>
      </c>
      <c r="J317" s="17">
        <v>54.25</v>
      </c>
      <c r="K317" s="17">
        <v>3351.11</v>
      </c>
      <c r="L317" s="17">
        <v>2996.83</v>
      </c>
      <c r="M317" t="s">
        <v>84</v>
      </c>
      <c r="N317" t="s">
        <v>84</v>
      </c>
      <c r="O317" t="s">
        <v>84</v>
      </c>
      <c r="P317" t="s">
        <v>84</v>
      </c>
      <c r="Q317" s="17">
        <v>7590000</v>
      </c>
      <c r="R317" s="17">
        <v>21.2</v>
      </c>
      <c r="S317" t="s">
        <v>85</v>
      </c>
      <c r="T317" t="s">
        <v>84</v>
      </c>
      <c r="U317" t="s">
        <v>86</v>
      </c>
      <c r="V317" t="s">
        <v>84</v>
      </c>
      <c r="W317" s="18">
        <v>44395.9166666667</v>
      </c>
      <c r="X317" s="18">
        <v>44416.7291666667</v>
      </c>
      <c r="Y317" s="17">
        <v>3260.01</v>
      </c>
      <c r="Z317" t="s">
        <v>87</v>
      </c>
      <c r="AA317" s="17">
        <v>3357.21</v>
      </c>
      <c r="AB317" s="17">
        <v>3004.5</v>
      </c>
      <c r="AC317" t="s">
        <v>84</v>
      </c>
      <c r="AD317" t="s">
        <v>84</v>
      </c>
      <c r="AE317" t="s">
        <v>84</v>
      </c>
      <c r="AF317" t="s">
        <v>84</v>
      </c>
      <c r="AG317" s="17">
        <v>7624406</v>
      </c>
      <c r="AH317" s="17">
        <v>20.81</v>
      </c>
      <c r="AI317" s="17">
        <v>3.2</v>
      </c>
      <c r="AJ317" s="17">
        <v>3.2</v>
      </c>
      <c r="AK317" t="s">
        <v>208</v>
      </c>
      <c r="AM317" s="17">
        <v>2.2</v>
      </c>
      <c r="AN317" s="17"/>
      <c r="AO317" s="17">
        <v>830</v>
      </c>
      <c r="AP317" s="17"/>
      <c r="AQ317" s="17">
        <v>1395</v>
      </c>
      <c r="AR317" s="17"/>
      <c r="AS317" s="17">
        <v>1.09</v>
      </c>
      <c r="AT317" s="17"/>
      <c r="AU317" s="17">
        <v>382</v>
      </c>
      <c r="AV317" s="17"/>
      <c r="AW317" s="17">
        <v>669</v>
      </c>
      <c r="AX317" s="17"/>
      <c r="AY317" t="s">
        <v>92</v>
      </c>
      <c r="AZ317" t="s">
        <v>92</v>
      </c>
      <c r="BA317" t="s">
        <v>92</v>
      </c>
      <c r="BB317" t="s">
        <v>92</v>
      </c>
      <c r="BC317" t="s">
        <v>92</v>
      </c>
      <c r="BD317" s="17">
        <v>7.3</v>
      </c>
      <c r="BE317" s="17">
        <v>2553639.12</v>
      </c>
      <c r="BF317" t="s">
        <v>92</v>
      </c>
      <c r="BG317" t="s">
        <v>92</v>
      </c>
      <c r="BH317" t="s">
        <v>93</v>
      </c>
      <c r="BI317" t="s">
        <v>94</v>
      </c>
      <c r="BJ317" t="s">
        <v>173</v>
      </c>
      <c r="BK317" t="s">
        <v>85</v>
      </c>
      <c r="BL317" t="s">
        <v>85</v>
      </c>
      <c r="BM317" t="s">
        <v>273</v>
      </c>
      <c r="BN317" t="s">
        <v>97</v>
      </c>
      <c r="BO317" t="s">
        <v>98</v>
      </c>
      <c r="BP317" t="s">
        <v>99</v>
      </c>
      <c r="BQ317" s="17">
        <v>1480</v>
      </c>
      <c r="BR317" t="s">
        <v>100</v>
      </c>
      <c r="BS317" t="s">
        <v>92</v>
      </c>
      <c r="BT317" t="s">
        <v>99</v>
      </c>
      <c r="BU317" s="17">
        <v>10.5</v>
      </c>
      <c r="BV317" t="s">
        <v>256</v>
      </c>
      <c r="BW317" t="s">
        <v>85</v>
      </c>
      <c r="BX317" t="s">
        <v>85</v>
      </c>
      <c r="BY317" t="str">
        <f>IF(COUNTIF('Data Upload-prod'!E:E,F317)=0,"Missing","Exist")</f>
        <v>Exist</v>
      </c>
    </row>
    <row r="318" hidden="1" spans="1:77">
      <c r="A318" s="16">
        <v>44340</v>
      </c>
      <c r="B318" s="16">
        <v>44477</v>
      </c>
      <c r="C318" t="s">
        <v>132</v>
      </c>
      <c r="D318" t="s">
        <v>120</v>
      </c>
      <c r="E318" t="s">
        <v>717</v>
      </c>
      <c r="F318" t="s">
        <v>719</v>
      </c>
      <c r="G318" t="s">
        <v>81</v>
      </c>
      <c r="H318" t="s">
        <v>514</v>
      </c>
      <c r="I318" t="s">
        <v>124</v>
      </c>
      <c r="J318" s="17">
        <v>54.25</v>
      </c>
      <c r="K318" s="17">
        <v>3129.53</v>
      </c>
      <c r="L318" s="17">
        <v>3046.39</v>
      </c>
      <c r="M318" t="s">
        <v>84</v>
      </c>
      <c r="N318" t="s">
        <v>84</v>
      </c>
      <c r="O318" t="s">
        <v>84</v>
      </c>
      <c r="P318" t="s">
        <v>84</v>
      </c>
      <c r="Q318" s="17">
        <v>7760000</v>
      </c>
      <c r="R318" s="17">
        <v>22.2</v>
      </c>
      <c r="S318" t="s">
        <v>85</v>
      </c>
      <c r="T318" t="s">
        <v>84</v>
      </c>
      <c r="U318" t="s">
        <v>86</v>
      </c>
      <c r="V318" t="s">
        <v>84</v>
      </c>
      <c r="W318" s="18">
        <v>44380</v>
      </c>
      <c r="X318" s="18">
        <v>44432.875</v>
      </c>
      <c r="Y318" s="17">
        <v>3034.78</v>
      </c>
      <c r="Z318" t="s">
        <v>87</v>
      </c>
      <c r="AA318" s="17">
        <v>3131.97</v>
      </c>
      <c r="AB318" s="17">
        <v>3048.43</v>
      </c>
      <c r="AC318" t="s">
        <v>84</v>
      </c>
      <c r="AD318" t="s">
        <v>84</v>
      </c>
      <c r="AE318" t="s">
        <v>84</v>
      </c>
      <c r="AF318" t="s">
        <v>84</v>
      </c>
      <c r="AG318" s="17">
        <v>8003322</v>
      </c>
      <c r="AH318" s="17">
        <v>22.35</v>
      </c>
      <c r="AI318" s="17">
        <v>5.46</v>
      </c>
      <c r="AJ318" s="17">
        <v>5.46</v>
      </c>
      <c r="AK318" t="s">
        <v>208</v>
      </c>
      <c r="AM318" s="17">
        <v>2.2</v>
      </c>
      <c r="AN318" s="17"/>
      <c r="AO318" s="17">
        <v>830</v>
      </c>
      <c r="AP318" s="17"/>
      <c r="AQ318" s="17">
        <v>1395</v>
      </c>
      <c r="AR318" s="17"/>
      <c r="AS318" s="17">
        <v>1.28</v>
      </c>
      <c r="AT318" s="17"/>
      <c r="AU318" s="17">
        <v>414</v>
      </c>
      <c r="AV318" s="17"/>
      <c r="AW318" s="17">
        <v>771</v>
      </c>
      <c r="AX318" s="17"/>
      <c r="AY318" t="s">
        <v>92</v>
      </c>
      <c r="AZ318" t="s">
        <v>92</v>
      </c>
      <c r="BA318" t="s">
        <v>92</v>
      </c>
      <c r="BB318" t="s">
        <v>92</v>
      </c>
      <c r="BC318" t="s">
        <v>92</v>
      </c>
      <c r="BD318" s="17">
        <v>7.33</v>
      </c>
      <c r="BE318" s="17">
        <v>2512100.41</v>
      </c>
      <c r="BF318" t="s">
        <v>92</v>
      </c>
      <c r="BG318" t="s">
        <v>92</v>
      </c>
      <c r="BH318" t="s">
        <v>93</v>
      </c>
      <c r="BI318" t="s">
        <v>94</v>
      </c>
      <c r="BJ318" t="s">
        <v>173</v>
      </c>
      <c r="BK318" t="s">
        <v>85</v>
      </c>
      <c r="BL318" t="s">
        <v>85</v>
      </c>
      <c r="BM318" t="s">
        <v>273</v>
      </c>
      <c r="BN318" t="s">
        <v>97</v>
      </c>
      <c r="BO318" t="s">
        <v>98</v>
      </c>
      <c r="BP318" t="s">
        <v>99</v>
      </c>
      <c r="BQ318" s="17">
        <v>1625</v>
      </c>
      <c r="BR318" t="s">
        <v>100</v>
      </c>
      <c r="BS318" t="s">
        <v>92</v>
      </c>
      <c r="BT318" t="s">
        <v>99</v>
      </c>
      <c r="BU318" s="17">
        <v>11.4</v>
      </c>
      <c r="BV318" t="s">
        <v>256</v>
      </c>
      <c r="BW318" t="s">
        <v>85</v>
      </c>
      <c r="BX318" t="s">
        <v>85</v>
      </c>
      <c r="BY318" t="str">
        <f>IF(COUNTIF('Data Upload-prod'!E:E,F318)=0,"Missing","Exist")</f>
        <v>Exist</v>
      </c>
    </row>
    <row r="319" hidden="1" spans="1:77">
      <c r="A319" s="16">
        <v>44340</v>
      </c>
      <c r="B319" s="16">
        <v>44503</v>
      </c>
      <c r="C319" t="s">
        <v>132</v>
      </c>
      <c r="D319" t="s">
        <v>120</v>
      </c>
      <c r="E319" t="s">
        <v>717</v>
      </c>
      <c r="F319" t="s">
        <v>720</v>
      </c>
      <c r="G319" t="s">
        <v>81</v>
      </c>
      <c r="H319" t="s">
        <v>514</v>
      </c>
      <c r="I319" t="s">
        <v>124</v>
      </c>
      <c r="J319" s="17">
        <v>54.25</v>
      </c>
      <c r="K319" s="17">
        <v>2964.04</v>
      </c>
      <c r="L319" s="17">
        <v>2807.65</v>
      </c>
      <c r="M319" t="s">
        <v>84</v>
      </c>
      <c r="N319" t="s">
        <v>84</v>
      </c>
      <c r="O319" t="s">
        <v>84</v>
      </c>
      <c r="P319" t="s">
        <v>84</v>
      </c>
      <c r="Q319" s="17">
        <v>7710000</v>
      </c>
      <c r="R319" s="17">
        <v>21</v>
      </c>
      <c r="S319" t="s">
        <v>85</v>
      </c>
      <c r="T319" t="s">
        <v>84</v>
      </c>
      <c r="U319" t="s">
        <v>86</v>
      </c>
      <c r="V319" s="16">
        <v>44392</v>
      </c>
      <c r="W319" s="18">
        <v>44381.5416666667</v>
      </c>
      <c r="X319" s="18">
        <v>44446.5</v>
      </c>
      <c r="Y319" s="17">
        <v>2837.88</v>
      </c>
      <c r="Z319" t="s">
        <v>87</v>
      </c>
      <c r="AA319" s="17">
        <v>2935.08</v>
      </c>
      <c r="AB319" s="17">
        <v>2784.56</v>
      </c>
      <c r="AC319" t="s">
        <v>84</v>
      </c>
      <c r="AD319" t="s">
        <v>84</v>
      </c>
      <c r="AE319" t="s">
        <v>84</v>
      </c>
      <c r="AF319" t="s">
        <v>84</v>
      </c>
      <c r="AG319" s="17">
        <v>7973398</v>
      </c>
      <c r="AH319" s="17">
        <v>23.33</v>
      </c>
      <c r="AI319" s="17">
        <v>2.5</v>
      </c>
      <c r="AJ319" s="17">
        <v>2.5</v>
      </c>
      <c r="AK319" t="s">
        <v>208</v>
      </c>
      <c r="AM319" s="17">
        <v>2.2</v>
      </c>
      <c r="AN319" s="17"/>
      <c r="AO319" s="17">
        <v>830</v>
      </c>
      <c r="AP319" s="17"/>
      <c r="AQ319" s="17">
        <v>1395</v>
      </c>
      <c r="AR319" s="17"/>
      <c r="AS319" s="17">
        <v>1.64</v>
      </c>
      <c r="AT319" s="17"/>
      <c r="AU319" s="17">
        <v>464</v>
      </c>
      <c r="AV319" s="17"/>
      <c r="AW319" s="17">
        <v>824</v>
      </c>
      <c r="AX319" s="17"/>
      <c r="AY319" t="s">
        <v>92</v>
      </c>
      <c r="AZ319" t="s">
        <v>92</v>
      </c>
      <c r="BA319" t="s">
        <v>92</v>
      </c>
      <c r="BB319" t="s">
        <v>92</v>
      </c>
      <c r="BC319" t="s">
        <v>92</v>
      </c>
      <c r="BD319" s="17">
        <v>6.01</v>
      </c>
      <c r="BE319" s="17">
        <v>2129236.6</v>
      </c>
      <c r="BF319" t="s">
        <v>92</v>
      </c>
      <c r="BG319" t="s">
        <v>92</v>
      </c>
      <c r="BH319" t="s">
        <v>93</v>
      </c>
      <c r="BI319" t="s">
        <v>94</v>
      </c>
      <c r="BJ319" t="s">
        <v>173</v>
      </c>
      <c r="BK319" t="s">
        <v>85</v>
      </c>
      <c r="BL319" t="s">
        <v>85</v>
      </c>
      <c r="BM319" t="s">
        <v>273</v>
      </c>
      <c r="BN319" t="s">
        <v>97</v>
      </c>
      <c r="BO319" t="s">
        <v>98</v>
      </c>
      <c r="BP319" t="s">
        <v>99</v>
      </c>
      <c r="BQ319" s="17">
        <v>915</v>
      </c>
      <c r="BR319" t="s">
        <v>100</v>
      </c>
      <c r="BS319" t="s">
        <v>92</v>
      </c>
      <c r="BT319" t="s">
        <v>99</v>
      </c>
      <c r="BU319" s="17">
        <v>9.8</v>
      </c>
      <c r="BV319" t="s">
        <v>256</v>
      </c>
      <c r="BW319" t="s">
        <v>85</v>
      </c>
      <c r="BX319" t="s">
        <v>85</v>
      </c>
      <c r="BY319" t="str">
        <f>IF(COUNTIF('Data Upload-prod'!E:E,F319)=0,"Missing","Exist")</f>
        <v>Exist</v>
      </c>
    </row>
    <row r="320" hidden="1" spans="1:77">
      <c r="A320" s="16">
        <v>44326</v>
      </c>
      <c r="B320" s="16">
        <v>44421</v>
      </c>
      <c r="C320" t="s">
        <v>360</v>
      </c>
      <c r="D320" t="s">
        <v>120</v>
      </c>
      <c r="E320" t="s">
        <v>721</v>
      </c>
      <c r="F320" t="s">
        <v>722</v>
      </c>
      <c r="G320" t="s">
        <v>145</v>
      </c>
      <c r="H320" t="s">
        <v>289</v>
      </c>
      <c r="I320" t="s">
        <v>124</v>
      </c>
      <c r="J320" s="17">
        <v>36.9</v>
      </c>
      <c r="K320" s="17">
        <v>2375</v>
      </c>
      <c r="L320" s="17">
        <v>2335</v>
      </c>
      <c r="M320" s="17">
        <v>7710000</v>
      </c>
      <c r="N320" s="17">
        <v>9930000</v>
      </c>
      <c r="O320" s="17">
        <v>18.35</v>
      </c>
      <c r="P320" s="17">
        <v>26.78</v>
      </c>
      <c r="Q320" t="s">
        <v>84</v>
      </c>
      <c r="R320" t="s">
        <v>84</v>
      </c>
      <c r="S320" t="s">
        <v>85</v>
      </c>
      <c r="T320" t="s">
        <v>84</v>
      </c>
      <c r="U320" t="s">
        <v>84</v>
      </c>
      <c r="V320" s="16">
        <v>44340</v>
      </c>
      <c r="W320" s="18">
        <v>44337.5833333333</v>
      </c>
      <c r="X320" s="18">
        <v>44362.3229166667</v>
      </c>
      <c r="Y320" s="17">
        <v>2304.1</v>
      </c>
      <c r="Z320" t="s">
        <v>87</v>
      </c>
      <c r="AA320" s="17">
        <v>2376</v>
      </c>
      <c r="AB320" s="17">
        <v>2335</v>
      </c>
      <c r="AC320" t="s">
        <v>84</v>
      </c>
      <c r="AD320" s="17">
        <v>7660000</v>
      </c>
      <c r="AE320" t="s">
        <v>84</v>
      </c>
      <c r="AF320" s="17">
        <v>24.74</v>
      </c>
      <c r="AG320" t="s">
        <v>84</v>
      </c>
      <c r="AH320" t="s">
        <v>84</v>
      </c>
      <c r="AI320" s="17">
        <v>11.49</v>
      </c>
      <c r="AJ320" s="17">
        <v>11.49</v>
      </c>
      <c r="AK320" t="s">
        <v>300</v>
      </c>
      <c r="AM320" s="17">
        <v>2.4</v>
      </c>
      <c r="AN320" s="17"/>
      <c r="AO320" s="17">
        <v>1375</v>
      </c>
      <c r="AP320" s="17"/>
      <c r="AQ320" s="17">
        <v>3025</v>
      </c>
      <c r="AR320" s="17"/>
      <c r="AS320" s="17">
        <v>1.46</v>
      </c>
      <c r="AT320" s="17"/>
      <c r="AU320" s="17">
        <v>354</v>
      </c>
      <c r="AV320" s="17"/>
      <c r="AW320" s="17">
        <v>1013</v>
      </c>
      <c r="AX320" s="17"/>
      <c r="AY320" t="s">
        <v>92</v>
      </c>
      <c r="AZ320" t="s">
        <v>92</v>
      </c>
      <c r="BA320" t="s">
        <v>92</v>
      </c>
      <c r="BB320" t="s">
        <v>92</v>
      </c>
      <c r="BC320" t="s">
        <v>92</v>
      </c>
      <c r="BD320" t="s">
        <v>92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92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92</v>
      </c>
      <c r="BS320" t="s">
        <v>92</v>
      </c>
      <c r="BT320" t="s">
        <v>92</v>
      </c>
      <c r="BU320" t="s">
        <v>92</v>
      </c>
      <c r="BV320" t="s">
        <v>92</v>
      </c>
      <c r="BW320" t="s">
        <v>92</v>
      </c>
      <c r="BX320" t="s">
        <v>92</v>
      </c>
      <c r="BY320" t="str">
        <f>IF(COUNTIF('Data Upload-prod'!E:E,F320)=0,"Missing","Exist")</f>
        <v>Exist</v>
      </c>
    </row>
    <row r="321" hidden="1" spans="1:77">
      <c r="A321" s="16">
        <v>44314</v>
      </c>
      <c r="B321" s="16">
        <v>44449</v>
      </c>
      <c r="C321" t="s">
        <v>132</v>
      </c>
      <c r="D321" t="s">
        <v>78</v>
      </c>
      <c r="E321" t="s">
        <v>723</v>
      </c>
      <c r="F321" t="s">
        <v>724</v>
      </c>
      <c r="G321" t="s">
        <v>81</v>
      </c>
      <c r="H321" t="s">
        <v>168</v>
      </c>
      <c r="I321" t="s">
        <v>124</v>
      </c>
      <c r="J321" s="17">
        <v>60</v>
      </c>
      <c r="K321" s="17">
        <v>4969.22</v>
      </c>
      <c r="L321" s="17">
        <v>2059</v>
      </c>
      <c r="M321" t="s">
        <v>84</v>
      </c>
      <c r="N321" t="s">
        <v>84</v>
      </c>
      <c r="O321" t="s">
        <v>84</v>
      </c>
      <c r="P321" t="s">
        <v>84</v>
      </c>
      <c r="Q321" s="17">
        <v>17084686.7</v>
      </c>
      <c r="R321" s="17">
        <v>39.4</v>
      </c>
      <c r="S321" t="s">
        <v>85</v>
      </c>
      <c r="T321" t="s">
        <v>84</v>
      </c>
      <c r="U321" t="s">
        <v>86</v>
      </c>
      <c r="V321" s="16">
        <v>44341</v>
      </c>
      <c r="W321" s="18">
        <v>44341.8333333333</v>
      </c>
      <c r="X321" s="18">
        <v>44389.75</v>
      </c>
      <c r="Y321" s="17">
        <v>4664.8</v>
      </c>
      <c r="Z321" t="s">
        <v>87</v>
      </c>
      <c r="AA321" s="17">
        <v>4768.8</v>
      </c>
      <c r="AB321" s="17">
        <v>2066.73</v>
      </c>
      <c r="AC321" t="s">
        <v>84</v>
      </c>
      <c r="AD321" t="s">
        <v>84</v>
      </c>
      <c r="AE321" t="s">
        <v>84</v>
      </c>
      <c r="AF321" t="s">
        <v>84</v>
      </c>
      <c r="AG321" s="17">
        <v>17528811.51</v>
      </c>
      <c r="AH321" s="17">
        <v>47.92</v>
      </c>
      <c r="AI321" s="17">
        <v>9.15</v>
      </c>
      <c r="AJ321" s="17">
        <v>8.85</v>
      </c>
      <c r="AK321" t="s">
        <v>114</v>
      </c>
      <c r="AM321" s="17">
        <v>2.2</v>
      </c>
      <c r="AN321" s="17"/>
      <c r="AO321" s="17">
        <v>915</v>
      </c>
      <c r="AP321" s="17"/>
      <c r="AQ321" s="17">
        <v>1450</v>
      </c>
      <c r="AR321" s="17"/>
      <c r="AS321" s="17">
        <v>2.76</v>
      </c>
      <c r="AT321" s="17"/>
      <c r="AU321" s="17">
        <v>815</v>
      </c>
      <c r="AV321" s="17"/>
      <c r="AW321" s="17">
        <v>1109</v>
      </c>
      <c r="AX321" s="17"/>
      <c r="AY321" t="s">
        <v>92</v>
      </c>
      <c r="AZ321" t="s">
        <v>92</v>
      </c>
      <c r="BA321" t="s">
        <v>92</v>
      </c>
      <c r="BB321" t="s">
        <v>92</v>
      </c>
      <c r="BC321" t="s">
        <v>92</v>
      </c>
      <c r="BD321" s="17">
        <v>4.81</v>
      </c>
      <c r="BE321" s="17">
        <v>3223165.16</v>
      </c>
      <c r="BF321" t="s">
        <v>92</v>
      </c>
      <c r="BG321" t="s">
        <v>92</v>
      </c>
      <c r="BH321" t="s">
        <v>93</v>
      </c>
      <c r="BI321" t="s">
        <v>94</v>
      </c>
      <c r="BJ321" t="s">
        <v>128</v>
      </c>
      <c r="BK321" t="s">
        <v>85</v>
      </c>
      <c r="BL321" t="s">
        <v>85</v>
      </c>
      <c r="BM321" t="s">
        <v>273</v>
      </c>
      <c r="BN321" t="s">
        <v>97</v>
      </c>
      <c r="BO321" t="s">
        <v>98</v>
      </c>
      <c r="BP321" t="s">
        <v>103</v>
      </c>
      <c r="BQ321" s="17">
        <v>2829</v>
      </c>
      <c r="BR321" t="s">
        <v>100</v>
      </c>
      <c r="BS321" t="s">
        <v>285</v>
      </c>
      <c r="BT321" t="s">
        <v>550</v>
      </c>
      <c r="BU321" s="17">
        <v>8.5</v>
      </c>
      <c r="BV321" t="s">
        <v>191</v>
      </c>
      <c r="BW321" t="s">
        <v>85</v>
      </c>
      <c r="BX321" t="s">
        <v>85</v>
      </c>
      <c r="BY321" t="str">
        <f>IF(COUNTIF('Data Upload-prod'!E:E,F321)=0,"Missing","Exist")</f>
        <v>Exist</v>
      </c>
    </row>
    <row r="322" hidden="1" spans="1:77">
      <c r="A322" s="16">
        <v>44305</v>
      </c>
      <c r="B322" s="16">
        <v>44656</v>
      </c>
      <c r="C322" t="s">
        <v>360</v>
      </c>
      <c r="D322" t="s">
        <v>142</v>
      </c>
      <c r="E322" t="s">
        <v>725</v>
      </c>
      <c r="F322" t="s">
        <v>726</v>
      </c>
      <c r="G322" t="s">
        <v>81</v>
      </c>
      <c r="H322" t="s">
        <v>146</v>
      </c>
      <c r="I322" t="s">
        <v>147</v>
      </c>
      <c r="J322" s="17">
        <v>1395</v>
      </c>
      <c r="K322" s="17">
        <v>2486</v>
      </c>
      <c r="L322" s="17">
        <v>2370</v>
      </c>
      <c r="M322" t="s">
        <v>84</v>
      </c>
      <c r="N322" t="s">
        <v>84</v>
      </c>
      <c r="O322" t="s">
        <v>84</v>
      </c>
      <c r="P322" t="s">
        <v>84</v>
      </c>
      <c r="Q322" s="17">
        <v>39527950</v>
      </c>
      <c r="R322" s="17">
        <v>36</v>
      </c>
      <c r="S322" t="s">
        <v>85</v>
      </c>
      <c r="T322" t="s">
        <v>84</v>
      </c>
      <c r="U322" t="s">
        <v>320</v>
      </c>
      <c r="V322" s="16">
        <v>44399</v>
      </c>
      <c r="W322" s="18">
        <v>44398</v>
      </c>
      <c r="X322" s="18">
        <v>44538</v>
      </c>
      <c r="Y322" s="17">
        <v>1045</v>
      </c>
      <c r="Z322" t="s">
        <v>148</v>
      </c>
      <c r="AA322" s="17">
        <v>2465</v>
      </c>
      <c r="AB322" s="17">
        <v>2379</v>
      </c>
      <c r="AC322" t="s">
        <v>84</v>
      </c>
      <c r="AD322" t="s">
        <v>84</v>
      </c>
      <c r="AE322" t="s">
        <v>84</v>
      </c>
      <c r="AF322" t="s">
        <v>84</v>
      </c>
      <c r="AG322" s="17">
        <v>29078728</v>
      </c>
      <c r="AH322" s="17">
        <v>35</v>
      </c>
      <c r="AI322" s="17">
        <v>0.65</v>
      </c>
      <c r="AJ322" s="17">
        <v>0.65</v>
      </c>
      <c r="AK322" t="s">
        <v>591</v>
      </c>
      <c r="AM322" s="17">
        <v>4</v>
      </c>
      <c r="AN322" s="17"/>
      <c r="AO322" s="17">
        <v>3640</v>
      </c>
      <c r="AP322" s="17"/>
      <c r="AQ322" s="17">
        <v>8010</v>
      </c>
      <c r="AR322" s="17"/>
      <c r="AS322" s="17">
        <v>6.78</v>
      </c>
      <c r="AT322" s="17"/>
      <c r="AU322" s="17">
        <v>4449</v>
      </c>
      <c r="AV322" s="17"/>
      <c r="AW322" s="17">
        <v>8482</v>
      </c>
      <c r="AX322" s="17"/>
      <c r="AY322" t="s">
        <v>92</v>
      </c>
      <c r="AZ322" t="s">
        <v>92</v>
      </c>
      <c r="BA322" t="s">
        <v>92</v>
      </c>
      <c r="BB322" t="s">
        <v>92</v>
      </c>
      <c r="BC322" t="s">
        <v>92</v>
      </c>
      <c r="BD322" s="17">
        <v>14.5</v>
      </c>
      <c r="BE322" s="17">
        <v>16375865</v>
      </c>
      <c r="BF322" t="s">
        <v>92</v>
      </c>
      <c r="BG322" t="s">
        <v>92</v>
      </c>
      <c r="BH322" t="s">
        <v>93</v>
      </c>
      <c r="BI322" t="s">
        <v>94</v>
      </c>
      <c r="BJ322" t="s">
        <v>367</v>
      </c>
      <c r="BK322" t="s">
        <v>85</v>
      </c>
      <c r="BL322" t="s">
        <v>85</v>
      </c>
      <c r="BM322" t="s">
        <v>273</v>
      </c>
      <c r="BN322" t="s">
        <v>97</v>
      </c>
      <c r="BO322" t="s">
        <v>727</v>
      </c>
      <c r="BP322" t="s">
        <v>99</v>
      </c>
      <c r="BQ322" s="17">
        <v>860.6063</v>
      </c>
      <c r="BR322" t="s">
        <v>138</v>
      </c>
      <c r="BS322" t="s">
        <v>92</v>
      </c>
      <c r="BT322" t="s">
        <v>99</v>
      </c>
      <c r="BU322" s="17">
        <v>10.4</v>
      </c>
      <c r="BV322" t="s">
        <v>256</v>
      </c>
      <c r="BW322" t="s">
        <v>337</v>
      </c>
      <c r="BX322" t="s">
        <v>85</v>
      </c>
      <c r="BY322" t="str">
        <f>IF(COUNTIF('Data Upload-prod'!E:E,F322)=0,"Missing","Exist")</f>
        <v>Exist</v>
      </c>
    </row>
    <row r="323" hidden="1" spans="1:77">
      <c r="A323" s="16">
        <v>44305</v>
      </c>
      <c r="B323" t="s">
        <v>84</v>
      </c>
      <c r="C323" t="s">
        <v>360</v>
      </c>
      <c r="D323" t="s">
        <v>142</v>
      </c>
      <c r="E323" t="s">
        <v>725</v>
      </c>
      <c r="F323" t="s">
        <v>728</v>
      </c>
      <c r="G323" t="s">
        <v>81</v>
      </c>
      <c r="H323" t="s">
        <v>146</v>
      </c>
      <c r="I323" t="s">
        <v>147</v>
      </c>
      <c r="J323" s="17">
        <v>1314</v>
      </c>
      <c r="K323" s="17">
        <v>3531</v>
      </c>
      <c r="L323" s="17">
        <v>2311</v>
      </c>
      <c r="M323" t="s">
        <v>84</v>
      </c>
      <c r="N323" t="s">
        <v>84</v>
      </c>
      <c r="O323" t="s">
        <v>84</v>
      </c>
      <c r="P323" t="s">
        <v>84</v>
      </c>
      <c r="Q323" s="17">
        <v>51178159</v>
      </c>
      <c r="R323" s="17">
        <v>42</v>
      </c>
      <c r="S323" t="s">
        <v>85</v>
      </c>
      <c r="T323" t="s">
        <v>84</v>
      </c>
      <c r="U323" t="s">
        <v>320</v>
      </c>
      <c r="V323" s="16">
        <v>44402</v>
      </c>
      <c r="W323" s="18">
        <v>44402</v>
      </c>
      <c r="X323" s="18">
        <v>44624.5</v>
      </c>
      <c r="Y323" s="17">
        <v>1956</v>
      </c>
      <c r="Z323" t="s">
        <v>148</v>
      </c>
      <c r="AA323" s="17">
        <v>3295</v>
      </c>
      <c r="AB323" s="17">
        <v>2332.88</v>
      </c>
      <c r="AC323" t="s">
        <v>84</v>
      </c>
      <c r="AD323" t="s">
        <v>84</v>
      </c>
      <c r="AE323" t="s">
        <v>84</v>
      </c>
      <c r="AF323" t="s">
        <v>84</v>
      </c>
      <c r="AG323" s="17">
        <v>43334185</v>
      </c>
      <c r="AH323" s="17">
        <v>38.5</v>
      </c>
      <c r="AI323" s="17">
        <v>0.22</v>
      </c>
      <c r="AJ323" s="17">
        <v>0.22</v>
      </c>
      <c r="AK323" t="s">
        <v>591</v>
      </c>
      <c r="AM323" s="17">
        <v>4</v>
      </c>
      <c r="AN323" s="17"/>
      <c r="AO323" s="17">
        <v>3640</v>
      </c>
      <c r="AP323" s="17"/>
      <c r="AQ323" s="17">
        <v>8010</v>
      </c>
      <c r="AR323" s="17"/>
      <c r="AS323" s="17">
        <v>3.8</v>
      </c>
      <c r="AT323" s="17"/>
      <c r="AU323" s="17">
        <v>2702</v>
      </c>
      <c r="AV323" s="17"/>
      <c r="AW323" s="17">
        <v>6752</v>
      </c>
      <c r="AX323" s="17"/>
      <c r="AY323" t="s">
        <v>92</v>
      </c>
      <c r="AZ323" t="s">
        <v>92</v>
      </c>
      <c r="BA323" t="s">
        <v>92</v>
      </c>
      <c r="BB323" t="s">
        <v>92</v>
      </c>
      <c r="BC323" t="s">
        <v>92</v>
      </c>
      <c r="BD323" s="17">
        <v>17.75</v>
      </c>
      <c r="BE323" s="17">
        <v>19978747.63</v>
      </c>
      <c r="BF323" t="s">
        <v>92</v>
      </c>
      <c r="BG323" t="s">
        <v>92</v>
      </c>
      <c r="BH323" t="s">
        <v>93</v>
      </c>
      <c r="BI323" t="s">
        <v>94</v>
      </c>
      <c r="BJ323" t="s">
        <v>367</v>
      </c>
      <c r="BK323" t="s">
        <v>85</v>
      </c>
      <c r="BL323" t="s">
        <v>85</v>
      </c>
      <c r="BM323" t="s">
        <v>273</v>
      </c>
      <c r="BN323" t="s">
        <v>97</v>
      </c>
      <c r="BO323" t="s">
        <v>727</v>
      </c>
      <c r="BP323" t="s">
        <v>99</v>
      </c>
      <c r="BQ323" s="17">
        <v>3339.23775</v>
      </c>
      <c r="BR323" t="s">
        <v>138</v>
      </c>
      <c r="BS323" t="s">
        <v>92</v>
      </c>
      <c r="BT323" t="s">
        <v>99</v>
      </c>
      <c r="BU323" s="17">
        <v>10.4</v>
      </c>
      <c r="BV323" t="s">
        <v>256</v>
      </c>
      <c r="BW323" t="s">
        <v>337</v>
      </c>
      <c r="BX323" t="s">
        <v>85</v>
      </c>
      <c r="BY323" t="str">
        <f>IF(COUNTIF('Data Upload-prod'!E:E,F323)=0,"Missing","Exist")</f>
        <v>Exist</v>
      </c>
    </row>
    <row r="324" hidden="1" spans="1:77">
      <c r="A324" s="16">
        <v>44305</v>
      </c>
      <c r="B324" t="s">
        <v>84</v>
      </c>
      <c r="C324" t="s">
        <v>360</v>
      </c>
      <c r="D324" t="s">
        <v>142</v>
      </c>
      <c r="E324" t="s">
        <v>725</v>
      </c>
      <c r="F324" t="s">
        <v>729</v>
      </c>
      <c r="G324" t="s">
        <v>81</v>
      </c>
      <c r="H324" t="s">
        <v>146</v>
      </c>
      <c r="I324" t="s">
        <v>147</v>
      </c>
      <c r="J324" s="17">
        <v>1313</v>
      </c>
      <c r="K324" s="17">
        <v>2858</v>
      </c>
      <c r="L324" s="17">
        <v>2279</v>
      </c>
      <c r="M324" t="s">
        <v>84</v>
      </c>
      <c r="N324" t="s">
        <v>84</v>
      </c>
      <c r="O324" t="s">
        <v>84</v>
      </c>
      <c r="P324" t="s">
        <v>84</v>
      </c>
      <c r="Q324" s="17">
        <v>45361570</v>
      </c>
      <c r="R324" s="17">
        <v>38.5</v>
      </c>
      <c r="S324" t="s">
        <v>85</v>
      </c>
      <c r="T324" t="s">
        <v>84</v>
      </c>
      <c r="U324" t="s">
        <v>320</v>
      </c>
      <c r="V324" s="16">
        <v>44393</v>
      </c>
      <c r="W324" s="18">
        <v>44392.2916666667</v>
      </c>
      <c r="X324" s="18">
        <v>44521</v>
      </c>
      <c r="Y324" s="17">
        <v>1433</v>
      </c>
      <c r="Z324" t="s">
        <v>148</v>
      </c>
      <c r="AA324" s="17">
        <v>2771</v>
      </c>
      <c r="AB324" s="17">
        <v>2275</v>
      </c>
      <c r="AC324" t="s">
        <v>84</v>
      </c>
      <c r="AD324" t="s">
        <v>84</v>
      </c>
      <c r="AE324" t="s">
        <v>84</v>
      </c>
      <c r="AF324" t="s">
        <v>84</v>
      </c>
      <c r="AG324" s="17">
        <v>37844216</v>
      </c>
      <c r="AH324" s="17">
        <v>52.71</v>
      </c>
      <c r="AI324" s="17">
        <v>13.4</v>
      </c>
      <c r="AJ324" s="17">
        <v>13.4</v>
      </c>
      <c r="AK324" t="s">
        <v>591</v>
      </c>
      <c r="AM324" s="17">
        <v>4</v>
      </c>
      <c r="AN324" s="17"/>
      <c r="AO324" s="17">
        <v>3640</v>
      </c>
      <c r="AP324" s="17"/>
      <c r="AQ324" s="17">
        <v>8010</v>
      </c>
      <c r="AR324" s="17"/>
      <c r="AS324" s="17">
        <v>7.17</v>
      </c>
      <c r="AT324" s="17"/>
      <c r="AU324" s="17">
        <v>4124</v>
      </c>
      <c r="AV324" s="17"/>
      <c r="AW324" s="17">
        <v>6656</v>
      </c>
      <c r="AX324" s="17"/>
      <c r="AY324" t="s">
        <v>92</v>
      </c>
      <c r="AZ324" t="s">
        <v>92</v>
      </c>
      <c r="BA324" t="s">
        <v>92</v>
      </c>
      <c r="BB324" t="s">
        <v>92</v>
      </c>
      <c r="BC324" t="s">
        <v>92</v>
      </c>
      <c r="BD324" s="17">
        <v>13.54</v>
      </c>
      <c r="BE324" s="17">
        <v>9721318.24</v>
      </c>
      <c r="BF324" t="s">
        <v>92</v>
      </c>
      <c r="BG324" t="s">
        <v>92</v>
      </c>
      <c r="BH324" t="s">
        <v>93</v>
      </c>
      <c r="BI324" t="s">
        <v>94</v>
      </c>
      <c r="BJ324" t="s">
        <v>367</v>
      </c>
      <c r="BK324" t="s">
        <v>85</v>
      </c>
      <c r="BL324" t="s">
        <v>85</v>
      </c>
      <c r="BM324" t="s">
        <v>273</v>
      </c>
      <c r="BN324" t="s">
        <v>97</v>
      </c>
      <c r="BO324" t="s">
        <v>727</v>
      </c>
      <c r="BP324" t="s">
        <v>99</v>
      </c>
      <c r="BQ324" s="17">
        <v>1427.5631</v>
      </c>
      <c r="BR324" t="s">
        <v>138</v>
      </c>
      <c r="BS324" t="s">
        <v>92</v>
      </c>
      <c r="BT324" t="s">
        <v>99</v>
      </c>
      <c r="BU324" s="17">
        <v>10.4</v>
      </c>
      <c r="BV324" t="s">
        <v>256</v>
      </c>
      <c r="BW324" t="s">
        <v>337</v>
      </c>
      <c r="BX324" t="s">
        <v>85</v>
      </c>
      <c r="BY324" t="str">
        <f>IF(COUNTIF('Data Upload-prod'!E:E,F324)=0,"Missing","Exist")</f>
        <v>Exist</v>
      </c>
    </row>
    <row r="325" hidden="1" spans="1:77">
      <c r="A325" s="16">
        <v>44305</v>
      </c>
      <c r="B325" t="s">
        <v>84</v>
      </c>
      <c r="C325" t="s">
        <v>360</v>
      </c>
      <c r="D325" t="s">
        <v>142</v>
      </c>
      <c r="E325" t="s">
        <v>725</v>
      </c>
      <c r="F325" t="s">
        <v>730</v>
      </c>
      <c r="G325" t="s">
        <v>81</v>
      </c>
      <c r="H325" t="s">
        <v>146</v>
      </c>
      <c r="I325" t="s">
        <v>147</v>
      </c>
      <c r="J325" s="17">
        <v>1237</v>
      </c>
      <c r="K325" s="17">
        <v>3935</v>
      </c>
      <c r="L325" s="17">
        <v>2426</v>
      </c>
      <c r="M325" t="s">
        <v>84</v>
      </c>
      <c r="N325" t="s">
        <v>84</v>
      </c>
      <c r="O325" t="s">
        <v>84</v>
      </c>
      <c r="P325" t="s">
        <v>84</v>
      </c>
      <c r="Q325" s="17">
        <v>48437133</v>
      </c>
      <c r="R325" s="17">
        <v>47</v>
      </c>
      <c r="S325" t="s">
        <v>85</v>
      </c>
      <c r="T325" t="s">
        <v>84</v>
      </c>
      <c r="U325" t="s">
        <v>320</v>
      </c>
      <c r="V325" s="16">
        <v>44406</v>
      </c>
      <c r="W325" s="18">
        <v>44406</v>
      </c>
      <c r="X325" s="18">
        <v>44598</v>
      </c>
      <c r="Y325" s="17">
        <v>2690</v>
      </c>
      <c r="Z325" t="s">
        <v>148</v>
      </c>
      <c r="AA325" s="17">
        <v>3952</v>
      </c>
      <c r="AB325" s="17">
        <v>2444.68</v>
      </c>
      <c r="AC325" t="s">
        <v>84</v>
      </c>
      <c r="AD325" t="s">
        <v>84</v>
      </c>
      <c r="AE325" t="s">
        <v>84</v>
      </c>
      <c r="AF325" t="s">
        <v>84</v>
      </c>
      <c r="AG325" s="17">
        <v>65897365</v>
      </c>
      <c r="AH325" s="17">
        <v>106</v>
      </c>
      <c r="AI325" s="17">
        <v>8.82</v>
      </c>
      <c r="AJ325" s="17">
        <v>8.31</v>
      </c>
      <c r="AK325" t="s">
        <v>591</v>
      </c>
      <c r="AM325" s="17">
        <v>4</v>
      </c>
      <c r="AN325" s="17"/>
      <c r="AO325" s="17">
        <v>3640</v>
      </c>
      <c r="AP325" s="17"/>
      <c r="AQ325" s="17">
        <v>8010</v>
      </c>
      <c r="AR325" s="17"/>
      <c r="AS325" s="17">
        <v>4.37</v>
      </c>
      <c r="AT325" s="17"/>
      <c r="AU325" s="17">
        <v>1901</v>
      </c>
      <c r="AV325" s="17"/>
      <c r="AW325" s="17">
        <v>5341</v>
      </c>
      <c r="AX325" s="17"/>
      <c r="AY325" t="s">
        <v>92</v>
      </c>
      <c r="AZ325" t="s">
        <v>92</v>
      </c>
      <c r="BA325" t="s">
        <v>92</v>
      </c>
      <c r="BB325" t="s">
        <v>92</v>
      </c>
      <c r="BC325" t="s">
        <v>92</v>
      </c>
      <c r="BD325" s="17">
        <v>70.99</v>
      </c>
      <c r="BE325" s="17">
        <v>44132584.35</v>
      </c>
      <c r="BF325" t="s">
        <v>92</v>
      </c>
      <c r="BG325" t="s">
        <v>92</v>
      </c>
      <c r="BH325" t="s">
        <v>93</v>
      </c>
      <c r="BI325" t="s">
        <v>94</v>
      </c>
      <c r="BJ325" t="s">
        <v>367</v>
      </c>
      <c r="BK325" t="s">
        <v>85</v>
      </c>
      <c r="BL325" t="s">
        <v>85</v>
      </c>
      <c r="BM325" t="s">
        <v>273</v>
      </c>
      <c r="BN325" t="s">
        <v>97</v>
      </c>
      <c r="BO325" t="s">
        <v>727</v>
      </c>
      <c r="BP325" t="s">
        <v>99</v>
      </c>
      <c r="BQ325" s="17">
        <v>1807.831</v>
      </c>
      <c r="BR325" t="s">
        <v>138</v>
      </c>
      <c r="BS325" t="s">
        <v>92</v>
      </c>
      <c r="BT325" t="s">
        <v>99</v>
      </c>
      <c r="BU325" s="17">
        <v>10.4</v>
      </c>
      <c r="BV325" t="s">
        <v>256</v>
      </c>
      <c r="BW325" t="s">
        <v>337</v>
      </c>
      <c r="BX325" t="s">
        <v>85</v>
      </c>
      <c r="BY325" t="str">
        <f>IF(COUNTIF('Data Upload-prod'!E:E,F325)=0,"Missing","Exist")</f>
        <v>Exist</v>
      </c>
    </row>
    <row r="326" hidden="1" spans="1:77">
      <c r="A326" s="16">
        <v>44303</v>
      </c>
      <c r="B326" s="16">
        <v>44518</v>
      </c>
      <c r="C326" t="s">
        <v>360</v>
      </c>
      <c r="D326" t="s">
        <v>120</v>
      </c>
      <c r="E326" t="s">
        <v>370</v>
      </c>
      <c r="F326" t="s">
        <v>731</v>
      </c>
      <c r="G326" t="s">
        <v>145</v>
      </c>
      <c r="H326" t="s">
        <v>612</v>
      </c>
      <c r="I326" t="s">
        <v>124</v>
      </c>
      <c r="J326" s="17">
        <v>77</v>
      </c>
      <c r="K326" s="17">
        <v>5042</v>
      </c>
      <c r="L326" s="17">
        <v>4632</v>
      </c>
      <c r="M326" s="17">
        <v>20500000</v>
      </c>
      <c r="N326" s="17">
        <v>23000000</v>
      </c>
      <c r="O326" s="17">
        <v>49.4</v>
      </c>
      <c r="P326" s="17">
        <v>57</v>
      </c>
      <c r="Q326" t="s">
        <v>84</v>
      </c>
      <c r="R326" t="s">
        <v>84</v>
      </c>
      <c r="S326" t="s">
        <v>85</v>
      </c>
      <c r="T326" t="s">
        <v>84</v>
      </c>
      <c r="U326" t="s">
        <v>84</v>
      </c>
      <c r="V326" s="16">
        <v>44377</v>
      </c>
      <c r="W326" s="18">
        <v>44353.3541666667</v>
      </c>
      <c r="X326" s="18">
        <v>44458.7083333333</v>
      </c>
      <c r="Y326" s="17">
        <v>3649</v>
      </c>
      <c r="Z326" t="s">
        <v>87</v>
      </c>
      <c r="AA326" s="17">
        <v>3758</v>
      </c>
      <c r="AB326" s="17">
        <v>3565.37</v>
      </c>
      <c r="AC326" t="s">
        <v>84</v>
      </c>
      <c r="AD326" s="17">
        <v>33300000</v>
      </c>
      <c r="AE326" t="s">
        <v>84</v>
      </c>
      <c r="AF326" s="17">
        <v>105.4</v>
      </c>
      <c r="AG326" t="s">
        <v>84</v>
      </c>
      <c r="AH326" t="s">
        <v>84</v>
      </c>
      <c r="AI326" s="17">
        <v>26.33</v>
      </c>
      <c r="AJ326" s="17">
        <v>26.27</v>
      </c>
      <c r="AK326" t="s">
        <v>374</v>
      </c>
      <c r="AM326" s="17">
        <v>5</v>
      </c>
      <c r="AN326" s="17"/>
      <c r="AO326" s="17">
        <v>2360</v>
      </c>
      <c r="AP326" s="17"/>
      <c r="AQ326" s="17">
        <v>4280</v>
      </c>
      <c r="AR326" s="17"/>
      <c r="AS326" s="17">
        <v>3.6</v>
      </c>
      <c r="AT326" s="17"/>
      <c r="AU326" s="17">
        <v>1266</v>
      </c>
      <c r="AV326" s="17"/>
      <c r="AW326" s="17">
        <v>2430</v>
      </c>
      <c r="AX326" s="17"/>
      <c r="AY326" t="s">
        <v>92</v>
      </c>
      <c r="AZ326" t="s">
        <v>92</v>
      </c>
      <c r="BA326" t="s">
        <v>92</v>
      </c>
      <c r="BB326" t="s">
        <v>92</v>
      </c>
      <c r="BC326" t="s">
        <v>92</v>
      </c>
      <c r="BD326" t="s">
        <v>92</v>
      </c>
      <c r="BE326" t="s">
        <v>92</v>
      </c>
      <c r="BF326" t="s">
        <v>92</v>
      </c>
      <c r="BG326" t="s">
        <v>92</v>
      </c>
      <c r="BH326" t="s">
        <v>92</v>
      </c>
      <c r="BI326" t="s">
        <v>92</v>
      </c>
      <c r="BJ326" t="s">
        <v>92</v>
      </c>
      <c r="BK326" t="s">
        <v>92</v>
      </c>
      <c r="BL326" t="s">
        <v>92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92</v>
      </c>
      <c r="BS326" t="s">
        <v>92</v>
      </c>
      <c r="BT326" t="s">
        <v>92</v>
      </c>
      <c r="BU326" t="s">
        <v>92</v>
      </c>
      <c r="BV326" t="s">
        <v>92</v>
      </c>
      <c r="BW326" t="s">
        <v>92</v>
      </c>
      <c r="BX326" t="s">
        <v>92</v>
      </c>
      <c r="BY326" t="str">
        <f>IF(COUNTIF('Data Upload-prod'!E:E,F326)=0,"Missing","Exist")</f>
        <v>Exist</v>
      </c>
    </row>
    <row r="327" hidden="1" spans="1:77">
      <c r="A327" s="16">
        <v>44287</v>
      </c>
      <c r="B327" t="s">
        <v>84</v>
      </c>
      <c r="C327" t="s">
        <v>360</v>
      </c>
      <c r="D327" t="s">
        <v>120</v>
      </c>
      <c r="E327" t="s">
        <v>732</v>
      </c>
      <c r="F327" t="s">
        <v>733</v>
      </c>
      <c r="G327" t="s">
        <v>81</v>
      </c>
      <c r="H327" t="s">
        <v>289</v>
      </c>
      <c r="I327" t="s">
        <v>124</v>
      </c>
      <c r="J327" s="17">
        <v>31.3</v>
      </c>
      <c r="K327" s="17">
        <v>1730</v>
      </c>
      <c r="L327" s="17">
        <v>1633.5</v>
      </c>
      <c r="M327" t="s">
        <v>84</v>
      </c>
      <c r="N327" t="s">
        <v>84</v>
      </c>
      <c r="O327" t="s">
        <v>84</v>
      </c>
      <c r="P327" t="s">
        <v>84</v>
      </c>
      <c r="Q327" s="17">
        <v>3265225</v>
      </c>
      <c r="R327" s="17">
        <v>6.98</v>
      </c>
      <c r="S327" t="s">
        <v>85</v>
      </c>
      <c r="T327" t="s">
        <v>84</v>
      </c>
      <c r="U327" t="s">
        <v>86</v>
      </c>
      <c r="V327" s="16">
        <v>44307</v>
      </c>
      <c r="W327" s="18">
        <v>44307.5208333333</v>
      </c>
      <c r="X327" s="18">
        <v>44320.5</v>
      </c>
      <c r="Y327" s="17">
        <v>1643.35</v>
      </c>
      <c r="Z327" t="s">
        <v>87</v>
      </c>
      <c r="AA327" s="17">
        <v>1710</v>
      </c>
      <c r="AB327" s="17">
        <v>1615.63</v>
      </c>
      <c r="AC327" t="s">
        <v>84</v>
      </c>
      <c r="AD327" t="s">
        <v>84</v>
      </c>
      <c r="AE327" t="s">
        <v>84</v>
      </c>
      <c r="AF327" t="s">
        <v>84</v>
      </c>
      <c r="AG327" s="17">
        <v>2933751</v>
      </c>
      <c r="AH327" s="17">
        <v>7.31</v>
      </c>
      <c r="AI327" s="17">
        <v>4.84</v>
      </c>
      <c r="AJ327" s="17">
        <v>4.84</v>
      </c>
      <c r="AK327" t="s">
        <v>208</v>
      </c>
      <c r="AM327" s="17">
        <v>2.2</v>
      </c>
      <c r="AN327" s="17"/>
      <c r="AO327" s="17">
        <v>830</v>
      </c>
      <c r="AP327" s="17"/>
      <c r="AQ327" s="17">
        <v>1395</v>
      </c>
      <c r="AR327" s="17"/>
      <c r="AS327" s="17">
        <v>1.17</v>
      </c>
      <c r="AT327" s="17"/>
      <c r="AU327" s="17">
        <v>409.88</v>
      </c>
      <c r="AV327" s="17"/>
      <c r="AW327" s="17">
        <v>543.41</v>
      </c>
      <c r="AX327" s="17"/>
      <c r="AY327" t="s">
        <v>92</v>
      </c>
      <c r="AZ327" t="s">
        <v>92</v>
      </c>
      <c r="BA327" t="s">
        <v>92</v>
      </c>
      <c r="BB327" t="s">
        <v>92</v>
      </c>
      <c r="BC327" t="s">
        <v>92</v>
      </c>
      <c r="BD327" s="17">
        <v>1.1</v>
      </c>
      <c r="BE327" s="17">
        <v>752000</v>
      </c>
      <c r="BF327" t="s">
        <v>92</v>
      </c>
      <c r="BG327" t="s">
        <v>92</v>
      </c>
      <c r="BH327" t="s">
        <v>93</v>
      </c>
      <c r="BI327" t="s">
        <v>94</v>
      </c>
      <c r="BJ327" t="s">
        <v>95</v>
      </c>
      <c r="BK327" t="s">
        <v>85</v>
      </c>
      <c r="BL327" t="s">
        <v>85</v>
      </c>
      <c r="BM327" t="s">
        <v>96</v>
      </c>
      <c r="BN327" t="s">
        <v>97</v>
      </c>
      <c r="BO327" t="s">
        <v>98</v>
      </c>
      <c r="BP327" t="s">
        <v>99</v>
      </c>
      <c r="BQ327" s="17">
        <v>82</v>
      </c>
      <c r="BR327" t="s">
        <v>100</v>
      </c>
      <c r="BS327" t="s">
        <v>92</v>
      </c>
      <c r="BT327" t="s">
        <v>99</v>
      </c>
      <c r="BU327" s="17">
        <v>6.95</v>
      </c>
      <c r="BV327" t="s">
        <v>588</v>
      </c>
      <c r="BW327" t="s">
        <v>129</v>
      </c>
      <c r="BX327" t="s">
        <v>85</v>
      </c>
      <c r="BY327" t="str">
        <f>IF(COUNTIF('Data Upload-prod'!E:E,F327)=0,"Missing","Exist")</f>
        <v>Exist</v>
      </c>
    </row>
    <row r="328" hidden="1" spans="1:77">
      <c r="A328" s="16">
        <v>44287</v>
      </c>
      <c r="B328" s="16">
        <v>44376</v>
      </c>
      <c r="C328" t="s">
        <v>360</v>
      </c>
      <c r="D328" t="s">
        <v>120</v>
      </c>
      <c r="E328" t="s">
        <v>734</v>
      </c>
      <c r="F328" t="s">
        <v>735</v>
      </c>
      <c r="G328" t="s">
        <v>81</v>
      </c>
      <c r="H328" t="s">
        <v>289</v>
      </c>
      <c r="I328" t="s">
        <v>124</v>
      </c>
      <c r="J328" s="17">
        <v>31.3</v>
      </c>
      <c r="K328" s="17">
        <v>1987</v>
      </c>
      <c r="L328" s="17">
        <v>1518.97</v>
      </c>
      <c r="M328" t="s">
        <v>84</v>
      </c>
      <c r="N328" t="s">
        <v>84</v>
      </c>
      <c r="O328" t="s">
        <v>84</v>
      </c>
      <c r="P328" t="s">
        <v>84</v>
      </c>
      <c r="Q328" s="17">
        <v>3737949.4</v>
      </c>
      <c r="R328" s="17">
        <v>7.87</v>
      </c>
      <c r="S328" t="s">
        <v>85</v>
      </c>
      <c r="T328" t="s">
        <v>84</v>
      </c>
      <c r="U328" t="s">
        <v>86</v>
      </c>
      <c r="V328" s="16">
        <v>44308</v>
      </c>
      <c r="W328" s="18">
        <v>44304</v>
      </c>
      <c r="X328" s="18">
        <v>44334.7083333333</v>
      </c>
      <c r="Y328" s="17">
        <v>1958.35</v>
      </c>
      <c r="Z328" t="s">
        <v>87</v>
      </c>
      <c r="AA328" s="17">
        <v>2025</v>
      </c>
      <c r="AB328" s="17">
        <v>1525.53</v>
      </c>
      <c r="AC328" t="s">
        <v>84</v>
      </c>
      <c r="AD328" t="s">
        <v>84</v>
      </c>
      <c r="AE328" t="s">
        <v>84</v>
      </c>
      <c r="AF328" t="s">
        <v>84</v>
      </c>
      <c r="AG328" s="17">
        <v>3260492.06</v>
      </c>
      <c r="AH328" s="17">
        <v>5.53</v>
      </c>
      <c r="AI328" s="17">
        <v>0</v>
      </c>
      <c r="AJ328" s="17">
        <v>0</v>
      </c>
      <c r="AK328" t="s">
        <v>208</v>
      </c>
      <c r="AM328" s="17">
        <v>2.2</v>
      </c>
      <c r="AN328" s="17"/>
      <c r="AO328" s="17">
        <v>830</v>
      </c>
      <c r="AP328" s="17"/>
      <c r="AQ328" s="17">
        <v>1395</v>
      </c>
      <c r="AR328" s="17"/>
      <c r="AS328" s="17">
        <v>0.74</v>
      </c>
      <c r="AT328" s="17"/>
      <c r="AU328" s="17">
        <v>365.74</v>
      </c>
      <c r="AV328" s="17"/>
      <c r="AW328" s="17">
        <v>507.37</v>
      </c>
      <c r="AX328" s="17"/>
      <c r="AY328" t="s">
        <v>92</v>
      </c>
      <c r="AZ328" t="s">
        <v>92</v>
      </c>
      <c r="BA328" t="s">
        <v>92</v>
      </c>
      <c r="BB328" t="s">
        <v>92</v>
      </c>
      <c r="BC328" t="s">
        <v>92</v>
      </c>
      <c r="BD328" s="17">
        <v>0.75</v>
      </c>
      <c r="BE328" s="17">
        <v>943448</v>
      </c>
      <c r="BF328" t="s">
        <v>92</v>
      </c>
      <c r="BG328" t="s">
        <v>92</v>
      </c>
      <c r="BH328" t="s">
        <v>93</v>
      </c>
      <c r="BI328" t="s">
        <v>94</v>
      </c>
      <c r="BJ328" t="s">
        <v>95</v>
      </c>
      <c r="BK328" t="s">
        <v>85</v>
      </c>
      <c r="BL328" t="s">
        <v>85</v>
      </c>
      <c r="BM328" t="s">
        <v>96</v>
      </c>
      <c r="BN328" t="s">
        <v>97</v>
      </c>
      <c r="BO328" t="s">
        <v>98</v>
      </c>
      <c r="BP328" t="s">
        <v>99</v>
      </c>
      <c r="BQ328" s="17">
        <v>70</v>
      </c>
      <c r="BR328" t="s">
        <v>100</v>
      </c>
      <c r="BS328" t="s">
        <v>92</v>
      </c>
      <c r="BT328" t="s">
        <v>99</v>
      </c>
      <c r="BU328" s="17">
        <v>6.95</v>
      </c>
      <c r="BV328" t="s">
        <v>588</v>
      </c>
      <c r="BW328" t="s">
        <v>129</v>
      </c>
      <c r="BX328" t="s">
        <v>85</v>
      </c>
      <c r="BY328" t="str">
        <f>IF(COUNTIF('Data Upload-prod'!E:E,F328)=0,"Missing","Exist")</f>
        <v>Exist</v>
      </c>
    </row>
    <row r="329" hidden="1" spans="1:77">
      <c r="A329" s="16">
        <v>44287</v>
      </c>
      <c r="B329" t="s">
        <v>84</v>
      </c>
      <c r="C329" t="s">
        <v>360</v>
      </c>
      <c r="D329" t="s">
        <v>120</v>
      </c>
      <c r="E329" t="s">
        <v>732</v>
      </c>
      <c r="F329" t="s">
        <v>736</v>
      </c>
      <c r="G329" t="s">
        <v>81</v>
      </c>
      <c r="H329" t="s">
        <v>289</v>
      </c>
      <c r="I329" t="s">
        <v>124</v>
      </c>
      <c r="J329" s="17">
        <v>31.3</v>
      </c>
      <c r="K329" s="17">
        <v>2424</v>
      </c>
      <c r="L329" s="17">
        <v>1544.1</v>
      </c>
      <c r="M329" t="s">
        <v>84</v>
      </c>
      <c r="N329" t="s">
        <v>84</v>
      </c>
      <c r="O329" t="s">
        <v>84</v>
      </c>
      <c r="P329" t="s">
        <v>84</v>
      </c>
      <c r="Q329" s="17">
        <v>4062754</v>
      </c>
      <c r="R329" s="17">
        <v>8.48</v>
      </c>
      <c r="S329" t="s">
        <v>85</v>
      </c>
      <c r="T329" t="s">
        <v>84</v>
      </c>
      <c r="U329" t="s">
        <v>86</v>
      </c>
      <c r="V329" s="16">
        <v>44309</v>
      </c>
      <c r="W329" s="18">
        <v>44309.3020833333</v>
      </c>
      <c r="X329" s="18">
        <v>44326.6875</v>
      </c>
      <c r="Y329" s="17">
        <v>2317.35</v>
      </c>
      <c r="Z329" t="s">
        <v>87</v>
      </c>
      <c r="AA329" s="17">
        <v>2384</v>
      </c>
      <c r="AB329" s="17">
        <v>1523.85</v>
      </c>
      <c r="AC329" t="s">
        <v>84</v>
      </c>
      <c r="AD329" t="s">
        <v>84</v>
      </c>
      <c r="AE329" t="s">
        <v>84</v>
      </c>
      <c r="AF329" t="s">
        <v>84</v>
      </c>
      <c r="AG329" s="17">
        <v>3533586</v>
      </c>
      <c r="AH329" s="17">
        <v>8.16</v>
      </c>
      <c r="AI329" s="17">
        <v>10.47</v>
      </c>
      <c r="AJ329" s="17">
        <v>10.47</v>
      </c>
      <c r="AK329" t="s">
        <v>208</v>
      </c>
      <c r="AM329" s="17">
        <v>2.2</v>
      </c>
      <c r="AN329" s="17"/>
      <c r="AO329" s="17">
        <v>830</v>
      </c>
      <c r="AP329" s="17"/>
      <c r="AQ329" s="17">
        <v>1395</v>
      </c>
      <c r="AR329" s="17"/>
      <c r="AS329" s="17">
        <v>0.96</v>
      </c>
      <c r="AT329" s="17"/>
      <c r="AU329" s="17">
        <v>341.96</v>
      </c>
      <c r="AV329" s="17"/>
      <c r="AW329" s="17">
        <v>464.28</v>
      </c>
      <c r="AX329" s="17"/>
      <c r="AY329" t="s">
        <v>92</v>
      </c>
      <c r="AZ329" t="s">
        <v>92</v>
      </c>
      <c r="BA329" t="s">
        <v>92</v>
      </c>
      <c r="BB329" t="s">
        <v>92</v>
      </c>
      <c r="BC329" t="s">
        <v>92</v>
      </c>
      <c r="BD329" s="17">
        <v>0.92</v>
      </c>
      <c r="BE329" s="17">
        <v>957000</v>
      </c>
      <c r="BF329" t="s">
        <v>92</v>
      </c>
      <c r="BG329" t="s">
        <v>92</v>
      </c>
      <c r="BH329" t="s">
        <v>93</v>
      </c>
      <c r="BI329" t="s">
        <v>94</v>
      </c>
      <c r="BJ329" t="s">
        <v>95</v>
      </c>
      <c r="BK329" t="s">
        <v>85</v>
      </c>
      <c r="BL329" t="s">
        <v>85</v>
      </c>
      <c r="BM329" t="s">
        <v>96</v>
      </c>
      <c r="BN329" t="s">
        <v>97</v>
      </c>
      <c r="BO329" t="s">
        <v>98</v>
      </c>
      <c r="BP329" t="s">
        <v>99</v>
      </c>
      <c r="BQ329" s="17">
        <v>76</v>
      </c>
      <c r="BR329" t="s">
        <v>100</v>
      </c>
      <c r="BS329" t="s">
        <v>92</v>
      </c>
      <c r="BT329" t="s">
        <v>99</v>
      </c>
      <c r="BU329" s="17">
        <v>6.95</v>
      </c>
      <c r="BV329" t="s">
        <v>588</v>
      </c>
      <c r="BW329" t="s">
        <v>129</v>
      </c>
      <c r="BX329" t="s">
        <v>85</v>
      </c>
      <c r="BY329" t="str">
        <f>IF(COUNTIF('Data Upload-prod'!E:E,F329)=0,"Missing","Exist")</f>
        <v>Exist</v>
      </c>
    </row>
    <row r="330" hidden="1" spans="1:77">
      <c r="A330" s="16">
        <v>44274</v>
      </c>
      <c r="B330" s="16">
        <v>44420</v>
      </c>
      <c r="C330" t="s">
        <v>187</v>
      </c>
      <c r="D330" t="s">
        <v>78</v>
      </c>
      <c r="E330" t="s">
        <v>708</v>
      </c>
      <c r="F330" t="s">
        <v>737</v>
      </c>
      <c r="G330" t="s">
        <v>81</v>
      </c>
      <c r="H330" t="s">
        <v>181</v>
      </c>
      <c r="I330" t="s">
        <v>124</v>
      </c>
      <c r="J330" s="17">
        <v>62.5</v>
      </c>
      <c r="K330" s="17">
        <v>1954</v>
      </c>
      <c r="L330" s="17">
        <v>1171</v>
      </c>
      <c r="M330" t="s">
        <v>84</v>
      </c>
      <c r="N330" t="s">
        <v>84</v>
      </c>
      <c r="O330" t="s">
        <v>84</v>
      </c>
      <c r="P330" t="s">
        <v>84</v>
      </c>
      <c r="Q330" s="17">
        <v>6038531</v>
      </c>
      <c r="R330" s="17">
        <v>15</v>
      </c>
      <c r="S330" t="s">
        <v>85</v>
      </c>
      <c r="T330" t="s">
        <v>84</v>
      </c>
      <c r="U330" t="s">
        <v>86</v>
      </c>
      <c r="V330" s="16">
        <v>44314</v>
      </c>
      <c r="W330" s="18">
        <v>44313</v>
      </c>
      <c r="X330" t="s">
        <v>84</v>
      </c>
      <c r="Y330" s="17">
        <v>1849.84</v>
      </c>
      <c r="Z330" t="s">
        <v>87</v>
      </c>
      <c r="AA330" s="17">
        <v>1961</v>
      </c>
      <c r="AB330" s="17">
        <v>1720.69</v>
      </c>
      <c r="AC330" t="s">
        <v>84</v>
      </c>
      <c r="AD330" t="s">
        <v>84</v>
      </c>
      <c r="AE330" t="s">
        <v>84</v>
      </c>
      <c r="AF330" t="s">
        <v>84</v>
      </c>
      <c r="AG330" s="17">
        <v>6360000</v>
      </c>
      <c r="AH330" s="17">
        <v>21.79</v>
      </c>
      <c r="AI330" s="17">
        <v>4</v>
      </c>
      <c r="AJ330" s="17">
        <v>4</v>
      </c>
      <c r="AK330" t="s">
        <v>208</v>
      </c>
      <c r="AM330" s="17">
        <v>2.1</v>
      </c>
      <c r="AN330" s="17"/>
      <c r="AO330" s="17">
        <v>700</v>
      </c>
      <c r="AP330" s="17"/>
      <c r="AQ330" s="17">
        <v>1220</v>
      </c>
      <c r="AR330" s="17"/>
      <c r="AS330" s="17">
        <v>2.4</v>
      </c>
      <c r="AT330" s="17"/>
      <c r="AU330" s="17">
        <v>710</v>
      </c>
      <c r="AV330" s="17"/>
      <c r="AW330" s="17">
        <v>988</v>
      </c>
      <c r="AX330" s="17"/>
      <c r="AY330" t="s">
        <v>92</v>
      </c>
      <c r="AZ330" t="s">
        <v>92</v>
      </c>
      <c r="BA330" t="s">
        <v>92</v>
      </c>
      <c r="BB330" t="s">
        <v>92</v>
      </c>
      <c r="BC330" t="s">
        <v>92</v>
      </c>
      <c r="BD330" s="17">
        <v>4.4</v>
      </c>
      <c r="BE330" s="17">
        <v>1739307</v>
      </c>
      <c r="BF330" t="s">
        <v>92</v>
      </c>
      <c r="BG330" t="s">
        <v>92</v>
      </c>
      <c r="BH330" t="s">
        <v>93</v>
      </c>
      <c r="BI330" t="s">
        <v>94</v>
      </c>
      <c r="BJ330" t="s">
        <v>173</v>
      </c>
      <c r="BK330" t="s">
        <v>85</v>
      </c>
      <c r="BL330" t="s">
        <v>85</v>
      </c>
      <c r="BM330" t="s">
        <v>96</v>
      </c>
      <c r="BN330" t="s">
        <v>97</v>
      </c>
      <c r="BO330" t="s">
        <v>98</v>
      </c>
      <c r="BP330" t="s">
        <v>103</v>
      </c>
      <c r="BQ330" s="17">
        <v>0</v>
      </c>
      <c r="BR330" t="s">
        <v>138</v>
      </c>
      <c r="BS330" t="s">
        <v>92</v>
      </c>
      <c r="BT330" t="s">
        <v>99</v>
      </c>
      <c r="BU330" s="17">
        <v>8.6</v>
      </c>
      <c r="BV330" t="s">
        <v>131</v>
      </c>
      <c r="BW330" t="s">
        <v>129</v>
      </c>
      <c r="BX330" t="s">
        <v>85</v>
      </c>
      <c r="BY330" t="str">
        <f>IF(COUNTIF('Data Upload-prod'!E:E,F330)=0,"Missing","Exist")</f>
        <v>Exist</v>
      </c>
    </row>
    <row r="331" hidden="1" spans="1:77">
      <c r="A331" s="16">
        <v>44270</v>
      </c>
      <c r="B331" s="16">
        <v>44427</v>
      </c>
      <c r="C331" t="s">
        <v>187</v>
      </c>
      <c r="D331" t="s">
        <v>78</v>
      </c>
      <c r="E331" t="s">
        <v>708</v>
      </c>
      <c r="F331" t="s">
        <v>738</v>
      </c>
      <c r="G331" t="s">
        <v>81</v>
      </c>
      <c r="H331" t="s">
        <v>680</v>
      </c>
      <c r="I331" t="s">
        <v>124</v>
      </c>
      <c r="J331" s="17">
        <v>62.5</v>
      </c>
      <c r="K331" s="17">
        <v>2625</v>
      </c>
      <c r="L331" s="17">
        <v>1619</v>
      </c>
      <c r="M331" t="s">
        <v>84</v>
      </c>
      <c r="N331" t="s">
        <v>84</v>
      </c>
      <c r="O331" t="s">
        <v>84</v>
      </c>
      <c r="P331" t="s">
        <v>84</v>
      </c>
      <c r="Q331" s="17">
        <v>8264114</v>
      </c>
      <c r="R331" s="17">
        <v>22</v>
      </c>
      <c r="S331" t="s">
        <v>106</v>
      </c>
      <c r="T331" t="s">
        <v>84</v>
      </c>
      <c r="U331" t="s">
        <v>86</v>
      </c>
      <c r="V331" s="16">
        <v>44320</v>
      </c>
      <c r="W331" s="18">
        <v>44320</v>
      </c>
      <c r="X331" s="18">
        <v>44367</v>
      </c>
      <c r="Y331" s="17">
        <v>2509.84</v>
      </c>
      <c r="Z331" t="s">
        <v>87</v>
      </c>
      <c r="AA331" s="17">
        <v>2621</v>
      </c>
      <c r="AB331" s="17">
        <v>1616.51</v>
      </c>
      <c r="AC331" t="s">
        <v>84</v>
      </c>
      <c r="AD331" t="s">
        <v>84</v>
      </c>
      <c r="AE331" t="s">
        <v>84</v>
      </c>
      <c r="AF331" t="s">
        <v>84</v>
      </c>
      <c r="AG331" s="17">
        <v>10672398</v>
      </c>
      <c r="AH331" s="17">
        <v>32.46</v>
      </c>
      <c r="AI331" s="17">
        <v>17.65</v>
      </c>
      <c r="AJ331" s="17">
        <v>17.65</v>
      </c>
      <c r="AK331" t="s">
        <v>208</v>
      </c>
      <c r="AM331" s="17">
        <v>2.1</v>
      </c>
      <c r="AN331" s="17"/>
      <c r="AO331" s="17">
        <v>700</v>
      </c>
      <c r="AP331" s="17"/>
      <c r="AQ331" s="17">
        <v>1220</v>
      </c>
      <c r="AR331" s="17"/>
      <c r="AS331" s="17">
        <v>2.4</v>
      </c>
      <c r="AT331" s="17"/>
      <c r="AU331" s="17">
        <v>888</v>
      </c>
      <c r="AV331" s="17"/>
      <c r="AW331" s="17">
        <v>1237</v>
      </c>
      <c r="AX331" s="17"/>
      <c r="AY331" t="s">
        <v>92</v>
      </c>
      <c r="AZ331" t="s">
        <v>92</v>
      </c>
      <c r="BA331" t="s">
        <v>92</v>
      </c>
      <c r="BB331" t="s">
        <v>92</v>
      </c>
      <c r="BC331" t="s">
        <v>92</v>
      </c>
      <c r="BD331" s="17">
        <v>9.77</v>
      </c>
      <c r="BE331" s="17">
        <v>3011401.95</v>
      </c>
      <c r="BF331" t="s">
        <v>92</v>
      </c>
      <c r="BG331" t="s">
        <v>92</v>
      </c>
      <c r="BH331" t="s">
        <v>93</v>
      </c>
      <c r="BI331" t="s">
        <v>94</v>
      </c>
      <c r="BJ331" t="s">
        <v>173</v>
      </c>
      <c r="BK331" t="s">
        <v>85</v>
      </c>
      <c r="BL331" t="s">
        <v>85</v>
      </c>
      <c r="BM331" t="s">
        <v>96</v>
      </c>
      <c r="BN331" t="s">
        <v>97</v>
      </c>
      <c r="BO331" t="s">
        <v>98</v>
      </c>
      <c r="BP331" t="s">
        <v>103</v>
      </c>
      <c r="BQ331" s="17">
        <v>0</v>
      </c>
      <c r="BR331" t="s">
        <v>138</v>
      </c>
      <c r="BS331" t="s">
        <v>92</v>
      </c>
      <c r="BT331" t="s">
        <v>99</v>
      </c>
      <c r="BU331" s="17">
        <v>9.8</v>
      </c>
      <c r="BV331" t="s">
        <v>256</v>
      </c>
      <c r="BW331" t="s">
        <v>129</v>
      </c>
      <c r="BX331" t="s">
        <v>85</v>
      </c>
      <c r="BY331" t="str">
        <f>IF(COUNTIF('Data Upload-prod'!E:E,F331)=0,"Missing","Exist")</f>
        <v>Exist</v>
      </c>
    </row>
    <row r="332" hidden="1" spans="1:77">
      <c r="A332" s="16">
        <v>44264</v>
      </c>
      <c r="B332" s="16">
        <v>44831</v>
      </c>
      <c r="C332" t="s">
        <v>132</v>
      </c>
      <c r="D332" t="s">
        <v>120</v>
      </c>
      <c r="E332" t="s">
        <v>382</v>
      </c>
      <c r="F332" t="s">
        <v>739</v>
      </c>
      <c r="G332" t="s">
        <v>81</v>
      </c>
      <c r="H332" t="s">
        <v>247</v>
      </c>
      <c r="I332" t="s">
        <v>231</v>
      </c>
      <c r="J332" s="17">
        <v>108</v>
      </c>
      <c r="K332" s="17">
        <v>2856.5</v>
      </c>
      <c r="L332" s="17">
        <v>2697.8</v>
      </c>
      <c r="M332" t="s">
        <v>84</v>
      </c>
      <c r="N332" t="s">
        <v>84</v>
      </c>
      <c r="O332" t="s">
        <v>84</v>
      </c>
      <c r="P332" t="s">
        <v>84</v>
      </c>
      <c r="Q332" s="17">
        <v>27083987</v>
      </c>
      <c r="R332" s="17">
        <v>38.38</v>
      </c>
      <c r="S332" t="s">
        <v>85</v>
      </c>
      <c r="T332" t="s">
        <v>84</v>
      </c>
      <c r="U332" t="s">
        <v>86</v>
      </c>
      <c r="V332" s="16">
        <v>44486</v>
      </c>
      <c r="W332" s="18">
        <v>44486</v>
      </c>
      <c r="X332" s="18">
        <v>44761</v>
      </c>
      <c r="Y332" s="17">
        <v>2718.2</v>
      </c>
      <c r="Z332" t="s">
        <v>87</v>
      </c>
      <c r="AA332" s="17">
        <v>2865</v>
      </c>
      <c r="AB332" s="17">
        <v>2703.6</v>
      </c>
      <c r="AC332" t="s">
        <v>84</v>
      </c>
      <c r="AD332" t="s">
        <v>84</v>
      </c>
      <c r="AE332" t="s">
        <v>84</v>
      </c>
      <c r="AF332" t="s">
        <v>84</v>
      </c>
      <c r="AG332" s="17">
        <v>27438656.05</v>
      </c>
      <c r="AH332" s="17">
        <v>57</v>
      </c>
      <c r="AI332" s="17">
        <v>30.72</v>
      </c>
      <c r="AJ332" s="17">
        <v>26.14</v>
      </c>
      <c r="AK332" t="s">
        <v>276</v>
      </c>
      <c r="AM332" s="17">
        <v>3.7</v>
      </c>
      <c r="AN332" s="17"/>
      <c r="AO332" s="17">
        <v>1585</v>
      </c>
      <c r="AP332" s="17"/>
      <c r="AQ332" s="17">
        <v>3400</v>
      </c>
      <c r="AR332" s="17"/>
      <c r="AS332" s="17">
        <v>4.7</v>
      </c>
      <c r="AT332" s="17"/>
      <c r="AU332" s="17">
        <v>1827.77</v>
      </c>
      <c r="AV332" s="17"/>
      <c r="AW332" s="17">
        <v>2916.19</v>
      </c>
      <c r="AX332" s="17"/>
      <c r="AY332" t="s">
        <v>92</v>
      </c>
      <c r="AZ332" t="s">
        <v>92</v>
      </c>
      <c r="BA332" t="s">
        <v>92</v>
      </c>
      <c r="BB332" t="s">
        <v>92</v>
      </c>
      <c r="BC332" t="s">
        <v>92</v>
      </c>
      <c r="BD332" s="17">
        <v>13.01</v>
      </c>
      <c r="BE332" s="17">
        <v>10288112</v>
      </c>
      <c r="BF332" t="s">
        <v>92</v>
      </c>
      <c r="BG332" t="s">
        <v>92</v>
      </c>
      <c r="BH332" t="s">
        <v>127</v>
      </c>
      <c r="BI332" t="s">
        <v>278</v>
      </c>
      <c r="BJ332" t="s">
        <v>173</v>
      </c>
      <c r="BK332" t="s">
        <v>85</v>
      </c>
      <c r="BL332" t="s">
        <v>85</v>
      </c>
      <c r="BM332" t="s">
        <v>137</v>
      </c>
      <c r="BN332" t="s">
        <v>97</v>
      </c>
      <c r="BO332" t="s">
        <v>98</v>
      </c>
      <c r="BP332" t="s">
        <v>641</v>
      </c>
      <c r="BQ332" s="17">
        <v>1028</v>
      </c>
      <c r="BR332" t="s">
        <v>100</v>
      </c>
      <c r="BS332" t="s">
        <v>156</v>
      </c>
      <c r="BT332" t="s">
        <v>695</v>
      </c>
      <c r="BU332" s="17">
        <v>14.9</v>
      </c>
      <c r="BV332" t="s">
        <v>451</v>
      </c>
      <c r="BW332" t="s">
        <v>85</v>
      </c>
      <c r="BX332" t="s">
        <v>85</v>
      </c>
      <c r="BY332" t="str">
        <f>IF(COUNTIF('Data Upload-prod'!E:E,F332)=0,"Missing","Exist")</f>
        <v>Exist</v>
      </c>
    </row>
    <row r="333" hidden="1" spans="1:77">
      <c r="A333" s="16">
        <v>44257</v>
      </c>
      <c r="B333" s="16">
        <v>44392</v>
      </c>
      <c r="C333" t="s">
        <v>77</v>
      </c>
      <c r="D333" t="s">
        <v>78</v>
      </c>
      <c r="E333" t="s">
        <v>475</v>
      </c>
      <c r="F333" t="s">
        <v>740</v>
      </c>
      <c r="G333" t="s">
        <v>81</v>
      </c>
      <c r="H333" t="s">
        <v>514</v>
      </c>
      <c r="I333" t="s">
        <v>124</v>
      </c>
      <c r="J333" s="17">
        <v>67</v>
      </c>
      <c r="K333" s="17">
        <v>3598</v>
      </c>
      <c r="L333" s="17">
        <v>1123</v>
      </c>
      <c r="M333" t="s">
        <v>84</v>
      </c>
      <c r="N333" t="s">
        <v>84</v>
      </c>
      <c r="O333" t="s">
        <v>84</v>
      </c>
      <c r="P333" t="s">
        <v>84</v>
      </c>
      <c r="Q333" s="17">
        <v>7500000</v>
      </c>
      <c r="R333" s="17">
        <v>21.1</v>
      </c>
      <c r="S333" t="s">
        <v>85</v>
      </c>
      <c r="T333" t="s">
        <v>84</v>
      </c>
      <c r="U333" t="s">
        <v>86</v>
      </c>
      <c r="V333" s="16">
        <v>44281</v>
      </c>
      <c r="W333" s="18">
        <v>44280.75</v>
      </c>
      <c r="X333" s="18">
        <v>44337.46875</v>
      </c>
      <c r="Y333" s="17">
        <v>3351.67</v>
      </c>
      <c r="Z333" t="s">
        <v>87</v>
      </c>
      <c r="AA333" s="17">
        <v>3467</v>
      </c>
      <c r="AB333" s="17">
        <v>1102.65</v>
      </c>
      <c r="AC333" t="s">
        <v>84</v>
      </c>
      <c r="AD333" t="s">
        <v>84</v>
      </c>
      <c r="AE333" t="s">
        <v>84</v>
      </c>
      <c r="AF333" t="s">
        <v>84</v>
      </c>
      <c r="AG333" s="17">
        <v>6865167</v>
      </c>
      <c r="AH333" s="17">
        <v>24</v>
      </c>
      <c r="AI333" s="17">
        <v>8.55</v>
      </c>
      <c r="AJ333" s="17">
        <v>8.55</v>
      </c>
      <c r="AK333" t="s">
        <v>208</v>
      </c>
      <c r="AM333" s="17">
        <v>2.1</v>
      </c>
      <c r="AN333" s="17"/>
      <c r="AO333" s="17">
        <v>700</v>
      </c>
      <c r="AP333" s="17"/>
      <c r="AQ333" s="17">
        <v>1620</v>
      </c>
      <c r="AR333" s="17"/>
      <c r="AS333" s="17">
        <v>1.66</v>
      </c>
      <c r="AT333" s="17"/>
      <c r="AU333" s="17">
        <v>435</v>
      </c>
      <c r="AV333" s="17"/>
      <c r="AW333" s="17">
        <v>624</v>
      </c>
      <c r="AX333" s="17"/>
      <c r="AY333" t="s">
        <v>92</v>
      </c>
      <c r="AZ333" t="s">
        <v>92</v>
      </c>
      <c r="BA333" t="s">
        <v>92</v>
      </c>
      <c r="BB333" t="s">
        <v>92</v>
      </c>
      <c r="BC333" t="s">
        <v>92</v>
      </c>
      <c r="BD333" s="17">
        <v>5.79</v>
      </c>
      <c r="BE333" s="17">
        <v>2084874.68</v>
      </c>
      <c r="BF333" t="s">
        <v>92</v>
      </c>
      <c r="BG333" t="s">
        <v>92</v>
      </c>
      <c r="BH333" t="s">
        <v>93</v>
      </c>
      <c r="BI333" t="s">
        <v>94</v>
      </c>
      <c r="BJ333" t="s">
        <v>215</v>
      </c>
      <c r="BK333" t="s">
        <v>85</v>
      </c>
      <c r="BL333" t="s">
        <v>85</v>
      </c>
      <c r="BM333" t="s">
        <v>96</v>
      </c>
      <c r="BN333" t="s">
        <v>97</v>
      </c>
      <c r="BO333" t="s">
        <v>98</v>
      </c>
      <c r="BP333" t="s">
        <v>103</v>
      </c>
      <c r="BQ333" s="17">
        <v>144.364</v>
      </c>
      <c r="BR333" t="s">
        <v>100</v>
      </c>
      <c r="BS333" t="s">
        <v>92</v>
      </c>
      <c r="BT333" t="s">
        <v>103</v>
      </c>
      <c r="BU333" s="17">
        <v>9.2</v>
      </c>
      <c r="BV333" t="s">
        <v>191</v>
      </c>
      <c r="BW333" t="s">
        <v>85</v>
      </c>
      <c r="BX333" t="s">
        <v>85</v>
      </c>
      <c r="BY333" t="str">
        <f>IF(COUNTIF('Data Upload-prod'!E:E,F333)=0,"Missing","Exist")</f>
        <v>Exist</v>
      </c>
    </row>
    <row r="334" hidden="1" spans="1:77">
      <c r="A334" s="16">
        <v>44257</v>
      </c>
      <c r="B334" s="16">
        <v>44384</v>
      </c>
      <c r="C334" t="s">
        <v>77</v>
      </c>
      <c r="D334" t="s">
        <v>78</v>
      </c>
      <c r="E334" t="s">
        <v>475</v>
      </c>
      <c r="F334" t="s">
        <v>741</v>
      </c>
      <c r="G334" t="s">
        <v>81</v>
      </c>
      <c r="H334" t="s">
        <v>514</v>
      </c>
      <c r="I334" t="s">
        <v>124</v>
      </c>
      <c r="J334" s="17">
        <v>67</v>
      </c>
      <c r="K334" s="17">
        <v>1660</v>
      </c>
      <c r="L334" s="17">
        <v>734</v>
      </c>
      <c r="M334" t="s">
        <v>84</v>
      </c>
      <c r="N334" t="s">
        <v>84</v>
      </c>
      <c r="O334" t="s">
        <v>84</v>
      </c>
      <c r="P334" t="s">
        <v>84</v>
      </c>
      <c r="Q334" s="17">
        <v>5369181.89</v>
      </c>
      <c r="R334" s="17">
        <v>13.5</v>
      </c>
      <c r="S334" t="s">
        <v>85</v>
      </c>
      <c r="T334" t="s">
        <v>84</v>
      </c>
      <c r="U334" t="s">
        <v>86</v>
      </c>
      <c r="V334" s="16">
        <v>44285</v>
      </c>
      <c r="W334" s="18">
        <v>44283.4375</v>
      </c>
      <c r="X334" s="18">
        <v>44327.6666666667</v>
      </c>
      <c r="Y334" s="17">
        <v>1556.24</v>
      </c>
      <c r="Z334" t="s">
        <v>87</v>
      </c>
      <c r="AA334" s="17">
        <v>1671.57</v>
      </c>
      <c r="AB334" s="17">
        <v>735.25</v>
      </c>
      <c r="AC334" t="s">
        <v>84</v>
      </c>
      <c r="AD334" t="s">
        <v>84</v>
      </c>
      <c r="AE334" t="s">
        <v>84</v>
      </c>
      <c r="AF334" t="s">
        <v>84</v>
      </c>
      <c r="AG334" s="17">
        <v>20615401</v>
      </c>
      <c r="AH334" s="17">
        <v>71.9</v>
      </c>
      <c r="AI334" s="17">
        <v>0.16</v>
      </c>
      <c r="AJ334" s="17">
        <v>0.16</v>
      </c>
      <c r="AK334" t="s">
        <v>298</v>
      </c>
      <c r="AM334" s="17">
        <v>1.8</v>
      </c>
      <c r="AN334" s="17"/>
      <c r="AO334" s="17">
        <v>600</v>
      </c>
      <c r="AP334" s="17"/>
      <c r="AQ334" s="17">
        <v>2170</v>
      </c>
      <c r="AR334" s="17"/>
      <c r="AS334" s="17">
        <v>1.96</v>
      </c>
      <c r="AT334" s="17"/>
      <c r="AU334" s="17">
        <v>548</v>
      </c>
      <c r="AV334" s="17"/>
      <c r="AW334" s="17">
        <v>927</v>
      </c>
      <c r="AX334" s="17"/>
      <c r="AY334" t="s">
        <v>92</v>
      </c>
      <c r="AZ334" t="s">
        <v>92</v>
      </c>
      <c r="BA334" t="s">
        <v>92</v>
      </c>
      <c r="BB334" t="s">
        <v>92</v>
      </c>
      <c r="BC334" t="s">
        <v>92</v>
      </c>
      <c r="BD334" s="17">
        <v>5.04</v>
      </c>
      <c r="BE334" s="17">
        <v>1933846</v>
      </c>
      <c r="BF334" t="s">
        <v>92</v>
      </c>
      <c r="BG334" t="s">
        <v>92</v>
      </c>
      <c r="BH334" t="s">
        <v>93</v>
      </c>
      <c r="BI334" t="s">
        <v>94</v>
      </c>
      <c r="BJ334" t="s">
        <v>215</v>
      </c>
      <c r="BK334" t="s">
        <v>85</v>
      </c>
      <c r="BL334" t="s">
        <v>85</v>
      </c>
      <c r="BM334" t="s">
        <v>96</v>
      </c>
      <c r="BN334" t="s">
        <v>97</v>
      </c>
      <c r="BO334" t="s">
        <v>98</v>
      </c>
      <c r="BP334" t="s">
        <v>103</v>
      </c>
      <c r="BQ334" s="17">
        <v>52.496</v>
      </c>
      <c r="BR334" t="s">
        <v>100</v>
      </c>
      <c r="BS334" t="s">
        <v>92</v>
      </c>
      <c r="BT334" t="s">
        <v>103</v>
      </c>
      <c r="BU334" s="17">
        <v>9.4</v>
      </c>
      <c r="BV334" t="s">
        <v>191</v>
      </c>
      <c r="BW334" t="s">
        <v>85</v>
      </c>
      <c r="BX334" t="s">
        <v>85</v>
      </c>
      <c r="BY334" t="str">
        <f>IF(COUNTIF('Data Upload-prod'!E:E,F334)=0,"Missing","Exist")</f>
        <v>Exist</v>
      </c>
    </row>
    <row r="335" hidden="1" spans="1:77">
      <c r="A335" s="16">
        <v>44257</v>
      </c>
      <c r="B335" s="16">
        <v>44384</v>
      </c>
      <c r="C335" t="s">
        <v>77</v>
      </c>
      <c r="D335" t="s">
        <v>78</v>
      </c>
      <c r="E335" t="s">
        <v>475</v>
      </c>
      <c r="F335" t="s">
        <v>742</v>
      </c>
      <c r="G335" t="s">
        <v>81</v>
      </c>
      <c r="H335" t="s">
        <v>514</v>
      </c>
      <c r="I335" t="s">
        <v>124</v>
      </c>
      <c r="J335" s="17">
        <v>67</v>
      </c>
      <c r="K335" s="17">
        <v>1234</v>
      </c>
      <c r="L335" s="17">
        <v>736</v>
      </c>
      <c r="M335" t="s">
        <v>84</v>
      </c>
      <c r="N335" t="s">
        <v>84</v>
      </c>
      <c r="O335" t="s">
        <v>84</v>
      </c>
      <c r="P335" t="s">
        <v>84</v>
      </c>
      <c r="Q335" s="17">
        <v>5500000</v>
      </c>
      <c r="R335" s="17">
        <v>14.2</v>
      </c>
      <c r="S335" t="s">
        <v>85</v>
      </c>
      <c r="T335" t="s">
        <v>84</v>
      </c>
      <c r="U335" t="s">
        <v>86</v>
      </c>
      <c r="V335" s="16">
        <v>44290</v>
      </c>
      <c r="W335" s="18">
        <v>44287.7916666667</v>
      </c>
      <c r="X335" s="18">
        <v>44331.6770833333</v>
      </c>
      <c r="Y335" s="17">
        <v>1103.67</v>
      </c>
      <c r="Z335" t="s">
        <v>87</v>
      </c>
      <c r="AA335" s="17">
        <v>1219</v>
      </c>
      <c r="AB335" s="17">
        <v>733.31</v>
      </c>
      <c r="AC335" t="s">
        <v>84</v>
      </c>
      <c r="AD335" t="s">
        <v>84</v>
      </c>
      <c r="AE335" t="s">
        <v>84</v>
      </c>
      <c r="AF335" t="s">
        <v>84</v>
      </c>
      <c r="AG335" s="17">
        <v>5147216</v>
      </c>
      <c r="AH335" s="17">
        <v>17.6</v>
      </c>
      <c r="AI335" s="17">
        <v>9.53</v>
      </c>
      <c r="AJ335" s="17">
        <v>9.53</v>
      </c>
      <c r="AK335" t="s">
        <v>208</v>
      </c>
      <c r="AM335" s="17">
        <v>2.1</v>
      </c>
      <c r="AN335" s="17"/>
      <c r="AO335" s="17">
        <v>700</v>
      </c>
      <c r="AP335" s="17"/>
      <c r="AQ335" s="17">
        <v>1620</v>
      </c>
      <c r="AR335" s="17"/>
      <c r="AS335" s="17">
        <v>3.76</v>
      </c>
      <c r="AT335" s="17"/>
      <c r="AU335" s="17">
        <v>960</v>
      </c>
      <c r="AV335" s="17"/>
      <c r="AW335" s="17">
        <v>1421</v>
      </c>
      <c r="AX335" s="17"/>
      <c r="AY335" t="s">
        <v>92</v>
      </c>
      <c r="AZ335" t="s">
        <v>92</v>
      </c>
      <c r="BA335" t="s">
        <v>92</v>
      </c>
      <c r="BB335" t="s">
        <v>92</v>
      </c>
      <c r="BC335" t="s">
        <v>92</v>
      </c>
      <c r="BD335" s="17">
        <v>4.01</v>
      </c>
      <c r="BE335" s="17">
        <v>1669839</v>
      </c>
      <c r="BF335" t="s">
        <v>92</v>
      </c>
      <c r="BG335" t="s">
        <v>92</v>
      </c>
      <c r="BH335" t="s">
        <v>93</v>
      </c>
      <c r="BI335" t="s">
        <v>94</v>
      </c>
      <c r="BJ335" t="s">
        <v>215</v>
      </c>
      <c r="BK335" t="s">
        <v>85</v>
      </c>
      <c r="BL335" t="s">
        <v>85</v>
      </c>
      <c r="BM335" t="s">
        <v>96</v>
      </c>
      <c r="BN335" t="s">
        <v>97</v>
      </c>
      <c r="BO335" t="s">
        <v>98</v>
      </c>
      <c r="BP335" t="s">
        <v>103</v>
      </c>
      <c r="BQ335" s="17">
        <v>229.67</v>
      </c>
      <c r="BR335" t="s">
        <v>100</v>
      </c>
      <c r="BS335" t="s">
        <v>92</v>
      </c>
      <c r="BT335" t="s">
        <v>103</v>
      </c>
      <c r="BU335" s="17">
        <v>8.5</v>
      </c>
      <c r="BV335" t="s">
        <v>191</v>
      </c>
      <c r="BW335" t="s">
        <v>85</v>
      </c>
      <c r="BX335" t="s">
        <v>85</v>
      </c>
      <c r="BY335" t="str">
        <f>IF(COUNTIF('Data Upload-prod'!E:E,F335)=0,"Missing","Exist")</f>
        <v>Exist</v>
      </c>
    </row>
    <row r="336" hidden="1" spans="1:77">
      <c r="A336" s="16">
        <v>44253</v>
      </c>
      <c r="B336" s="16">
        <v>44349</v>
      </c>
      <c r="C336" t="s">
        <v>132</v>
      </c>
      <c r="D336" t="s">
        <v>142</v>
      </c>
      <c r="E336" t="s">
        <v>743</v>
      </c>
      <c r="F336" t="s">
        <v>744</v>
      </c>
      <c r="G336" t="s">
        <v>145</v>
      </c>
      <c r="H336" t="s">
        <v>146</v>
      </c>
      <c r="I336" t="s">
        <v>147</v>
      </c>
      <c r="J336" s="17">
        <v>1172</v>
      </c>
      <c r="K336" s="17">
        <v>2265</v>
      </c>
      <c r="L336" s="17">
        <v>2265</v>
      </c>
      <c r="M336" s="17">
        <v>25000000</v>
      </c>
      <c r="N336" s="17">
        <v>35800000</v>
      </c>
      <c r="O336" s="17">
        <v>27.77</v>
      </c>
      <c r="P336" s="17">
        <v>44.2</v>
      </c>
      <c r="Q336" t="s">
        <v>84</v>
      </c>
      <c r="R336" t="s">
        <v>84</v>
      </c>
      <c r="S336" t="s">
        <v>85</v>
      </c>
      <c r="T336" t="s">
        <v>84</v>
      </c>
      <c r="U336" t="s">
        <v>84</v>
      </c>
      <c r="V336" s="16">
        <v>44265</v>
      </c>
      <c r="W336" s="18">
        <v>44264.4375</v>
      </c>
      <c r="X336" s="18">
        <v>44295</v>
      </c>
      <c r="Y336" s="17">
        <v>1043</v>
      </c>
      <c r="Z336" t="s">
        <v>148</v>
      </c>
      <c r="AA336" s="17">
        <v>2240</v>
      </c>
      <c r="AB336" s="17">
        <v>2239.76</v>
      </c>
      <c r="AC336" t="s">
        <v>84</v>
      </c>
      <c r="AD336" s="17">
        <v>26040582.17</v>
      </c>
      <c r="AE336" t="s">
        <v>84</v>
      </c>
      <c r="AF336" s="17">
        <v>30.56</v>
      </c>
      <c r="AG336" t="s">
        <v>84</v>
      </c>
      <c r="AH336" t="s">
        <v>84</v>
      </c>
      <c r="AI336" s="17">
        <v>2.97</v>
      </c>
      <c r="AJ336" s="17">
        <v>2.97</v>
      </c>
      <c r="AK336" t="s">
        <v>232</v>
      </c>
      <c r="AM336" s="17">
        <v>4.4</v>
      </c>
      <c r="AN336" s="17"/>
      <c r="AO336" s="17">
        <v>4200</v>
      </c>
      <c r="AP336" s="17"/>
      <c r="AQ336" s="17">
        <v>6400</v>
      </c>
      <c r="AR336" s="17"/>
      <c r="AS336" s="17">
        <v>3.5</v>
      </c>
      <c r="AT336" s="17"/>
      <c r="AU336" s="17">
        <v>3527</v>
      </c>
      <c r="AV336" s="17"/>
      <c r="AW336" s="17">
        <v>6257</v>
      </c>
      <c r="AX336" s="17"/>
      <c r="AY336" t="s">
        <v>92</v>
      </c>
      <c r="AZ336" t="s">
        <v>92</v>
      </c>
      <c r="BA336" t="s">
        <v>92</v>
      </c>
      <c r="BB336" t="s">
        <v>92</v>
      </c>
      <c r="BC336" t="s">
        <v>92</v>
      </c>
      <c r="BD336" t="s">
        <v>92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92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92</v>
      </c>
      <c r="BS336" t="s">
        <v>92</v>
      </c>
      <c r="BT336" t="s">
        <v>92</v>
      </c>
      <c r="BU336" t="s">
        <v>92</v>
      </c>
      <c r="BV336" t="s">
        <v>92</v>
      </c>
      <c r="BW336" t="s">
        <v>92</v>
      </c>
      <c r="BX336" t="s">
        <v>92</v>
      </c>
      <c r="BY336" t="str">
        <f>IF(COUNTIF('Data Upload-prod'!E:E,F336)=0,"Missing","Exist")</f>
        <v>Exist</v>
      </c>
    </row>
    <row r="337" hidden="1" spans="1:77">
      <c r="A337" s="16">
        <v>44228</v>
      </c>
      <c r="B337" s="16">
        <v>44382</v>
      </c>
      <c r="C337" t="s">
        <v>132</v>
      </c>
      <c r="D337" t="s">
        <v>142</v>
      </c>
      <c r="E337" t="s">
        <v>745</v>
      </c>
      <c r="F337" t="s">
        <v>746</v>
      </c>
      <c r="G337" t="s">
        <v>145</v>
      </c>
      <c r="H337" t="s">
        <v>146</v>
      </c>
      <c r="I337" t="s">
        <v>147</v>
      </c>
      <c r="J337" s="17">
        <v>1656</v>
      </c>
      <c r="K337" s="17">
        <v>3462</v>
      </c>
      <c r="L337" s="17">
        <v>3375</v>
      </c>
      <c r="M337" s="17">
        <v>30466179.21</v>
      </c>
      <c r="N337" s="17">
        <v>50135854.48</v>
      </c>
      <c r="O337" s="17">
        <v>29</v>
      </c>
      <c r="P337" s="17">
        <v>55</v>
      </c>
      <c r="Q337" t="s">
        <v>84</v>
      </c>
      <c r="R337" t="s">
        <v>84</v>
      </c>
      <c r="S337" t="s">
        <v>85</v>
      </c>
      <c r="T337" t="s">
        <v>84</v>
      </c>
      <c r="U337" t="s">
        <v>84</v>
      </c>
      <c r="V337" s="16">
        <v>44259</v>
      </c>
      <c r="W337" s="18">
        <v>44258.1770833333</v>
      </c>
      <c r="X337" s="18">
        <v>44326.1666666667</v>
      </c>
      <c r="Y337" s="17">
        <v>1745</v>
      </c>
      <c r="Z337" t="s">
        <v>148</v>
      </c>
      <c r="AA337" s="17">
        <v>3426</v>
      </c>
      <c r="AB337" s="17">
        <v>3339.25</v>
      </c>
      <c r="AC337" t="s">
        <v>84</v>
      </c>
      <c r="AD337" s="17">
        <v>33439301.76</v>
      </c>
      <c r="AE337" t="s">
        <v>84</v>
      </c>
      <c r="AF337" s="17">
        <v>37.43</v>
      </c>
      <c r="AG337" t="s">
        <v>84</v>
      </c>
      <c r="AH337" t="s">
        <v>84</v>
      </c>
      <c r="AI337" s="17">
        <v>8.15</v>
      </c>
      <c r="AJ337" s="17">
        <v>8.15</v>
      </c>
      <c r="AK337" t="s">
        <v>305</v>
      </c>
      <c r="AM337" s="17">
        <v>2.3</v>
      </c>
      <c r="AN337" s="17"/>
      <c r="AO337" s="17">
        <v>3280</v>
      </c>
      <c r="AP337" s="17"/>
      <c r="AQ337" s="17">
        <v>5760</v>
      </c>
      <c r="AR337" s="17"/>
      <c r="AS337" s="17">
        <v>2.319999933</v>
      </c>
      <c r="AT337" s="17"/>
      <c r="AU337" s="17">
        <v>2330</v>
      </c>
      <c r="AV337" s="17"/>
      <c r="AW337" s="17">
        <v>3651</v>
      </c>
      <c r="AX337" s="17"/>
      <c r="AY337" t="s">
        <v>92</v>
      </c>
      <c r="AZ337" t="s">
        <v>92</v>
      </c>
      <c r="BA337" t="s">
        <v>92</v>
      </c>
      <c r="BB337" t="s">
        <v>92</v>
      </c>
      <c r="BC337" t="s">
        <v>92</v>
      </c>
      <c r="BD337" t="s">
        <v>92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92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92</v>
      </c>
      <c r="BS337" t="s">
        <v>92</v>
      </c>
      <c r="BT337" t="s">
        <v>92</v>
      </c>
      <c r="BU337" t="s">
        <v>92</v>
      </c>
      <c r="BV337" t="s">
        <v>92</v>
      </c>
      <c r="BW337" t="s">
        <v>92</v>
      </c>
      <c r="BX337" t="s">
        <v>92</v>
      </c>
      <c r="BY337" t="str">
        <f>IF(COUNTIF('Data Upload-prod'!E:E,F337)=0,"Missing","Exist")</f>
        <v>Exist</v>
      </c>
    </row>
    <row r="338" hidden="1" spans="1:77">
      <c r="A338" s="16">
        <v>44209</v>
      </c>
      <c r="B338" s="16">
        <v>44313</v>
      </c>
      <c r="C338" t="s">
        <v>178</v>
      </c>
      <c r="D338" t="s">
        <v>120</v>
      </c>
      <c r="E338" t="s">
        <v>182</v>
      </c>
      <c r="F338" t="s">
        <v>747</v>
      </c>
      <c r="G338" t="s">
        <v>81</v>
      </c>
      <c r="H338" t="s">
        <v>123</v>
      </c>
      <c r="I338" t="s">
        <v>124</v>
      </c>
      <c r="J338" s="17">
        <v>50.59</v>
      </c>
      <c r="K338" s="17">
        <v>2302.04</v>
      </c>
      <c r="L338" s="17">
        <v>2051.51</v>
      </c>
      <c r="M338" t="s">
        <v>84</v>
      </c>
      <c r="N338" t="s">
        <v>84</v>
      </c>
      <c r="O338" t="s">
        <v>84</v>
      </c>
      <c r="P338" t="s">
        <v>84</v>
      </c>
      <c r="Q338" s="17">
        <v>9296708</v>
      </c>
      <c r="R338" s="17">
        <v>26.22</v>
      </c>
      <c r="S338" t="s">
        <v>85</v>
      </c>
      <c r="T338" t="s">
        <v>84</v>
      </c>
      <c r="U338" t="s">
        <v>84</v>
      </c>
      <c r="V338" s="16">
        <v>44215</v>
      </c>
      <c r="W338" s="18">
        <v>44214.375</v>
      </c>
      <c r="X338" s="18">
        <v>44262.625</v>
      </c>
      <c r="Y338" s="17">
        <v>2349.31</v>
      </c>
      <c r="Z338" t="s">
        <v>87</v>
      </c>
      <c r="AA338" s="17">
        <v>2442.85</v>
      </c>
      <c r="AB338" s="17">
        <v>2189.58</v>
      </c>
      <c r="AC338" t="s">
        <v>84</v>
      </c>
      <c r="AD338" t="s">
        <v>84</v>
      </c>
      <c r="AE338" t="s">
        <v>84</v>
      </c>
      <c r="AF338" t="s">
        <v>84</v>
      </c>
      <c r="AG338" s="17">
        <v>8608954</v>
      </c>
      <c r="AH338" s="17">
        <v>22.79</v>
      </c>
      <c r="AI338" s="17">
        <v>8</v>
      </c>
      <c r="AJ338" s="17">
        <v>4</v>
      </c>
      <c r="AK338" t="s">
        <v>165</v>
      </c>
      <c r="AM338" s="17">
        <v>2</v>
      </c>
      <c r="AN338" s="17"/>
      <c r="AO338" s="17">
        <v>725</v>
      </c>
      <c r="AP338" s="17"/>
      <c r="AQ338" s="17">
        <v>1325</v>
      </c>
      <c r="AR338" s="17"/>
      <c r="AS338" s="17">
        <v>1.42</v>
      </c>
      <c r="AT338" s="17"/>
      <c r="AU338" s="17">
        <v>624</v>
      </c>
      <c r="AV338" s="17"/>
      <c r="AW338" s="17">
        <v>1238</v>
      </c>
      <c r="AX338" s="17"/>
      <c r="AY338" t="s">
        <v>92</v>
      </c>
      <c r="AZ338" t="s">
        <v>92</v>
      </c>
      <c r="BA338" t="s">
        <v>92</v>
      </c>
      <c r="BB338" t="s">
        <v>92</v>
      </c>
      <c r="BC338" t="s">
        <v>92</v>
      </c>
      <c r="BD338" t="s">
        <v>92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92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92</v>
      </c>
      <c r="BS338" t="s">
        <v>92</v>
      </c>
      <c r="BT338" t="s">
        <v>92</v>
      </c>
      <c r="BU338" t="s">
        <v>92</v>
      </c>
      <c r="BV338" t="s">
        <v>92</v>
      </c>
      <c r="BW338" t="s">
        <v>92</v>
      </c>
      <c r="BX338" t="s">
        <v>92</v>
      </c>
      <c r="BY338" t="str">
        <f>IF(COUNTIF('Data Upload-prod'!E:E,F338)=0,"Missing","Exist")</f>
        <v>Exist</v>
      </c>
    </row>
    <row r="339" hidden="1" spans="1:77">
      <c r="A339" s="16">
        <v>44202</v>
      </c>
      <c r="B339" s="16">
        <v>44386</v>
      </c>
      <c r="C339" t="s">
        <v>360</v>
      </c>
      <c r="D339" t="s">
        <v>120</v>
      </c>
      <c r="E339" t="s">
        <v>748</v>
      </c>
      <c r="F339" t="s">
        <v>749</v>
      </c>
      <c r="G339" t="s">
        <v>145</v>
      </c>
      <c r="H339" t="s">
        <v>289</v>
      </c>
      <c r="I339" t="s">
        <v>124</v>
      </c>
      <c r="J339" s="17">
        <v>35.5</v>
      </c>
      <c r="K339" s="17">
        <v>2242</v>
      </c>
      <c r="L339" s="17">
        <v>2000</v>
      </c>
      <c r="M339" s="17">
        <v>6324000</v>
      </c>
      <c r="N339" s="17">
        <v>8077000</v>
      </c>
      <c r="O339" s="17">
        <v>16.58</v>
      </c>
      <c r="P339" s="17">
        <v>23.73</v>
      </c>
      <c r="Q339" t="s">
        <v>84</v>
      </c>
      <c r="R339" t="s">
        <v>84</v>
      </c>
      <c r="S339" t="s">
        <v>106</v>
      </c>
      <c r="T339" t="s">
        <v>84</v>
      </c>
      <c r="U339" t="s">
        <v>84</v>
      </c>
      <c r="V339" s="16">
        <v>44258.0833333333</v>
      </c>
      <c r="W339" s="18">
        <v>44258.0833333333</v>
      </c>
      <c r="X339" s="18">
        <v>44304.1041666667</v>
      </c>
      <c r="Y339" s="17">
        <v>2167.5</v>
      </c>
      <c r="Z339" t="s">
        <v>87</v>
      </c>
      <c r="AA339" s="17">
        <v>2238</v>
      </c>
      <c r="AB339" s="17">
        <v>2035</v>
      </c>
      <c r="AC339" t="s">
        <v>84</v>
      </c>
      <c r="AD339" s="17">
        <v>13500000</v>
      </c>
      <c r="AE339" t="s">
        <v>84</v>
      </c>
      <c r="AF339" s="17">
        <v>46.02</v>
      </c>
      <c r="AG339" t="s">
        <v>84</v>
      </c>
      <c r="AH339" t="s">
        <v>84</v>
      </c>
      <c r="AI339" s="17">
        <v>30.4</v>
      </c>
      <c r="AJ339" s="17">
        <v>30.4</v>
      </c>
      <c r="AK339" t="s">
        <v>300</v>
      </c>
      <c r="AM339" s="17">
        <v>2.4</v>
      </c>
      <c r="AN339" s="17"/>
      <c r="AO339" s="17">
        <v>1375</v>
      </c>
      <c r="AP339" s="17"/>
      <c r="AQ339" s="17">
        <v>3025</v>
      </c>
      <c r="AR339" s="17"/>
      <c r="AS339" s="17">
        <v>4.01</v>
      </c>
      <c r="AT339" s="17"/>
      <c r="AU339" s="17">
        <v>997</v>
      </c>
      <c r="AV339" s="17"/>
      <c r="AW339" s="17">
        <v>1859</v>
      </c>
      <c r="AX339" s="17"/>
      <c r="AY339" t="s">
        <v>92</v>
      </c>
      <c r="AZ339" t="s">
        <v>92</v>
      </c>
      <c r="BA339" t="s">
        <v>92</v>
      </c>
      <c r="BB339" t="s">
        <v>92</v>
      </c>
      <c r="BC339" t="s">
        <v>92</v>
      </c>
      <c r="BD339" t="s">
        <v>92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92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92</v>
      </c>
      <c r="BS339" t="s">
        <v>92</v>
      </c>
      <c r="BT339" t="s">
        <v>92</v>
      </c>
      <c r="BU339" t="s">
        <v>92</v>
      </c>
      <c r="BV339" t="s">
        <v>92</v>
      </c>
      <c r="BW339" t="s">
        <v>92</v>
      </c>
      <c r="BX339" t="s">
        <v>92</v>
      </c>
      <c r="BY339" t="str">
        <f>IF(COUNTIF('Data Upload-prod'!E:E,F339)=0,"Missing","Exist")</f>
        <v>Exist</v>
      </c>
    </row>
    <row r="340" hidden="1" spans="1:77">
      <c r="A340" s="16">
        <v>44199</v>
      </c>
      <c r="B340" s="16">
        <v>44417</v>
      </c>
      <c r="C340" t="s">
        <v>750</v>
      </c>
      <c r="D340" t="s">
        <v>120</v>
      </c>
      <c r="E340" t="s">
        <v>751</v>
      </c>
      <c r="F340" t="s">
        <v>752</v>
      </c>
      <c r="G340" t="s">
        <v>145</v>
      </c>
      <c r="H340" t="s">
        <v>612</v>
      </c>
      <c r="I340" t="s">
        <v>124</v>
      </c>
      <c r="J340" s="17">
        <v>90.6</v>
      </c>
      <c r="K340" s="17">
        <v>4532</v>
      </c>
      <c r="L340" s="17">
        <v>4500</v>
      </c>
      <c r="M340" s="17">
        <v>44814000</v>
      </c>
      <c r="N340" s="17">
        <v>44814000</v>
      </c>
      <c r="O340" s="17">
        <v>109</v>
      </c>
      <c r="P340" s="17">
        <v>109</v>
      </c>
      <c r="Q340" t="s">
        <v>84</v>
      </c>
      <c r="R340" t="s">
        <v>84</v>
      </c>
      <c r="S340" t="s">
        <v>106</v>
      </c>
      <c r="T340" t="s">
        <v>84</v>
      </c>
      <c r="U340" t="s">
        <v>84</v>
      </c>
      <c r="V340" s="16">
        <v>44233</v>
      </c>
      <c r="W340" s="18">
        <v>44222.65625</v>
      </c>
      <c r="X340" s="18">
        <v>44353.3541666667</v>
      </c>
      <c r="Y340" s="17">
        <v>4157.39</v>
      </c>
      <c r="Z340" t="s">
        <v>87</v>
      </c>
      <c r="AA340" s="17">
        <v>4280</v>
      </c>
      <c r="AB340" s="17">
        <v>4279.17</v>
      </c>
      <c r="AC340" t="s">
        <v>84</v>
      </c>
      <c r="AD340" s="17">
        <v>38139000</v>
      </c>
      <c r="AE340" t="s">
        <v>84</v>
      </c>
      <c r="AF340" s="17">
        <v>130.5</v>
      </c>
      <c r="AG340" t="s">
        <v>84</v>
      </c>
      <c r="AH340" t="s">
        <v>84</v>
      </c>
      <c r="AI340" s="17">
        <v>24</v>
      </c>
      <c r="AJ340" s="17">
        <v>19</v>
      </c>
      <c r="AK340" t="s">
        <v>374</v>
      </c>
      <c r="AM340" s="17">
        <v>5</v>
      </c>
      <c r="AN340" s="17"/>
      <c r="AO340" s="17">
        <v>2360</v>
      </c>
      <c r="AP340" s="17"/>
      <c r="AQ340" s="17">
        <v>4280</v>
      </c>
      <c r="AR340" s="17"/>
      <c r="AS340" s="17">
        <v>6.31</v>
      </c>
      <c r="AT340" s="17"/>
      <c r="AU340" s="17">
        <v>2215</v>
      </c>
      <c r="AV340" s="17"/>
      <c r="AW340" s="17">
        <v>2797</v>
      </c>
      <c r="AX340" s="17"/>
      <c r="AY340" t="s">
        <v>92</v>
      </c>
      <c r="AZ340" t="s">
        <v>92</v>
      </c>
      <c r="BA340" t="s">
        <v>92</v>
      </c>
      <c r="BB340" t="s">
        <v>92</v>
      </c>
      <c r="BC340" t="s">
        <v>92</v>
      </c>
      <c r="BD340" t="s">
        <v>92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92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92</v>
      </c>
      <c r="BS340" t="s">
        <v>92</v>
      </c>
      <c r="BT340" t="s">
        <v>92</v>
      </c>
      <c r="BU340" t="s">
        <v>92</v>
      </c>
      <c r="BV340" t="s">
        <v>92</v>
      </c>
      <c r="BW340" t="s">
        <v>92</v>
      </c>
      <c r="BX340" t="s">
        <v>92</v>
      </c>
      <c r="BY340" t="str">
        <f>IF(COUNTIF('Data Upload-prod'!E:E,F340)=0,"Missing","Exist")</f>
        <v>Exist</v>
      </c>
    </row>
    <row r="341" hidden="1" spans="1:77">
      <c r="A341" s="16">
        <v>44164</v>
      </c>
      <c r="B341" s="16">
        <v>44382</v>
      </c>
      <c r="C341" t="s">
        <v>178</v>
      </c>
      <c r="D341" t="s">
        <v>120</v>
      </c>
      <c r="E341" t="s">
        <v>182</v>
      </c>
      <c r="F341" t="s">
        <v>753</v>
      </c>
      <c r="G341" t="s">
        <v>81</v>
      </c>
      <c r="H341" t="s">
        <v>123</v>
      </c>
      <c r="I341" t="s">
        <v>124</v>
      </c>
      <c r="J341" s="17">
        <v>50.59</v>
      </c>
      <c r="K341" s="17">
        <v>3055.17</v>
      </c>
      <c r="L341" s="17">
        <v>2266.99</v>
      </c>
      <c r="M341" t="s">
        <v>84</v>
      </c>
      <c r="N341" t="s">
        <v>84</v>
      </c>
      <c r="O341" t="s">
        <v>84</v>
      </c>
      <c r="P341" t="s">
        <v>84</v>
      </c>
      <c r="Q341" s="17">
        <v>10060000</v>
      </c>
      <c r="R341" s="17">
        <v>29.4</v>
      </c>
      <c r="S341" t="s">
        <v>85</v>
      </c>
      <c r="T341" t="s">
        <v>84</v>
      </c>
      <c r="U341" t="s">
        <v>84</v>
      </c>
      <c r="V341" s="16">
        <v>44219</v>
      </c>
      <c r="W341" s="18">
        <v>44188.125</v>
      </c>
      <c r="X341" s="18">
        <v>44262.125</v>
      </c>
      <c r="Y341" s="17">
        <v>2832.4</v>
      </c>
      <c r="Z341" t="s">
        <v>87</v>
      </c>
      <c r="AA341" s="17">
        <v>2925.94</v>
      </c>
      <c r="AB341" s="17">
        <v>2148.43</v>
      </c>
      <c r="AC341" t="s">
        <v>84</v>
      </c>
      <c r="AD341" t="s">
        <v>84</v>
      </c>
      <c r="AE341" t="s">
        <v>84</v>
      </c>
      <c r="AF341" t="s">
        <v>84</v>
      </c>
      <c r="AG341" s="17">
        <v>8526216</v>
      </c>
      <c r="AH341" s="17">
        <v>21.13</v>
      </c>
      <c r="AI341" s="17">
        <v>3</v>
      </c>
      <c r="AJ341" s="17">
        <v>3</v>
      </c>
      <c r="AK341" t="s">
        <v>165</v>
      </c>
      <c r="AM341" s="17">
        <v>2</v>
      </c>
      <c r="AN341" s="17"/>
      <c r="AO341" s="17">
        <v>725</v>
      </c>
      <c r="AP341" s="17"/>
      <c r="AQ341" s="17">
        <v>1295</v>
      </c>
      <c r="AR341" s="17"/>
      <c r="AS341" s="17">
        <v>1.41</v>
      </c>
      <c r="AT341" s="17"/>
      <c r="AU341" s="17">
        <v>512</v>
      </c>
      <c r="AV341" s="17"/>
      <c r="AW341" s="17">
        <v>915</v>
      </c>
      <c r="AX341" s="17"/>
      <c r="AY341" t="s">
        <v>92</v>
      </c>
      <c r="AZ341" t="s">
        <v>92</v>
      </c>
      <c r="BA341" t="s">
        <v>92</v>
      </c>
      <c r="BB341" t="s">
        <v>92</v>
      </c>
      <c r="BC341" t="s">
        <v>92</v>
      </c>
      <c r="BD341" t="s">
        <v>92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92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92</v>
      </c>
      <c r="BS341" t="s">
        <v>92</v>
      </c>
      <c r="BT341" t="s">
        <v>92</v>
      </c>
      <c r="BU341" t="s">
        <v>92</v>
      </c>
      <c r="BV341" t="s">
        <v>92</v>
      </c>
      <c r="BW341" t="s">
        <v>92</v>
      </c>
      <c r="BX341" t="s">
        <v>92</v>
      </c>
      <c r="BY341" t="str">
        <f>IF(COUNTIF('Data Upload-prod'!E:E,F341)=0,"Missing","Exist")</f>
        <v>Exist</v>
      </c>
    </row>
    <row r="342" hidden="1" spans="1:77">
      <c r="A342" s="16">
        <v>44147</v>
      </c>
      <c r="B342" s="16">
        <v>44300</v>
      </c>
      <c r="C342" t="s">
        <v>360</v>
      </c>
      <c r="D342" t="s">
        <v>120</v>
      </c>
      <c r="E342" t="s">
        <v>570</v>
      </c>
      <c r="F342" t="s">
        <v>754</v>
      </c>
      <c r="G342" t="s">
        <v>145</v>
      </c>
      <c r="H342" t="s">
        <v>289</v>
      </c>
      <c r="I342" t="s">
        <v>124</v>
      </c>
      <c r="J342" s="17">
        <v>46.4</v>
      </c>
      <c r="K342" s="17">
        <v>2030</v>
      </c>
      <c r="L342" s="17">
        <v>2030</v>
      </c>
      <c r="M342" s="17">
        <v>10289458</v>
      </c>
      <c r="N342" s="17">
        <v>10289458</v>
      </c>
      <c r="O342" s="17">
        <v>30</v>
      </c>
      <c r="P342" s="17">
        <v>30</v>
      </c>
      <c r="Q342" t="s">
        <v>84</v>
      </c>
      <c r="R342" t="s">
        <v>84</v>
      </c>
      <c r="S342" t="s">
        <v>106</v>
      </c>
      <c r="T342" t="s">
        <v>84</v>
      </c>
      <c r="U342" t="s">
        <v>84</v>
      </c>
      <c r="V342" s="16">
        <v>44218.0833333333</v>
      </c>
      <c r="W342" s="18">
        <v>44212.625</v>
      </c>
      <c r="X342" s="18">
        <v>44258.0833333333</v>
      </c>
      <c r="Y342" s="17">
        <v>2521.47</v>
      </c>
      <c r="Z342" t="s">
        <v>87</v>
      </c>
      <c r="AA342" s="17">
        <v>2600</v>
      </c>
      <c r="AB342" s="17">
        <v>2595.58</v>
      </c>
      <c r="AC342" t="s">
        <v>84</v>
      </c>
      <c r="AD342" s="17">
        <v>10289458</v>
      </c>
      <c r="AE342" t="s">
        <v>84</v>
      </c>
      <c r="AF342" s="17">
        <v>30</v>
      </c>
      <c r="AG342" t="s">
        <v>84</v>
      </c>
      <c r="AH342" t="s">
        <v>84</v>
      </c>
      <c r="AI342" s="17">
        <v>11.81</v>
      </c>
      <c r="AJ342" s="17">
        <v>3.19</v>
      </c>
      <c r="AK342" t="s">
        <v>323</v>
      </c>
      <c r="AM342" s="17">
        <v>4.4</v>
      </c>
      <c r="AN342" s="17"/>
      <c r="AO342" s="17">
        <v>1980</v>
      </c>
      <c r="AP342" s="17"/>
      <c r="AQ342" s="17">
        <v>2760</v>
      </c>
      <c r="AR342" s="17"/>
      <c r="AS342" s="17">
        <v>2.9</v>
      </c>
      <c r="AT342" s="17"/>
      <c r="AU342" s="17">
        <v>791</v>
      </c>
      <c r="AV342" s="17"/>
      <c r="AW342" s="17">
        <v>1561</v>
      </c>
      <c r="AX342" s="17"/>
      <c r="AY342" t="s">
        <v>92</v>
      </c>
      <c r="AZ342" t="s">
        <v>92</v>
      </c>
      <c r="BA342" t="s">
        <v>92</v>
      </c>
      <c r="BB342" t="s">
        <v>92</v>
      </c>
      <c r="BC342" t="s">
        <v>92</v>
      </c>
      <c r="BD342" t="s">
        <v>92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92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92</v>
      </c>
      <c r="BS342" t="s">
        <v>92</v>
      </c>
      <c r="BT342" t="s">
        <v>92</v>
      </c>
      <c r="BU342" t="s">
        <v>92</v>
      </c>
      <c r="BV342" t="s">
        <v>92</v>
      </c>
      <c r="BW342" t="s">
        <v>92</v>
      </c>
      <c r="BX342" t="s">
        <v>92</v>
      </c>
      <c r="BY342" t="str">
        <f>IF(COUNTIF('Data Upload-prod'!E:E,F342)=0,"Missing","Exist")</f>
        <v>Exist</v>
      </c>
    </row>
    <row r="343" hidden="1" spans="1:77">
      <c r="A343" s="16">
        <v>44116</v>
      </c>
      <c r="B343" s="16">
        <v>44348</v>
      </c>
      <c r="C343" t="s">
        <v>178</v>
      </c>
      <c r="D343" t="s">
        <v>120</v>
      </c>
      <c r="E343" t="s">
        <v>182</v>
      </c>
      <c r="F343" t="s">
        <v>755</v>
      </c>
      <c r="G343" t="s">
        <v>81</v>
      </c>
      <c r="H343" t="s">
        <v>123</v>
      </c>
      <c r="I343" t="s">
        <v>124</v>
      </c>
      <c r="J343" s="17">
        <v>50.59</v>
      </c>
      <c r="K343" s="17">
        <v>3339.23</v>
      </c>
      <c r="L343" s="17">
        <v>2076.2</v>
      </c>
      <c r="M343" t="s">
        <v>84</v>
      </c>
      <c r="N343" t="s">
        <v>84</v>
      </c>
      <c r="O343" t="s">
        <v>84</v>
      </c>
      <c r="P343" t="s">
        <v>84</v>
      </c>
      <c r="Q343" s="17">
        <v>18547699</v>
      </c>
      <c r="R343" s="17">
        <v>52.93</v>
      </c>
      <c r="S343" t="s">
        <v>106</v>
      </c>
      <c r="T343" t="s">
        <v>84</v>
      </c>
      <c r="U343" t="s">
        <v>84</v>
      </c>
      <c r="V343" s="16">
        <v>44134</v>
      </c>
      <c r="W343" s="18">
        <v>44134.375</v>
      </c>
      <c r="X343" s="18">
        <v>44285.125</v>
      </c>
      <c r="Y343" s="17">
        <v>7133.3</v>
      </c>
      <c r="Z343" t="s">
        <v>87</v>
      </c>
      <c r="AA343" s="17">
        <v>3438.59</v>
      </c>
      <c r="AB343" s="17">
        <v>2157.88</v>
      </c>
      <c r="AC343" t="s">
        <v>84</v>
      </c>
      <c r="AD343" t="s">
        <v>84</v>
      </c>
      <c r="AE343" t="s">
        <v>84</v>
      </c>
      <c r="AF343" t="s">
        <v>84</v>
      </c>
      <c r="AG343" s="17">
        <v>14737952</v>
      </c>
      <c r="AH343" s="17">
        <v>44.01</v>
      </c>
      <c r="AI343" s="17">
        <v>31.69</v>
      </c>
      <c r="AJ343" s="17">
        <v>31.69</v>
      </c>
      <c r="AK343" t="s">
        <v>165</v>
      </c>
      <c r="AM343" s="17">
        <v>2</v>
      </c>
      <c r="AN343" s="17"/>
      <c r="AO343" s="17">
        <v>725</v>
      </c>
      <c r="AP343" s="17"/>
      <c r="AQ343" s="17">
        <v>1325</v>
      </c>
      <c r="AR343" s="17"/>
      <c r="AS343" s="17">
        <v>1.69</v>
      </c>
      <c r="AT343" s="17"/>
      <c r="AU343" s="17">
        <v>522</v>
      </c>
      <c r="AV343" s="17"/>
      <c r="AW343" s="17">
        <v>2559</v>
      </c>
      <c r="AX343" s="17"/>
      <c r="AY343" t="s">
        <v>92</v>
      </c>
      <c r="AZ343" t="s">
        <v>92</v>
      </c>
      <c r="BA343" t="s">
        <v>92</v>
      </c>
      <c r="BB343" t="s">
        <v>92</v>
      </c>
      <c r="BC343" t="s">
        <v>92</v>
      </c>
      <c r="BD343" t="s">
        <v>92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92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92</v>
      </c>
      <c r="BS343" t="s">
        <v>92</v>
      </c>
      <c r="BT343" t="s">
        <v>92</v>
      </c>
      <c r="BU343" t="s">
        <v>92</v>
      </c>
      <c r="BV343" t="s">
        <v>92</v>
      </c>
      <c r="BW343" t="s">
        <v>92</v>
      </c>
      <c r="BX343" t="s">
        <v>92</v>
      </c>
      <c r="BY343" t="str">
        <f>IF(COUNTIF('Data Upload-prod'!E:E,F343)=0,"Missing","Exist")</f>
        <v>Exist</v>
      </c>
    </row>
    <row r="344" hidden="1" spans="1:77">
      <c r="A344" s="16">
        <v>44116</v>
      </c>
      <c r="B344" s="16">
        <v>44314</v>
      </c>
      <c r="C344" t="s">
        <v>178</v>
      </c>
      <c r="D344" t="s">
        <v>120</v>
      </c>
      <c r="E344" t="s">
        <v>182</v>
      </c>
      <c r="F344" t="s">
        <v>756</v>
      </c>
      <c r="G344" t="s">
        <v>81</v>
      </c>
      <c r="H344" t="s">
        <v>123</v>
      </c>
      <c r="I344" t="s">
        <v>124</v>
      </c>
      <c r="J344" s="17">
        <v>50.59</v>
      </c>
      <c r="K344" s="17">
        <v>3194.76</v>
      </c>
      <c r="L344" s="17">
        <v>2257.85</v>
      </c>
      <c r="M344" t="s">
        <v>84</v>
      </c>
      <c r="N344" t="s">
        <v>84</v>
      </c>
      <c r="O344" t="s">
        <v>84</v>
      </c>
      <c r="P344" t="s">
        <v>84</v>
      </c>
      <c r="Q344" s="17">
        <v>9628000</v>
      </c>
      <c r="R344" s="17">
        <v>27.27</v>
      </c>
      <c r="S344" t="s">
        <v>85</v>
      </c>
      <c r="T344" t="s">
        <v>84</v>
      </c>
      <c r="U344" t="s">
        <v>84</v>
      </c>
      <c r="V344" s="16">
        <v>44139</v>
      </c>
      <c r="W344" s="18">
        <v>44133.5</v>
      </c>
      <c r="X344" s="18">
        <v>44256.7083333333</v>
      </c>
      <c r="Y344" s="17">
        <v>3000.64</v>
      </c>
      <c r="Z344" t="s">
        <v>87</v>
      </c>
      <c r="AA344" s="17">
        <v>3094.18</v>
      </c>
      <c r="AB344" s="17">
        <v>2196.59</v>
      </c>
      <c r="AC344" t="s">
        <v>84</v>
      </c>
      <c r="AD344" t="s">
        <v>84</v>
      </c>
      <c r="AE344" t="s">
        <v>84</v>
      </c>
      <c r="AF344" t="s">
        <v>84</v>
      </c>
      <c r="AG344" s="17">
        <v>10038208.95</v>
      </c>
      <c r="AH344" s="17">
        <v>26.87</v>
      </c>
      <c r="AI344" s="17">
        <v>2.48</v>
      </c>
      <c r="AJ344" s="17">
        <v>2.21</v>
      </c>
      <c r="AK344" t="s">
        <v>165</v>
      </c>
      <c r="AM344" s="17">
        <v>2</v>
      </c>
      <c r="AN344" s="17"/>
      <c r="AO344" s="17">
        <v>725</v>
      </c>
      <c r="AP344" s="17"/>
      <c r="AQ344" s="17">
        <v>1325</v>
      </c>
      <c r="AR344" s="17"/>
      <c r="AS344" s="17">
        <v>1.57</v>
      </c>
      <c r="AT344" s="17"/>
      <c r="AU344" s="17">
        <v>524</v>
      </c>
      <c r="AV344" s="17"/>
      <c r="AW344" s="17">
        <v>992</v>
      </c>
      <c r="AX344" s="17"/>
      <c r="AY344" t="s">
        <v>92</v>
      </c>
      <c r="AZ344" t="s">
        <v>92</v>
      </c>
      <c r="BA344" t="s">
        <v>92</v>
      </c>
      <c r="BB344" t="s">
        <v>92</v>
      </c>
      <c r="BC344" t="s">
        <v>92</v>
      </c>
      <c r="BD344" t="s">
        <v>92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92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92</v>
      </c>
      <c r="BS344" t="s">
        <v>92</v>
      </c>
      <c r="BT344" t="s">
        <v>92</v>
      </c>
      <c r="BU344" t="s">
        <v>92</v>
      </c>
      <c r="BV344" t="s">
        <v>92</v>
      </c>
      <c r="BW344" t="s">
        <v>92</v>
      </c>
      <c r="BX344" t="s">
        <v>92</v>
      </c>
      <c r="BY344" t="str">
        <f>IF(COUNTIF('Data Upload-prod'!E:E,F344)=0,"Missing","Exist")</f>
        <v>Exist</v>
      </c>
    </row>
    <row r="345" hidden="1" spans="1:77">
      <c r="A345" s="16">
        <v>44110</v>
      </c>
      <c r="B345" s="16">
        <v>44196</v>
      </c>
      <c r="C345" t="s">
        <v>360</v>
      </c>
      <c r="D345" t="s">
        <v>78</v>
      </c>
      <c r="E345" t="s">
        <v>757</v>
      </c>
      <c r="F345" t="s">
        <v>758</v>
      </c>
      <c r="G345" t="s">
        <v>145</v>
      </c>
      <c r="H345" t="s">
        <v>289</v>
      </c>
      <c r="I345" t="s">
        <v>124</v>
      </c>
      <c r="J345" s="17">
        <v>71</v>
      </c>
      <c r="K345" s="17">
        <v>3425</v>
      </c>
      <c r="L345" s="17">
        <v>2868</v>
      </c>
      <c r="M345" s="17">
        <v>6190000</v>
      </c>
      <c r="N345" s="17">
        <v>7120000</v>
      </c>
      <c r="O345" s="17">
        <v>18.14</v>
      </c>
      <c r="P345" s="17">
        <v>21.22</v>
      </c>
      <c r="Q345" t="s">
        <v>84</v>
      </c>
      <c r="R345" t="s">
        <v>84</v>
      </c>
      <c r="S345" t="s">
        <v>85</v>
      </c>
      <c r="T345" t="s">
        <v>84</v>
      </c>
      <c r="U345" t="s">
        <v>84</v>
      </c>
      <c r="V345" s="16">
        <v>44127</v>
      </c>
      <c r="W345" s="18">
        <v>44123.9166666667</v>
      </c>
      <c r="X345" s="18">
        <v>44141.5416666667</v>
      </c>
      <c r="Y345" s="17">
        <v>2795</v>
      </c>
      <c r="Z345" t="s">
        <v>87</v>
      </c>
      <c r="AA345" s="17">
        <v>2901</v>
      </c>
      <c r="AB345" s="17">
        <v>2473.9</v>
      </c>
      <c r="AC345" s="17">
        <v>6660000</v>
      </c>
      <c r="AD345" t="s">
        <v>84</v>
      </c>
      <c r="AE345" s="17">
        <v>17.62</v>
      </c>
      <c r="AF345" t="s">
        <v>84</v>
      </c>
      <c r="AG345" t="s">
        <v>84</v>
      </c>
      <c r="AH345" t="s">
        <v>84</v>
      </c>
      <c r="AI345" s="17">
        <v>1.7</v>
      </c>
      <c r="AJ345" s="17">
        <v>1.7</v>
      </c>
      <c r="AK345" t="s">
        <v>300</v>
      </c>
      <c r="AM345" s="17">
        <v>1.9</v>
      </c>
      <c r="AN345" s="17"/>
      <c r="AO345" s="17">
        <v>720</v>
      </c>
      <c r="AP345" s="17"/>
      <c r="AQ345" s="17">
        <v>1370</v>
      </c>
      <c r="AR345" s="17"/>
      <c r="AS345" s="17">
        <v>1</v>
      </c>
      <c r="AT345" s="17"/>
      <c r="AU345" s="17">
        <v>306</v>
      </c>
      <c r="AV345" s="17"/>
      <c r="AW345" s="17">
        <v>481</v>
      </c>
      <c r="AX345" s="17"/>
      <c r="AY345" t="s">
        <v>92</v>
      </c>
      <c r="AZ345" t="s">
        <v>92</v>
      </c>
      <c r="BA345" t="s">
        <v>92</v>
      </c>
      <c r="BB345" t="s">
        <v>92</v>
      </c>
      <c r="BC345" t="s">
        <v>92</v>
      </c>
      <c r="BD345" t="s">
        <v>92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92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92</v>
      </c>
      <c r="BS345" t="s">
        <v>92</v>
      </c>
      <c r="BT345" t="s">
        <v>92</v>
      </c>
      <c r="BU345" t="s">
        <v>92</v>
      </c>
      <c r="BV345" t="s">
        <v>92</v>
      </c>
      <c r="BW345" t="s">
        <v>92</v>
      </c>
      <c r="BX345" t="s">
        <v>92</v>
      </c>
      <c r="BY345" t="str">
        <f>IF(COUNTIF('Data Upload-prod'!E:E,F345)=0,"Missing","Exist")</f>
        <v>Exist</v>
      </c>
    </row>
    <row r="346" hidden="1" spans="1:77">
      <c r="A346" s="16">
        <v>44104</v>
      </c>
      <c r="B346" s="16">
        <v>44253</v>
      </c>
      <c r="C346" t="s">
        <v>360</v>
      </c>
      <c r="D346" t="s">
        <v>120</v>
      </c>
      <c r="E346" t="s">
        <v>759</v>
      </c>
      <c r="F346" t="s">
        <v>760</v>
      </c>
      <c r="G346" t="s">
        <v>145</v>
      </c>
      <c r="H346" t="s">
        <v>289</v>
      </c>
      <c r="I346" t="s">
        <v>124</v>
      </c>
      <c r="J346" s="17">
        <v>100.5</v>
      </c>
      <c r="K346" s="17">
        <v>3821</v>
      </c>
      <c r="L346" s="17">
        <v>3280</v>
      </c>
      <c r="M346" s="17">
        <v>11100000</v>
      </c>
      <c r="N346" s="17">
        <v>15800000</v>
      </c>
      <c r="O346" s="17">
        <v>29.1</v>
      </c>
      <c r="P346" s="17">
        <v>41.6</v>
      </c>
      <c r="Q346" t="s">
        <v>84</v>
      </c>
      <c r="R346" t="s">
        <v>84</v>
      </c>
      <c r="S346" t="s">
        <v>85</v>
      </c>
      <c r="T346" t="s">
        <v>84</v>
      </c>
      <c r="U346" t="s">
        <v>84</v>
      </c>
      <c r="V346" s="16">
        <v>44148</v>
      </c>
      <c r="W346" s="18">
        <v>44141</v>
      </c>
      <c r="X346" s="18">
        <v>44211.1458333333</v>
      </c>
      <c r="Y346" s="17">
        <v>3675</v>
      </c>
      <c r="Z346" t="s">
        <v>87</v>
      </c>
      <c r="AA346" s="17">
        <v>3810</v>
      </c>
      <c r="AB346" s="17">
        <v>3283.67</v>
      </c>
      <c r="AC346" t="s">
        <v>84</v>
      </c>
      <c r="AD346" s="17">
        <v>17100000</v>
      </c>
      <c r="AE346" t="s">
        <v>84</v>
      </c>
      <c r="AF346" s="17">
        <v>69.6</v>
      </c>
      <c r="AG346" t="s">
        <v>84</v>
      </c>
      <c r="AH346" t="s">
        <v>84</v>
      </c>
      <c r="AI346" s="17">
        <v>23.3</v>
      </c>
      <c r="AJ346" s="17">
        <v>14.9</v>
      </c>
      <c r="AK346" t="s">
        <v>295</v>
      </c>
      <c r="AM346" s="17">
        <v>2.7</v>
      </c>
      <c r="AN346" s="17"/>
      <c r="AO346" s="17">
        <v>1490</v>
      </c>
      <c r="AP346" s="17"/>
      <c r="AQ346" s="17">
        <v>2760</v>
      </c>
      <c r="AR346" s="17"/>
      <c r="AS346" s="17">
        <v>2.53</v>
      </c>
      <c r="AT346" s="17"/>
      <c r="AU346" s="17">
        <v>643</v>
      </c>
      <c r="AV346" s="17"/>
      <c r="AW346" s="17">
        <v>1161</v>
      </c>
      <c r="AX346" s="17"/>
      <c r="AY346" t="s">
        <v>92</v>
      </c>
      <c r="AZ346" t="s">
        <v>92</v>
      </c>
      <c r="BA346" t="s">
        <v>92</v>
      </c>
      <c r="BB346" t="s">
        <v>92</v>
      </c>
      <c r="BC346" t="s">
        <v>92</v>
      </c>
      <c r="BD346" t="s">
        <v>92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92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92</v>
      </c>
      <c r="BS346" t="s">
        <v>92</v>
      </c>
      <c r="BT346" t="s">
        <v>92</v>
      </c>
      <c r="BU346" t="s">
        <v>92</v>
      </c>
      <c r="BV346" t="s">
        <v>92</v>
      </c>
      <c r="BW346" t="s">
        <v>92</v>
      </c>
      <c r="BX346" t="s">
        <v>92</v>
      </c>
      <c r="BY346" t="str">
        <f>IF(COUNTIF('Data Upload-prod'!E:E,F346)=0,"Missing","Exist")</f>
        <v>Exist</v>
      </c>
    </row>
    <row r="347" hidden="1" spans="1:77">
      <c r="A347" s="16">
        <v>44104</v>
      </c>
      <c r="B347" s="16">
        <v>44179</v>
      </c>
      <c r="C347" t="s">
        <v>132</v>
      </c>
      <c r="D347" t="s">
        <v>120</v>
      </c>
      <c r="E347" t="s">
        <v>761</v>
      </c>
      <c r="F347" t="s">
        <v>762</v>
      </c>
      <c r="G347" t="s">
        <v>145</v>
      </c>
      <c r="H347" t="s">
        <v>658</v>
      </c>
      <c r="I347" t="s">
        <v>231</v>
      </c>
      <c r="J347" s="17">
        <v>125</v>
      </c>
      <c r="K347" s="17">
        <v>1433</v>
      </c>
      <c r="L347" s="17">
        <v>1433</v>
      </c>
      <c r="M347" s="17">
        <v>15819250</v>
      </c>
      <c r="N347" s="17">
        <v>16320000</v>
      </c>
      <c r="O347" s="17">
        <v>32.77</v>
      </c>
      <c r="P347" s="17">
        <v>34.57</v>
      </c>
      <c r="Q347" t="s">
        <v>84</v>
      </c>
      <c r="R347" t="s">
        <v>84</v>
      </c>
      <c r="S347" t="s">
        <v>85</v>
      </c>
      <c r="T347" t="s">
        <v>84</v>
      </c>
      <c r="U347" t="s">
        <v>84</v>
      </c>
      <c r="V347" s="16">
        <v>44126</v>
      </c>
      <c r="W347" s="18">
        <v>44124.1666666667</v>
      </c>
      <c r="X347" s="18">
        <v>44150.6666666667</v>
      </c>
      <c r="Y347" s="17">
        <v>1285</v>
      </c>
      <c r="Z347" t="s">
        <v>87</v>
      </c>
      <c r="AA347" s="17">
        <v>1433</v>
      </c>
      <c r="AB347" s="17">
        <v>1432.96</v>
      </c>
      <c r="AC347" s="17">
        <v>12878354.98</v>
      </c>
      <c r="AD347" t="s">
        <v>84</v>
      </c>
      <c r="AE347" s="17">
        <v>26.51</v>
      </c>
      <c r="AF347" t="s">
        <v>84</v>
      </c>
      <c r="AG347" t="s">
        <v>84</v>
      </c>
      <c r="AH347" t="s">
        <v>84</v>
      </c>
      <c r="AI347" s="17">
        <v>5.66</v>
      </c>
      <c r="AJ347" s="17">
        <v>1.89</v>
      </c>
      <c r="AK347" t="s">
        <v>333</v>
      </c>
      <c r="AM347" s="17">
        <v>3.8</v>
      </c>
      <c r="AN347" s="17"/>
      <c r="AO347" s="17">
        <v>2125</v>
      </c>
      <c r="AP347" s="17"/>
      <c r="AQ347" s="17">
        <v>3315</v>
      </c>
      <c r="AR347" s="17"/>
      <c r="AS347" s="17">
        <v>3.43</v>
      </c>
      <c r="AT347" s="17"/>
      <c r="AU347" s="17">
        <v>1761</v>
      </c>
      <c r="AV347" s="17"/>
      <c r="AW347" s="17">
        <v>2168</v>
      </c>
      <c r="AX347" s="17"/>
      <c r="AY347" t="s">
        <v>92</v>
      </c>
      <c r="AZ347" t="s">
        <v>92</v>
      </c>
      <c r="BA347" t="s">
        <v>92</v>
      </c>
      <c r="BB347" t="s">
        <v>92</v>
      </c>
      <c r="BC347" t="s">
        <v>92</v>
      </c>
      <c r="BD347" t="s">
        <v>92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92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92</v>
      </c>
      <c r="BS347" t="s">
        <v>92</v>
      </c>
      <c r="BT347" t="s">
        <v>92</v>
      </c>
      <c r="BU347" t="s">
        <v>92</v>
      </c>
      <c r="BV347" t="s">
        <v>92</v>
      </c>
      <c r="BW347" t="s">
        <v>92</v>
      </c>
      <c r="BX347" t="s">
        <v>92</v>
      </c>
      <c r="BY347" t="str">
        <f>IF(COUNTIF('Data Upload-prod'!E:E,F347)=0,"Missing","Exist")</f>
        <v>Exist</v>
      </c>
    </row>
    <row r="348" hidden="1" spans="1:77">
      <c r="A348" s="16">
        <v>44088</v>
      </c>
      <c r="B348" t="s">
        <v>84</v>
      </c>
      <c r="C348" t="s">
        <v>141</v>
      </c>
      <c r="D348" t="s">
        <v>142</v>
      </c>
      <c r="E348" t="s">
        <v>245</v>
      </c>
      <c r="F348" t="s">
        <v>763</v>
      </c>
      <c r="G348" t="s">
        <v>81</v>
      </c>
      <c r="H348" t="s">
        <v>247</v>
      </c>
      <c r="I348" t="s">
        <v>231</v>
      </c>
      <c r="J348" s="17">
        <v>485.83</v>
      </c>
      <c r="K348" s="17">
        <v>2794.57</v>
      </c>
      <c r="L348" s="17">
        <v>1572.39</v>
      </c>
      <c r="M348" t="s">
        <v>84</v>
      </c>
      <c r="N348" t="s">
        <v>84</v>
      </c>
      <c r="O348" t="s">
        <v>84</v>
      </c>
      <c r="P348" t="s">
        <v>84</v>
      </c>
      <c r="Q348" s="17">
        <v>20500000</v>
      </c>
      <c r="R348" s="17">
        <v>41.2</v>
      </c>
      <c r="S348" t="s">
        <v>85</v>
      </c>
      <c r="T348" t="s">
        <v>84</v>
      </c>
      <c r="U348" t="s">
        <v>84</v>
      </c>
      <c r="V348" s="16">
        <v>44158</v>
      </c>
      <c r="W348" s="18">
        <v>44127</v>
      </c>
      <c r="X348" s="18">
        <v>44332</v>
      </c>
      <c r="Y348" s="17">
        <v>2214.87</v>
      </c>
      <c r="Z348" t="s">
        <v>148</v>
      </c>
      <c r="AA348" s="17">
        <v>2746.11</v>
      </c>
      <c r="AB348" s="17">
        <v>1618.1</v>
      </c>
      <c r="AC348" t="s">
        <v>84</v>
      </c>
      <c r="AD348" t="s">
        <v>84</v>
      </c>
      <c r="AE348" t="s">
        <v>84</v>
      </c>
      <c r="AF348" t="s">
        <v>84</v>
      </c>
      <c r="AG348" s="17">
        <v>21988026</v>
      </c>
      <c r="AH348" s="17">
        <v>44.98</v>
      </c>
      <c r="AI348" s="17">
        <v>27.9</v>
      </c>
      <c r="AJ348" s="17">
        <v>27.7</v>
      </c>
      <c r="AK348" t="s">
        <v>764</v>
      </c>
      <c r="AM348" s="17">
        <v>5.1</v>
      </c>
      <c r="AN348" s="17"/>
      <c r="AO348" s="17">
        <v>1525</v>
      </c>
      <c r="AP348" s="17"/>
      <c r="AQ348" s="17">
        <v>3370</v>
      </c>
      <c r="AR348" s="17"/>
      <c r="AS348" s="13" t="s">
        <v>150</v>
      </c>
      <c r="AT348" s="13"/>
      <c r="AU348" s="13" t="s">
        <v>150</v>
      </c>
      <c r="AW348" s="13" t="s">
        <v>150</v>
      </c>
      <c r="AY348" t="s">
        <v>92</v>
      </c>
      <c r="AZ348" t="s">
        <v>92</v>
      </c>
      <c r="BA348" t="s">
        <v>92</v>
      </c>
      <c r="BB348" t="s">
        <v>92</v>
      </c>
      <c r="BC348" t="s">
        <v>92</v>
      </c>
      <c r="BD348" t="s">
        <v>92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92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92</v>
      </c>
      <c r="BS348" t="s">
        <v>92</v>
      </c>
      <c r="BT348" t="s">
        <v>92</v>
      </c>
      <c r="BU348" t="s">
        <v>92</v>
      </c>
      <c r="BV348" t="s">
        <v>92</v>
      </c>
      <c r="BW348" t="s">
        <v>92</v>
      </c>
      <c r="BX348" t="s">
        <v>92</v>
      </c>
      <c r="BY348" t="str">
        <f>IF(COUNTIF('Data Upload-prod'!E:E,F348)=0,"Missing","Exist")</f>
        <v>Exist</v>
      </c>
    </row>
    <row r="349" hidden="1" spans="1:77">
      <c r="A349" s="16">
        <v>44088</v>
      </c>
      <c r="B349" t="s">
        <v>84</v>
      </c>
      <c r="C349" t="s">
        <v>141</v>
      </c>
      <c r="D349" t="s">
        <v>142</v>
      </c>
      <c r="E349" t="s">
        <v>245</v>
      </c>
      <c r="F349" t="s">
        <v>765</v>
      </c>
      <c r="G349" t="s">
        <v>81</v>
      </c>
      <c r="H349" t="s">
        <v>247</v>
      </c>
      <c r="I349" t="s">
        <v>231</v>
      </c>
      <c r="J349" s="17">
        <v>484.16</v>
      </c>
      <c r="K349" s="17">
        <v>2979.88</v>
      </c>
      <c r="L349" s="17">
        <v>1502.59</v>
      </c>
      <c r="M349" t="s">
        <v>84</v>
      </c>
      <c r="N349" t="s">
        <v>84</v>
      </c>
      <c r="O349" t="s">
        <v>84</v>
      </c>
      <c r="P349" t="s">
        <v>84</v>
      </c>
      <c r="Q349" s="17">
        <v>19900000</v>
      </c>
      <c r="R349" s="17">
        <v>43</v>
      </c>
      <c r="S349" t="s">
        <v>381</v>
      </c>
      <c r="T349" t="s">
        <v>84</v>
      </c>
      <c r="U349" t="s">
        <v>84</v>
      </c>
      <c r="V349" s="16">
        <v>44130</v>
      </c>
      <c r="W349" s="18">
        <v>44119</v>
      </c>
      <c r="X349" s="18">
        <v>44297</v>
      </c>
      <c r="Y349" s="17">
        <v>2241.84</v>
      </c>
      <c r="Z349" t="s">
        <v>148</v>
      </c>
      <c r="AA349" s="17">
        <v>2771.41</v>
      </c>
      <c r="AB349" s="17">
        <v>1505.64</v>
      </c>
      <c r="AC349" t="s">
        <v>84</v>
      </c>
      <c r="AD349" t="s">
        <v>84</v>
      </c>
      <c r="AE349" t="s">
        <v>84</v>
      </c>
      <c r="AF349" t="s">
        <v>84</v>
      </c>
      <c r="AG349" s="17">
        <v>16400000</v>
      </c>
      <c r="AH349" s="17">
        <v>39.65</v>
      </c>
      <c r="AI349" s="17">
        <v>10.19</v>
      </c>
      <c r="AJ349" s="17">
        <v>7.74</v>
      </c>
      <c r="AK349" t="s">
        <v>764</v>
      </c>
      <c r="AM349" s="17">
        <v>5.1</v>
      </c>
      <c r="AN349" s="17"/>
      <c r="AO349" s="17">
        <v>1525</v>
      </c>
      <c r="AP349" s="17"/>
      <c r="AQ349" s="17">
        <v>3370</v>
      </c>
      <c r="AR349" s="17"/>
      <c r="AS349" s="17">
        <v>3.69</v>
      </c>
      <c r="AT349" s="17"/>
      <c r="AU349" s="17">
        <v>1478</v>
      </c>
      <c r="AV349" s="17"/>
      <c r="AW349" s="17">
        <v>2294</v>
      </c>
      <c r="AX349" s="17"/>
      <c r="AY349" t="s">
        <v>92</v>
      </c>
      <c r="AZ349" t="s">
        <v>92</v>
      </c>
      <c r="BA349" t="s">
        <v>92</v>
      </c>
      <c r="BB349" t="s">
        <v>92</v>
      </c>
      <c r="BC349" t="s">
        <v>92</v>
      </c>
      <c r="BD349" t="s">
        <v>92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92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92</v>
      </c>
      <c r="BS349" t="s">
        <v>92</v>
      </c>
      <c r="BT349" t="s">
        <v>92</v>
      </c>
      <c r="BU349" t="s">
        <v>92</v>
      </c>
      <c r="BV349" t="s">
        <v>92</v>
      </c>
      <c r="BW349" t="s">
        <v>92</v>
      </c>
      <c r="BX349" t="s">
        <v>92</v>
      </c>
      <c r="BY349" t="str">
        <f>IF(COUNTIF('Data Upload-prod'!E:E,F349)=0,"Missing","Exist")</f>
        <v>Exist</v>
      </c>
    </row>
    <row r="350" hidden="1" spans="1:77">
      <c r="A350" s="16">
        <v>44088</v>
      </c>
      <c r="B350" t="s">
        <v>84</v>
      </c>
      <c r="C350" t="s">
        <v>141</v>
      </c>
      <c r="D350" t="s">
        <v>142</v>
      </c>
      <c r="E350" t="s">
        <v>245</v>
      </c>
      <c r="F350" t="s">
        <v>766</v>
      </c>
      <c r="G350" t="s">
        <v>81</v>
      </c>
      <c r="H350" t="s">
        <v>247</v>
      </c>
      <c r="I350" t="s">
        <v>231</v>
      </c>
      <c r="J350" s="17">
        <v>484.16</v>
      </c>
      <c r="K350" s="17">
        <v>2748.25</v>
      </c>
      <c r="L350" s="17">
        <v>1506.86</v>
      </c>
      <c r="M350" t="s">
        <v>84</v>
      </c>
      <c r="N350" t="s">
        <v>84</v>
      </c>
      <c r="O350" t="s">
        <v>84</v>
      </c>
      <c r="P350" t="s">
        <v>84</v>
      </c>
      <c r="Q350" s="17">
        <v>19900000</v>
      </c>
      <c r="R350" s="17">
        <v>43</v>
      </c>
      <c r="S350" t="s">
        <v>85</v>
      </c>
      <c r="T350" t="s">
        <v>84</v>
      </c>
      <c r="U350" t="s">
        <v>84</v>
      </c>
      <c r="V350" s="16">
        <v>44130</v>
      </c>
      <c r="W350" s="18">
        <v>44119.4375</v>
      </c>
      <c r="X350" s="18">
        <v>44297</v>
      </c>
      <c r="Y350" s="17">
        <v>2241.84</v>
      </c>
      <c r="Z350" t="s">
        <v>148</v>
      </c>
      <c r="AA350" s="17">
        <v>2771.41</v>
      </c>
      <c r="AB350" s="17">
        <v>1505.64</v>
      </c>
      <c r="AC350" t="s">
        <v>84</v>
      </c>
      <c r="AD350" t="s">
        <v>84</v>
      </c>
      <c r="AE350" t="s">
        <v>84</v>
      </c>
      <c r="AF350" t="s">
        <v>84</v>
      </c>
      <c r="AG350" s="17">
        <v>16396249</v>
      </c>
      <c r="AH350" s="17">
        <v>39.65</v>
      </c>
      <c r="AI350" s="17">
        <v>10.19</v>
      </c>
      <c r="AJ350" s="17">
        <v>7.74</v>
      </c>
      <c r="AK350" t="s">
        <v>767</v>
      </c>
      <c r="AM350" s="17">
        <v>3.1</v>
      </c>
      <c r="AN350" s="17"/>
      <c r="AO350" s="17">
        <v>1500</v>
      </c>
      <c r="AP350" s="17"/>
      <c r="AQ350" s="17">
        <v>3540</v>
      </c>
      <c r="AR350" s="17"/>
      <c r="AS350" s="13" t="s">
        <v>150</v>
      </c>
      <c r="AT350" s="13"/>
      <c r="AU350" s="13" t="s">
        <v>150</v>
      </c>
      <c r="AW350" s="13" t="s">
        <v>150</v>
      </c>
      <c r="AY350" t="s">
        <v>92</v>
      </c>
      <c r="AZ350" t="s">
        <v>92</v>
      </c>
      <c r="BA350" t="s">
        <v>92</v>
      </c>
      <c r="BB350" t="s">
        <v>92</v>
      </c>
      <c r="BC350" t="s">
        <v>92</v>
      </c>
      <c r="BD350" t="s">
        <v>92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92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92</v>
      </c>
      <c r="BS350" t="s">
        <v>92</v>
      </c>
      <c r="BT350" t="s">
        <v>92</v>
      </c>
      <c r="BU350" t="s">
        <v>92</v>
      </c>
      <c r="BV350" t="s">
        <v>92</v>
      </c>
      <c r="BW350" t="s">
        <v>92</v>
      </c>
      <c r="BX350" t="s">
        <v>92</v>
      </c>
      <c r="BY350" t="str">
        <f>IF(COUNTIF('Data Upload-prod'!E:E,F350)=0,"Missing","Exist")</f>
        <v>Exist</v>
      </c>
    </row>
    <row r="351" hidden="1" spans="1:77">
      <c r="A351" s="16">
        <v>44088</v>
      </c>
      <c r="B351" t="s">
        <v>84</v>
      </c>
      <c r="C351" t="s">
        <v>141</v>
      </c>
      <c r="D351" t="s">
        <v>142</v>
      </c>
      <c r="E351" t="s">
        <v>245</v>
      </c>
      <c r="F351" t="s">
        <v>768</v>
      </c>
      <c r="G351" t="s">
        <v>81</v>
      </c>
      <c r="H351" t="s">
        <v>247</v>
      </c>
      <c r="I351" t="s">
        <v>231</v>
      </c>
      <c r="J351" s="17">
        <v>487.2</v>
      </c>
      <c r="K351" s="17">
        <v>2788.17</v>
      </c>
      <c r="L351" s="17">
        <v>1350.81</v>
      </c>
      <c r="M351" t="s">
        <v>84</v>
      </c>
      <c r="N351" t="s">
        <v>84</v>
      </c>
      <c r="O351" t="s">
        <v>84</v>
      </c>
      <c r="P351" t="s">
        <v>84</v>
      </c>
      <c r="Q351" s="17">
        <v>19300000</v>
      </c>
      <c r="R351" s="17">
        <v>38.9</v>
      </c>
      <c r="S351" t="s">
        <v>85</v>
      </c>
      <c r="T351" t="s">
        <v>84</v>
      </c>
      <c r="U351" t="s">
        <v>84</v>
      </c>
      <c r="V351" s="16">
        <v>44152</v>
      </c>
      <c r="W351" s="18">
        <v>44152</v>
      </c>
      <c r="X351" s="18">
        <v>44310</v>
      </c>
      <c r="Y351" s="17">
        <v>2294.88</v>
      </c>
      <c r="Z351" t="s">
        <v>148</v>
      </c>
      <c r="AA351" s="17">
        <v>2827.49</v>
      </c>
      <c r="AB351" s="17">
        <v>1401.4</v>
      </c>
      <c r="AC351" t="s">
        <v>84</v>
      </c>
      <c r="AD351" t="s">
        <v>84</v>
      </c>
      <c r="AE351" t="s">
        <v>84</v>
      </c>
      <c r="AF351" t="s">
        <v>84</v>
      </c>
      <c r="AG351" s="17">
        <v>15400000</v>
      </c>
      <c r="AH351" s="17">
        <v>27.42</v>
      </c>
      <c r="AI351" s="17">
        <v>1.28</v>
      </c>
      <c r="AJ351" s="17">
        <v>1.28</v>
      </c>
      <c r="AK351" t="s">
        <v>114</v>
      </c>
      <c r="AM351" s="17">
        <v>2.2</v>
      </c>
      <c r="AN351" s="17"/>
      <c r="AO351" s="17">
        <v>915</v>
      </c>
      <c r="AP351" s="17"/>
      <c r="AQ351" s="17">
        <v>1450</v>
      </c>
      <c r="AR351" s="17"/>
      <c r="AS351" s="13" t="s">
        <v>150</v>
      </c>
      <c r="AT351" s="13"/>
      <c r="AU351" s="13" t="s">
        <v>150</v>
      </c>
      <c r="AW351" s="13" t="s">
        <v>150</v>
      </c>
      <c r="AY351" t="s">
        <v>92</v>
      </c>
      <c r="AZ351" t="s">
        <v>92</v>
      </c>
      <c r="BA351" t="s">
        <v>92</v>
      </c>
      <c r="BB351" t="s">
        <v>92</v>
      </c>
      <c r="BC351" t="s">
        <v>92</v>
      </c>
      <c r="BD351" t="s">
        <v>92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92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92</v>
      </c>
      <c r="BS351" t="s">
        <v>92</v>
      </c>
      <c r="BT351" t="s">
        <v>92</v>
      </c>
      <c r="BU351" t="s">
        <v>92</v>
      </c>
      <c r="BV351" t="s">
        <v>92</v>
      </c>
      <c r="BW351" t="s">
        <v>92</v>
      </c>
      <c r="BX351" t="s">
        <v>92</v>
      </c>
      <c r="BY351" t="str">
        <f>IF(COUNTIF('Data Upload-prod'!E:E,F351)=0,"Missing","Exist")</f>
        <v>Exist</v>
      </c>
    </row>
    <row r="352" hidden="1" spans="1:77">
      <c r="A352" s="16">
        <v>44088</v>
      </c>
      <c r="B352" t="s">
        <v>84</v>
      </c>
      <c r="C352" t="s">
        <v>141</v>
      </c>
      <c r="D352" t="s">
        <v>142</v>
      </c>
      <c r="E352" t="s">
        <v>245</v>
      </c>
      <c r="F352" t="s">
        <v>769</v>
      </c>
      <c r="G352" t="s">
        <v>81</v>
      </c>
      <c r="H352" t="s">
        <v>247</v>
      </c>
      <c r="I352" t="s">
        <v>231</v>
      </c>
      <c r="J352" s="17">
        <v>486.28</v>
      </c>
      <c r="K352" s="17">
        <v>2678.15</v>
      </c>
      <c r="L352" s="17">
        <v>1265.77</v>
      </c>
      <c r="M352" t="s">
        <v>84</v>
      </c>
      <c r="N352" t="s">
        <v>84</v>
      </c>
      <c r="O352" t="s">
        <v>84</v>
      </c>
      <c r="P352" t="s">
        <v>84</v>
      </c>
      <c r="Q352" s="17">
        <v>21200000</v>
      </c>
      <c r="R352" s="17">
        <v>29.6</v>
      </c>
      <c r="S352" t="s">
        <v>85</v>
      </c>
      <c r="T352" t="s">
        <v>84</v>
      </c>
      <c r="U352" t="s">
        <v>84</v>
      </c>
      <c r="V352" s="16">
        <v>44149</v>
      </c>
      <c r="W352" s="18">
        <v>44148</v>
      </c>
      <c r="X352" s="18">
        <v>44266.8333333333</v>
      </c>
      <c r="Y352" s="17">
        <v>2100.12</v>
      </c>
      <c r="Z352" t="s">
        <v>148</v>
      </c>
      <c r="AA352" s="17">
        <v>2631.82</v>
      </c>
      <c r="AB352" s="17">
        <v>1260.87</v>
      </c>
      <c r="AC352" t="s">
        <v>84</v>
      </c>
      <c r="AD352" t="s">
        <v>84</v>
      </c>
      <c r="AE352" t="s">
        <v>84</v>
      </c>
      <c r="AF352" t="s">
        <v>84</v>
      </c>
      <c r="AG352" s="17">
        <v>18443907</v>
      </c>
      <c r="AH352" s="17">
        <v>32.73</v>
      </c>
      <c r="AI352" s="17">
        <v>8.31</v>
      </c>
      <c r="AJ352" s="17">
        <v>7.92</v>
      </c>
      <c r="AK352" t="s">
        <v>770</v>
      </c>
      <c r="AM352" s="17">
        <v>4.1</v>
      </c>
      <c r="AN352" s="17"/>
      <c r="AO352" s="17">
        <v>2635</v>
      </c>
      <c r="AP352" s="17"/>
      <c r="AQ352" s="17">
        <v>3590</v>
      </c>
      <c r="AR352" s="17"/>
      <c r="AS352" s="13" t="s">
        <v>150</v>
      </c>
      <c r="AT352" s="13"/>
      <c r="AU352" s="13" t="s">
        <v>150</v>
      </c>
      <c r="AW352" s="13" t="s">
        <v>150</v>
      </c>
      <c r="AY352" t="s">
        <v>92</v>
      </c>
      <c r="AZ352" t="s">
        <v>92</v>
      </c>
      <c r="BA352" t="s">
        <v>92</v>
      </c>
      <c r="BB352" t="s">
        <v>92</v>
      </c>
      <c r="BC352" t="s">
        <v>92</v>
      </c>
      <c r="BD352" t="s">
        <v>92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92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92</v>
      </c>
      <c r="BS352" t="s">
        <v>92</v>
      </c>
      <c r="BT352" t="s">
        <v>92</v>
      </c>
      <c r="BU352" t="s">
        <v>92</v>
      </c>
      <c r="BV352" t="s">
        <v>92</v>
      </c>
      <c r="BW352" t="s">
        <v>92</v>
      </c>
      <c r="BX352" t="s">
        <v>92</v>
      </c>
      <c r="BY352" t="str">
        <f>IF(COUNTIF('Data Upload-prod'!E:E,F352)=0,"Missing","Exist")</f>
        <v>Exist</v>
      </c>
    </row>
    <row r="353" hidden="1" spans="1:77">
      <c r="A353" s="16">
        <v>44087</v>
      </c>
      <c r="B353" s="16">
        <v>44280</v>
      </c>
      <c r="C353" t="s">
        <v>360</v>
      </c>
      <c r="D353" t="s">
        <v>120</v>
      </c>
      <c r="E353" t="s">
        <v>515</v>
      </c>
      <c r="F353" t="s">
        <v>771</v>
      </c>
      <c r="G353" t="s">
        <v>145</v>
      </c>
      <c r="H353" t="s">
        <v>612</v>
      </c>
      <c r="I353" t="s">
        <v>124</v>
      </c>
      <c r="J353" s="17">
        <v>88.6</v>
      </c>
      <c r="K353" s="17">
        <v>4200</v>
      </c>
      <c r="L353" s="17">
        <v>4170</v>
      </c>
      <c r="M353" s="17">
        <v>47700000</v>
      </c>
      <c r="N353" s="17">
        <v>50712522.77</v>
      </c>
      <c r="O353" s="17">
        <v>97.1</v>
      </c>
      <c r="P353" s="17">
        <v>104.1</v>
      </c>
      <c r="Q353" t="s">
        <v>84</v>
      </c>
      <c r="R353" t="s">
        <v>84</v>
      </c>
      <c r="S353" t="s">
        <v>85</v>
      </c>
      <c r="T353" t="s">
        <v>84</v>
      </c>
      <c r="U353" t="s">
        <v>84</v>
      </c>
      <c r="V353" s="16">
        <v>44101</v>
      </c>
      <c r="W353" s="18">
        <v>44101.3333333333</v>
      </c>
      <c r="X353" s="18">
        <v>44222.65625</v>
      </c>
      <c r="Y353" s="17">
        <v>4199.4</v>
      </c>
      <c r="Z353" t="s">
        <v>87</v>
      </c>
      <c r="AA353" s="17">
        <v>4320</v>
      </c>
      <c r="AB353" s="17">
        <v>4317.31</v>
      </c>
      <c r="AC353" t="s">
        <v>84</v>
      </c>
      <c r="AD353" s="17">
        <v>53963657</v>
      </c>
      <c r="AE353" t="s">
        <v>84</v>
      </c>
      <c r="AF353" s="17">
        <v>121.3</v>
      </c>
      <c r="AG353" t="s">
        <v>84</v>
      </c>
      <c r="AH353" t="s">
        <v>84</v>
      </c>
      <c r="AI353" s="17">
        <v>14.42</v>
      </c>
      <c r="AJ353" s="17">
        <v>14.41</v>
      </c>
      <c r="AK353" t="s">
        <v>374</v>
      </c>
      <c r="AM353" s="17">
        <v>5</v>
      </c>
      <c r="AN353" s="17"/>
      <c r="AO353" s="17">
        <v>2360</v>
      </c>
      <c r="AP353" s="17"/>
      <c r="AQ353" s="17">
        <v>4280</v>
      </c>
      <c r="AR353" s="17"/>
      <c r="AS353" s="17">
        <v>4.9</v>
      </c>
      <c r="AT353" s="17"/>
      <c r="AU353" s="17">
        <v>2012</v>
      </c>
      <c r="AV353" s="17"/>
      <c r="AW353" s="17">
        <v>3631</v>
      </c>
      <c r="AX353" s="17"/>
      <c r="AY353" t="s">
        <v>92</v>
      </c>
      <c r="AZ353" t="s">
        <v>92</v>
      </c>
      <c r="BA353" t="s">
        <v>92</v>
      </c>
      <c r="BB353" t="s">
        <v>92</v>
      </c>
      <c r="BC353" t="s">
        <v>92</v>
      </c>
      <c r="BD353" t="s">
        <v>92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92</v>
      </c>
      <c r="BM353" t="s">
        <v>92</v>
      </c>
      <c r="BN353" t="s">
        <v>92</v>
      </c>
      <c r="BO353" t="s">
        <v>92</v>
      </c>
      <c r="BP353" t="s">
        <v>92</v>
      </c>
      <c r="BQ353" t="s">
        <v>92</v>
      </c>
      <c r="BR353" t="s">
        <v>92</v>
      </c>
      <c r="BS353" t="s">
        <v>92</v>
      </c>
      <c r="BT353" t="s">
        <v>92</v>
      </c>
      <c r="BU353" t="s">
        <v>92</v>
      </c>
      <c r="BV353" t="s">
        <v>92</v>
      </c>
      <c r="BW353" t="s">
        <v>92</v>
      </c>
      <c r="BX353" t="s">
        <v>92</v>
      </c>
      <c r="BY353" t="str">
        <f>IF(COUNTIF('Data Upload-prod'!E:E,F353)=0,"Missing","Exist")</f>
        <v>Exist</v>
      </c>
    </row>
    <row r="354" hidden="1" spans="1:77">
      <c r="A354" s="16">
        <v>44076</v>
      </c>
      <c r="B354" s="16">
        <v>44243</v>
      </c>
      <c r="C354" t="s">
        <v>178</v>
      </c>
      <c r="D354" t="s">
        <v>120</v>
      </c>
      <c r="E354" t="s">
        <v>182</v>
      </c>
      <c r="F354" t="s">
        <v>772</v>
      </c>
      <c r="G354" t="s">
        <v>81</v>
      </c>
      <c r="H354" t="s">
        <v>123</v>
      </c>
      <c r="I354" t="s">
        <v>124</v>
      </c>
      <c r="J354" s="17">
        <v>50.59</v>
      </c>
      <c r="K354" s="17">
        <v>2581.53</v>
      </c>
      <c r="L354" s="17">
        <v>2226.76</v>
      </c>
      <c r="M354" t="s">
        <v>84</v>
      </c>
      <c r="N354" t="s">
        <v>84</v>
      </c>
      <c r="O354" t="s">
        <v>84</v>
      </c>
      <c r="P354" t="s">
        <v>84</v>
      </c>
      <c r="Q354" s="17">
        <v>9440000</v>
      </c>
      <c r="R354" s="17">
        <v>27.7</v>
      </c>
      <c r="S354" t="s">
        <v>85</v>
      </c>
      <c r="T354" t="s">
        <v>84</v>
      </c>
      <c r="U354" t="s">
        <v>84</v>
      </c>
      <c r="V354" s="16">
        <v>44129</v>
      </c>
      <c r="W354" s="18">
        <v>44121.6875</v>
      </c>
      <c r="X354" s="18">
        <v>44185.4375</v>
      </c>
      <c r="Y354" s="17">
        <v>2462.39</v>
      </c>
      <c r="Z354" t="s">
        <v>87</v>
      </c>
      <c r="AA354" s="17">
        <v>2555.93</v>
      </c>
      <c r="AB354" s="17">
        <v>2205.43</v>
      </c>
      <c r="AC354" t="s">
        <v>84</v>
      </c>
      <c r="AD354" t="s">
        <v>84</v>
      </c>
      <c r="AE354" t="s">
        <v>84</v>
      </c>
      <c r="AF354" t="s">
        <v>84</v>
      </c>
      <c r="AG354" s="17">
        <v>9582016</v>
      </c>
      <c r="AH354" s="17">
        <v>28.46</v>
      </c>
      <c r="AI354" s="17">
        <v>7</v>
      </c>
      <c r="AJ354" s="17">
        <v>6.88</v>
      </c>
      <c r="AK354" t="s">
        <v>165</v>
      </c>
      <c r="AM354" s="17">
        <v>2</v>
      </c>
      <c r="AN354" s="17"/>
      <c r="AO354" s="17">
        <v>725</v>
      </c>
      <c r="AP354" s="17"/>
      <c r="AQ354" s="17">
        <v>1325</v>
      </c>
      <c r="AR354" s="17"/>
      <c r="AS354" s="17">
        <v>1.77</v>
      </c>
      <c r="AT354" s="17"/>
      <c r="AU354" s="17">
        <v>553</v>
      </c>
      <c r="AV354" s="17"/>
      <c r="AW354" s="17">
        <v>1188</v>
      </c>
      <c r="AX354" s="17"/>
      <c r="AY354" t="s">
        <v>92</v>
      </c>
      <c r="AZ354" t="s">
        <v>92</v>
      </c>
      <c r="BA354" t="s">
        <v>92</v>
      </c>
      <c r="BB354" t="s">
        <v>92</v>
      </c>
      <c r="BC354" t="s">
        <v>92</v>
      </c>
      <c r="BD354" t="s">
        <v>92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92</v>
      </c>
      <c r="BM354" t="s">
        <v>92</v>
      </c>
      <c r="BN354" t="s">
        <v>92</v>
      </c>
      <c r="BO354" t="s">
        <v>92</v>
      </c>
      <c r="BP354" t="s">
        <v>92</v>
      </c>
      <c r="BQ354" t="s">
        <v>92</v>
      </c>
      <c r="BR354" t="s">
        <v>92</v>
      </c>
      <c r="BS354" t="s">
        <v>92</v>
      </c>
      <c r="BT354" t="s">
        <v>92</v>
      </c>
      <c r="BU354" t="s">
        <v>92</v>
      </c>
      <c r="BV354" t="s">
        <v>92</v>
      </c>
      <c r="BW354" t="s">
        <v>92</v>
      </c>
      <c r="BX354" t="s">
        <v>92</v>
      </c>
      <c r="BY354" t="str">
        <f>IF(COUNTIF('Data Upload-prod'!E:E,F354)=0,"Missing","Exist")</f>
        <v>Exist</v>
      </c>
    </row>
    <row r="355" hidden="1" spans="1:77">
      <c r="A355" s="16">
        <v>44052</v>
      </c>
      <c r="B355" s="16">
        <v>44244</v>
      </c>
      <c r="C355" t="s">
        <v>178</v>
      </c>
      <c r="D355" t="s">
        <v>120</v>
      </c>
      <c r="E355" t="s">
        <v>182</v>
      </c>
      <c r="F355" t="s">
        <v>773</v>
      </c>
      <c r="G355" t="s">
        <v>81</v>
      </c>
      <c r="H355" t="s">
        <v>123</v>
      </c>
      <c r="I355" t="s">
        <v>124</v>
      </c>
      <c r="J355" s="17">
        <v>50.59</v>
      </c>
      <c r="K355" s="17">
        <v>2264.25</v>
      </c>
      <c r="L355" s="17">
        <v>2206.95</v>
      </c>
      <c r="M355" t="s">
        <v>84</v>
      </c>
      <c r="N355" t="s">
        <v>84</v>
      </c>
      <c r="O355" t="s">
        <v>84</v>
      </c>
      <c r="P355" t="s">
        <v>84</v>
      </c>
      <c r="Q355" s="17">
        <v>7670000</v>
      </c>
      <c r="R355" s="17">
        <v>21.4</v>
      </c>
      <c r="S355" t="s">
        <v>85</v>
      </c>
      <c r="T355" t="s">
        <v>84</v>
      </c>
      <c r="U355" t="s">
        <v>84</v>
      </c>
      <c r="V355" s="16">
        <v>44125.1875</v>
      </c>
      <c r="W355" s="18">
        <v>44124</v>
      </c>
      <c r="X355" s="18">
        <v>44180</v>
      </c>
      <c r="Y355" s="17">
        <v>2156.39</v>
      </c>
      <c r="Z355" t="s">
        <v>87</v>
      </c>
      <c r="AA355" s="17">
        <v>2249.92</v>
      </c>
      <c r="AB355" s="17">
        <v>2192.62</v>
      </c>
      <c r="AC355" t="s">
        <v>84</v>
      </c>
      <c r="AD355" t="s">
        <v>84</v>
      </c>
      <c r="AE355" t="s">
        <v>84</v>
      </c>
      <c r="AF355" t="s">
        <v>84</v>
      </c>
      <c r="AG355" s="17">
        <v>7093725</v>
      </c>
      <c r="AH355" s="17">
        <v>18.99</v>
      </c>
      <c r="AI355" s="17">
        <v>2.6</v>
      </c>
      <c r="AJ355" s="17">
        <v>2.5</v>
      </c>
      <c r="AK355" t="s">
        <v>165</v>
      </c>
      <c r="AM355" s="17">
        <v>2</v>
      </c>
      <c r="AN355" s="17"/>
      <c r="AO355" s="17">
        <v>725</v>
      </c>
      <c r="AP355" s="17"/>
      <c r="AQ355" s="17">
        <v>1325</v>
      </c>
      <c r="AR355" s="17"/>
      <c r="AS355" s="17">
        <v>1.79</v>
      </c>
      <c r="AT355" s="17"/>
      <c r="AU355" s="17">
        <v>628</v>
      </c>
      <c r="AV355" s="17"/>
      <c r="AW355" s="17">
        <v>1107</v>
      </c>
      <c r="AX355" s="17"/>
      <c r="AY355" t="s">
        <v>92</v>
      </c>
      <c r="AZ355" t="s">
        <v>92</v>
      </c>
      <c r="BA355" t="s">
        <v>92</v>
      </c>
      <c r="BB355" t="s">
        <v>92</v>
      </c>
      <c r="BC355" t="s">
        <v>92</v>
      </c>
      <c r="BD355" t="s">
        <v>92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92</v>
      </c>
      <c r="BM355" t="s">
        <v>92</v>
      </c>
      <c r="BN355" t="s">
        <v>92</v>
      </c>
      <c r="BO355" t="s">
        <v>92</v>
      </c>
      <c r="BP355" t="s">
        <v>92</v>
      </c>
      <c r="BQ355" t="s">
        <v>92</v>
      </c>
      <c r="BR355" t="s">
        <v>92</v>
      </c>
      <c r="BS355" t="s">
        <v>92</v>
      </c>
      <c r="BT355" t="s">
        <v>92</v>
      </c>
      <c r="BU355" t="s">
        <v>92</v>
      </c>
      <c r="BV355" t="s">
        <v>92</v>
      </c>
      <c r="BW355" t="s">
        <v>92</v>
      </c>
      <c r="BX355" t="s">
        <v>92</v>
      </c>
      <c r="BY355" t="str">
        <f>IF(COUNTIF('Data Upload-prod'!E:E,F355)=0,"Missing","Exist")</f>
        <v>Exist</v>
      </c>
    </row>
    <row r="356" hidden="1" spans="1:77">
      <c r="A356" s="16">
        <v>44050</v>
      </c>
      <c r="B356" s="16">
        <v>44182</v>
      </c>
      <c r="C356" t="s">
        <v>132</v>
      </c>
      <c r="D356" t="s">
        <v>120</v>
      </c>
      <c r="E356" t="s">
        <v>774</v>
      </c>
      <c r="F356" t="s">
        <v>775</v>
      </c>
      <c r="G356" t="s">
        <v>145</v>
      </c>
      <c r="H356" t="s">
        <v>658</v>
      </c>
      <c r="I356" t="s">
        <v>231</v>
      </c>
      <c r="J356" s="17">
        <v>93</v>
      </c>
      <c r="K356" s="17">
        <v>3530</v>
      </c>
      <c r="L356" s="17">
        <v>3530</v>
      </c>
      <c r="M356" s="17">
        <v>29605498.51</v>
      </c>
      <c r="N356" s="17">
        <v>29605498.51</v>
      </c>
      <c r="O356" s="17">
        <v>43.16</v>
      </c>
      <c r="P356" s="17">
        <v>64</v>
      </c>
      <c r="Q356" t="s">
        <v>84</v>
      </c>
      <c r="R356" t="s">
        <v>84</v>
      </c>
      <c r="S356" t="s">
        <v>85</v>
      </c>
      <c r="T356" t="s">
        <v>84</v>
      </c>
      <c r="U356" t="s">
        <v>84</v>
      </c>
      <c r="V356" s="16">
        <v>44072</v>
      </c>
      <c r="W356" s="18">
        <v>44069.1666666667</v>
      </c>
      <c r="X356" s="18">
        <v>44124.1666666667</v>
      </c>
      <c r="Y356" s="17">
        <v>3407</v>
      </c>
      <c r="Z356" t="s">
        <v>87</v>
      </c>
      <c r="AA356" s="17">
        <v>3523</v>
      </c>
      <c r="AB356" s="17">
        <v>3521.85</v>
      </c>
      <c r="AC356" t="s">
        <v>84</v>
      </c>
      <c r="AD356" s="17">
        <v>28267950.69</v>
      </c>
      <c r="AE356" t="s">
        <v>84</v>
      </c>
      <c r="AF356" s="17">
        <v>55</v>
      </c>
      <c r="AG356" t="s">
        <v>84</v>
      </c>
      <c r="AH356" t="s">
        <v>84</v>
      </c>
      <c r="AI356" s="17">
        <v>2.51</v>
      </c>
      <c r="AJ356" s="17">
        <v>1.49</v>
      </c>
      <c r="AK356" t="s">
        <v>323</v>
      </c>
      <c r="AM356" s="17">
        <v>4.4</v>
      </c>
      <c r="AN356" s="17"/>
      <c r="AO356" s="17">
        <v>1980</v>
      </c>
      <c r="AP356" s="17"/>
      <c r="AQ356" s="17">
        <v>2760</v>
      </c>
      <c r="AR356" s="17"/>
      <c r="AS356" s="17">
        <v>2.62</v>
      </c>
      <c r="AT356" s="17"/>
      <c r="AU356" s="17">
        <v>1466</v>
      </c>
      <c r="AV356" s="17"/>
      <c r="AW356" s="17">
        <v>2234</v>
      </c>
      <c r="AX356" s="17"/>
      <c r="AY356" t="s">
        <v>92</v>
      </c>
      <c r="AZ356" t="s">
        <v>92</v>
      </c>
      <c r="BA356" t="s">
        <v>92</v>
      </c>
      <c r="BB356" t="s">
        <v>92</v>
      </c>
      <c r="BC356" t="s">
        <v>92</v>
      </c>
      <c r="BD356" t="s">
        <v>92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92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92</v>
      </c>
      <c r="BS356" t="s">
        <v>92</v>
      </c>
      <c r="BT356" t="s">
        <v>92</v>
      </c>
      <c r="BU356" t="s">
        <v>92</v>
      </c>
      <c r="BV356" t="s">
        <v>92</v>
      </c>
      <c r="BW356" t="s">
        <v>92</v>
      </c>
      <c r="BX356" t="s">
        <v>92</v>
      </c>
      <c r="BY356" t="str">
        <f>IF(COUNTIF('Data Upload-prod'!E:E,F356)=0,"Missing","Exist")</f>
        <v>Exist</v>
      </c>
    </row>
    <row r="357" hidden="1" spans="1:77">
      <c r="A357" s="16">
        <v>44029</v>
      </c>
      <c r="B357" s="16">
        <v>44176</v>
      </c>
      <c r="C357" t="s">
        <v>132</v>
      </c>
      <c r="D357" t="s">
        <v>120</v>
      </c>
      <c r="E357" t="s">
        <v>548</v>
      </c>
      <c r="F357" t="s">
        <v>776</v>
      </c>
      <c r="G357" t="s">
        <v>81</v>
      </c>
      <c r="H357" t="s">
        <v>135</v>
      </c>
      <c r="I357" t="s">
        <v>124</v>
      </c>
      <c r="J357" s="17">
        <v>56.69</v>
      </c>
      <c r="K357" s="17">
        <v>1615.48</v>
      </c>
      <c r="L357" s="17">
        <v>1032.92</v>
      </c>
      <c r="M357" t="s">
        <v>84</v>
      </c>
      <c r="N357" t="s">
        <v>84</v>
      </c>
      <c r="O357" t="s">
        <v>84</v>
      </c>
      <c r="P357" t="s">
        <v>84</v>
      </c>
      <c r="Q357" s="17">
        <v>8274511</v>
      </c>
      <c r="R357" s="17">
        <v>17.98</v>
      </c>
      <c r="S357" t="s">
        <v>85</v>
      </c>
      <c r="T357" t="s">
        <v>84</v>
      </c>
      <c r="U357" t="s">
        <v>84</v>
      </c>
      <c r="V357" s="16">
        <v>44077</v>
      </c>
      <c r="W357" s="18">
        <v>44077</v>
      </c>
      <c r="X357" s="18">
        <v>44113.2083333333</v>
      </c>
      <c r="Y357" s="17">
        <v>1551.36</v>
      </c>
      <c r="Z357" t="s">
        <v>87</v>
      </c>
      <c r="AA357" s="17">
        <v>1645.84</v>
      </c>
      <c r="AB357" s="17">
        <v>1051.97</v>
      </c>
      <c r="AC357" t="s">
        <v>84</v>
      </c>
      <c r="AD357" t="s">
        <v>84</v>
      </c>
      <c r="AE357" t="s">
        <v>84</v>
      </c>
      <c r="AF357" t="s">
        <v>84</v>
      </c>
      <c r="AG357" s="17">
        <v>7613029</v>
      </c>
      <c r="AH357" s="17">
        <v>20.25</v>
      </c>
      <c r="AI357" s="17">
        <v>5.35</v>
      </c>
      <c r="AJ357" s="17">
        <v>3.76</v>
      </c>
      <c r="AK357" t="s">
        <v>208</v>
      </c>
      <c r="AM357" s="17">
        <v>2.2</v>
      </c>
      <c r="AN357" s="17"/>
      <c r="AO357" s="17">
        <v>830</v>
      </c>
      <c r="AP357" s="17"/>
      <c r="AQ357" s="17">
        <v>1455</v>
      </c>
      <c r="AR357" s="17"/>
      <c r="AS357" s="17">
        <v>1.62</v>
      </c>
      <c r="AT357" s="17"/>
      <c r="AU357" s="17">
        <v>640.63</v>
      </c>
      <c r="AV357" s="17"/>
      <c r="AW357" s="17">
        <v>1461.39</v>
      </c>
      <c r="AX357" s="17"/>
      <c r="AY357" t="s">
        <v>92</v>
      </c>
      <c r="AZ357" t="s">
        <v>92</v>
      </c>
      <c r="BA357" t="s">
        <v>92</v>
      </c>
      <c r="BB357" t="s">
        <v>92</v>
      </c>
      <c r="BC357" t="s">
        <v>92</v>
      </c>
      <c r="BD357" t="s">
        <v>92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92</v>
      </c>
      <c r="BM357" t="s">
        <v>92</v>
      </c>
      <c r="BN357" t="s">
        <v>92</v>
      </c>
      <c r="BO357" t="s">
        <v>92</v>
      </c>
      <c r="BP357" t="s">
        <v>92</v>
      </c>
      <c r="BQ357" t="s">
        <v>92</v>
      </c>
      <c r="BR357" t="s">
        <v>92</v>
      </c>
      <c r="BS357" t="s">
        <v>92</v>
      </c>
      <c r="BT357" t="s">
        <v>92</v>
      </c>
      <c r="BU357" t="s">
        <v>92</v>
      </c>
      <c r="BV357" t="s">
        <v>92</v>
      </c>
      <c r="BW357" t="s">
        <v>92</v>
      </c>
      <c r="BX357" t="s">
        <v>92</v>
      </c>
      <c r="BY357" t="str">
        <f>IF(COUNTIF('Data Upload-prod'!E:E,F357)=0,"Missing","Exist")</f>
        <v>Exist</v>
      </c>
    </row>
    <row r="358" hidden="1" spans="1:77">
      <c r="A358" s="16">
        <v>44007</v>
      </c>
      <c r="B358" s="16">
        <v>44127</v>
      </c>
      <c r="C358" t="s">
        <v>504</v>
      </c>
      <c r="D358" t="s">
        <v>142</v>
      </c>
      <c r="E358" t="s">
        <v>777</v>
      </c>
      <c r="F358" t="s">
        <v>778</v>
      </c>
      <c r="G358" t="s">
        <v>81</v>
      </c>
      <c r="H358" t="s">
        <v>405</v>
      </c>
      <c r="I358" t="s">
        <v>124</v>
      </c>
      <c r="J358" s="17">
        <v>34.99</v>
      </c>
      <c r="K358" s="17">
        <v>2261.96</v>
      </c>
      <c r="L358" s="17">
        <v>755.07</v>
      </c>
      <c r="M358" t="s">
        <v>84</v>
      </c>
      <c r="N358" t="s">
        <v>84</v>
      </c>
      <c r="O358" t="s">
        <v>84</v>
      </c>
      <c r="P358" t="s">
        <v>84</v>
      </c>
      <c r="Q358" s="17">
        <v>8447985</v>
      </c>
      <c r="R358" s="17">
        <v>24.5</v>
      </c>
      <c r="S358" t="s">
        <v>85</v>
      </c>
      <c r="T358" t="s">
        <v>84</v>
      </c>
      <c r="U358" t="s">
        <v>86</v>
      </c>
      <c r="V358" s="16">
        <v>44025</v>
      </c>
      <c r="W358" s="18">
        <v>44025.3333333333</v>
      </c>
      <c r="X358" s="18">
        <v>44068.8541666667</v>
      </c>
      <c r="Y358" s="17">
        <v>2084.52</v>
      </c>
      <c r="Z358" t="s">
        <v>87</v>
      </c>
      <c r="AA358" s="17">
        <v>2158.49</v>
      </c>
      <c r="AB358" s="17">
        <v>743.4</v>
      </c>
      <c r="AC358" t="s">
        <v>84</v>
      </c>
      <c r="AD358" t="s">
        <v>84</v>
      </c>
      <c r="AE358" t="s">
        <v>84</v>
      </c>
      <c r="AF358" t="s">
        <v>84</v>
      </c>
      <c r="AG358" s="17">
        <v>8567452</v>
      </c>
      <c r="AH358" s="17">
        <v>23.8</v>
      </c>
      <c r="AI358" s="17">
        <v>13</v>
      </c>
      <c r="AJ358" s="17">
        <v>13</v>
      </c>
      <c r="AK358" t="s">
        <v>165</v>
      </c>
      <c r="AM358" s="17">
        <v>2.5</v>
      </c>
      <c r="AN358" s="17"/>
      <c r="AO358" s="17">
        <v>1440</v>
      </c>
      <c r="AP358" s="17"/>
      <c r="AQ358" s="17">
        <v>1995</v>
      </c>
      <c r="AR358" s="17"/>
      <c r="AS358" s="17">
        <v>2.3</v>
      </c>
      <c r="AT358" s="17"/>
      <c r="AU358" s="17">
        <v>729</v>
      </c>
      <c r="AV358" s="17"/>
      <c r="AW358" s="17">
        <v>996</v>
      </c>
      <c r="AX358" s="17"/>
      <c r="AY358" t="s">
        <v>92</v>
      </c>
      <c r="AZ358" t="s">
        <v>92</v>
      </c>
      <c r="BA358" t="s">
        <v>92</v>
      </c>
      <c r="BB358" t="s">
        <v>92</v>
      </c>
      <c r="BC358" t="s">
        <v>92</v>
      </c>
      <c r="BD358" s="17">
        <v>3.9</v>
      </c>
      <c r="BE358" s="17">
        <v>2294568</v>
      </c>
      <c r="BF358" t="s">
        <v>92</v>
      </c>
      <c r="BG358" t="s">
        <v>92</v>
      </c>
      <c r="BH358" t="s">
        <v>93</v>
      </c>
      <c r="BI358" t="s">
        <v>94</v>
      </c>
      <c r="BJ358" t="s">
        <v>128</v>
      </c>
      <c r="BK358" t="s">
        <v>85</v>
      </c>
      <c r="BL358" t="s">
        <v>85</v>
      </c>
      <c r="BM358" t="s">
        <v>96</v>
      </c>
      <c r="BN358" t="s">
        <v>97</v>
      </c>
      <c r="BO358" t="s">
        <v>98</v>
      </c>
      <c r="BP358" t="s">
        <v>103</v>
      </c>
      <c r="BQ358" s="17">
        <v>2054</v>
      </c>
      <c r="BR358" t="s">
        <v>138</v>
      </c>
      <c r="BS358" t="s">
        <v>608</v>
      </c>
      <c r="BT358" t="s">
        <v>103</v>
      </c>
      <c r="BU358" s="17">
        <v>8.6</v>
      </c>
      <c r="BV358" t="s">
        <v>110</v>
      </c>
      <c r="BW358" t="s">
        <v>85</v>
      </c>
      <c r="BX358" t="s">
        <v>85</v>
      </c>
      <c r="BY358" t="str">
        <f>IF(COUNTIF('Data Upload-prod'!E:E,F358)=0,"Missing","Exist")</f>
        <v>Exist</v>
      </c>
    </row>
    <row r="359" hidden="1" spans="1:77">
      <c r="A359" s="16">
        <v>44007</v>
      </c>
      <c r="B359" s="16">
        <v>44146</v>
      </c>
      <c r="C359" t="s">
        <v>504</v>
      </c>
      <c r="D359" t="s">
        <v>142</v>
      </c>
      <c r="E359" t="s">
        <v>777</v>
      </c>
      <c r="F359" t="s">
        <v>779</v>
      </c>
      <c r="G359" t="s">
        <v>81</v>
      </c>
      <c r="H359" t="s">
        <v>405</v>
      </c>
      <c r="I359" t="s">
        <v>124</v>
      </c>
      <c r="J359" s="17">
        <v>34.75</v>
      </c>
      <c r="K359" s="17">
        <v>1847.91</v>
      </c>
      <c r="L359" s="17">
        <v>755.07</v>
      </c>
      <c r="M359" t="s">
        <v>84</v>
      </c>
      <c r="N359" t="s">
        <v>84</v>
      </c>
      <c r="O359" t="s">
        <v>84</v>
      </c>
      <c r="P359" t="s">
        <v>84</v>
      </c>
      <c r="Q359" s="17">
        <v>6780065</v>
      </c>
      <c r="R359" s="17">
        <v>17.17</v>
      </c>
      <c r="S359" t="s">
        <v>85</v>
      </c>
      <c r="T359" t="s">
        <v>84</v>
      </c>
      <c r="U359" t="s">
        <v>86</v>
      </c>
      <c r="V359" s="16">
        <v>44038</v>
      </c>
      <c r="W359" s="18">
        <v>44037.5833333333</v>
      </c>
      <c r="X359" s="18">
        <v>44089.5</v>
      </c>
      <c r="Y359" s="17">
        <v>1831.18</v>
      </c>
      <c r="Z359" t="s">
        <v>87</v>
      </c>
      <c r="AA359" s="17">
        <v>1904.91</v>
      </c>
      <c r="AB359" s="17">
        <v>739.41</v>
      </c>
      <c r="AC359" t="s">
        <v>84</v>
      </c>
      <c r="AD359" t="s">
        <v>84</v>
      </c>
      <c r="AE359" t="s">
        <v>84</v>
      </c>
      <c r="AF359" t="s">
        <v>84</v>
      </c>
      <c r="AG359" s="17">
        <v>6145976</v>
      </c>
      <c r="AH359" s="17">
        <v>14.4</v>
      </c>
      <c r="AI359" s="17">
        <v>0</v>
      </c>
      <c r="AJ359" s="17">
        <v>0</v>
      </c>
      <c r="AK359" t="s">
        <v>165</v>
      </c>
      <c r="AM359" s="17">
        <v>2.5</v>
      </c>
      <c r="AN359" s="17"/>
      <c r="AO359" s="17">
        <v>1440</v>
      </c>
      <c r="AP359" s="17"/>
      <c r="AQ359" s="17">
        <v>1995</v>
      </c>
      <c r="AR359" s="17"/>
      <c r="AS359" s="17">
        <v>1.7</v>
      </c>
      <c r="AT359" s="17"/>
      <c r="AU359" s="17">
        <v>657.9</v>
      </c>
      <c r="AV359" s="17"/>
      <c r="AW359" s="17">
        <v>983.4</v>
      </c>
      <c r="AX359" s="17"/>
      <c r="AY359" t="s">
        <v>92</v>
      </c>
      <c r="AZ359" t="s">
        <v>92</v>
      </c>
      <c r="BA359" t="s">
        <v>92</v>
      </c>
      <c r="BB359" t="s">
        <v>92</v>
      </c>
      <c r="BC359" t="s">
        <v>92</v>
      </c>
      <c r="BD359" s="17">
        <v>3.5</v>
      </c>
      <c r="BE359" s="17">
        <v>2031250</v>
      </c>
      <c r="BF359" t="s">
        <v>92</v>
      </c>
      <c r="BG359" t="s">
        <v>92</v>
      </c>
      <c r="BH359" t="s">
        <v>93</v>
      </c>
      <c r="BI359" t="s">
        <v>94</v>
      </c>
      <c r="BJ359" t="s">
        <v>128</v>
      </c>
      <c r="BK359" t="s">
        <v>85</v>
      </c>
      <c r="BL359" t="s">
        <v>85</v>
      </c>
      <c r="BM359" t="s">
        <v>96</v>
      </c>
      <c r="BN359" t="s">
        <v>97</v>
      </c>
      <c r="BO359" t="s">
        <v>98</v>
      </c>
      <c r="BP359" t="s">
        <v>103</v>
      </c>
      <c r="BQ359" s="17">
        <v>1702</v>
      </c>
      <c r="BR359" t="s">
        <v>138</v>
      </c>
      <c r="BS359" t="s">
        <v>608</v>
      </c>
      <c r="BT359" t="s">
        <v>103</v>
      </c>
      <c r="BU359" s="17">
        <v>8.6</v>
      </c>
      <c r="BV359" t="s">
        <v>110</v>
      </c>
      <c r="BW359" t="s">
        <v>85</v>
      </c>
      <c r="BX359" t="s">
        <v>85</v>
      </c>
      <c r="BY359" t="str">
        <f>IF(COUNTIF('Data Upload-prod'!E:E,F359)=0,"Missing","Exist")</f>
        <v>Exist</v>
      </c>
    </row>
    <row r="360" hidden="1" spans="1:77">
      <c r="A360" s="16">
        <v>44007</v>
      </c>
      <c r="B360" s="16">
        <v>44131</v>
      </c>
      <c r="C360" t="s">
        <v>780</v>
      </c>
      <c r="D360" t="s">
        <v>142</v>
      </c>
      <c r="E360" t="s">
        <v>777</v>
      </c>
      <c r="F360" t="s">
        <v>781</v>
      </c>
      <c r="G360" t="s">
        <v>81</v>
      </c>
      <c r="H360" t="s">
        <v>405</v>
      </c>
      <c r="I360" t="s">
        <v>124</v>
      </c>
      <c r="J360" s="17">
        <v>34.99</v>
      </c>
      <c r="K360" s="17">
        <v>1608.35</v>
      </c>
      <c r="L360" s="17">
        <v>755.09</v>
      </c>
      <c r="M360" t="s">
        <v>84</v>
      </c>
      <c r="N360" t="s">
        <v>84</v>
      </c>
      <c r="O360" t="s">
        <v>84</v>
      </c>
      <c r="P360" t="s">
        <v>84</v>
      </c>
      <c r="Q360" s="17">
        <v>8140000</v>
      </c>
      <c r="R360" s="17">
        <v>26.57</v>
      </c>
      <c r="S360" t="s">
        <v>85</v>
      </c>
      <c r="T360" t="s">
        <v>84</v>
      </c>
      <c r="U360" t="s">
        <v>86</v>
      </c>
      <c r="V360" s="16">
        <v>44019</v>
      </c>
      <c r="W360" s="18">
        <v>44018.5</v>
      </c>
      <c r="X360" s="18">
        <v>44075.5</v>
      </c>
      <c r="Y360" s="17">
        <v>1632.83</v>
      </c>
      <c r="Z360" t="s">
        <v>87</v>
      </c>
      <c r="AA360" s="17">
        <v>1706.8</v>
      </c>
      <c r="AB360" s="17">
        <v>759.31</v>
      </c>
      <c r="AC360" t="s">
        <v>84</v>
      </c>
      <c r="AD360" t="s">
        <v>84</v>
      </c>
      <c r="AE360" t="s">
        <v>84</v>
      </c>
      <c r="AF360" t="s">
        <v>84</v>
      </c>
      <c r="AG360" s="17">
        <v>7577725</v>
      </c>
      <c r="AH360" s="17">
        <v>20.7</v>
      </c>
      <c r="AI360" s="17">
        <v>0.4</v>
      </c>
      <c r="AJ360" s="17">
        <v>0.4</v>
      </c>
      <c r="AK360" t="s">
        <v>165</v>
      </c>
      <c r="AM360" s="17">
        <v>2.5</v>
      </c>
      <c r="AN360" s="17"/>
      <c r="AO360" s="17">
        <v>1440</v>
      </c>
      <c r="AP360" s="17"/>
      <c r="AQ360" s="17">
        <v>1995</v>
      </c>
      <c r="AR360" s="17"/>
      <c r="AS360" s="17">
        <v>2.1</v>
      </c>
      <c r="AT360" s="17"/>
      <c r="AU360" s="17">
        <v>736.4</v>
      </c>
      <c r="AV360" s="17"/>
      <c r="AW360" s="17">
        <v>961.6</v>
      </c>
      <c r="AX360" s="17"/>
      <c r="AY360" t="s">
        <v>92</v>
      </c>
      <c r="AZ360" t="s">
        <v>92</v>
      </c>
      <c r="BA360" t="s">
        <v>92</v>
      </c>
      <c r="BB360" t="s">
        <v>92</v>
      </c>
      <c r="BC360" t="s">
        <v>92</v>
      </c>
      <c r="BD360" s="17">
        <v>3.1</v>
      </c>
      <c r="BE360" s="17">
        <v>1775200</v>
      </c>
      <c r="BF360" t="s">
        <v>92</v>
      </c>
      <c r="BG360" t="s">
        <v>92</v>
      </c>
      <c r="BH360" t="s">
        <v>93</v>
      </c>
      <c r="BI360" t="s">
        <v>94</v>
      </c>
      <c r="BJ360" t="s">
        <v>128</v>
      </c>
      <c r="BK360" t="s">
        <v>85</v>
      </c>
      <c r="BL360" t="s">
        <v>85</v>
      </c>
      <c r="BM360" t="s">
        <v>96</v>
      </c>
      <c r="BN360" t="s">
        <v>97</v>
      </c>
      <c r="BO360" t="s">
        <v>98</v>
      </c>
      <c r="BP360" t="s">
        <v>103</v>
      </c>
      <c r="BQ360" s="17">
        <v>2203</v>
      </c>
      <c r="BR360" t="s">
        <v>138</v>
      </c>
      <c r="BS360" t="s">
        <v>608</v>
      </c>
      <c r="BT360" t="s">
        <v>103</v>
      </c>
      <c r="BU360" s="17">
        <v>8.6</v>
      </c>
      <c r="BV360" t="s">
        <v>110</v>
      </c>
      <c r="BW360" t="s">
        <v>85</v>
      </c>
      <c r="BX360" t="s">
        <v>85</v>
      </c>
      <c r="BY360" t="str">
        <f>IF(COUNTIF('Data Upload-prod'!E:E,F360)=0,"Missing","Exist")</f>
        <v>Exist</v>
      </c>
    </row>
    <row r="361" hidden="1" spans="1:77">
      <c r="A361" s="16">
        <v>44005</v>
      </c>
      <c r="B361" s="16">
        <v>44140</v>
      </c>
      <c r="C361" t="s">
        <v>504</v>
      </c>
      <c r="D361" t="s">
        <v>142</v>
      </c>
      <c r="E361" t="s">
        <v>782</v>
      </c>
      <c r="F361" t="s">
        <v>783</v>
      </c>
      <c r="G361" t="s">
        <v>81</v>
      </c>
      <c r="H361" t="s">
        <v>405</v>
      </c>
      <c r="I361" t="s">
        <v>124</v>
      </c>
      <c r="J361" s="17">
        <v>114.8</v>
      </c>
      <c r="K361" s="17">
        <v>5125</v>
      </c>
      <c r="L361" s="17">
        <v>2477.5</v>
      </c>
      <c r="M361" t="s">
        <v>84</v>
      </c>
      <c r="N361" t="s">
        <v>84</v>
      </c>
      <c r="O361" t="s">
        <v>84</v>
      </c>
      <c r="P361" t="s">
        <v>84</v>
      </c>
      <c r="Q361" s="17">
        <v>6253613</v>
      </c>
      <c r="R361" s="17">
        <v>14.58</v>
      </c>
      <c r="S361" t="s">
        <v>85</v>
      </c>
      <c r="T361" t="s">
        <v>84</v>
      </c>
      <c r="U361" t="s">
        <v>86</v>
      </c>
      <c r="V361" s="16">
        <v>44046.5625</v>
      </c>
      <c r="W361" s="18">
        <v>44045</v>
      </c>
      <c r="X361" s="18">
        <v>44052.5</v>
      </c>
      <c r="Y361" s="17">
        <v>4959.3</v>
      </c>
      <c r="Z361" t="s">
        <v>87</v>
      </c>
      <c r="AA361" s="17">
        <v>5202</v>
      </c>
      <c r="AB361" s="17">
        <v>2482.8</v>
      </c>
      <c r="AC361" t="s">
        <v>84</v>
      </c>
      <c r="AD361" t="s">
        <v>84</v>
      </c>
      <c r="AE361" t="s">
        <v>84</v>
      </c>
      <c r="AF361" t="s">
        <v>84</v>
      </c>
      <c r="AG361" s="17">
        <v>5379411</v>
      </c>
      <c r="AH361" s="17">
        <v>12.1</v>
      </c>
      <c r="AI361" s="17">
        <v>2</v>
      </c>
      <c r="AJ361" s="17">
        <v>2</v>
      </c>
      <c r="AK361" t="s">
        <v>165</v>
      </c>
      <c r="AM361" s="17">
        <v>2.5</v>
      </c>
      <c r="AN361" s="17"/>
      <c r="AO361" s="17">
        <v>1440</v>
      </c>
      <c r="AP361" s="17"/>
      <c r="AQ361" s="17">
        <v>1995</v>
      </c>
      <c r="AR361" s="17"/>
      <c r="AS361" s="17">
        <v>1.7</v>
      </c>
      <c r="AT361" s="17"/>
      <c r="AU361" s="17">
        <v>582.9</v>
      </c>
      <c r="AV361" s="17"/>
      <c r="AW361" s="17">
        <v>1034</v>
      </c>
      <c r="AX361" s="17"/>
      <c r="AY361" t="s">
        <v>92</v>
      </c>
      <c r="AZ361" t="s">
        <v>92</v>
      </c>
      <c r="BA361" t="s">
        <v>92</v>
      </c>
      <c r="BB361" t="s">
        <v>92</v>
      </c>
      <c r="BC361" t="s">
        <v>92</v>
      </c>
      <c r="BD361" s="17">
        <v>3</v>
      </c>
      <c r="BE361" s="17">
        <v>2346102</v>
      </c>
      <c r="BF361" t="s">
        <v>92</v>
      </c>
      <c r="BG361" t="s">
        <v>92</v>
      </c>
      <c r="BH361" t="s">
        <v>93</v>
      </c>
      <c r="BI361" t="s">
        <v>94</v>
      </c>
      <c r="BJ361" t="s">
        <v>128</v>
      </c>
      <c r="BK361" t="s">
        <v>85</v>
      </c>
      <c r="BL361" t="s">
        <v>85</v>
      </c>
      <c r="BM361" t="s">
        <v>96</v>
      </c>
      <c r="BN361" t="s">
        <v>97</v>
      </c>
      <c r="BO361" t="s">
        <v>98</v>
      </c>
      <c r="BP361" t="s">
        <v>103</v>
      </c>
      <c r="BQ361" s="17">
        <v>2437</v>
      </c>
      <c r="BR361" t="s">
        <v>138</v>
      </c>
      <c r="BS361" t="s">
        <v>608</v>
      </c>
      <c r="BT361" t="s">
        <v>103</v>
      </c>
      <c r="BU361" s="17">
        <v>8.6</v>
      </c>
      <c r="BV361" t="s">
        <v>110</v>
      </c>
      <c r="BW361" t="s">
        <v>85</v>
      </c>
      <c r="BX361" t="s">
        <v>85</v>
      </c>
      <c r="BY361" t="str">
        <f>IF(COUNTIF('Data Upload-prod'!E:E,F361)=0,"Missing","Exist")</f>
        <v>Exist</v>
      </c>
    </row>
    <row r="362" hidden="1" spans="1:77">
      <c r="A362" s="16">
        <v>43998</v>
      </c>
      <c r="B362" s="16">
        <v>44189</v>
      </c>
      <c r="C362" t="s">
        <v>132</v>
      </c>
      <c r="D362" t="s">
        <v>120</v>
      </c>
      <c r="E362" t="s">
        <v>548</v>
      </c>
      <c r="F362" t="s">
        <v>784</v>
      </c>
      <c r="G362" t="s">
        <v>81</v>
      </c>
      <c r="H362" t="s">
        <v>135</v>
      </c>
      <c r="I362" t="s">
        <v>124</v>
      </c>
      <c r="J362" s="17">
        <v>56.69</v>
      </c>
      <c r="K362" s="17">
        <v>1210.85</v>
      </c>
      <c r="L362" s="17">
        <v>1142.76</v>
      </c>
      <c r="M362" t="s">
        <v>84</v>
      </c>
      <c r="N362" t="s">
        <v>84</v>
      </c>
      <c r="O362" t="s">
        <v>84</v>
      </c>
      <c r="P362" t="s">
        <v>84</v>
      </c>
      <c r="Q362" s="17">
        <v>8682464</v>
      </c>
      <c r="R362" s="17">
        <v>21.76</v>
      </c>
      <c r="S362" t="s">
        <v>85</v>
      </c>
      <c r="T362" t="s">
        <v>84</v>
      </c>
      <c r="U362" t="s">
        <v>86</v>
      </c>
      <c r="V362" s="16">
        <v>44067</v>
      </c>
      <c r="W362" s="18">
        <v>44067.375</v>
      </c>
      <c r="X362" s="18">
        <v>44159.875</v>
      </c>
      <c r="Y362" s="17">
        <v>1086.56</v>
      </c>
      <c r="Z362" t="s">
        <v>87</v>
      </c>
      <c r="AA362" s="17">
        <v>1181.04</v>
      </c>
      <c r="AB362" s="17">
        <v>1114.81</v>
      </c>
      <c r="AC362" t="s">
        <v>84</v>
      </c>
      <c r="AD362" t="s">
        <v>84</v>
      </c>
      <c r="AE362" t="s">
        <v>84</v>
      </c>
      <c r="AF362" t="s">
        <v>84</v>
      </c>
      <c r="AG362" s="17">
        <v>8572757</v>
      </c>
      <c r="AH362" s="17">
        <v>24.28</v>
      </c>
      <c r="AI362" s="17">
        <v>2.32</v>
      </c>
      <c r="AJ362" s="17">
        <v>2.06</v>
      </c>
      <c r="AK362" t="s">
        <v>208</v>
      </c>
      <c r="AM362" s="17">
        <v>2.2</v>
      </c>
      <c r="AN362" s="17"/>
      <c r="AO362" s="17">
        <v>830</v>
      </c>
      <c r="AP362" s="17"/>
      <c r="AQ362" s="17">
        <v>1790</v>
      </c>
      <c r="AR362" s="17"/>
      <c r="AS362" s="17">
        <v>1.2</v>
      </c>
      <c r="AT362" s="17"/>
      <c r="AU362" s="17">
        <v>409.23</v>
      </c>
      <c r="AV362" s="17"/>
      <c r="AW362" s="17">
        <v>1662.35</v>
      </c>
      <c r="AX362" s="17"/>
      <c r="AY362" t="s">
        <v>92</v>
      </c>
      <c r="AZ362" t="s">
        <v>92</v>
      </c>
      <c r="BA362" t="s">
        <v>92</v>
      </c>
      <c r="BB362" t="s">
        <v>92</v>
      </c>
      <c r="BC362" t="s">
        <v>92</v>
      </c>
      <c r="BD362" s="17">
        <v>12.63</v>
      </c>
      <c r="BE362" s="17">
        <v>2086366.27</v>
      </c>
      <c r="BF362" t="s">
        <v>92</v>
      </c>
      <c r="BG362" t="s">
        <v>92</v>
      </c>
      <c r="BH362" t="s">
        <v>93</v>
      </c>
      <c r="BI362" t="s">
        <v>94</v>
      </c>
      <c r="BJ362" t="s">
        <v>215</v>
      </c>
      <c r="BK362" t="s">
        <v>85</v>
      </c>
      <c r="BL362" t="s">
        <v>85</v>
      </c>
      <c r="BM362" t="s">
        <v>96</v>
      </c>
      <c r="BN362" t="s">
        <v>490</v>
      </c>
      <c r="BO362" t="s">
        <v>98</v>
      </c>
      <c r="BP362" t="s">
        <v>103</v>
      </c>
      <c r="BQ362" s="17">
        <v>38</v>
      </c>
      <c r="BR362" t="s">
        <v>138</v>
      </c>
      <c r="BS362" t="s">
        <v>92</v>
      </c>
      <c r="BT362" t="s">
        <v>175</v>
      </c>
      <c r="BU362" s="17">
        <v>9</v>
      </c>
      <c r="BV362" t="s">
        <v>191</v>
      </c>
      <c r="BW362" t="s">
        <v>85</v>
      </c>
      <c r="BX362" t="s">
        <v>85</v>
      </c>
      <c r="BY362" t="str">
        <f>IF(COUNTIF('Data Upload-prod'!E:E,F362)=0,"Missing","Exist")</f>
        <v>Exist</v>
      </c>
    </row>
    <row r="363" hidden="1" spans="1:77">
      <c r="A363" s="16">
        <v>43998</v>
      </c>
      <c r="B363" s="16">
        <v>44176</v>
      </c>
      <c r="C363" t="s">
        <v>132</v>
      </c>
      <c r="D363" t="s">
        <v>120</v>
      </c>
      <c r="E363" t="s">
        <v>548</v>
      </c>
      <c r="F363" t="s">
        <v>785</v>
      </c>
      <c r="G363" t="s">
        <v>81</v>
      </c>
      <c r="H363" t="s">
        <v>135</v>
      </c>
      <c r="I363" t="s">
        <v>124</v>
      </c>
      <c r="J363" s="17">
        <v>56.69</v>
      </c>
      <c r="K363" s="17">
        <v>2598.82</v>
      </c>
      <c r="L363" s="17">
        <v>1571.02</v>
      </c>
      <c r="M363" t="s">
        <v>84</v>
      </c>
      <c r="N363" t="s">
        <v>84</v>
      </c>
      <c r="O363" t="s">
        <v>84</v>
      </c>
      <c r="P363" t="s">
        <v>84</v>
      </c>
      <c r="Q363" s="17">
        <v>13479841</v>
      </c>
      <c r="R363" s="17">
        <v>34.04</v>
      </c>
      <c r="S363" t="s">
        <v>106</v>
      </c>
      <c r="T363" t="s">
        <v>84</v>
      </c>
      <c r="U363" t="s">
        <v>86</v>
      </c>
      <c r="V363" s="16">
        <v>44066</v>
      </c>
      <c r="W363" s="18">
        <v>44066.3125</v>
      </c>
      <c r="X363" s="18">
        <v>44146.6666666667</v>
      </c>
      <c r="Y363" s="17">
        <v>2370.62</v>
      </c>
      <c r="Z363" t="s">
        <v>87</v>
      </c>
      <c r="AA363" s="17">
        <v>2465.1</v>
      </c>
      <c r="AB363" s="17">
        <v>1584.4</v>
      </c>
      <c r="AC363" t="s">
        <v>84</v>
      </c>
      <c r="AD363" t="s">
        <v>84</v>
      </c>
      <c r="AE363" t="s">
        <v>84</v>
      </c>
      <c r="AF363" t="s">
        <v>84</v>
      </c>
      <c r="AG363" s="17">
        <v>16344099</v>
      </c>
      <c r="AH363" s="17">
        <v>48.55</v>
      </c>
      <c r="AI363" s="17">
        <v>14.83</v>
      </c>
      <c r="AJ363" s="17">
        <v>14.52</v>
      </c>
      <c r="AK363" t="s">
        <v>208</v>
      </c>
      <c r="AM363" s="17">
        <v>2.2</v>
      </c>
      <c r="AN363" s="17"/>
      <c r="AO363" s="17">
        <v>830</v>
      </c>
      <c r="AP363" s="17"/>
      <c r="AQ363" s="17">
        <v>1790</v>
      </c>
      <c r="AR363" s="17"/>
      <c r="AS363" s="17">
        <v>1.5</v>
      </c>
      <c r="AT363" s="17"/>
      <c r="AU363" s="17">
        <v>353.73</v>
      </c>
      <c r="AV363" s="17"/>
      <c r="AW363" s="17">
        <v>1278.78</v>
      </c>
      <c r="AX363" s="17"/>
      <c r="AY363" t="s">
        <v>92</v>
      </c>
      <c r="AZ363" t="s">
        <v>92</v>
      </c>
      <c r="BA363" t="s">
        <v>92</v>
      </c>
      <c r="BB363" t="s">
        <v>92</v>
      </c>
      <c r="BC363" t="s">
        <v>92</v>
      </c>
      <c r="BD363" s="17">
        <v>23.71</v>
      </c>
      <c r="BE363" s="17">
        <v>4461154.1</v>
      </c>
      <c r="BF363" t="s">
        <v>92</v>
      </c>
      <c r="BG363" t="s">
        <v>92</v>
      </c>
      <c r="BH363" t="s">
        <v>93</v>
      </c>
      <c r="BI363" t="s">
        <v>94</v>
      </c>
      <c r="BJ363" t="s">
        <v>215</v>
      </c>
      <c r="BK363" t="s">
        <v>85</v>
      </c>
      <c r="BL363" t="s">
        <v>85</v>
      </c>
      <c r="BM363" t="s">
        <v>96</v>
      </c>
      <c r="BN363" t="s">
        <v>573</v>
      </c>
      <c r="BO363" t="s">
        <v>216</v>
      </c>
      <c r="BP363" t="s">
        <v>103</v>
      </c>
      <c r="BQ363" s="17">
        <v>42</v>
      </c>
      <c r="BR363" t="s">
        <v>138</v>
      </c>
      <c r="BS363" t="s">
        <v>92</v>
      </c>
      <c r="BT363" t="s">
        <v>175</v>
      </c>
      <c r="BU363" s="17">
        <v>9</v>
      </c>
      <c r="BV363" t="s">
        <v>191</v>
      </c>
      <c r="BW363" t="s">
        <v>85</v>
      </c>
      <c r="BX363" t="s">
        <v>406</v>
      </c>
      <c r="BY363" t="str">
        <f>IF(COUNTIF('Data Upload-prod'!E:E,F363)=0,"Missing","Exist")</f>
        <v>Exist</v>
      </c>
    </row>
    <row r="364" hidden="1" spans="1:77">
      <c r="A364" s="16">
        <v>43990</v>
      </c>
      <c r="B364" s="16">
        <v>44421</v>
      </c>
      <c r="C364" t="s">
        <v>655</v>
      </c>
      <c r="D364" t="s">
        <v>120</v>
      </c>
      <c r="E364" t="s">
        <v>786</v>
      </c>
      <c r="F364" t="s">
        <v>787</v>
      </c>
      <c r="G364" t="s">
        <v>81</v>
      </c>
      <c r="H364" t="s">
        <v>202</v>
      </c>
      <c r="I364" t="s">
        <v>124</v>
      </c>
      <c r="J364" s="17">
        <v>108</v>
      </c>
      <c r="K364" s="17">
        <v>2356.44</v>
      </c>
      <c r="L364" s="17">
        <v>2250.8</v>
      </c>
      <c r="M364" t="s">
        <v>84</v>
      </c>
      <c r="N364" t="s">
        <v>84</v>
      </c>
      <c r="O364" t="s">
        <v>84</v>
      </c>
      <c r="P364" t="s">
        <v>84</v>
      </c>
      <c r="Q364" s="17">
        <v>27227319</v>
      </c>
      <c r="R364" s="17">
        <v>43.03</v>
      </c>
      <c r="S364" t="s">
        <v>85</v>
      </c>
      <c r="T364" t="s">
        <v>84</v>
      </c>
      <c r="U364" t="s">
        <v>86</v>
      </c>
      <c r="V364" s="16">
        <v>44235</v>
      </c>
      <c r="W364" s="18">
        <v>44235</v>
      </c>
      <c r="X364" s="18">
        <v>44367.5833333333</v>
      </c>
      <c r="Y364" s="17">
        <v>2207.2</v>
      </c>
      <c r="Z364" t="s">
        <v>87</v>
      </c>
      <c r="AA364" s="17">
        <v>2356</v>
      </c>
      <c r="AB364" s="17">
        <v>2250</v>
      </c>
      <c r="AC364" t="s">
        <v>84</v>
      </c>
      <c r="AD364" t="s">
        <v>84</v>
      </c>
      <c r="AE364" t="s">
        <v>84</v>
      </c>
      <c r="AF364" t="s">
        <v>84</v>
      </c>
      <c r="AG364" s="17">
        <v>16297089</v>
      </c>
      <c r="AH364" s="17">
        <v>28.58</v>
      </c>
      <c r="AI364" s="17">
        <v>12.17</v>
      </c>
      <c r="AJ364" s="17">
        <v>6.71</v>
      </c>
      <c r="AK364" t="s">
        <v>276</v>
      </c>
      <c r="AM364" s="17">
        <v>3.7</v>
      </c>
      <c r="AN364" s="17"/>
      <c r="AO364" s="17">
        <v>1585</v>
      </c>
      <c r="AP364" s="17"/>
      <c r="AQ364" s="17">
        <v>3580</v>
      </c>
      <c r="AR364" s="17"/>
      <c r="AS364" s="17">
        <v>2.16</v>
      </c>
      <c r="AT364" s="17"/>
      <c r="AU364" s="17">
        <v>1107</v>
      </c>
      <c r="AV364" s="17"/>
      <c r="AW364" s="17">
        <v>2036</v>
      </c>
      <c r="AX364" s="17"/>
      <c r="AY364" t="s">
        <v>92</v>
      </c>
      <c r="AZ364" t="s">
        <v>92</v>
      </c>
      <c r="BA364" t="s">
        <v>92</v>
      </c>
      <c r="BB364" t="s">
        <v>92</v>
      </c>
      <c r="BC364" t="s">
        <v>92</v>
      </c>
      <c r="BD364" s="17">
        <v>8.19</v>
      </c>
      <c r="BE364" s="17">
        <v>6200000</v>
      </c>
      <c r="BF364" t="s">
        <v>92</v>
      </c>
      <c r="BG364" t="s">
        <v>92</v>
      </c>
      <c r="BH364" t="s">
        <v>127</v>
      </c>
      <c r="BI364" t="s">
        <v>278</v>
      </c>
      <c r="BJ364" t="s">
        <v>109</v>
      </c>
      <c r="BK364" t="s">
        <v>85</v>
      </c>
      <c r="BL364" t="s">
        <v>85</v>
      </c>
      <c r="BM364" t="s">
        <v>137</v>
      </c>
      <c r="BN364" t="s">
        <v>97</v>
      </c>
      <c r="BO364" t="s">
        <v>98</v>
      </c>
      <c r="BP364" t="s">
        <v>139</v>
      </c>
      <c r="BQ364" s="17">
        <v>955</v>
      </c>
      <c r="BR364" t="s">
        <v>138</v>
      </c>
      <c r="BS364" t="s">
        <v>156</v>
      </c>
      <c r="BT364" t="s">
        <v>139</v>
      </c>
      <c r="BU364" s="17">
        <v>8.33</v>
      </c>
      <c r="BV364" t="s">
        <v>131</v>
      </c>
      <c r="BW364" t="s">
        <v>85</v>
      </c>
      <c r="BX364" t="s">
        <v>85</v>
      </c>
      <c r="BY364" t="str">
        <f>IF(COUNTIF('Data Upload-prod'!E:E,F364)=0,"Missing","Exist")</f>
        <v>Exist</v>
      </c>
    </row>
    <row r="365" hidden="1" spans="1:77">
      <c r="A365" s="16">
        <v>43983</v>
      </c>
      <c r="B365" s="16">
        <v>44133</v>
      </c>
      <c r="C365" t="s">
        <v>132</v>
      </c>
      <c r="D365" t="s">
        <v>78</v>
      </c>
      <c r="E365" t="s">
        <v>788</v>
      </c>
      <c r="F365" t="s">
        <v>789</v>
      </c>
      <c r="G365" t="s">
        <v>145</v>
      </c>
      <c r="H365" t="s">
        <v>790</v>
      </c>
      <c r="I365" t="s">
        <v>124</v>
      </c>
      <c r="J365" s="17">
        <v>60</v>
      </c>
      <c r="K365" s="17">
        <v>2322</v>
      </c>
      <c r="L365" s="17">
        <v>1948</v>
      </c>
      <c r="M365" s="17">
        <v>6220000</v>
      </c>
      <c r="N365" s="17">
        <v>10540000</v>
      </c>
      <c r="O365" s="17">
        <v>17.52</v>
      </c>
      <c r="P365" s="17">
        <v>34.74</v>
      </c>
      <c r="Q365" t="s">
        <v>84</v>
      </c>
      <c r="R365" t="s">
        <v>84</v>
      </c>
      <c r="S365" t="s">
        <v>85</v>
      </c>
      <c r="T365" t="s">
        <v>84</v>
      </c>
      <c r="U365" t="s">
        <v>84</v>
      </c>
      <c r="V365" s="16">
        <v>44073</v>
      </c>
      <c r="W365" s="18">
        <v>44064.0520833333</v>
      </c>
      <c r="X365" s="18">
        <v>44103.5520833333</v>
      </c>
      <c r="Y365" s="17">
        <v>2220</v>
      </c>
      <c r="Z365" t="s">
        <v>87</v>
      </c>
      <c r="AA365" s="17">
        <v>2310</v>
      </c>
      <c r="AB365" s="17">
        <v>1937.17</v>
      </c>
      <c r="AC365" t="s">
        <v>84</v>
      </c>
      <c r="AD365" s="17">
        <v>11142230.14</v>
      </c>
      <c r="AE365" t="s">
        <v>84</v>
      </c>
      <c r="AF365" s="17">
        <v>47.64</v>
      </c>
      <c r="AG365" t="s">
        <v>84</v>
      </c>
      <c r="AH365" t="s">
        <v>84</v>
      </c>
      <c r="AI365" s="17">
        <v>5.21</v>
      </c>
      <c r="AJ365" s="17">
        <v>4.27</v>
      </c>
      <c r="AK365" t="s">
        <v>300</v>
      </c>
      <c r="AM365" s="17">
        <v>1.9</v>
      </c>
      <c r="AN365" s="17"/>
      <c r="AO365" s="17">
        <v>720</v>
      </c>
      <c r="AP365" s="17"/>
      <c r="AQ365" s="17">
        <v>1370</v>
      </c>
      <c r="AR365" s="17"/>
      <c r="AS365" s="17">
        <v>1.27</v>
      </c>
      <c r="AT365" s="17"/>
      <c r="AU365" s="17">
        <v>586</v>
      </c>
      <c r="AV365" s="17"/>
      <c r="AW365" s="17">
        <v>897</v>
      </c>
      <c r="AX365" s="17"/>
      <c r="AY365" t="s">
        <v>92</v>
      </c>
      <c r="AZ365" t="s">
        <v>92</v>
      </c>
      <c r="BA365" t="s">
        <v>92</v>
      </c>
      <c r="BB365" t="s">
        <v>92</v>
      </c>
      <c r="BC365" t="s">
        <v>92</v>
      </c>
      <c r="BD365" t="s">
        <v>92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92</v>
      </c>
      <c r="BM365" t="s">
        <v>92</v>
      </c>
      <c r="BN365" t="s">
        <v>92</v>
      </c>
      <c r="BO365" t="s">
        <v>92</v>
      </c>
      <c r="BP365" t="s">
        <v>92</v>
      </c>
      <c r="BQ365" t="s">
        <v>92</v>
      </c>
      <c r="BR365" t="s">
        <v>92</v>
      </c>
      <c r="BS365" t="s">
        <v>92</v>
      </c>
      <c r="BT365" t="s">
        <v>92</v>
      </c>
      <c r="BU365" t="s">
        <v>92</v>
      </c>
      <c r="BV365" t="s">
        <v>92</v>
      </c>
      <c r="BW365" t="s">
        <v>92</v>
      </c>
      <c r="BX365" t="s">
        <v>92</v>
      </c>
      <c r="BY365" t="str">
        <f>IF(COUNTIF('Data Upload-prod'!E:E,F365)=0,"Missing","Exist")</f>
        <v>Exist</v>
      </c>
    </row>
    <row r="366" hidden="1" spans="1:77">
      <c r="A366" s="16">
        <v>43973</v>
      </c>
      <c r="B366" s="16">
        <v>44217</v>
      </c>
      <c r="C366" t="s">
        <v>655</v>
      </c>
      <c r="D366" t="s">
        <v>120</v>
      </c>
      <c r="E366" t="s">
        <v>786</v>
      </c>
      <c r="F366" t="s">
        <v>791</v>
      </c>
      <c r="G366" t="s">
        <v>81</v>
      </c>
      <c r="H366" t="s">
        <v>202</v>
      </c>
      <c r="I366" t="s">
        <v>124</v>
      </c>
      <c r="J366" s="17">
        <v>108</v>
      </c>
      <c r="K366" s="17">
        <v>2565</v>
      </c>
      <c r="L366" s="17">
        <v>2320</v>
      </c>
      <c r="M366" t="s">
        <v>84</v>
      </c>
      <c r="N366" t="s">
        <v>84</v>
      </c>
      <c r="O366" t="s">
        <v>84</v>
      </c>
      <c r="P366" t="s">
        <v>84</v>
      </c>
      <c r="Q366" s="17">
        <v>33360848</v>
      </c>
      <c r="R366" s="17">
        <v>81.97</v>
      </c>
      <c r="S366" t="s">
        <v>85</v>
      </c>
      <c r="T366" t="s">
        <v>84</v>
      </c>
      <c r="U366" t="s">
        <v>86</v>
      </c>
      <c r="V366" s="16">
        <v>44028</v>
      </c>
      <c r="W366" s="18">
        <v>44003.9375</v>
      </c>
      <c r="X366" s="18">
        <v>44132.2083333333</v>
      </c>
      <c r="Y366" s="17">
        <v>2466.2</v>
      </c>
      <c r="Z366" t="s">
        <v>87</v>
      </c>
      <c r="AA366" s="17">
        <v>2615</v>
      </c>
      <c r="AB366" s="17">
        <v>2410.64</v>
      </c>
      <c r="AC366" t="s">
        <v>84</v>
      </c>
      <c r="AD366" t="s">
        <v>84</v>
      </c>
      <c r="AE366" t="s">
        <v>84</v>
      </c>
      <c r="AF366" t="s">
        <v>84</v>
      </c>
      <c r="AG366" s="17">
        <v>33266858</v>
      </c>
      <c r="AH366" s="17">
        <v>85.15</v>
      </c>
      <c r="AI366" s="17">
        <v>48</v>
      </c>
      <c r="AJ366" s="17">
        <v>47.83</v>
      </c>
      <c r="AK366" t="s">
        <v>276</v>
      </c>
      <c r="AM366" s="17">
        <v>3.7</v>
      </c>
      <c r="AN366" s="17"/>
      <c r="AO366" s="17">
        <v>1585</v>
      </c>
      <c r="AP366" s="17"/>
      <c r="AQ366" s="17">
        <v>3580</v>
      </c>
      <c r="AR366" s="17"/>
      <c r="AS366" s="17">
        <v>6.69</v>
      </c>
      <c r="AT366" s="17"/>
      <c r="AU366" s="17">
        <v>2861</v>
      </c>
      <c r="AV366" s="17"/>
      <c r="AW366" s="17">
        <v>3117</v>
      </c>
      <c r="AX366" s="17"/>
      <c r="AY366" t="s">
        <v>92</v>
      </c>
      <c r="AZ366" t="s">
        <v>92</v>
      </c>
      <c r="BA366" t="s">
        <v>92</v>
      </c>
      <c r="BB366" t="s">
        <v>92</v>
      </c>
      <c r="BC366" t="s">
        <v>92</v>
      </c>
      <c r="BD366" s="17">
        <v>15.92</v>
      </c>
      <c r="BE366" s="17">
        <v>7530000</v>
      </c>
      <c r="BF366" t="s">
        <v>92</v>
      </c>
      <c r="BG366" t="s">
        <v>92</v>
      </c>
      <c r="BH366" t="s">
        <v>127</v>
      </c>
      <c r="BI366" t="s">
        <v>278</v>
      </c>
      <c r="BJ366" t="s">
        <v>109</v>
      </c>
      <c r="BK366" t="s">
        <v>85</v>
      </c>
      <c r="BL366" t="s">
        <v>85</v>
      </c>
      <c r="BM366" t="s">
        <v>137</v>
      </c>
      <c r="BN366" t="s">
        <v>97</v>
      </c>
      <c r="BO366" t="s">
        <v>98</v>
      </c>
      <c r="BP366" t="s">
        <v>139</v>
      </c>
      <c r="BQ366" s="17">
        <v>1542</v>
      </c>
      <c r="BR366" t="s">
        <v>138</v>
      </c>
      <c r="BS366" t="s">
        <v>156</v>
      </c>
      <c r="BT366" t="s">
        <v>139</v>
      </c>
      <c r="BU366" s="17">
        <v>8.33</v>
      </c>
      <c r="BV366" t="s">
        <v>131</v>
      </c>
      <c r="BW366" t="s">
        <v>85</v>
      </c>
      <c r="BX366" t="s">
        <v>85</v>
      </c>
      <c r="BY366" t="str">
        <f>IF(COUNTIF('Data Upload-prod'!E:E,F366)=0,"Missing","Exist")</f>
        <v>Exist</v>
      </c>
    </row>
    <row r="367" hidden="1" spans="1:77">
      <c r="A367" s="16">
        <v>43958</v>
      </c>
      <c r="B367" s="16">
        <v>44446</v>
      </c>
      <c r="C367" t="s">
        <v>655</v>
      </c>
      <c r="D367" t="s">
        <v>120</v>
      </c>
      <c r="E367" t="s">
        <v>786</v>
      </c>
      <c r="F367" t="s">
        <v>792</v>
      </c>
      <c r="G367" t="s">
        <v>81</v>
      </c>
      <c r="H367" t="s">
        <v>202</v>
      </c>
      <c r="I367" t="s">
        <v>124</v>
      </c>
      <c r="J367" s="17">
        <v>108</v>
      </c>
      <c r="K367" s="17">
        <v>2580</v>
      </c>
      <c r="L367" s="17">
        <v>2303</v>
      </c>
      <c r="M367" t="s">
        <v>84</v>
      </c>
      <c r="N367" t="s">
        <v>84</v>
      </c>
      <c r="O367" t="s">
        <v>84</v>
      </c>
      <c r="P367" t="s">
        <v>84</v>
      </c>
      <c r="Q367" s="17">
        <v>25309526</v>
      </c>
      <c r="R367" s="17">
        <v>53.07</v>
      </c>
      <c r="S367" t="s">
        <v>381</v>
      </c>
      <c r="T367" t="s">
        <v>84</v>
      </c>
      <c r="U367" t="s">
        <v>84</v>
      </c>
      <c r="V367" s="16">
        <v>44007</v>
      </c>
      <c r="W367" s="18">
        <v>44006.0833333333</v>
      </c>
      <c r="X367" s="18">
        <v>44395.8125</v>
      </c>
      <c r="Y367" s="17">
        <v>2438.2</v>
      </c>
      <c r="Z367" t="s">
        <v>87</v>
      </c>
      <c r="AA367" s="17">
        <v>2587</v>
      </c>
      <c r="AB367" s="17">
        <v>2344.1</v>
      </c>
      <c r="AC367" t="s">
        <v>84</v>
      </c>
      <c r="AD367" t="s">
        <v>84</v>
      </c>
      <c r="AE367" t="s">
        <v>84</v>
      </c>
      <c r="AF367" t="s">
        <v>84</v>
      </c>
      <c r="AG367" s="17">
        <v>29170000</v>
      </c>
      <c r="AH367" s="17">
        <v>85.73</v>
      </c>
      <c r="AI367" s="17">
        <v>34.41</v>
      </c>
      <c r="AJ367" s="17">
        <v>34.41</v>
      </c>
      <c r="AK367" t="s">
        <v>276</v>
      </c>
      <c r="AM367" s="17">
        <v>3.7</v>
      </c>
      <c r="AN367" s="17"/>
      <c r="AO367" s="17">
        <v>1585</v>
      </c>
      <c r="AP367" s="17"/>
      <c r="AQ367" s="17">
        <v>3580</v>
      </c>
      <c r="AR367" s="17"/>
      <c r="AS367" s="17">
        <v>6.1</v>
      </c>
      <c r="AT367" s="17"/>
      <c r="AU367" s="17">
        <v>2801</v>
      </c>
      <c r="AV367" s="17"/>
      <c r="AW367" s="17">
        <v>2339</v>
      </c>
      <c r="AX367" s="17"/>
      <c r="AY367" t="s">
        <v>92</v>
      </c>
      <c r="AZ367" t="s">
        <v>92</v>
      </c>
      <c r="BA367" t="s">
        <v>92</v>
      </c>
      <c r="BB367" t="s">
        <v>92</v>
      </c>
      <c r="BC367" t="s">
        <v>92</v>
      </c>
      <c r="BD367" t="s">
        <v>92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92</v>
      </c>
      <c r="BM367" t="s">
        <v>92</v>
      </c>
      <c r="BN367" t="s">
        <v>92</v>
      </c>
      <c r="BO367" t="s">
        <v>92</v>
      </c>
      <c r="BP367" t="s">
        <v>92</v>
      </c>
      <c r="BQ367" t="s">
        <v>92</v>
      </c>
      <c r="BR367" t="s">
        <v>92</v>
      </c>
      <c r="BS367" t="s">
        <v>92</v>
      </c>
      <c r="BT367" t="s">
        <v>92</v>
      </c>
      <c r="BU367" t="s">
        <v>92</v>
      </c>
      <c r="BV367" t="s">
        <v>92</v>
      </c>
      <c r="BW367" t="s">
        <v>92</v>
      </c>
      <c r="BX367" t="s">
        <v>92</v>
      </c>
      <c r="BY367" t="str">
        <f>IF(COUNTIF('Data Upload-prod'!E:E,F367)=0,"Missing","Exist")</f>
        <v>Exist</v>
      </c>
    </row>
    <row r="368" hidden="1" spans="1:77">
      <c r="A368" s="16">
        <v>43946</v>
      </c>
      <c r="B368" s="16">
        <v>44159</v>
      </c>
      <c r="C368" t="s">
        <v>132</v>
      </c>
      <c r="D368" t="s">
        <v>120</v>
      </c>
      <c r="E368" t="s">
        <v>700</v>
      </c>
      <c r="F368" t="s">
        <v>793</v>
      </c>
      <c r="G368" t="s">
        <v>81</v>
      </c>
      <c r="H368" t="s">
        <v>363</v>
      </c>
      <c r="I368" t="s">
        <v>124</v>
      </c>
      <c r="J368" s="17">
        <v>75.59</v>
      </c>
      <c r="K368" s="17">
        <v>3676.93</v>
      </c>
      <c r="L368" s="17">
        <v>3072.51</v>
      </c>
      <c r="M368" t="s">
        <v>84</v>
      </c>
      <c r="N368" t="s">
        <v>84</v>
      </c>
      <c r="O368" t="s">
        <v>84</v>
      </c>
      <c r="P368" t="s">
        <v>84</v>
      </c>
      <c r="Q368" s="17">
        <v>16541703.02</v>
      </c>
      <c r="R368" s="17">
        <v>46.68</v>
      </c>
      <c r="S368" t="s">
        <v>85</v>
      </c>
      <c r="T368" t="s">
        <v>84</v>
      </c>
      <c r="U368" t="s">
        <v>86</v>
      </c>
      <c r="V368" s="16">
        <v>43966</v>
      </c>
      <c r="W368" s="18">
        <v>43966.8333333333</v>
      </c>
      <c r="X368" s="18">
        <v>44106.5</v>
      </c>
      <c r="Y368" s="17">
        <v>3554.53</v>
      </c>
      <c r="Z368" t="s">
        <v>87</v>
      </c>
      <c r="AA368" s="17">
        <v>3678.76</v>
      </c>
      <c r="AB368" s="17">
        <v>3089.03</v>
      </c>
      <c r="AC368" t="s">
        <v>84</v>
      </c>
      <c r="AD368" t="s">
        <v>84</v>
      </c>
      <c r="AE368" t="s">
        <v>84</v>
      </c>
      <c r="AF368" t="s">
        <v>84</v>
      </c>
      <c r="AG368" s="17">
        <v>17889065.49</v>
      </c>
      <c r="AH368" s="17">
        <v>62.33</v>
      </c>
      <c r="AI368" s="17">
        <v>10.13</v>
      </c>
      <c r="AJ368" s="17">
        <v>10.13</v>
      </c>
      <c r="AK368" t="s">
        <v>276</v>
      </c>
      <c r="AM368" s="17">
        <v>3.7</v>
      </c>
      <c r="AN368" s="17"/>
      <c r="AO368" s="17">
        <v>1585</v>
      </c>
      <c r="AP368" s="17"/>
      <c r="AQ368" s="17">
        <v>3400</v>
      </c>
      <c r="AR368" s="17"/>
      <c r="AS368" s="17">
        <v>4</v>
      </c>
      <c r="AT368" s="17"/>
      <c r="AU368" s="17">
        <v>1496</v>
      </c>
      <c r="AV368" s="17"/>
      <c r="AW368" s="17">
        <v>2488</v>
      </c>
      <c r="AX368" s="17"/>
      <c r="AY368" t="s">
        <v>92</v>
      </c>
      <c r="AZ368" t="s">
        <v>92</v>
      </c>
      <c r="BA368" t="s">
        <v>92</v>
      </c>
      <c r="BB368" t="s">
        <v>92</v>
      </c>
      <c r="BC368" t="s">
        <v>92</v>
      </c>
      <c r="BD368" s="17">
        <v>17.85</v>
      </c>
      <c r="BE368" s="17">
        <v>4526250</v>
      </c>
      <c r="BF368" t="s">
        <v>92</v>
      </c>
      <c r="BG368" t="s">
        <v>92</v>
      </c>
      <c r="BH368" t="s">
        <v>93</v>
      </c>
      <c r="BI368" t="s">
        <v>94</v>
      </c>
      <c r="BJ368" t="s">
        <v>173</v>
      </c>
      <c r="BK368" t="s">
        <v>85</v>
      </c>
      <c r="BL368" t="s">
        <v>85</v>
      </c>
      <c r="BM368" t="s">
        <v>273</v>
      </c>
      <c r="BN368" t="s">
        <v>253</v>
      </c>
      <c r="BO368" t="s">
        <v>98</v>
      </c>
      <c r="BP368" t="s">
        <v>99</v>
      </c>
      <c r="BQ368" s="17">
        <v>74</v>
      </c>
      <c r="BR368" t="s">
        <v>138</v>
      </c>
      <c r="BS368" t="s">
        <v>92</v>
      </c>
      <c r="BT368" t="s">
        <v>175</v>
      </c>
      <c r="BU368" s="17">
        <v>12</v>
      </c>
      <c r="BV368" t="s">
        <v>794</v>
      </c>
      <c r="BW368" t="s">
        <v>85</v>
      </c>
      <c r="BX368" t="s">
        <v>85</v>
      </c>
      <c r="BY368" t="str">
        <f>IF(COUNTIF('Data Upload-prod'!E:E,F368)=0,"Missing","Exist")</f>
        <v>Exist</v>
      </c>
    </row>
    <row r="369" hidden="1" spans="1:77">
      <c r="A369" s="16">
        <v>43938</v>
      </c>
      <c r="B369" s="16">
        <v>44419</v>
      </c>
      <c r="C369" t="s">
        <v>655</v>
      </c>
      <c r="D369" t="s">
        <v>120</v>
      </c>
      <c r="E369" t="s">
        <v>786</v>
      </c>
      <c r="F369" t="s">
        <v>795</v>
      </c>
      <c r="G369" t="s">
        <v>81</v>
      </c>
      <c r="H369" t="s">
        <v>202</v>
      </c>
      <c r="I369" t="s">
        <v>124</v>
      </c>
      <c r="J369" s="17">
        <v>108</v>
      </c>
      <c r="K369" s="17">
        <v>2555</v>
      </c>
      <c r="L369" s="17">
        <v>2478</v>
      </c>
      <c r="M369" t="s">
        <v>84</v>
      </c>
      <c r="N369" t="s">
        <v>84</v>
      </c>
      <c r="O369" t="s">
        <v>84</v>
      </c>
      <c r="P369" t="s">
        <v>84</v>
      </c>
      <c r="Q369" s="17">
        <v>24104199</v>
      </c>
      <c r="R369" s="17">
        <v>48.58</v>
      </c>
      <c r="S369" t="s">
        <v>85</v>
      </c>
      <c r="T369" t="s">
        <v>84</v>
      </c>
      <c r="U369" t="s">
        <v>86</v>
      </c>
      <c r="V369" s="16">
        <v>44005</v>
      </c>
      <c r="W369" s="18">
        <v>44005.1875</v>
      </c>
      <c r="X369" s="18">
        <v>44371.1666666667</v>
      </c>
      <c r="Y369" s="17">
        <v>2331.2</v>
      </c>
      <c r="Z369" t="s">
        <v>87</v>
      </c>
      <c r="AA369" s="17">
        <v>2480</v>
      </c>
      <c r="AB369" s="17">
        <v>2443</v>
      </c>
      <c r="AC369" t="s">
        <v>84</v>
      </c>
      <c r="AD369" t="s">
        <v>84</v>
      </c>
      <c r="AE369" t="s">
        <v>84</v>
      </c>
      <c r="AF369" t="s">
        <v>84</v>
      </c>
      <c r="AG369" s="17">
        <v>19365111</v>
      </c>
      <c r="AH369" s="17">
        <v>39</v>
      </c>
      <c r="AI369" s="17">
        <v>10.87</v>
      </c>
      <c r="AJ369" s="17">
        <v>10.6</v>
      </c>
      <c r="AK369" t="s">
        <v>276</v>
      </c>
      <c r="AM369" s="17">
        <v>3.7</v>
      </c>
      <c r="AN369" s="17"/>
      <c r="AO369" s="17">
        <v>1585</v>
      </c>
      <c r="AP369" s="17"/>
      <c r="AQ369" s="17">
        <v>3580</v>
      </c>
      <c r="AR369" s="17"/>
      <c r="AS369" s="17">
        <v>3.25</v>
      </c>
      <c r="AT369" s="17"/>
      <c r="AU369" s="17">
        <v>1149</v>
      </c>
      <c r="AV369" s="17"/>
      <c r="AW369" s="17">
        <v>2394</v>
      </c>
      <c r="AX369" s="17"/>
      <c r="AY369" t="s">
        <v>92</v>
      </c>
      <c r="AZ369" t="s">
        <v>92</v>
      </c>
      <c r="BA369" t="s">
        <v>92</v>
      </c>
      <c r="BB369" t="s">
        <v>92</v>
      </c>
      <c r="BC369" t="s">
        <v>92</v>
      </c>
      <c r="BD369" s="17">
        <v>8.54</v>
      </c>
      <c r="BE369" s="17">
        <v>7770000</v>
      </c>
      <c r="BF369" t="s">
        <v>92</v>
      </c>
      <c r="BG369" t="s">
        <v>92</v>
      </c>
      <c r="BH369" t="s">
        <v>127</v>
      </c>
      <c r="BI369" t="s">
        <v>278</v>
      </c>
      <c r="BJ369" t="s">
        <v>109</v>
      </c>
      <c r="BK369" t="s">
        <v>85</v>
      </c>
      <c r="BL369" t="s">
        <v>85</v>
      </c>
      <c r="BM369" t="s">
        <v>137</v>
      </c>
      <c r="BN369" t="s">
        <v>97</v>
      </c>
      <c r="BO369" t="s">
        <v>98</v>
      </c>
      <c r="BP369" t="s">
        <v>139</v>
      </c>
      <c r="BQ369" s="17">
        <v>1532</v>
      </c>
      <c r="BR369" t="s">
        <v>100</v>
      </c>
      <c r="BS369" t="s">
        <v>156</v>
      </c>
      <c r="BT369" t="s">
        <v>139</v>
      </c>
      <c r="BU369" s="17">
        <v>8.33</v>
      </c>
      <c r="BV369" t="s">
        <v>131</v>
      </c>
      <c r="BW369" t="s">
        <v>85</v>
      </c>
      <c r="BX369" t="s">
        <v>85</v>
      </c>
      <c r="BY369" t="str">
        <f>IF(COUNTIF('Data Upload-prod'!E:E,F369)=0,"Missing","Exist")</f>
        <v>Exist</v>
      </c>
    </row>
    <row r="370" hidden="1" spans="1:77">
      <c r="A370" s="16">
        <v>43938</v>
      </c>
      <c r="B370" s="16">
        <v>44440</v>
      </c>
      <c r="C370" t="s">
        <v>655</v>
      </c>
      <c r="D370" t="s">
        <v>120</v>
      </c>
      <c r="E370" t="s">
        <v>786</v>
      </c>
      <c r="F370" t="s">
        <v>796</v>
      </c>
      <c r="G370" t="s">
        <v>81</v>
      </c>
      <c r="H370" t="s">
        <v>202</v>
      </c>
      <c r="I370" t="s">
        <v>124</v>
      </c>
      <c r="J370" s="17">
        <v>108</v>
      </c>
      <c r="K370" s="17">
        <v>2990</v>
      </c>
      <c r="L370" s="17">
        <v>2504</v>
      </c>
      <c r="M370" t="s">
        <v>84</v>
      </c>
      <c r="N370" t="s">
        <v>84</v>
      </c>
      <c r="O370" t="s">
        <v>84</v>
      </c>
      <c r="P370" t="s">
        <v>84</v>
      </c>
      <c r="Q370" s="17">
        <v>26176267</v>
      </c>
      <c r="R370" s="17">
        <v>46.85</v>
      </c>
      <c r="S370" t="s">
        <v>85</v>
      </c>
      <c r="T370" t="s">
        <v>84</v>
      </c>
      <c r="U370" t="s">
        <v>86</v>
      </c>
      <c r="V370" s="16">
        <v>44025</v>
      </c>
      <c r="W370" s="18">
        <v>44004.3541666667</v>
      </c>
      <c r="X370" s="18">
        <v>44404.5</v>
      </c>
      <c r="Y370" s="17">
        <v>2762.2</v>
      </c>
      <c r="Z370" t="s">
        <v>87</v>
      </c>
      <c r="AA370" s="17">
        <v>2911</v>
      </c>
      <c r="AB370" s="17">
        <v>2485</v>
      </c>
      <c r="AC370" t="s">
        <v>84</v>
      </c>
      <c r="AD370" t="s">
        <v>84</v>
      </c>
      <c r="AE370" t="s">
        <v>84</v>
      </c>
      <c r="AF370" t="s">
        <v>84</v>
      </c>
      <c r="AG370" s="17">
        <v>23442066</v>
      </c>
      <c r="AH370" s="17">
        <v>51.04</v>
      </c>
      <c r="AI370" s="17">
        <v>36</v>
      </c>
      <c r="AJ370" s="17">
        <v>30.82</v>
      </c>
      <c r="AK370" t="s">
        <v>276</v>
      </c>
      <c r="AM370" s="17">
        <v>3.7</v>
      </c>
      <c r="AN370" s="17"/>
      <c r="AO370" s="17">
        <v>1585</v>
      </c>
      <c r="AP370" s="17"/>
      <c r="AQ370" s="17">
        <v>3580</v>
      </c>
      <c r="AR370" s="17"/>
      <c r="AS370" s="17">
        <v>3.29</v>
      </c>
      <c r="AT370" s="17"/>
      <c r="AU370" s="17">
        <v>1587</v>
      </c>
      <c r="AV370" s="17"/>
      <c r="AW370" s="17">
        <v>2251</v>
      </c>
      <c r="AX370" s="17"/>
      <c r="AY370" t="s">
        <v>92</v>
      </c>
      <c r="AZ370" t="s">
        <v>92</v>
      </c>
      <c r="BA370" t="s">
        <v>92</v>
      </c>
      <c r="BB370" t="s">
        <v>92</v>
      </c>
      <c r="BC370" t="s">
        <v>92</v>
      </c>
      <c r="BD370" s="17">
        <v>8.29</v>
      </c>
      <c r="BE370" s="17">
        <v>6200000</v>
      </c>
      <c r="BF370" t="s">
        <v>92</v>
      </c>
      <c r="BG370" t="s">
        <v>92</v>
      </c>
      <c r="BH370" t="s">
        <v>127</v>
      </c>
      <c r="BI370" t="s">
        <v>278</v>
      </c>
      <c r="BJ370" t="s">
        <v>109</v>
      </c>
      <c r="BK370" t="s">
        <v>85</v>
      </c>
      <c r="BL370" t="s">
        <v>85</v>
      </c>
      <c r="BM370" t="s">
        <v>137</v>
      </c>
      <c r="BN370" t="s">
        <v>97</v>
      </c>
      <c r="BO370" t="s">
        <v>98</v>
      </c>
      <c r="BP370" t="s">
        <v>139</v>
      </c>
      <c r="BQ370" s="17">
        <v>1532</v>
      </c>
      <c r="BR370" t="s">
        <v>138</v>
      </c>
      <c r="BS370" t="s">
        <v>156</v>
      </c>
      <c r="BT370" t="s">
        <v>139</v>
      </c>
      <c r="BU370" s="17">
        <v>8.33</v>
      </c>
      <c r="BV370" t="s">
        <v>131</v>
      </c>
      <c r="BW370" t="s">
        <v>85</v>
      </c>
      <c r="BX370" t="s">
        <v>85</v>
      </c>
      <c r="BY370" t="str">
        <f>IF(COUNTIF('Data Upload-prod'!E:E,F370)=0,"Missing","Exist")</f>
        <v>Exist</v>
      </c>
    </row>
    <row r="371" hidden="1" spans="1:77">
      <c r="A371" s="16">
        <v>43938</v>
      </c>
      <c r="B371" s="16">
        <v>44238</v>
      </c>
      <c r="C371" t="s">
        <v>655</v>
      </c>
      <c r="D371" t="s">
        <v>120</v>
      </c>
      <c r="E371" t="s">
        <v>786</v>
      </c>
      <c r="F371" t="s">
        <v>797</v>
      </c>
      <c r="G371" t="s">
        <v>81</v>
      </c>
      <c r="H371" t="s">
        <v>202</v>
      </c>
      <c r="I371" t="s">
        <v>124</v>
      </c>
      <c r="J371" s="17">
        <v>108</v>
      </c>
      <c r="K371" s="17">
        <v>2790</v>
      </c>
      <c r="L371" s="17">
        <v>2545</v>
      </c>
      <c r="M371" t="s">
        <v>84</v>
      </c>
      <c r="N371" t="s">
        <v>84</v>
      </c>
      <c r="O371" t="s">
        <v>84</v>
      </c>
      <c r="P371" t="s">
        <v>84</v>
      </c>
      <c r="Q371" s="17">
        <v>22381932.8</v>
      </c>
      <c r="R371" s="17">
        <v>45.61</v>
      </c>
      <c r="S371" t="s">
        <v>85</v>
      </c>
      <c r="T371" t="s">
        <v>84</v>
      </c>
      <c r="U371" t="s">
        <v>86</v>
      </c>
      <c r="V371" s="16">
        <v>44013</v>
      </c>
      <c r="W371" s="18">
        <v>44005.5833333333</v>
      </c>
      <c r="X371" s="18">
        <v>44163.75</v>
      </c>
      <c r="Y371" s="17">
        <v>2542.2</v>
      </c>
      <c r="Z371" t="s">
        <v>87</v>
      </c>
      <c r="AA371" s="17">
        <v>2691</v>
      </c>
      <c r="AB371" s="17">
        <v>2451.8</v>
      </c>
      <c r="AC371" t="s">
        <v>84</v>
      </c>
      <c r="AD371" t="s">
        <v>84</v>
      </c>
      <c r="AE371" t="s">
        <v>84</v>
      </c>
      <c r="AF371" t="s">
        <v>84</v>
      </c>
      <c r="AG371" s="17">
        <v>18613117</v>
      </c>
      <c r="AH371" s="17">
        <v>35.29</v>
      </c>
      <c r="AI371" s="17">
        <v>11.22</v>
      </c>
      <c r="AJ371" s="17">
        <v>11.22</v>
      </c>
      <c r="AK371" t="s">
        <v>276</v>
      </c>
      <c r="AM371" s="17">
        <v>3.7</v>
      </c>
      <c r="AN371" s="17"/>
      <c r="AO371" s="17">
        <v>1585</v>
      </c>
      <c r="AP371" s="17"/>
      <c r="AQ371" s="17">
        <v>3580</v>
      </c>
      <c r="AR371" s="17"/>
      <c r="AS371" s="17">
        <v>2.92</v>
      </c>
      <c r="AT371" s="17"/>
      <c r="AU371" s="17">
        <v>1066</v>
      </c>
      <c r="AV371" s="17"/>
      <c r="AW371" s="17">
        <v>2041</v>
      </c>
      <c r="AX371" s="17"/>
      <c r="AY371" t="s">
        <v>92</v>
      </c>
      <c r="AZ371" t="s">
        <v>92</v>
      </c>
      <c r="BA371" t="s">
        <v>92</v>
      </c>
      <c r="BB371" t="s">
        <v>92</v>
      </c>
      <c r="BC371" t="s">
        <v>92</v>
      </c>
      <c r="BD371" s="17">
        <v>9.81</v>
      </c>
      <c r="BE371" s="17">
        <v>6000000</v>
      </c>
      <c r="BF371" t="s">
        <v>92</v>
      </c>
      <c r="BG371" t="s">
        <v>92</v>
      </c>
      <c r="BH371" t="s">
        <v>127</v>
      </c>
      <c r="BI371" t="s">
        <v>278</v>
      </c>
      <c r="BJ371" t="s">
        <v>109</v>
      </c>
      <c r="BK371" t="s">
        <v>85</v>
      </c>
      <c r="BL371" t="s">
        <v>85</v>
      </c>
      <c r="BM371" t="s">
        <v>137</v>
      </c>
      <c r="BN371" t="s">
        <v>97</v>
      </c>
      <c r="BO371" t="s">
        <v>98</v>
      </c>
      <c r="BP371" t="s">
        <v>139</v>
      </c>
      <c r="BQ371" s="17">
        <v>1171</v>
      </c>
      <c r="BR371" t="s">
        <v>138</v>
      </c>
      <c r="BS371" t="s">
        <v>156</v>
      </c>
      <c r="BT371" t="s">
        <v>139</v>
      </c>
      <c r="BU371" s="17">
        <v>8.33</v>
      </c>
      <c r="BV371" t="s">
        <v>131</v>
      </c>
      <c r="BW371" t="s">
        <v>85</v>
      </c>
      <c r="BX371" t="s">
        <v>85</v>
      </c>
      <c r="BY371" t="str">
        <f>IF(COUNTIF('Data Upload-prod'!E:E,F371)=0,"Missing","Exist")</f>
        <v>Exist</v>
      </c>
    </row>
    <row r="372" hidden="1" spans="1:77">
      <c r="A372" s="16">
        <v>43938</v>
      </c>
      <c r="B372" s="16">
        <v>44417</v>
      </c>
      <c r="C372" t="s">
        <v>655</v>
      </c>
      <c r="D372" t="s">
        <v>120</v>
      </c>
      <c r="E372" t="s">
        <v>786</v>
      </c>
      <c r="F372" t="s">
        <v>798</v>
      </c>
      <c r="G372" t="s">
        <v>81</v>
      </c>
      <c r="H372" t="s">
        <v>202</v>
      </c>
      <c r="I372" t="s">
        <v>124</v>
      </c>
      <c r="J372" s="17">
        <v>108</v>
      </c>
      <c r="K372" s="17">
        <v>2825</v>
      </c>
      <c r="L372" s="17">
        <v>2439</v>
      </c>
      <c r="M372" t="s">
        <v>84</v>
      </c>
      <c r="N372" t="s">
        <v>84</v>
      </c>
      <c r="O372" t="s">
        <v>84</v>
      </c>
      <c r="P372" t="s">
        <v>84</v>
      </c>
      <c r="Q372" s="17">
        <v>25131785</v>
      </c>
      <c r="R372" s="17">
        <v>51.38</v>
      </c>
      <c r="S372" t="s">
        <v>85</v>
      </c>
      <c r="T372" t="s">
        <v>84</v>
      </c>
      <c r="U372" t="s">
        <v>86</v>
      </c>
      <c r="V372" s="16">
        <v>44021</v>
      </c>
      <c r="W372" s="18">
        <v>44004.7916666667</v>
      </c>
      <c r="X372" s="18">
        <v>44363.1041666667</v>
      </c>
      <c r="Y372" s="17">
        <v>2608.2</v>
      </c>
      <c r="Z372" t="s">
        <v>87</v>
      </c>
      <c r="AA372" s="17">
        <v>2757</v>
      </c>
      <c r="AB372" s="17">
        <v>2401.12</v>
      </c>
      <c r="AC372" t="s">
        <v>84</v>
      </c>
      <c r="AD372" t="s">
        <v>84</v>
      </c>
      <c r="AE372" t="s">
        <v>84</v>
      </c>
      <c r="AF372" t="s">
        <v>84</v>
      </c>
      <c r="AG372" s="17">
        <v>31737947</v>
      </c>
      <c r="AH372" s="17">
        <v>71.69</v>
      </c>
      <c r="AI372" s="17">
        <v>35.4</v>
      </c>
      <c r="AJ372" s="17">
        <v>35.4</v>
      </c>
      <c r="AK372" t="s">
        <v>276</v>
      </c>
      <c r="AM372" s="17">
        <v>3.7</v>
      </c>
      <c r="AN372" s="17"/>
      <c r="AO372" s="17">
        <v>1585</v>
      </c>
      <c r="AP372" s="17"/>
      <c r="AQ372" s="17">
        <v>3580</v>
      </c>
      <c r="AR372" s="17"/>
      <c r="AS372" s="17">
        <v>4.63</v>
      </c>
      <c r="AT372" s="17"/>
      <c r="AU372" s="17">
        <v>2581</v>
      </c>
      <c r="AV372" s="17"/>
      <c r="AW372" s="17">
        <v>3013</v>
      </c>
      <c r="AX372" s="17"/>
      <c r="AY372" t="s">
        <v>92</v>
      </c>
      <c r="AZ372" t="s">
        <v>92</v>
      </c>
      <c r="BA372" t="s">
        <v>92</v>
      </c>
      <c r="BB372" t="s">
        <v>92</v>
      </c>
      <c r="BC372" t="s">
        <v>92</v>
      </c>
      <c r="BD372" s="17">
        <v>6.71</v>
      </c>
      <c r="BE372" s="17">
        <v>7010000</v>
      </c>
      <c r="BF372" t="s">
        <v>92</v>
      </c>
      <c r="BG372" t="s">
        <v>92</v>
      </c>
      <c r="BH372" t="s">
        <v>127</v>
      </c>
      <c r="BI372" t="s">
        <v>278</v>
      </c>
      <c r="BJ372" t="s">
        <v>109</v>
      </c>
      <c r="BK372" t="s">
        <v>85</v>
      </c>
      <c r="BL372" t="s">
        <v>85</v>
      </c>
      <c r="BM372" t="s">
        <v>137</v>
      </c>
      <c r="BN372" t="s">
        <v>97</v>
      </c>
      <c r="BO372" t="s">
        <v>98</v>
      </c>
      <c r="BP372" t="s">
        <v>139</v>
      </c>
      <c r="BQ372" s="17">
        <v>1483</v>
      </c>
      <c r="BR372" t="s">
        <v>100</v>
      </c>
      <c r="BS372" t="s">
        <v>156</v>
      </c>
      <c r="BT372" t="s">
        <v>139</v>
      </c>
      <c r="BU372" s="17">
        <v>8.33</v>
      </c>
      <c r="BV372" t="s">
        <v>131</v>
      </c>
      <c r="BW372" t="s">
        <v>85</v>
      </c>
      <c r="BX372" t="s">
        <v>85</v>
      </c>
      <c r="BY372" t="str">
        <f>IF(COUNTIF('Data Upload-prod'!E:E,F372)=0,"Missing","Exist")</f>
        <v>Exist</v>
      </c>
    </row>
    <row r="373" hidden="1" spans="1:77">
      <c r="A373" s="16">
        <v>43922</v>
      </c>
      <c r="B373" s="16">
        <v>44029</v>
      </c>
      <c r="C373" t="s">
        <v>151</v>
      </c>
      <c r="D373" t="s">
        <v>142</v>
      </c>
      <c r="E373" t="s">
        <v>166</v>
      </c>
      <c r="F373" t="s">
        <v>799</v>
      </c>
      <c r="G373" t="s">
        <v>81</v>
      </c>
      <c r="H373" t="s">
        <v>154</v>
      </c>
      <c r="I373" t="s">
        <v>124</v>
      </c>
      <c r="J373" s="17">
        <v>54.25</v>
      </c>
      <c r="K373" s="17">
        <v>4298.99</v>
      </c>
      <c r="L373" s="17">
        <v>2656.2</v>
      </c>
      <c r="M373" t="s">
        <v>84</v>
      </c>
      <c r="N373" t="s">
        <v>84</v>
      </c>
      <c r="O373" t="s">
        <v>84</v>
      </c>
      <c r="P373" t="s">
        <v>84</v>
      </c>
      <c r="Q373" s="17">
        <v>15176502</v>
      </c>
      <c r="R373" s="17">
        <v>40.79</v>
      </c>
      <c r="S373" t="s">
        <v>106</v>
      </c>
      <c r="T373" t="s">
        <v>84</v>
      </c>
      <c r="U373" t="s">
        <v>86</v>
      </c>
      <c r="V373" s="16">
        <v>43931</v>
      </c>
      <c r="W373" s="18">
        <v>43930.625</v>
      </c>
      <c r="X373" s="18">
        <v>43972.25</v>
      </c>
      <c r="Y373" s="17">
        <v>4257.91</v>
      </c>
      <c r="Z373" t="s">
        <v>87</v>
      </c>
      <c r="AA373" s="17">
        <v>4354.95</v>
      </c>
      <c r="AB373" s="17">
        <v>2665.59</v>
      </c>
      <c r="AC373" t="s">
        <v>84</v>
      </c>
      <c r="AD373" t="s">
        <v>84</v>
      </c>
      <c r="AE373" t="s">
        <v>84</v>
      </c>
      <c r="AF373" t="s">
        <v>84</v>
      </c>
      <c r="AG373" s="17">
        <v>14580000</v>
      </c>
      <c r="AH373" s="17">
        <v>40.63</v>
      </c>
      <c r="AI373" s="17">
        <v>5.77</v>
      </c>
      <c r="AJ373" s="17">
        <v>5.67</v>
      </c>
      <c r="AK373" t="s">
        <v>208</v>
      </c>
      <c r="AM373" s="17">
        <v>1.7</v>
      </c>
      <c r="AN373" s="17"/>
      <c r="AO373" s="17">
        <v>720</v>
      </c>
      <c r="AP373" s="17"/>
      <c r="AQ373" s="17">
        <v>1285</v>
      </c>
      <c r="AR373" s="17"/>
      <c r="AS373" s="17">
        <v>1.48</v>
      </c>
      <c r="AT373" s="17"/>
      <c r="AU373" s="17">
        <v>438.4</v>
      </c>
      <c r="AV373" s="17"/>
      <c r="AW373" s="17">
        <v>919</v>
      </c>
      <c r="AX373" s="17"/>
      <c r="AY373" t="s">
        <v>92</v>
      </c>
      <c r="AZ373" t="s">
        <v>92</v>
      </c>
      <c r="BA373" t="s">
        <v>92</v>
      </c>
      <c r="BB373" t="s">
        <v>92</v>
      </c>
      <c r="BC373" t="s">
        <v>92</v>
      </c>
      <c r="BD373" s="17">
        <v>16.58</v>
      </c>
      <c r="BE373" s="17">
        <v>7497276</v>
      </c>
      <c r="BF373" t="s">
        <v>92</v>
      </c>
      <c r="BG373" t="s">
        <v>92</v>
      </c>
      <c r="BH373" t="s">
        <v>93</v>
      </c>
      <c r="BI373" t="s">
        <v>94</v>
      </c>
      <c r="BJ373" t="s">
        <v>173</v>
      </c>
      <c r="BK373" t="s">
        <v>85</v>
      </c>
      <c r="BL373" t="s">
        <v>85</v>
      </c>
      <c r="BM373" t="s">
        <v>96</v>
      </c>
      <c r="BN373" t="s">
        <v>97</v>
      </c>
      <c r="BO373" t="s">
        <v>98</v>
      </c>
      <c r="BP373" t="s">
        <v>99</v>
      </c>
      <c r="BQ373" s="17">
        <v>3051</v>
      </c>
      <c r="BR373" t="s">
        <v>138</v>
      </c>
      <c r="BS373" t="s">
        <v>156</v>
      </c>
      <c r="BT373" t="s">
        <v>99</v>
      </c>
      <c r="BU373" s="17">
        <v>8.9</v>
      </c>
      <c r="BV373" t="s">
        <v>110</v>
      </c>
      <c r="BW373" t="s">
        <v>85</v>
      </c>
      <c r="BX373" t="s">
        <v>85</v>
      </c>
      <c r="BY373" t="str">
        <f>IF(COUNTIF('Data Upload-prod'!E:E,F373)=0,"Missing","Exist")</f>
        <v>Exist</v>
      </c>
    </row>
    <row r="374" hidden="1" spans="1:77">
      <c r="A374" s="16">
        <v>43907</v>
      </c>
      <c r="B374" s="16">
        <v>44118</v>
      </c>
      <c r="C374" t="s">
        <v>132</v>
      </c>
      <c r="D374" t="s">
        <v>120</v>
      </c>
      <c r="E374" t="s">
        <v>203</v>
      </c>
      <c r="F374" t="s">
        <v>800</v>
      </c>
      <c r="G374" t="s">
        <v>81</v>
      </c>
      <c r="H374" t="s">
        <v>801</v>
      </c>
      <c r="I374" t="s">
        <v>124</v>
      </c>
      <c r="J374" s="17">
        <v>29.69</v>
      </c>
      <c r="K374" s="17">
        <v>2758</v>
      </c>
      <c r="L374" s="17">
        <v>1178.2</v>
      </c>
      <c r="M374" t="s">
        <v>84</v>
      </c>
      <c r="N374" t="s">
        <v>84</v>
      </c>
      <c r="O374" t="s">
        <v>84</v>
      </c>
      <c r="P374" t="s">
        <v>84</v>
      </c>
      <c r="Q374" s="17">
        <v>10090000</v>
      </c>
      <c r="R374" s="17">
        <v>23.03</v>
      </c>
      <c r="S374" t="s">
        <v>85</v>
      </c>
      <c r="T374" t="s">
        <v>84</v>
      </c>
      <c r="U374" t="s">
        <v>86</v>
      </c>
      <c r="V374" s="16">
        <v>43949</v>
      </c>
      <c r="W374" s="18">
        <v>43948</v>
      </c>
      <c r="X374" s="18">
        <v>44025</v>
      </c>
      <c r="Y374" s="17">
        <v>2304.49</v>
      </c>
      <c r="Z374" t="s">
        <v>87</v>
      </c>
      <c r="AA374" s="17">
        <v>2373.97</v>
      </c>
      <c r="AB374" s="17">
        <v>1172.04</v>
      </c>
      <c r="AC374" t="s">
        <v>84</v>
      </c>
      <c r="AD374" t="s">
        <v>84</v>
      </c>
      <c r="AE374" t="s">
        <v>84</v>
      </c>
      <c r="AF374" t="s">
        <v>84</v>
      </c>
      <c r="AG374" s="17">
        <v>6243201</v>
      </c>
      <c r="AH374" s="17">
        <v>26.13</v>
      </c>
      <c r="AI374" s="17">
        <v>4.43</v>
      </c>
      <c r="AJ374" s="17">
        <v>4.43</v>
      </c>
      <c r="AK374" t="s">
        <v>208</v>
      </c>
      <c r="AM374" s="17">
        <v>2.2</v>
      </c>
      <c r="AN374" s="17"/>
      <c r="AO374" s="17">
        <v>830</v>
      </c>
      <c r="AP374" s="17"/>
      <c r="AQ374" s="17">
        <v>1395</v>
      </c>
      <c r="AR374" s="17"/>
      <c r="AS374" s="17">
        <v>1.95</v>
      </c>
      <c r="AT374" s="17"/>
      <c r="AU374" s="17">
        <v>698</v>
      </c>
      <c r="AV374" s="17"/>
      <c r="AW374" s="17">
        <v>802</v>
      </c>
      <c r="AX374" s="17"/>
      <c r="AY374" t="s">
        <v>92</v>
      </c>
      <c r="AZ374" t="s">
        <v>92</v>
      </c>
      <c r="BA374" t="s">
        <v>92</v>
      </c>
      <c r="BB374" t="s">
        <v>92</v>
      </c>
      <c r="BC374" t="s">
        <v>92</v>
      </c>
      <c r="BD374" t="s">
        <v>92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92</v>
      </c>
      <c r="BM374" t="s">
        <v>92</v>
      </c>
      <c r="BN374" t="s">
        <v>92</v>
      </c>
      <c r="BO374" t="s">
        <v>92</v>
      </c>
      <c r="BP374" t="s">
        <v>92</v>
      </c>
      <c r="BQ374" t="s">
        <v>92</v>
      </c>
      <c r="BR374" t="s">
        <v>92</v>
      </c>
      <c r="BS374" t="s">
        <v>92</v>
      </c>
      <c r="BT374" t="s">
        <v>92</v>
      </c>
      <c r="BU374" t="s">
        <v>92</v>
      </c>
      <c r="BV374" t="s">
        <v>92</v>
      </c>
      <c r="BW374" t="s">
        <v>92</v>
      </c>
      <c r="BX374" t="s">
        <v>92</v>
      </c>
      <c r="BY374" t="str">
        <f>IF(COUNTIF('Data Upload-prod'!E:E,F374)=0,"Missing","Exist")</f>
        <v>Exist</v>
      </c>
    </row>
    <row r="375" hidden="1" spans="1:77">
      <c r="A375" s="16">
        <v>43907</v>
      </c>
      <c r="B375" s="16">
        <v>44110</v>
      </c>
      <c r="C375" t="s">
        <v>132</v>
      </c>
      <c r="D375" t="s">
        <v>120</v>
      </c>
      <c r="E375" t="s">
        <v>203</v>
      </c>
      <c r="F375" t="s">
        <v>802</v>
      </c>
      <c r="G375" t="s">
        <v>81</v>
      </c>
      <c r="H375" t="s">
        <v>801</v>
      </c>
      <c r="I375" t="s">
        <v>124</v>
      </c>
      <c r="J375" s="17">
        <v>29.69</v>
      </c>
      <c r="K375" s="17">
        <v>2289.55</v>
      </c>
      <c r="L375" s="17">
        <v>1165.19</v>
      </c>
      <c r="M375" t="s">
        <v>84</v>
      </c>
      <c r="N375" t="s">
        <v>84</v>
      </c>
      <c r="O375" t="s">
        <v>84</v>
      </c>
      <c r="P375" t="s">
        <v>84</v>
      </c>
      <c r="Q375" s="17">
        <v>8332549</v>
      </c>
      <c r="R375" s="17">
        <v>20.68</v>
      </c>
      <c r="S375" t="s">
        <v>85</v>
      </c>
      <c r="T375" t="s">
        <v>84</v>
      </c>
      <c r="U375" t="s">
        <v>86</v>
      </c>
      <c r="V375" s="16">
        <v>43954</v>
      </c>
      <c r="W375" s="18">
        <v>43954</v>
      </c>
      <c r="X375" s="18">
        <v>43995</v>
      </c>
      <c r="Y375" s="17">
        <v>2399.27</v>
      </c>
      <c r="Z375" t="s">
        <v>87</v>
      </c>
      <c r="AA375" s="17">
        <v>2468.76</v>
      </c>
      <c r="AB375" s="17">
        <v>1184.58</v>
      </c>
      <c r="AC375" t="s">
        <v>84</v>
      </c>
      <c r="AD375" t="s">
        <v>84</v>
      </c>
      <c r="AE375" t="s">
        <v>84</v>
      </c>
      <c r="AF375" t="s">
        <v>84</v>
      </c>
      <c r="AG375" s="17">
        <v>8334277</v>
      </c>
      <c r="AH375" s="17">
        <v>29.81</v>
      </c>
      <c r="AI375" s="17">
        <v>1.85</v>
      </c>
      <c r="AJ375" s="17">
        <v>1.85</v>
      </c>
      <c r="AK375" t="s">
        <v>208</v>
      </c>
      <c r="AM375" s="17">
        <v>2.2</v>
      </c>
      <c r="AN375" s="17"/>
      <c r="AO375" s="17">
        <v>830</v>
      </c>
      <c r="AP375" s="17"/>
      <c r="AQ375" s="17">
        <v>1395</v>
      </c>
      <c r="AR375" s="17"/>
      <c r="AS375" s="17">
        <v>1.63</v>
      </c>
      <c r="AT375" s="17"/>
      <c r="AU375" s="17">
        <v>808</v>
      </c>
      <c r="AV375" s="17"/>
      <c r="AW375" s="17">
        <v>1029</v>
      </c>
      <c r="AX375" s="17"/>
      <c r="AY375" t="s">
        <v>92</v>
      </c>
      <c r="AZ375" t="s">
        <v>92</v>
      </c>
      <c r="BA375" t="s">
        <v>92</v>
      </c>
      <c r="BB375" t="s">
        <v>92</v>
      </c>
      <c r="BC375" t="s">
        <v>92</v>
      </c>
      <c r="BD375" t="s">
        <v>92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92</v>
      </c>
      <c r="BM375" t="s">
        <v>92</v>
      </c>
      <c r="BN375" t="s">
        <v>92</v>
      </c>
      <c r="BO375" t="s">
        <v>92</v>
      </c>
      <c r="BP375" t="s">
        <v>92</v>
      </c>
      <c r="BQ375" t="s">
        <v>92</v>
      </c>
      <c r="BR375" t="s">
        <v>92</v>
      </c>
      <c r="BS375" t="s">
        <v>92</v>
      </c>
      <c r="BT375" t="s">
        <v>92</v>
      </c>
      <c r="BU375" t="s">
        <v>92</v>
      </c>
      <c r="BV375" t="s">
        <v>92</v>
      </c>
      <c r="BW375" t="s">
        <v>92</v>
      </c>
      <c r="BX375" t="s">
        <v>92</v>
      </c>
      <c r="BY375" t="str">
        <f>IF(COUNTIF('Data Upload-prod'!E:E,F375)=0,"Missing","Exist")</f>
        <v>Exist</v>
      </c>
    </row>
    <row r="376" hidden="1" spans="1:77">
      <c r="A376" s="16">
        <v>43903</v>
      </c>
      <c r="B376" s="16">
        <v>44071</v>
      </c>
      <c r="C376" t="s">
        <v>195</v>
      </c>
      <c r="D376" t="s">
        <v>78</v>
      </c>
      <c r="E376" t="s">
        <v>296</v>
      </c>
      <c r="F376" t="s">
        <v>803</v>
      </c>
      <c r="G376" t="s">
        <v>81</v>
      </c>
      <c r="H376" t="s">
        <v>198</v>
      </c>
      <c r="I376" t="s">
        <v>83</v>
      </c>
      <c r="J376" s="17">
        <v>64</v>
      </c>
      <c r="K376" s="17">
        <v>3180</v>
      </c>
      <c r="L376" s="17">
        <v>1947</v>
      </c>
      <c r="M376" t="s">
        <v>84</v>
      </c>
      <c r="N376" t="s">
        <v>84</v>
      </c>
      <c r="O376" t="s">
        <v>84</v>
      </c>
      <c r="P376" t="s">
        <v>84</v>
      </c>
      <c r="Q376" s="17">
        <v>13700000</v>
      </c>
      <c r="R376" s="17">
        <v>33</v>
      </c>
      <c r="S376" t="s">
        <v>85</v>
      </c>
      <c r="T376" t="s">
        <v>84</v>
      </c>
      <c r="U376" t="s">
        <v>86</v>
      </c>
      <c r="V376" s="16">
        <v>43920.3333333333</v>
      </c>
      <c r="W376" s="18">
        <v>43920</v>
      </c>
      <c r="X376" s="18">
        <v>44015</v>
      </c>
      <c r="Y376" s="17">
        <v>3018.9</v>
      </c>
      <c r="Z376" t="s">
        <v>87</v>
      </c>
      <c r="AA376" s="17">
        <v>3116</v>
      </c>
      <c r="AB376" s="17">
        <v>1929</v>
      </c>
      <c r="AC376" t="s">
        <v>84</v>
      </c>
      <c r="AD376" t="s">
        <v>84</v>
      </c>
      <c r="AE376" t="s">
        <v>84</v>
      </c>
      <c r="AF376" t="s">
        <v>84</v>
      </c>
      <c r="AG376" s="17">
        <v>12303000</v>
      </c>
      <c r="AH376" s="17">
        <v>29.3</v>
      </c>
      <c r="AI376" s="17">
        <v>3.13</v>
      </c>
      <c r="AJ376" s="17">
        <v>3.13</v>
      </c>
      <c r="AK376" t="s">
        <v>89</v>
      </c>
      <c r="AM376" s="17">
        <v>2.4</v>
      </c>
      <c r="AN376" s="17"/>
      <c r="AO376" s="17">
        <v>795</v>
      </c>
      <c r="AP376" s="17"/>
      <c r="AQ376" s="17">
        <v>1550</v>
      </c>
      <c r="AR376" s="17"/>
      <c r="AS376" s="17">
        <v>1.6</v>
      </c>
      <c r="AT376" s="17"/>
      <c r="AU376" s="17">
        <v>459</v>
      </c>
      <c r="AV376" s="17"/>
      <c r="AW376" s="17">
        <v>1469</v>
      </c>
      <c r="AX376" s="17"/>
      <c r="AY376" t="s">
        <v>92</v>
      </c>
      <c r="AZ376" t="s">
        <v>92</v>
      </c>
      <c r="BA376" t="s">
        <v>92</v>
      </c>
      <c r="BB376" t="s">
        <v>92</v>
      </c>
      <c r="BC376" t="s">
        <v>92</v>
      </c>
      <c r="BD376" s="17">
        <v>19.3</v>
      </c>
      <c r="BE376" s="17">
        <v>12737000</v>
      </c>
      <c r="BF376" t="s">
        <v>92</v>
      </c>
      <c r="BG376" t="s">
        <v>92</v>
      </c>
      <c r="BH376" t="s">
        <v>93</v>
      </c>
      <c r="BI376" t="s">
        <v>94</v>
      </c>
      <c r="BJ376" t="s">
        <v>367</v>
      </c>
      <c r="BK376" t="s">
        <v>85</v>
      </c>
      <c r="BL376" t="s">
        <v>85</v>
      </c>
      <c r="BM376" t="s">
        <v>96</v>
      </c>
      <c r="BN376" t="s">
        <v>569</v>
      </c>
      <c r="BO376" t="s">
        <v>216</v>
      </c>
      <c r="BP376" t="s">
        <v>99</v>
      </c>
      <c r="BQ376" s="17">
        <v>4347.325</v>
      </c>
      <c r="BR376" t="s">
        <v>100</v>
      </c>
      <c r="BS376" t="s">
        <v>285</v>
      </c>
      <c r="BT376" t="s">
        <v>99</v>
      </c>
      <c r="BU376" s="17">
        <v>9.3</v>
      </c>
      <c r="BV376" t="s">
        <v>191</v>
      </c>
      <c r="BW376" t="s">
        <v>85</v>
      </c>
      <c r="BX376" t="s">
        <v>85</v>
      </c>
      <c r="BY376" t="str">
        <f>IF(COUNTIF('Data Upload-prod'!E:E,F376)=0,"Missing","Exist")</f>
        <v>Exist</v>
      </c>
    </row>
    <row r="377" hidden="1" spans="1:77">
      <c r="A377" s="16">
        <v>43896</v>
      </c>
      <c r="B377" s="16">
        <v>44005</v>
      </c>
      <c r="C377" t="s">
        <v>132</v>
      </c>
      <c r="D377" t="s">
        <v>120</v>
      </c>
      <c r="E377" t="s">
        <v>326</v>
      </c>
      <c r="F377" t="s">
        <v>804</v>
      </c>
      <c r="G377" t="s">
        <v>81</v>
      </c>
      <c r="H377" t="s">
        <v>168</v>
      </c>
      <c r="I377" t="s">
        <v>124</v>
      </c>
      <c r="J377" s="17">
        <v>34.6</v>
      </c>
      <c r="K377" s="17">
        <v>2570</v>
      </c>
      <c r="L377" s="17">
        <v>1751.2</v>
      </c>
      <c r="M377" t="s">
        <v>84</v>
      </c>
      <c r="N377" t="s">
        <v>84</v>
      </c>
      <c r="O377" t="s">
        <v>84</v>
      </c>
      <c r="P377" t="s">
        <v>84</v>
      </c>
      <c r="Q377" s="17">
        <v>10399884</v>
      </c>
      <c r="R377" s="17">
        <v>30.7</v>
      </c>
      <c r="S377" t="s">
        <v>85</v>
      </c>
      <c r="T377" t="s">
        <v>84</v>
      </c>
      <c r="U377" t="s">
        <v>86</v>
      </c>
      <c r="V377" s="16">
        <v>43918</v>
      </c>
      <c r="W377" s="18">
        <v>43918.625</v>
      </c>
      <c r="X377" s="18">
        <v>43968.875</v>
      </c>
      <c r="Y377" s="17">
        <v>2533.8</v>
      </c>
      <c r="Z377" t="s">
        <v>87</v>
      </c>
      <c r="AA377" s="17">
        <v>2590</v>
      </c>
      <c r="AB377" s="17">
        <v>1806</v>
      </c>
      <c r="AC377" t="s">
        <v>84</v>
      </c>
      <c r="AD377" t="s">
        <v>84</v>
      </c>
      <c r="AE377" t="s">
        <v>84</v>
      </c>
      <c r="AF377" t="s">
        <v>84</v>
      </c>
      <c r="AG377" s="17">
        <v>11196081</v>
      </c>
      <c r="AH377" s="17">
        <v>50.25</v>
      </c>
      <c r="AI377" s="17">
        <v>3.2</v>
      </c>
      <c r="AJ377" s="17">
        <v>0</v>
      </c>
      <c r="AK377" t="s">
        <v>298</v>
      </c>
      <c r="AM377" s="17">
        <v>1.8</v>
      </c>
      <c r="AN377" s="17"/>
      <c r="AO377" s="17">
        <v>600</v>
      </c>
      <c r="AP377" s="17"/>
      <c r="AQ377" s="17">
        <v>1670</v>
      </c>
      <c r="AR377" s="17"/>
      <c r="AS377" s="17">
        <v>1.85</v>
      </c>
      <c r="AT377" s="17"/>
      <c r="AU377" s="17">
        <v>1414</v>
      </c>
      <c r="AV377" s="17"/>
      <c r="AW377" s="17">
        <v>2687</v>
      </c>
      <c r="AX377" s="17"/>
      <c r="AY377" t="s">
        <v>92</v>
      </c>
      <c r="AZ377" t="s">
        <v>92</v>
      </c>
      <c r="BA377" t="s">
        <v>92</v>
      </c>
      <c r="BB377" t="s">
        <v>92</v>
      </c>
      <c r="BC377" t="s">
        <v>92</v>
      </c>
      <c r="BD377" s="17">
        <v>11.88</v>
      </c>
      <c r="BE377" s="17">
        <v>3644440.8</v>
      </c>
      <c r="BF377" t="s">
        <v>92</v>
      </c>
      <c r="BG377" t="s">
        <v>92</v>
      </c>
      <c r="BH377" t="s">
        <v>93</v>
      </c>
      <c r="BI377" t="s">
        <v>94</v>
      </c>
      <c r="BJ377" t="s">
        <v>173</v>
      </c>
      <c r="BK377" t="s">
        <v>805</v>
      </c>
      <c r="BL377" t="s">
        <v>85</v>
      </c>
      <c r="BM377" t="s">
        <v>96</v>
      </c>
      <c r="BN377" t="s">
        <v>490</v>
      </c>
      <c r="BO377" t="s">
        <v>98</v>
      </c>
      <c r="BP377" t="s">
        <v>99</v>
      </c>
      <c r="BQ377" t="s">
        <v>92</v>
      </c>
      <c r="BR377" t="s">
        <v>138</v>
      </c>
      <c r="BS377" t="s">
        <v>806</v>
      </c>
      <c r="BT377" t="s">
        <v>175</v>
      </c>
      <c r="BU377" s="17">
        <v>9.1</v>
      </c>
      <c r="BV377" t="s">
        <v>191</v>
      </c>
      <c r="BW377" t="s">
        <v>85</v>
      </c>
      <c r="BX377" t="s">
        <v>85</v>
      </c>
      <c r="BY377" t="str">
        <f>IF(COUNTIF('Data Upload-prod'!E:E,F377)=0,"Missing","Exist")</f>
        <v>Exist</v>
      </c>
    </row>
    <row r="378" hidden="1" spans="1:77">
      <c r="A378" s="16">
        <v>43889</v>
      </c>
      <c r="B378" s="16">
        <v>44159</v>
      </c>
      <c r="C378" t="s">
        <v>132</v>
      </c>
      <c r="D378" t="s">
        <v>120</v>
      </c>
      <c r="E378" t="s">
        <v>700</v>
      </c>
      <c r="F378" t="s">
        <v>807</v>
      </c>
      <c r="G378" t="s">
        <v>81</v>
      </c>
      <c r="H378" t="s">
        <v>363</v>
      </c>
      <c r="I378" t="s">
        <v>124</v>
      </c>
      <c r="J378" s="17">
        <v>75.6</v>
      </c>
      <c r="K378" s="17">
        <v>4331.91</v>
      </c>
      <c r="L378" s="17">
        <v>2240.48</v>
      </c>
      <c r="M378" t="s">
        <v>84</v>
      </c>
      <c r="N378" t="s">
        <v>84</v>
      </c>
      <c r="O378" t="s">
        <v>84</v>
      </c>
      <c r="P378" t="s">
        <v>84</v>
      </c>
      <c r="Q378" s="17">
        <v>16928000</v>
      </c>
      <c r="R378" s="17">
        <v>42.58</v>
      </c>
      <c r="S378" t="s">
        <v>381</v>
      </c>
      <c r="T378" t="s">
        <v>84</v>
      </c>
      <c r="U378" t="s">
        <v>84</v>
      </c>
      <c r="V378" s="16">
        <v>43942</v>
      </c>
      <c r="W378" s="18">
        <v>43940.3541666667</v>
      </c>
      <c r="X378" s="18">
        <v>44095.75</v>
      </c>
      <c r="Y378" s="17">
        <v>4079.67</v>
      </c>
      <c r="Z378" t="s">
        <v>87</v>
      </c>
      <c r="AA378" s="17">
        <v>4199.94</v>
      </c>
      <c r="AB378" s="17">
        <v>2235.29</v>
      </c>
      <c r="AC378" t="s">
        <v>84</v>
      </c>
      <c r="AD378" t="s">
        <v>84</v>
      </c>
      <c r="AE378" t="s">
        <v>84</v>
      </c>
      <c r="AF378" t="s">
        <v>84</v>
      </c>
      <c r="AG378" s="17">
        <v>15347138.37</v>
      </c>
      <c r="AH378" s="17">
        <v>48.9</v>
      </c>
      <c r="AI378" s="17">
        <v>14.68</v>
      </c>
      <c r="AJ378" s="17">
        <v>14.68</v>
      </c>
      <c r="AK378" t="s">
        <v>165</v>
      </c>
      <c r="AM378" s="17">
        <v>2</v>
      </c>
      <c r="AN378" s="17"/>
      <c r="AO378" s="17">
        <v>725</v>
      </c>
      <c r="AP378" s="17"/>
      <c r="AQ378" s="17">
        <v>1295</v>
      </c>
      <c r="AR378" s="17"/>
      <c r="AS378" s="17">
        <v>2.9</v>
      </c>
      <c r="AT378" s="17"/>
      <c r="AU378" s="17">
        <v>1090</v>
      </c>
      <c r="AV378" s="17"/>
      <c r="AW378" s="17">
        <v>1260</v>
      </c>
      <c r="AX378" s="17"/>
      <c r="AY378" t="s">
        <v>92</v>
      </c>
      <c r="AZ378" t="s">
        <v>92</v>
      </c>
      <c r="BA378" t="s">
        <v>92</v>
      </c>
      <c r="BB378" t="s">
        <v>92</v>
      </c>
      <c r="BC378" t="s">
        <v>92</v>
      </c>
      <c r="BD378" t="s">
        <v>92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92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92</v>
      </c>
      <c r="BS378" t="s">
        <v>92</v>
      </c>
      <c r="BT378" t="s">
        <v>92</v>
      </c>
      <c r="BU378" t="s">
        <v>92</v>
      </c>
      <c r="BV378" t="s">
        <v>92</v>
      </c>
      <c r="BW378" t="s">
        <v>92</v>
      </c>
      <c r="BX378" t="s">
        <v>92</v>
      </c>
      <c r="BY378" t="str">
        <f>IF(COUNTIF('Data Upload-prod'!E:E,F378)=0,"Missing","Exist")</f>
        <v>Exist</v>
      </c>
    </row>
    <row r="379" hidden="1" spans="1:77">
      <c r="A379" s="16">
        <v>43884</v>
      </c>
      <c r="B379" s="16">
        <v>44165</v>
      </c>
      <c r="C379" t="s">
        <v>141</v>
      </c>
      <c r="D379" t="s">
        <v>120</v>
      </c>
      <c r="E379" t="s">
        <v>808</v>
      </c>
      <c r="F379" t="s">
        <v>809</v>
      </c>
      <c r="G379" t="s">
        <v>81</v>
      </c>
      <c r="H379" t="s">
        <v>162</v>
      </c>
      <c r="I379" t="s">
        <v>124</v>
      </c>
      <c r="J379" s="17">
        <v>70.04</v>
      </c>
      <c r="K379" s="17">
        <v>4555.32</v>
      </c>
      <c r="L379" s="17">
        <v>1834.81</v>
      </c>
      <c r="M379" t="s">
        <v>84</v>
      </c>
      <c r="N379" t="s">
        <v>84</v>
      </c>
      <c r="O379" t="s">
        <v>84</v>
      </c>
      <c r="P379" t="s">
        <v>84</v>
      </c>
      <c r="Q379" s="17">
        <v>26590000</v>
      </c>
      <c r="R379" s="17">
        <v>51.13</v>
      </c>
      <c r="S379" t="s">
        <v>85</v>
      </c>
      <c r="T379" t="s">
        <v>84</v>
      </c>
      <c r="U379" t="s">
        <v>84</v>
      </c>
      <c r="V379" s="16">
        <v>44078</v>
      </c>
      <c r="W379" s="18">
        <v>43986.6875</v>
      </c>
      <c r="X379" s="18">
        <v>44108</v>
      </c>
      <c r="Y379" s="17">
        <v>4439.56</v>
      </c>
      <c r="Z379" t="s">
        <v>87</v>
      </c>
      <c r="AA379" s="17">
        <v>4555.32</v>
      </c>
      <c r="AB379" s="17">
        <v>1834.9</v>
      </c>
      <c r="AC379" t="s">
        <v>84</v>
      </c>
      <c r="AD379" t="s">
        <v>84</v>
      </c>
      <c r="AE379" t="s">
        <v>84</v>
      </c>
      <c r="AF379" t="s">
        <v>84</v>
      </c>
      <c r="AG379" s="17">
        <v>24837987</v>
      </c>
      <c r="AH379" s="17">
        <v>72.78</v>
      </c>
      <c r="AI379" s="17">
        <v>41.74</v>
      </c>
      <c r="AJ379" s="17">
        <v>41.74</v>
      </c>
      <c r="AK379" t="s">
        <v>126</v>
      </c>
      <c r="AM379" s="17">
        <v>2.5</v>
      </c>
      <c r="AN379" s="17"/>
      <c r="AO379" s="17">
        <v>1010</v>
      </c>
      <c r="AP379" s="17"/>
      <c r="AQ379" s="17">
        <v>1705</v>
      </c>
      <c r="AR379" s="17"/>
      <c r="AS379" s="17">
        <v>3.6</v>
      </c>
      <c r="AT379" s="17"/>
      <c r="AU379" s="17">
        <v>1233</v>
      </c>
      <c r="AV379" s="17"/>
      <c r="AW379" s="17">
        <v>1655</v>
      </c>
      <c r="AX379" s="17"/>
      <c r="AY379" t="s">
        <v>92</v>
      </c>
      <c r="AZ379" t="s">
        <v>92</v>
      </c>
      <c r="BA379" t="s">
        <v>92</v>
      </c>
      <c r="BB379" t="s">
        <v>92</v>
      </c>
      <c r="BC379" t="s">
        <v>92</v>
      </c>
      <c r="BD379" t="s">
        <v>92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92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92</v>
      </c>
      <c r="BS379" t="s">
        <v>92</v>
      </c>
      <c r="BT379" t="s">
        <v>92</v>
      </c>
      <c r="BU379" t="s">
        <v>92</v>
      </c>
      <c r="BV379" t="s">
        <v>92</v>
      </c>
      <c r="BW379" t="s">
        <v>92</v>
      </c>
      <c r="BX379" t="s">
        <v>92</v>
      </c>
      <c r="BY379" t="str">
        <f>IF(COUNTIF('Data Upload-prod'!E:E,F379)=0,"Missing","Exist")</f>
        <v>Exist</v>
      </c>
    </row>
    <row r="380" hidden="1" spans="1:77">
      <c r="A380" s="16">
        <v>43884</v>
      </c>
      <c r="B380" s="16">
        <v>44142</v>
      </c>
      <c r="C380" t="s">
        <v>141</v>
      </c>
      <c r="D380" t="s">
        <v>120</v>
      </c>
      <c r="E380" t="s">
        <v>808</v>
      </c>
      <c r="F380" t="s">
        <v>810</v>
      </c>
      <c r="G380" t="s">
        <v>81</v>
      </c>
      <c r="H380" t="s">
        <v>162</v>
      </c>
      <c r="I380" t="s">
        <v>124</v>
      </c>
      <c r="J380" s="17">
        <v>70.04</v>
      </c>
      <c r="K380" s="17">
        <v>4099.66</v>
      </c>
      <c r="L380" s="17">
        <v>1831.76</v>
      </c>
      <c r="M380" t="s">
        <v>84</v>
      </c>
      <c r="N380" t="s">
        <v>84</v>
      </c>
      <c r="O380" t="s">
        <v>84</v>
      </c>
      <c r="P380" t="s">
        <v>84</v>
      </c>
      <c r="Q380" s="17">
        <v>30700000</v>
      </c>
      <c r="R380" s="17">
        <v>66.41</v>
      </c>
      <c r="S380" t="s">
        <v>85</v>
      </c>
      <c r="T380" t="s">
        <v>84</v>
      </c>
      <c r="U380" t="s">
        <v>84</v>
      </c>
      <c r="V380" s="16">
        <v>43916</v>
      </c>
      <c r="W380" s="18">
        <v>43916.9375</v>
      </c>
      <c r="X380" s="18">
        <v>44083.875</v>
      </c>
      <c r="Y380" s="17">
        <v>3985.43</v>
      </c>
      <c r="Z380" t="s">
        <v>87</v>
      </c>
      <c r="AA380" s="17">
        <v>4101.19</v>
      </c>
      <c r="AB380" s="17">
        <v>1831.24</v>
      </c>
      <c r="AC380" t="s">
        <v>84</v>
      </c>
      <c r="AD380" t="s">
        <v>84</v>
      </c>
      <c r="AE380" t="s">
        <v>84</v>
      </c>
      <c r="AF380" t="s">
        <v>84</v>
      </c>
      <c r="AG380" s="17">
        <v>22690852</v>
      </c>
      <c r="AH380" s="17">
        <v>64.48</v>
      </c>
      <c r="AI380" s="17">
        <v>9.05</v>
      </c>
      <c r="AJ380" s="17">
        <v>9.03</v>
      </c>
      <c r="AK380" t="s">
        <v>126</v>
      </c>
      <c r="AM380" s="17">
        <v>2.5</v>
      </c>
      <c r="AN380" s="17"/>
      <c r="AO380" s="17">
        <v>1010</v>
      </c>
      <c r="AP380" s="17"/>
      <c r="AQ380" s="17">
        <v>1850</v>
      </c>
      <c r="AR380" s="17"/>
      <c r="AS380" s="17">
        <v>3</v>
      </c>
      <c r="AT380" s="17"/>
      <c r="AU380" s="17">
        <v>909</v>
      </c>
      <c r="AV380" s="17"/>
      <c r="AW380" s="17">
        <v>1357</v>
      </c>
      <c r="AX380" s="17"/>
      <c r="AY380" t="s">
        <v>92</v>
      </c>
      <c r="AZ380" t="s">
        <v>92</v>
      </c>
      <c r="BA380" t="s">
        <v>92</v>
      </c>
      <c r="BB380" t="s">
        <v>92</v>
      </c>
      <c r="BC380" t="s">
        <v>92</v>
      </c>
      <c r="BD380" t="s">
        <v>92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92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92</v>
      </c>
      <c r="BS380" t="s">
        <v>92</v>
      </c>
      <c r="BT380" t="s">
        <v>92</v>
      </c>
      <c r="BU380" t="s">
        <v>92</v>
      </c>
      <c r="BV380" t="s">
        <v>92</v>
      </c>
      <c r="BW380" t="s">
        <v>92</v>
      </c>
      <c r="BX380" t="s">
        <v>92</v>
      </c>
      <c r="BY380" t="str">
        <f>IF(COUNTIF('Data Upload-prod'!E:E,F380)=0,"Missing","Exist")</f>
        <v>Exist</v>
      </c>
    </row>
    <row r="381" hidden="1" spans="1:77">
      <c r="A381" s="16">
        <v>43880</v>
      </c>
      <c r="B381" s="16">
        <v>44096</v>
      </c>
      <c r="C381" t="s">
        <v>132</v>
      </c>
      <c r="D381" t="s">
        <v>120</v>
      </c>
      <c r="E381" t="s">
        <v>203</v>
      </c>
      <c r="F381" t="s">
        <v>811</v>
      </c>
      <c r="G381" t="s">
        <v>81</v>
      </c>
      <c r="H381" t="s">
        <v>154</v>
      </c>
      <c r="I381" t="s">
        <v>124</v>
      </c>
      <c r="J381" s="17">
        <v>29.87</v>
      </c>
      <c r="K381" s="17">
        <v>1537.55</v>
      </c>
      <c r="L381" s="17">
        <v>1342.18</v>
      </c>
      <c r="M381" t="s">
        <v>84</v>
      </c>
      <c r="N381" t="s">
        <v>84</v>
      </c>
      <c r="O381" t="s">
        <v>84</v>
      </c>
      <c r="P381" t="s">
        <v>84</v>
      </c>
      <c r="Q381" s="17">
        <v>7040000</v>
      </c>
      <c r="R381" s="17">
        <v>16.31</v>
      </c>
      <c r="S381" t="s">
        <v>85</v>
      </c>
      <c r="T381" t="s">
        <v>84</v>
      </c>
      <c r="U381" t="s">
        <v>86</v>
      </c>
      <c r="V381" s="16">
        <v>43907</v>
      </c>
      <c r="W381" s="18">
        <v>43898</v>
      </c>
      <c r="X381" s="18">
        <v>44081.0833333333</v>
      </c>
      <c r="Y381" s="17">
        <v>1481.38</v>
      </c>
      <c r="Z381" t="s">
        <v>87</v>
      </c>
      <c r="AA381" s="17">
        <v>1551.05</v>
      </c>
      <c r="AB381" s="17">
        <v>1329.34</v>
      </c>
      <c r="AC381" t="s">
        <v>84</v>
      </c>
      <c r="AD381" t="s">
        <v>84</v>
      </c>
      <c r="AE381" t="s">
        <v>84</v>
      </c>
      <c r="AF381" t="s">
        <v>84</v>
      </c>
      <c r="AG381" s="17">
        <v>8249069.96</v>
      </c>
      <c r="AH381" s="17">
        <v>23.92</v>
      </c>
      <c r="AI381" s="17">
        <v>0</v>
      </c>
      <c r="AJ381" s="17">
        <v>0</v>
      </c>
      <c r="AK381" t="s">
        <v>208</v>
      </c>
      <c r="AM381" s="17">
        <v>2.2</v>
      </c>
      <c r="AN381" s="17"/>
      <c r="AO381" s="17">
        <v>830</v>
      </c>
      <c r="AP381" s="17"/>
      <c r="AQ381" s="17">
        <v>1380</v>
      </c>
      <c r="AR381" s="17"/>
      <c r="AS381" s="17">
        <v>1.84</v>
      </c>
      <c r="AT381" s="17"/>
      <c r="AU381" s="17">
        <v>583</v>
      </c>
      <c r="AV381" s="17"/>
      <c r="AW381" s="17">
        <v>1586</v>
      </c>
      <c r="AX381" s="17"/>
      <c r="AY381" t="s">
        <v>92</v>
      </c>
      <c r="AZ381" t="s">
        <v>92</v>
      </c>
      <c r="BA381" t="s">
        <v>92</v>
      </c>
      <c r="BB381" t="s">
        <v>92</v>
      </c>
      <c r="BC381" t="s">
        <v>92</v>
      </c>
      <c r="BD381" s="17">
        <v>12.23</v>
      </c>
      <c r="BE381" s="17">
        <v>4230387</v>
      </c>
      <c r="BF381" t="s">
        <v>92</v>
      </c>
      <c r="BG381" t="s">
        <v>92</v>
      </c>
      <c r="BH381" t="s">
        <v>93</v>
      </c>
      <c r="BI381" t="s">
        <v>94</v>
      </c>
      <c r="BJ381" t="s">
        <v>173</v>
      </c>
      <c r="BK381" t="s">
        <v>85</v>
      </c>
      <c r="BL381" t="s">
        <v>85</v>
      </c>
      <c r="BM381" t="s">
        <v>96</v>
      </c>
      <c r="BN381" t="s">
        <v>253</v>
      </c>
      <c r="BO381" t="s">
        <v>216</v>
      </c>
      <c r="BP381" t="s">
        <v>103</v>
      </c>
      <c r="BQ381" t="s">
        <v>92</v>
      </c>
      <c r="BR381" t="s">
        <v>138</v>
      </c>
      <c r="BS381" t="s">
        <v>156</v>
      </c>
      <c r="BT381" t="s">
        <v>550</v>
      </c>
      <c r="BU381" s="17">
        <v>8.6</v>
      </c>
      <c r="BV381" t="s">
        <v>131</v>
      </c>
      <c r="BW381" t="s">
        <v>85</v>
      </c>
      <c r="BX381" t="s">
        <v>341</v>
      </c>
      <c r="BY381" t="str">
        <f>IF(COUNTIF('Data Upload-prod'!E:E,F381)=0,"Missing","Exist")</f>
        <v>Exist</v>
      </c>
    </row>
    <row r="382" hidden="1" spans="1:77">
      <c r="A382" s="16">
        <v>43880</v>
      </c>
      <c r="B382" s="16">
        <v>44099</v>
      </c>
      <c r="C382" t="s">
        <v>132</v>
      </c>
      <c r="D382" t="s">
        <v>120</v>
      </c>
      <c r="E382" t="s">
        <v>203</v>
      </c>
      <c r="F382" t="s">
        <v>812</v>
      </c>
      <c r="G382" t="s">
        <v>81</v>
      </c>
      <c r="H382" t="s">
        <v>801</v>
      </c>
      <c r="I382" t="s">
        <v>124</v>
      </c>
      <c r="J382" s="17">
        <v>29.69</v>
      </c>
      <c r="K382" s="17">
        <v>1427.31</v>
      </c>
      <c r="L382" s="17">
        <v>1366.35</v>
      </c>
      <c r="M382" t="s">
        <v>84</v>
      </c>
      <c r="N382" t="s">
        <v>84</v>
      </c>
      <c r="O382" t="s">
        <v>84</v>
      </c>
      <c r="P382" t="s">
        <v>84</v>
      </c>
      <c r="Q382" s="17">
        <v>6150000</v>
      </c>
      <c r="R382" s="17">
        <v>14.29</v>
      </c>
      <c r="S382" t="s">
        <v>85</v>
      </c>
      <c r="T382" t="s">
        <v>84</v>
      </c>
      <c r="U382" t="s">
        <v>86</v>
      </c>
      <c r="V382" s="16">
        <v>43900</v>
      </c>
      <c r="W382" s="18">
        <v>43898.5</v>
      </c>
      <c r="X382" s="18">
        <v>43925</v>
      </c>
      <c r="Y382" s="17">
        <v>1423.96</v>
      </c>
      <c r="Z382" t="s">
        <v>87</v>
      </c>
      <c r="AA382" s="17">
        <v>1493.45</v>
      </c>
      <c r="AB382" s="17">
        <v>1377.11</v>
      </c>
      <c r="AC382" t="s">
        <v>84</v>
      </c>
      <c r="AD382" t="s">
        <v>84</v>
      </c>
      <c r="AE382" t="s">
        <v>84</v>
      </c>
      <c r="AF382" t="s">
        <v>84</v>
      </c>
      <c r="AG382" s="17">
        <v>7410000</v>
      </c>
      <c r="AH382" s="17">
        <v>21.92</v>
      </c>
      <c r="AI382" s="17">
        <v>4.08</v>
      </c>
      <c r="AJ382" s="17">
        <v>4.08</v>
      </c>
      <c r="AK382" t="s">
        <v>208</v>
      </c>
      <c r="AM382" s="17">
        <v>2.2</v>
      </c>
      <c r="AN382" s="17"/>
      <c r="AO382" s="17">
        <v>830</v>
      </c>
      <c r="AP382" s="17"/>
      <c r="AQ382" s="17">
        <v>1790</v>
      </c>
      <c r="AR382" s="17"/>
      <c r="AS382" s="17">
        <v>2.1</v>
      </c>
      <c r="AT382" s="17"/>
      <c r="AU382" s="17">
        <v>589</v>
      </c>
      <c r="AV382" s="17"/>
      <c r="AW382" s="17">
        <v>1512</v>
      </c>
      <c r="AX382" s="17"/>
      <c r="AY382" t="s">
        <v>92</v>
      </c>
      <c r="AZ382" t="s">
        <v>92</v>
      </c>
      <c r="BA382" t="s">
        <v>92</v>
      </c>
      <c r="BB382" t="s">
        <v>92</v>
      </c>
      <c r="BC382" t="s">
        <v>92</v>
      </c>
      <c r="BD382" s="17">
        <v>5.31</v>
      </c>
      <c r="BE382" s="17">
        <v>2943798</v>
      </c>
      <c r="BF382" t="s">
        <v>92</v>
      </c>
      <c r="BG382" t="s">
        <v>92</v>
      </c>
      <c r="BH382" t="s">
        <v>93</v>
      </c>
      <c r="BI382" t="s">
        <v>94</v>
      </c>
      <c r="BJ382" t="s">
        <v>173</v>
      </c>
      <c r="BK382" t="s">
        <v>85</v>
      </c>
      <c r="BL382" t="s">
        <v>85</v>
      </c>
      <c r="BM382" t="s">
        <v>96</v>
      </c>
      <c r="BN382" t="s">
        <v>569</v>
      </c>
      <c r="BO382" t="s">
        <v>216</v>
      </c>
      <c r="BP382" t="s">
        <v>103</v>
      </c>
      <c r="BQ382" t="s">
        <v>92</v>
      </c>
      <c r="BR382" t="s">
        <v>138</v>
      </c>
      <c r="BS382" t="s">
        <v>156</v>
      </c>
      <c r="BT382" t="s">
        <v>550</v>
      </c>
      <c r="BU382" s="17">
        <v>8.6</v>
      </c>
      <c r="BV382" t="s">
        <v>131</v>
      </c>
      <c r="BW382" t="s">
        <v>85</v>
      </c>
      <c r="BX382" t="s">
        <v>337</v>
      </c>
      <c r="BY382" t="str">
        <f>IF(COUNTIF('Data Upload-prod'!E:E,F382)=0,"Missing","Exist")</f>
        <v>Exist</v>
      </c>
    </row>
    <row r="383" hidden="1" spans="1:77">
      <c r="A383" s="16">
        <v>43879</v>
      </c>
      <c r="B383" s="16">
        <v>43992</v>
      </c>
      <c r="C383" t="s">
        <v>77</v>
      </c>
      <c r="D383" t="s">
        <v>120</v>
      </c>
      <c r="E383" t="s">
        <v>813</v>
      </c>
      <c r="F383" t="s">
        <v>814</v>
      </c>
      <c r="G383" t="s">
        <v>81</v>
      </c>
      <c r="H383" t="s">
        <v>123</v>
      </c>
      <c r="I383" t="s">
        <v>124</v>
      </c>
      <c r="J383" s="17">
        <v>64.8</v>
      </c>
      <c r="K383" s="17">
        <v>3220</v>
      </c>
      <c r="L383" s="17">
        <v>2665</v>
      </c>
      <c r="M383" t="s">
        <v>84</v>
      </c>
      <c r="N383" t="s">
        <v>84</v>
      </c>
      <c r="O383" t="s">
        <v>84</v>
      </c>
      <c r="P383" t="s">
        <v>84</v>
      </c>
      <c r="Q383" s="17">
        <v>6000000</v>
      </c>
      <c r="R383" s="17">
        <v>16.8</v>
      </c>
      <c r="S383" t="s">
        <v>85</v>
      </c>
      <c r="T383" t="s">
        <v>84</v>
      </c>
      <c r="U383" t="s">
        <v>86</v>
      </c>
      <c r="V383" s="16">
        <v>43917</v>
      </c>
      <c r="W383" s="18">
        <v>43917</v>
      </c>
      <c r="X383" s="18">
        <v>43957.6666666667</v>
      </c>
      <c r="Y383" s="17">
        <v>1690.99</v>
      </c>
      <c r="Z383" t="s">
        <v>87</v>
      </c>
      <c r="AA383" s="17">
        <v>1793.29</v>
      </c>
      <c r="AB383" s="17">
        <v>1769.85</v>
      </c>
      <c r="AC383" t="s">
        <v>84</v>
      </c>
      <c r="AD383" t="s">
        <v>84</v>
      </c>
      <c r="AE383" t="s">
        <v>84</v>
      </c>
      <c r="AF383" t="s">
        <v>84</v>
      </c>
      <c r="AG383" s="17">
        <v>22348372</v>
      </c>
      <c r="AH383" s="17">
        <v>66.31</v>
      </c>
      <c r="AI383" s="17">
        <v>0</v>
      </c>
      <c r="AJ383" s="17">
        <v>0</v>
      </c>
      <c r="AK383" t="s">
        <v>126</v>
      </c>
      <c r="AM383" s="17">
        <v>2.5</v>
      </c>
      <c r="AN383" s="17"/>
      <c r="AO383" s="17">
        <v>1010</v>
      </c>
      <c r="AP383" s="17"/>
      <c r="AQ383" s="17">
        <v>1870</v>
      </c>
      <c r="AR383" s="17"/>
      <c r="AS383" s="17">
        <v>1.03</v>
      </c>
      <c r="AT383" s="17"/>
      <c r="AU383" s="17">
        <v>330</v>
      </c>
      <c r="AV383" s="17"/>
      <c r="AW383" s="17">
        <v>573</v>
      </c>
      <c r="AX383" s="17"/>
      <c r="AY383" t="s">
        <v>92</v>
      </c>
      <c r="AZ383" t="s">
        <v>92</v>
      </c>
      <c r="BA383" t="s">
        <v>92</v>
      </c>
      <c r="BB383" t="s">
        <v>92</v>
      </c>
      <c r="BC383" t="s">
        <v>92</v>
      </c>
      <c r="BD383" s="17">
        <v>3.5</v>
      </c>
      <c r="BE383" s="17">
        <v>1971756.02</v>
      </c>
      <c r="BF383" t="s">
        <v>92</v>
      </c>
      <c r="BG383" t="s">
        <v>92</v>
      </c>
      <c r="BH383" t="s">
        <v>93</v>
      </c>
      <c r="BI383" t="s">
        <v>94</v>
      </c>
      <c r="BJ383" t="s">
        <v>173</v>
      </c>
      <c r="BK383" t="s">
        <v>85</v>
      </c>
      <c r="BL383" t="s">
        <v>85</v>
      </c>
      <c r="BM383" t="s">
        <v>96</v>
      </c>
      <c r="BN383" t="s">
        <v>97</v>
      </c>
      <c r="BO383" t="s">
        <v>98</v>
      </c>
      <c r="BP383" t="s">
        <v>99</v>
      </c>
      <c r="BQ383" s="17">
        <v>108.273</v>
      </c>
      <c r="BR383" t="s">
        <v>138</v>
      </c>
      <c r="BS383" t="s">
        <v>92</v>
      </c>
      <c r="BT383" t="s">
        <v>99</v>
      </c>
      <c r="BU383" s="17">
        <v>8.6</v>
      </c>
      <c r="BV383" t="s">
        <v>110</v>
      </c>
      <c r="BW383" t="s">
        <v>85</v>
      </c>
      <c r="BX383" t="s">
        <v>85</v>
      </c>
      <c r="BY383" t="str">
        <f>IF(COUNTIF('Data Upload-prod'!E:E,F383)=0,"Missing","Exist")</f>
        <v>Exist</v>
      </c>
    </row>
    <row r="384" hidden="1" spans="1:77">
      <c r="A384" s="16">
        <v>43879</v>
      </c>
      <c r="B384" s="16">
        <v>43992</v>
      </c>
      <c r="C384" t="s">
        <v>77</v>
      </c>
      <c r="D384" t="s">
        <v>120</v>
      </c>
      <c r="E384" t="s">
        <v>813</v>
      </c>
      <c r="F384" t="s">
        <v>815</v>
      </c>
      <c r="G384" t="s">
        <v>81</v>
      </c>
      <c r="H384" t="s">
        <v>123</v>
      </c>
      <c r="I384" t="s">
        <v>124</v>
      </c>
      <c r="J384" s="17">
        <v>64.8</v>
      </c>
      <c r="K384" s="17">
        <v>2720</v>
      </c>
      <c r="L384" s="17">
        <v>2639</v>
      </c>
      <c r="M384" t="s">
        <v>84</v>
      </c>
      <c r="N384" t="s">
        <v>84</v>
      </c>
      <c r="O384" t="s">
        <v>84</v>
      </c>
      <c r="P384" t="s">
        <v>84</v>
      </c>
      <c r="Q384" s="17">
        <v>5692000</v>
      </c>
      <c r="R384" s="17">
        <v>16.8</v>
      </c>
      <c r="S384" t="s">
        <v>85</v>
      </c>
      <c r="T384" t="s">
        <v>84</v>
      </c>
      <c r="U384" t="s">
        <v>86</v>
      </c>
      <c r="V384" s="16">
        <v>43914</v>
      </c>
      <c r="W384" s="18">
        <v>43914.1041666667</v>
      </c>
      <c r="X384" s="18">
        <v>43952.625</v>
      </c>
      <c r="Y384" s="17">
        <v>2658.7</v>
      </c>
      <c r="Z384" t="s">
        <v>87</v>
      </c>
      <c r="AA384" s="17">
        <v>2761</v>
      </c>
      <c r="AB384" s="17">
        <v>2727.63</v>
      </c>
      <c r="AC384" t="s">
        <v>84</v>
      </c>
      <c r="AD384" t="s">
        <v>84</v>
      </c>
      <c r="AE384" t="s">
        <v>84</v>
      </c>
      <c r="AF384" t="s">
        <v>84</v>
      </c>
      <c r="AG384" s="17">
        <v>22348373</v>
      </c>
      <c r="AH384" s="17">
        <v>66.31</v>
      </c>
      <c r="AI384" s="17">
        <v>0.57</v>
      </c>
      <c r="AJ384" s="17">
        <v>0.57</v>
      </c>
      <c r="AK384" t="s">
        <v>126</v>
      </c>
      <c r="AM384" s="17">
        <v>2.5</v>
      </c>
      <c r="AN384" s="17"/>
      <c r="AO384" s="17">
        <v>1010</v>
      </c>
      <c r="AP384" s="17"/>
      <c r="AQ384" s="17">
        <v>1870</v>
      </c>
      <c r="AR384" s="17"/>
      <c r="AS384" s="17">
        <v>2.5</v>
      </c>
      <c r="AT384" s="17"/>
      <c r="AU384" s="17">
        <v>1320</v>
      </c>
      <c r="AV384" s="17"/>
      <c r="AW384" s="17">
        <v>2115</v>
      </c>
      <c r="AX384" s="17"/>
      <c r="AY384" t="s">
        <v>92</v>
      </c>
      <c r="AZ384" t="s">
        <v>92</v>
      </c>
      <c r="BA384" t="s">
        <v>92</v>
      </c>
      <c r="BB384" t="s">
        <v>92</v>
      </c>
      <c r="BC384" t="s">
        <v>92</v>
      </c>
      <c r="BD384" s="17">
        <v>4.14</v>
      </c>
      <c r="BE384" s="17">
        <v>1733026</v>
      </c>
      <c r="BF384" t="s">
        <v>92</v>
      </c>
      <c r="BG384" t="s">
        <v>92</v>
      </c>
      <c r="BH384" t="s">
        <v>93</v>
      </c>
      <c r="BI384" t="s">
        <v>94</v>
      </c>
      <c r="BJ384" t="s">
        <v>173</v>
      </c>
      <c r="BK384" t="s">
        <v>85</v>
      </c>
      <c r="BL384" t="s">
        <v>85</v>
      </c>
      <c r="BM384" t="s">
        <v>96</v>
      </c>
      <c r="BN384" t="s">
        <v>97</v>
      </c>
      <c r="BO384" t="s">
        <v>98</v>
      </c>
      <c r="BP384" t="s">
        <v>99</v>
      </c>
      <c r="BQ384" s="17">
        <v>27.8885</v>
      </c>
      <c r="BR384" t="s">
        <v>138</v>
      </c>
      <c r="BS384" t="s">
        <v>92</v>
      </c>
      <c r="BT384" t="s">
        <v>99</v>
      </c>
      <c r="BU384" s="17">
        <v>8.6</v>
      </c>
      <c r="BV384" t="s">
        <v>110</v>
      </c>
      <c r="BW384" t="s">
        <v>85</v>
      </c>
      <c r="BX384" t="s">
        <v>85</v>
      </c>
      <c r="BY384" t="str">
        <f>IF(COUNTIF('Data Upload-prod'!E:E,F384)=0,"Missing","Exist")</f>
        <v>Exist</v>
      </c>
    </row>
    <row r="385" hidden="1" spans="1:77">
      <c r="A385" s="16">
        <v>43879</v>
      </c>
      <c r="B385" s="16">
        <v>43992</v>
      </c>
      <c r="C385" t="s">
        <v>77</v>
      </c>
      <c r="D385" t="s">
        <v>120</v>
      </c>
      <c r="E385" t="s">
        <v>813</v>
      </c>
      <c r="F385" t="s">
        <v>816</v>
      </c>
      <c r="G385" t="s">
        <v>81</v>
      </c>
      <c r="H385" t="s">
        <v>123</v>
      </c>
      <c r="I385" t="s">
        <v>124</v>
      </c>
      <c r="J385" s="17">
        <v>64.8</v>
      </c>
      <c r="K385" s="17">
        <v>2755</v>
      </c>
      <c r="L385" s="17">
        <v>2697</v>
      </c>
      <c r="M385" t="s">
        <v>84</v>
      </c>
      <c r="N385" t="s">
        <v>84</v>
      </c>
      <c r="O385" t="s">
        <v>84</v>
      </c>
      <c r="P385" t="s">
        <v>84</v>
      </c>
      <c r="Q385" s="17">
        <v>5812000</v>
      </c>
      <c r="R385" s="17">
        <v>15.8</v>
      </c>
      <c r="S385" t="s">
        <v>85</v>
      </c>
      <c r="T385" t="s">
        <v>84</v>
      </c>
      <c r="U385" t="s">
        <v>86</v>
      </c>
      <c r="V385" s="16">
        <v>43919</v>
      </c>
      <c r="W385" s="18">
        <v>43919.3958333333</v>
      </c>
      <c r="X385" s="18">
        <v>43955.7916666667</v>
      </c>
      <c r="Y385" s="17">
        <v>2678.7</v>
      </c>
      <c r="Z385" t="s">
        <v>87</v>
      </c>
      <c r="AA385" s="17">
        <v>2781</v>
      </c>
      <c r="AB385" s="17">
        <v>2709.77</v>
      </c>
      <c r="AC385" t="s">
        <v>84</v>
      </c>
      <c r="AD385" t="s">
        <v>84</v>
      </c>
      <c r="AE385" t="s">
        <v>84</v>
      </c>
      <c r="AF385" t="s">
        <v>84</v>
      </c>
      <c r="AG385" s="17">
        <v>5589000</v>
      </c>
      <c r="AH385" s="17">
        <v>14.29</v>
      </c>
      <c r="AI385" s="17">
        <v>0</v>
      </c>
      <c r="AJ385" s="17">
        <v>0</v>
      </c>
      <c r="AK385" t="s">
        <v>126</v>
      </c>
      <c r="AM385" s="17">
        <v>2.5</v>
      </c>
      <c r="AN385" s="17"/>
      <c r="AO385" s="17">
        <v>1010</v>
      </c>
      <c r="AP385" s="17"/>
      <c r="AQ385" s="17">
        <v>1870</v>
      </c>
      <c r="AR385" s="17"/>
      <c r="AS385" s="17">
        <v>0.95</v>
      </c>
      <c r="AT385" s="17"/>
      <c r="AU385" s="17">
        <v>338</v>
      </c>
      <c r="AV385" s="17"/>
      <c r="AW385" s="17">
        <v>636</v>
      </c>
      <c r="AX385" s="17"/>
      <c r="AY385" t="s">
        <v>92</v>
      </c>
      <c r="AZ385" t="s">
        <v>92</v>
      </c>
      <c r="BA385" t="s">
        <v>92</v>
      </c>
      <c r="BB385" t="s">
        <v>92</v>
      </c>
      <c r="BC385" t="s">
        <v>92</v>
      </c>
      <c r="BD385" s="17">
        <v>4.7</v>
      </c>
      <c r="BE385" s="17">
        <v>2229555</v>
      </c>
      <c r="BF385" t="s">
        <v>92</v>
      </c>
      <c r="BG385" t="s">
        <v>92</v>
      </c>
      <c r="BH385" t="s">
        <v>93</v>
      </c>
      <c r="BI385" t="s">
        <v>94</v>
      </c>
      <c r="BJ385" t="s">
        <v>173</v>
      </c>
      <c r="BK385" t="s">
        <v>85</v>
      </c>
      <c r="BL385" t="s">
        <v>85</v>
      </c>
      <c r="BM385" t="s">
        <v>96</v>
      </c>
      <c r="BN385" t="s">
        <v>97</v>
      </c>
      <c r="BO385" t="s">
        <v>98</v>
      </c>
      <c r="BP385" t="s">
        <v>99</v>
      </c>
      <c r="BQ385" s="17">
        <v>32.81</v>
      </c>
      <c r="BR385" t="s">
        <v>138</v>
      </c>
      <c r="BS385" t="s">
        <v>92</v>
      </c>
      <c r="BT385" t="s">
        <v>99</v>
      </c>
      <c r="BU385" s="17">
        <v>8.6</v>
      </c>
      <c r="BV385" t="s">
        <v>110</v>
      </c>
      <c r="BW385" t="s">
        <v>85</v>
      </c>
      <c r="BX385" t="s">
        <v>85</v>
      </c>
      <c r="BY385" t="str">
        <f>IF(COUNTIF('Data Upload-prod'!E:E,F385)=0,"Missing","Exist")</f>
        <v>Exist</v>
      </c>
    </row>
    <row r="386" hidden="1" spans="1:77">
      <c r="A386" s="16">
        <v>43872</v>
      </c>
      <c r="B386" s="16">
        <v>44019</v>
      </c>
      <c r="C386" t="s">
        <v>269</v>
      </c>
      <c r="D386" t="s">
        <v>78</v>
      </c>
      <c r="E386" t="s">
        <v>817</v>
      </c>
      <c r="F386" t="s">
        <v>818</v>
      </c>
      <c r="G386" t="s">
        <v>81</v>
      </c>
      <c r="H386" t="s">
        <v>790</v>
      </c>
      <c r="I386" t="s">
        <v>124</v>
      </c>
      <c r="J386" s="17">
        <v>56.08</v>
      </c>
      <c r="K386" s="17">
        <v>4262.71</v>
      </c>
      <c r="L386" s="17">
        <v>1239.73</v>
      </c>
      <c r="M386" t="s">
        <v>84</v>
      </c>
      <c r="N386" t="s">
        <v>84</v>
      </c>
      <c r="O386" t="s">
        <v>84</v>
      </c>
      <c r="P386" t="s">
        <v>84</v>
      </c>
      <c r="Q386" s="17">
        <v>14600000</v>
      </c>
      <c r="R386" s="17">
        <v>35.98</v>
      </c>
      <c r="S386" t="s">
        <v>106</v>
      </c>
      <c r="T386" t="s">
        <v>84</v>
      </c>
      <c r="U386" t="s">
        <v>86</v>
      </c>
      <c r="V386" s="16">
        <v>43887</v>
      </c>
      <c r="W386" s="18">
        <v>43886.2916666667</v>
      </c>
      <c r="X386" s="18">
        <v>43955.4583333333</v>
      </c>
      <c r="Y386" s="17">
        <v>2008.67</v>
      </c>
      <c r="Z386" t="s">
        <v>87</v>
      </c>
      <c r="AA386" s="17">
        <v>2105.76</v>
      </c>
      <c r="AB386" s="17">
        <v>1250.44</v>
      </c>
      <c r="AC386" t="s">
        <v>84</v>
      </c>
      <c r="AD386" t="s">
        <v>84</v>
      </c>
      <c r="AE386" t="s">
        <v>84</v>
      </c>
      <c r="AF386" t="s">
        <v>84</v>
      </c>
      <c r="AG386" s="17">
        <v>23120000</v>
      </c>
      <c r="AH386" s="17">
        <v>71.75</v>
      </c>
      <c r="AI386" s="17">
        <v>21.05</v>
      </c>
      <c r="AJ386" s="17">
        <v>21.05</v>
      </c>
      <c r="AK386" t="s">
        <v>114</v>
      </c>
      <c r="AM386" s="17">
        <v>2.2</v>
      </c>
      <c r="AN386" s="17"/>
      <c r="AO386" s="17">
        <v>915</v>
      </c>
      <c r="AP386" s="17"/>
      <c r="AQ386" s="17">
        <v>1450</v>
      </c>
      <c r="AR386" s="17"/>
      <c r="AS386" s="17">
        <v>3.54</v>
      </c>
      <c r="AT386" s="17"/>
      <c r="AU386" s="17">
        <v>1092</v>
      </c>
      <c r="AV386" s="17"/>
      <c r="AW386" s="17">
        <v>1462</v>
      </c>
      <c r="AX386" s="17"/>
      <c r="AY386" t="s">
        <v>92</v>
      </c>
      <c r="AZ386" t="s">
        <v>92</v>
      </c>
      <c r="BA386" t="s">
        <v>92</v>
      </c>
      <c r="BB386" t="s">
        <v>92</v>
      </c>
      <c r="BC386" t="s">
        <v>92</v>
      </c>
      <c r="BD386" s="17">
        <v>7.07</v>
      </c>
      <c r="BE386" s="17">
        <v>2840000</v>
      </c>
      <c r="BF386" t="s">
        <v>92</v>
      </c>
      <c r="BG386" t="s">
        <v>92</v>
      </c>
      <c r="BH386" t="s">
        <v>93</v>
      </c>
      <c r="BI386" t="s">
        <v>94</v>
      </c>
      <c r="BJ386" t="s">
        <v>128</v>
      </c>
      <c r="BK386" t="s">
        <v>85</v>
      </c>
      <c r="BL386" t="s">
        <v>85</v>
      </c>
      <c r="BM386" t="s">
        <v>273</v>
      </c>
      <c r="BN386" t="s">
        <v>97</v>
      </c>
      <c r="BO386" t="s">
        <v>98</v>
      </c>
      <c r="BP386" t="s">
        <v>99</v>
      </c>
      <c r="BQ386" s="17">
        <v>113.91</v>
      </c>
      <c r="BR386" t="s">
        <v>138</v>
      </c>
      <c r="BS386" t="s">
        <v>92</v>
      </c>
      <c r="BT386" t="s">
        <v>99</v>
      </c>
      <c r="BU386" s="17">
        <v>9.3</v>
      </c>
      <c r="BV386" t="s">
        <v>256</v>
      </c>
      <c r="BW386" t="s">
        <v>85</v>
      </c>
      <c r="BX386" t="s">
        <v>85</v>
      </c>
      <c r="BY386" t="str">
        <f>IF(COUNTIF('Data Upload-prod'!E:E,F386)=0,"Missing","Exist")</f>
        <v>Exist</v>
      </c>
    </row>
    <row r="387" hidden="1" spans="1:77">
      <c r="A387" s="16">
        <v>43871</v>
      </c>
      <c r="B387" s="16">
        <v>44215</v>
      </c>
      <c r="C387" t="s">
        <v>132</v>
      </c>
      <c r="D387" t="s">
        <v>120</v>
      </c>
      <c r="E387" t="s">
        <v>819</v>
      </c>
      <c r="F387" t="s">
        <v>820</v>
      </c>
      <c r="G387" t="s">
        <v>145</v>
      </c>
      <c r="H387" t="s">
        <v>162</v>
      </c>
      <c r="I387" t="s">
        <v>124</v>
      </c>
      <c r="J387" s="17">
        <v>70</v>
      </c>
      <c r="K387" s="17">
        <v>1576</v>
      </c>
      <c r="L387" s="17">
        <v>1576</v>
      </c>
      <c r="M387" s="17">
        <v>7812426</v>
      </c>
      <c r="N387" s="17">
        <v>7812426</v>
      </c>
      <c r="O387" s="17">
        <v>21.19</v>
      </c>
      <c r="P387" s="17">
        <v>21.19</v>
      </c>
      <c r="Q387" t="s">
        <v>84</v>
      </c>
      <c r="R387" t="s">
        <v>84</v>
      </c>
      <c r="S387" t="s">
        <v>85</v>
      </c>
      <c r="T387" t="s">
        <v>84</v>
      </c>
      <c r="U387" t="s">
        <v>84</v>
      </c>
      <c r="V387" s="16">
        <v>44160</v>
      </c>
      <c r="W387" s="18">
        <v>44158</v>
      </c>
      <c r="X387" s="18">
        <v>44183.625</v>
      </c>
      <c r="Y387" s="17">
        <v>1446.2</v>
      </c>
      <c r="Z387" t="s">
        <v>87</v>
      </c>
      <c r="AA387" s="17">
        <v>1548.6</v>
      </c>
      <c r="AB387" s="17">
        <v>1548.58</v>
      </c>
      <c r="AC387" t="s">
        <v>84</v>
      </c>
      <c r="AD387" s="17">
        <v>6471964.69</v>
      </c>
      <c r="AE387" t="s">
        <v>84</v>
      </c>
      <c r="AF387" s="17">
        <v>25.63</v>
      </c>
      <c r="AG387" t="s">
        <v>84</v>
      </c>
      <c r="AH387" t="s">
        <v>84</v>
      </c>
      <c r="AI387" s="17">
        <v>12</v>
      </c>
      <c r="AJ387" s="17">
        <v>4</v>
      </c>
      <c r="AK387" t="s">
        <v>300</v>
      </c>
      <c r="AM387" s="17">
        <v>2.4</v>
      </c>
      <c r="AN387" s="17"/>
      <c r="AO387" s="17">
        <v>1375</v>
      </c>
      <c r="AP387" s="17"/>
      <c r="AQ387" s="17">
        <v>3025</v>
      </c>
      <c r="AR387" s="17"/>
      <c r="AS387" s="17">
        <v>1.23</v>
      </c>
      <c r="AT387" s="17"/>
      <c r="AU387" s="17">
        <v>517</v>
      </c>
      <c r="AV387" s="17"/>
      <c r="AW387" s="17">
        <v>687</v>
      </c>
      <c r="AX387" s="17"/>
      <c r="AY387" t="s">
        <v>92</v>
      </c>
      <c r="AZ387" t="s">
        <v>92</v>
      </c>
      <c r="BA387" t="s">
        <v>92</v>
      </c>
      <c r="BB387" t="s">
        <v>92</v>
      </c>
      <c r="BC387" t="s">
        <v>92</v>
      </c>
      <c r="BD387" t="s">
        <v>92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92</v>
      </c>
      <c r="BM387" t="s">
        <v>92</v>
      </c>
      <c r="BN387" t="s">
        <v>92</v>
      </c>
      <c r="BO387" t="s">
        <v>92</v>
      </c>
      <c r="BP387" t="s">
        <v>92</v>
      </c>
      <c r="BQ387" t="s">
        <v>92</v>
      </c>
      <c r="BR387" t="s">
        <v>92</v>
      </c>
      <c r="BS387" t="s">
        <v>92</v>
      </c>
      <c r="BT387" t="s">
        <v>92</v>
      </c>
      <c r="BU387" t="s">
        <v>92</v>
      </c>
      <c r="BV387" t="s">
        <v>92</v>
      </c>
      <c r="BW387" t="s">
        <v>92</v>
      </c>
      <c r="BX387" t="s">
        <v>92</v>
      </c>
      <c r="BY387" t="str">
        <f>IF(COUNTIF('Data Upload-prod'!E:E,F387)=0,"Missing","Exist")</f>
        <v>Exist</v>
      </c>
    </row>
    <row r="388" hidden="1" spans="1:77">
      <c r="A388" s="16">
        <v>43871</v>
      </c>
      <c r="B388" s="16">
        <v>44047</v>
      </c>
      <c r="C388" t="s">
        <v>132</v>
      </c>
      <c r="D388" t="s">
        <v>142</v>
      </c>
      <c r="E388" t="s">
        <v>170</v>
      </c>
      <c r="F388" t="s">
        <v>821</v>
      </c>
      <c r="G388" t="s">
        <v>81</v>
      </c>
      <c r="H388" t="s">
        <v>405</v>
      </c>
      <c r="I388" t="s">
        <v>124</v>
      </c>
      <c r="J388" s="17">
        <v>47.55</v>
      </c>
      <c r="K388" s="17">
        <v>4127.7</v>
      </c>
      <c r="L388" s="17">
        <v>2838.16</v>
      </c>
      <c r="M388" t="s">
        <v>84</v>
      </c>
      <c r="N388" t="s">
        <v>84</v>
      </c>
      <c r="O388" t="s">
        <v>84</v>
      </c>
      <c r="P388" t="s">
        <v>84</v>
      </c>
      <c r="Q388" s="17">
        <v>15860627</v>
      </c>
      <c r="R388" s="17">
        <v>51.7</v>
      </c>
      <c r="S388" t="s">
        <v>85</v>
      </c>
      <c r="T388" t="s">
        <v>84</v>
      </c>
      <c r="U388" t="s">
        <v>86</v>
      </c>
      <c r="V388" s="16">
        <v>43877</v>
      </c>
      <c r="W388" s="18">
        <v>43877.1458333333</v>
      </c>
      <c r="X388" s="18">
        <v>43978.25</v>
      </c>
      <c r="Y388" s="17">
        <v>3962.24</v>
      </c>
      <c r="Z388" t="s">
        <v>87</v>
      </c>
      <c r="AA388" s="17">
        <v>4047.55</v>
      </c>
      <c r="AB388" s="17">
        <v>2706.1</v>
      </c>
      <c r="AC388" t="s">
        <v>84</v>
      </c>
      <c r="AD388" t="s">
        <v>84</v>
      </c>
      <c r="AE388" t="s">
        <v>84</v>
      </c>
      <c r="AF388" t="s">
        <v>84</v>
      </c>
      <c r="AG388" s="17">
        <v>20960228</v>
      </c>
      <c r="AH388" s="17">
        <v>73.77</v>
      </c>
      <c r="AI388" s="17">
        <v>11.13</v>
      </c>
      <c r="AJ388" s="17">
        <v>11.13</v>
      </c>
      <c r="AK388" t="s">
        <v>276</v>
      </c>
      <c r="AM388" s="17">
        <v>3.7</v>
      </c>
      <c r="AN388" s="17"/>
      <c r="AO388" s="17">
        <v>1585</v>
      </c>
      <c r="AP388" s="17"/>
      <c r="AQ388" s="17">
        <v>3830</v>
      </c>
      <c r="AR388" s="17"/>
      <c r="AS388" s="17">
        <v>3.17</v>
      </c>
      <c r="AT388" s="17"/>
      <c r="AU388" s="17">
        <v>944</v>
      </c>
      <c r="AV388" s="17"/>
      <c r="AW388" s="17">
        <v>1499</v>
      </c>
      <c r="AX388" s="17"/>
      <c r="AY388" t="s">
        <v>92</v>
      </c>
      <c r="AZ388" t="s">
        <v>92</v>
      </c>
      <c r="BA388" t="s">
        <v>92</v>
      </c>
      <c r="BB388" t="s">
        <v>92</v>
      </c>
      <c r="BC388" t="s">
        <v>92</v>
      </c>
      <c r="BD388" s="17">
        <v>18.56</v>
      </c>
      <c r="BE388" s="17">
        <v>5600095.54</v>
      </c>
      <c r="BF388" t="s">
        <v>92</v>
      </c>
      <c r="BG388" t="s">
        <v>92</v>
      </c>
      <c r="BH388" t="s">
        <v>93</v>
      </c>
      <c r="BI388" t="s">
        <v>94</v>
      </c>
      <c r="BJ388" t="s">
        <v>215</v>
      </c>
      <c r="BK388" t="s">
        <v>85</v>
      </c>
      <c r="BL388" t="s">
        <v>85</v>
      </c>
      <c r="BM388" t="s">
        <v>96</v>
      </c>
      <c r="BN388" t="s">
        <v>490</v>
      </c>
      <c r="BO388" t="s">
        <v>216</v>
      </c>
      <c r="BP388" t="s">
        <v>99</v>
      </c>
      <c r="BQ388" s="17">
        <v>3306</v>
      </c>
      <c r="BR388" t="s">
        <v>100</v>
      </c>
      <c r="BS388" t="s">
        <v>92</v>
      </c>
      <c r="BT388" t="s">
        <v>175</v>
      </c>
      <c r="BU388" s="17">
        <v>8.7</v>
      </c>
      <c r="BV388" t="s">
        <v>191</v>
      </c>
      <c r="BW388" t="s">
        <v>85</v>
      </c>
      <c r="BX388" t="s">
        <v>85</v>
      </c>
      <c r="BY388" t="str">
        <f>IF(COUNTIF('Data Upload-prod'!E:E,F388)=0,"Missing","Exist")</f>
        <v>Exist</v>
      </c>
    </row>
    <row r="389" hidden="1" spans="1:77">
      <c r="A389" s="16">
        <v>43868</v>
      </c>
      <c r="B389" s="16">
        <v>44028</v>
      </c>
      <c r="C389" t="s">
        <v>195</v>
      </c>
      <c r="D389" t="s">
        <v>78</v>
      </c>
      <c r="E389" t="s">
        <v>296</v>
      </c>
      <c r="F389" t="s">
        <v>822</v>
      </c>
      <c r="G389" t="s">
        <v>81</v>
      </c>
      <c r="H389" t="s">
        <v>198</v>
      </c>
      <c r="I389" t="s">
        <v>83</v>
      </c>
      <c r="J389" s="17">
        <v>64</v>
      </c>
      <c r="K389" s="17">
        <v>3229</v>
      </c>
      <c r="L389" s="17">
        <v>2010</v>
      </c>
      <c r="M389" t="s">
        <v>84</v>
      </c>
      <c r="N389" t="s">
        <v>84</v>
      </c>
      <c r="O389" t="s">
        <v>84</v>
      </c>
      <c r="P389" t="s">
        <v>84</v>
      </c>
      <c r="Q389" s="17">
        <v>10600000</v>
      </c>
      <c r="R389" s="17">
        <v>30</v>
      </c>
      <c r="S389" t="s">
        <v>85</v>
      </c>
      <c r="T389" t="s">
        <v>84</v>
      </c>
      <c r="U389" t="s">
        <v>86</v>
      </c>
      <c r="V389" s="16">
        <v>43942</v>
      </c>
      <c r="W389" s="18">
        <v>43909</v>
      </c>
      <c r="X389" s="18">
        <v>43969.5</v>
      </c>
      <c r="Y389" s="17">
        <v>2891.9</v>
      </c>
      <c r="Z389" t="s">
        <v>87</v>
      </c>
      <c r="AA389" s="17">
        <v>2989</v>
      </c>
      <c r="AB389" s="17">
        <v>2009</v>
      </c>
      <c r="AC389" t="s">
        <v>84</v>
      </c>
      <c r="AD389" t="s">
        <v>84</v>
      </c>
      <c r="AE389" t="s">
        <v>84</v>
      </c>
      <c r="AF389" t="s">
        <v>84</v>
      </c>
      <c r="AG389" s="17">
        <v>11275000</v>
      </c>
      <c r="AH389" s="17">
        <v>36.5</v>
      </c>
      <c r="AI389" s="17">
        <v>17.64</v>
      </c>
      <c r="AJ389" s="17">
        <v>17.64</v>
      </c>
      <c r="AK389" t="s">
        <v>89</v>
      </c>
      <c r="AM389" s="17">
        <v>2.4</v>
      </c>
      <c r="AN389" s="17"/>
      <c r="AO389" s="17">
        <v>795</v>
      </c>
      <c r="AP389" s="17"/>
      <c r="AQ389" s="17">
        <v>1400</v>
      </c>
      <c r="AR389" s="17"/>
      <c r="AS389" s="17">
        <v>2.2</v>
      </c>
      <c r="AT389" s="17"/>
      <c r="AU389" s="17">
        <v>880</v>
      </c>
      <c r="AV389" s="17"/>
      <c r="AW389" s="17">
        <v>1455</v>
      </c>
      <c r="AX389" s="17"/>
      <c r="AY389" t="s">
        <v>92</v>
      </c>
      <c r="AZ389" t="s">
        <v>92</v>
      </c>
      <c r="BA389" t="s">
        <v>92</v>
      </c>
      <c r="BB389" t="s">
        <v>92</v>
      </c>
      <c r="BC389" t="s">
        <v>92</v>
      </c>
      <c r="BD389" s="17">
        <v>17.7</v>
      </c>
      <c r="BE389" s="17">
        <v>11580000</v>
      </c>
      <c r="BF389" t="s">
        <v>92</v>
      </c>
      <c r="BG389" t="s">
        <v>92</v>
      </c>
      <c r="BH389" t="s">
        <v>93</v>
      </c>
      <c r="BI389" t="s">
        <v>94</v>
      </c>
      <c r="BJ389" t="s">
        <v>128</v>
      </c>
      <c r="BK389" t="s">
        <v>85</v>
      </c>
      <c r="BL389" t="s">
        <v>85</v>
      </c>
      <c r="BM389" t="s">
        <v>96</v>
      </c>
      <c r="BN389" t="s">
        <v>97</v>
      </c>
      <c r="BO389" t="s">
        <v>98</v>
      </c>
      <c r="BP389" t="s">
        <v>350</v>
      </c>
      <c r="BQ389" s="17">
        <v>3451.612</v>
      </c>
      <c r="BR389" t="s">
        <v>100</v>
      </c>
      <c r="BS389" t="s">
        <v>285</v>
      </c>
      <c r="BT389" t="s">
        <v>255</v>
      </c>
      <c r="BU389" s="17">
        <v>9.3</v>
      </c>
      <c r="BV389" t="s">
        <v>191</v>
      </c>
      <c r="BW389" t="s">
        <v>85</v>
      </c>
      <c r="BX389" t="s">
        <v>85</v>
      </c>
      <c r="BY389" t="str">
        <f>IF(COUNTIF('Data Upload-prod'!E:E,F389)=0,"Missing","Exist")</f>
        <v>Exist</v>
      </c>
    </row>
    <row r="390" hidden="1" spans="1:77">
      <c r="A390" s="16">
        <v>43862</v>
      </c>
      <c r="B390" s="16">
        <v>43979</v>
      </c>
      <c r="C390" t="s">
        <v>151</v>
      </c>
      <c r="D390" t="s">
        <v>142</v>
      </c>
      <c r="E390" t="s">
        <v>166</v>
      </c>
      <c r="F390" t="s">
        <v>823</v>
      </c>
      <c r="G390" t="s">
        <v>81</v>
      </c>
      <c r="H390" t="s">
        <v>154</v>
      </c>
      <c r="I390" t="s">
        <v>124</v>
      </c>
      <c r="J390" s="17">
        <v>54.25</v>
      </c>
      <c r="K390" s="17">
        <v>5484</v>
      </c>
      <c r="L390" s="17">
        <v>3534.11</v>
      </c>
      <c r="M390" t="s">
        <v>84</v>
      </c>
      <c r="N390" t="s">
        <v>84</v>
      </c>
      <c r="O390" t="s">
        <v>84</v>
      </c>
      <c r="P390" t="s">
        <v>84</v>
      </c>
      <c r="Q390" s="17">
        <v>17370000</v>
      </c>
      <c r="R390" s="17">
        <v>52.69</v>
      </c>
      <c r="S390" t="s">
        <v>85</v>
      </c>
      <c r="T390" t="s">
        <v>84</v>
      </c>
      <c r="U390" t="s">
        <v>86</v>
      </c>
      <c r="V390" s="16">
        <v>43886.3333333333</v>
      </c>
      <c r="W390" s="18">
        <v>43885.375</v>
      </c>
      <c r="X390" s="18">
        <v>43917.84375</v>
      </c>
      <c r="Y390" s="17">
        <v>5389.09</v>
      </c>
      <c r="Z390" t="s">
        <v>87</v>
      </c>
      <c r="AA390" s="17">
        <v>5486.13</v>
      </c>
      <c r="AB390" s="17">
        <v>3535.29</v>
      </c>
      <c r="AC390" t="s">
        <v>84</v>
      </c>
      <c r="AD390" t="s">
        <v>84</v>
      </c>
      <c r="AE390" t="s">
        <v>84</v>
      </c>
      <c r="AF390" t="s">
        <v>84</v>
      </c>
      <c r="AG390" s="17">
        <v>10022000</v>
      </c>
      <c r="AH390" s="17">
        <v>32.47</v>
      </c>
      <c r="AI390" s="17">
        <v>7.12</v>
      </c>
      <c r="AJ390" s="17">
        <v>7.12</v>
      </c>
      <c r="AK390" t="s">
        <v>89</v>
      </c>
      <c r="AM390" s="17">
        <v>2.4</v>
      </c>
      <c r="AN390" s="17"/>
      <c r="AO390" s="17">
        <v>795</v>
      </c>
      <c r="AP390" s="17"/>
      <c r="AQ390" s="17">
        <v>1580</v>
      </c>
      <c r="AR390" s="17"/>
      <c r="AS390" s="17">
        <v>1.18</v>
      </c>
      <c r="AT390" s="17"/>
      <c r="AU390" s="17">
        <v>337.9</v>
      </c>
      <c r="AV390" s="17"/>
      <c r="AW390" s="17">
        <v>568</v>
      </c>
      <c r="AX390" s="17"/>
      <c r="AY390" t="s">
        <v>92</v>
      </c>
      <c r="AZ390" t="s">
        <v>92</v>
      </c>
      <c r="BA390" t="s">
        <v>92</v>
      </c>
      <c r="BB390" t="s">
        <v>92</v>
      </c>
      <c r="BC390" t="s">
        <v>92</v>
      </c>
      <c r="BD390" s="17">
        <v>10.53</v>
      </c>
      <c r="BE390" s="17">
        <v>3819057</v>
      </c>
      <c r="BF390" t="s">
        <v>92</v>
      </c>
      <c r="BG390" t="s">
        <v>92</v>
      </c>
      <c r="BH390" t="s">
        <v>93</v>
      </c>
      <c r="BI390" t="s">
        <v>94</v>
      </c>
      <c r="BJ390" t="s">
        <v>173</v>
      </c>
      <c r="BK390" t="s">
        <v>85</v>
      </c>
      <c r="BL390" t="s">
        <v>85</v>
      </c>
      <c r="BM390" t="s">
        <v>96</v>
      </c>
      <c r="BN390" t="s">
        <v>569</v>
      </c>
      <c r="BO390" t="s">
        <v>216</v>
      </c>
      <c r="BP390" t="s">
        <v>99</v>
      </c>
      <c r="BQ390" s="17">
        <v>3955</v>
      </c>
      <c r="BR390" t="s">
        <v>138</v>
      </c>
      <c r="BS390" t="s">
        <v>156</v>
      </c>
      <c r="BT390" t="s">
        <v>99</v>
      </c>
      <c r="BU390" s="17">
        <v>8.9</v>
      </c>
      <c r="BV390" t="s">
        <v>110</v>
      </c>
      <c r="BW390" t="s">
        <v>85</v>
      </c>
      <c r="BX390" t="s">
        <v>85</v>
      </c>
      <c r="BY390" t="str">
        <f>IF(COUNTIF('Data Upload-prod'!E:E,F390)=0,"Missing","Exist")</f>
        <v>Exist</v>
      </c>
    </row>
    <row r="391" hidden="1" spans="1:77">
      <c r="A391" s="16">
        <v>43860</v>
      </c>
      <c r="B391" s="16">
        <v>44057</v>
      </c>
      <c r="C391" t="s">
        <v>360</v>
      </c>
      <c r="D391" t="s">
        <v>142</v>
      </c>
      <c r="E391" t="s">
        <v>486</v>
      </c>
      <c r="F391" t="s">
        <v>824</v>
      </c>
      <c r="G391" t="s">
        <v>81</v>
      </c>
      <c r="H391" t="s">
        <v>825</v>
      </c>
      <c r="I391" t="s">
        <v>147</v>
      </c>
      <c r="J391" s="17">
        <v>1155.9</v>
      </c>
      <c r="K391" s="17">
        <v>2009</v>
      </c>
      <c r="L391" s="17">
        <v>2009</v>
      </c>
      <c r="M391" t="s">
        <v>84</v>
      </c>
      <c r="N391" t="s">
        <v>84</v>
      </c>
      <c r="O391" t="s">
        <v>84</v>
      </c>
      <c r="P391" t="s">
        <v>84</v>
      </c>
      <c r="Q391" s="17">
        <v>32854719</v>
      </c>
      <c r="R391" s="17">
        <v>32</v>
      </c>
      <c r="S391" t="s">
        <v>85</v>
      </c>
      <c r="T391" t="s">
        <v>84</v>
      </c>
      <c r="U391" t="s">
        <v>320</v>
      </c>
      <c r="V391" s="16">
        <v>43900.6145833333</v>
      </c>
      <c r="W391" s="18">
        <v>43900</v>
      </c>
      <c r="X391" s="18">
        <v>44004</v>
      </c>
      <c r="Y391" s="17">
        <v>829.1</v>
      </c>
      <c r="Z391" t="s">
        <v>148</v>
      </c>
      <c r="AA391" s="17">
        <v>2009</v>
      </c>
      <c r="AB391" s="17">
        <v>2009</v>
      </c>
      <c r="AC391" t="s">
        <v>84</v>
      </c>
      <c r="AD391" t="s">
        <v>84</v>
      </c>
      <c r="AE391" t="s">
        <v>84</v>
      </c>
      <c r="AF391" t="s">
        <v>84</v>
      </c>
      <c r="AG391" s="17">
        <v>23492126</v>
      </c>
      <c r="AH391" s="17">
        <v>25.4</v>
      </c>
      <c r="AI391" s="17">
        <v>3.36</v>
      </c>
      <c r="AJ391" s="17">
        <v>3.36</v>
      </c>
      <c r="AK391" t="s">
        <v>591</v>
      </c>
      <c r="AM391" s="17">
        <v>4</v>
      </c>
      <c r="AN391" s="17"/>
      <c r="AO391" s="17">
        <v>3640</v>
      </c>
      <c r="AP391" s="17"/>
      <c r="AQ391" s="17">
        <v>8010</v>
      </c>
      <c r="AR391" s="17"/>
      <c r="AS391" s="17">
        <v>3.16</v>
      </c>
      <c r="AT391" s="17"/>
      <c r="AU391" s="17">
        <v>2431</v>
      </c>
      <c r="AV391" s="17"/>
      <c r="AW391" s="17">
        <v>5739</v>
      </c>
      <c r="AX391" s="17"/>
      <c r="AY391" t="s">
        <v>92</v>
      </c>
      <c r="AZ391" t="s">
        <v>92</v>
      </c>
      <c r="BA391" t="s">
        <v>92</v>
      </c>
      <c r="BB391" t="s">
        <v>92</v>
      </c>
      <c r="BC391" t="s">
        <v>92</v>
      </c>
      <c r="BD391" s="17">
        <v>18.5</v>
      </c>
      <c r="BE391" s="17">
        <v>17110406.73</v>
      </c>
      <c r="BF391" t="s">
        <v>92</v>
      </c>
      <c r="BG391" t="s">
        <v>92</v>
      </c>
      <c r="BH391" t="s">
        <v>93</v>
      </c>
      <c r="BI391" t="s">
        <v>94</v>
      </c>
      <c r="BJ391" t="s">
        <v>367</v>
      </c>
      <c r="BK391" t="s">
        <v>85</v>
      </c>
      <c r="BL391" t="s">
        <v>85</v>
      </c>
      <c r="BM391" t="s">
        <v>159</v>
      </c>
      <c r="BN391" t="s">
        <v>97</v>
      </c>
      <c r="BO391" t="s">
        <v>98</v>
      </c>
      <c r="BP391" t="s">
        <v>99</v>
      </c>
      <c r="BQ391" s="17">
        <v>147.645</v>
      </c>
      <c r="BR391" t="s">
        <v>138</v>
      </c>
      <c r="BS391" t="s">
        <v>92</v>
      </c>
      <c r="BT391" t="s">
        <v>99</v>
      </c>
      <c r="BU391" s="17">
        <v>10.4</v>
      </c>
      <c r="BV391" t="s">
        <v>340</v>
      </c>
      <c r="BW391" t="s">
        <v>266</v>
      </c>
      <c r="BX391" t="s">
        <v>85</v>
      </c>
      <c r="BY391" t="str">
        <f>IF(COUNTIF('Data Upload-prod'!E:E,F391)=0,"Missing","Exist")</f>
        <v>Exist</v>
      </c>
    </row>
    <row r="392" hidden="1" spans="1:77">
      <c r="A392" s="16">
        <v>43860</v>
      </c>
      <c r="B392" s="16">
        <v>44040</v>
      </c>
      <c r="C392" t="s">
        <v>360</v>
      </c>
      <c r="D392" t="s">
        <v>78</v>
      </c>
      <c r="E392" t="s">
        <v>826</v>
      </c>
      <c r="F392" t="s">
        <v>827</v>
      </c>
      <c r="G392" t="s">
        <v>81</v>
      </c>
      <c r="H392" t="s">
        <v>825</v>
      </c>
      <c r="I392" t="s">
        <v>147</v>
      </c>
      <c r="J392" s="17">
        <v>1250</v>
      </c>
      <c r="K392" s="17">
        <v>2194</v>
      </c>
      <c r="L392" s="17">
        <v>920</v>
      </c>
      <c r="M392" t="s">
        <v>84</v>
      </c>
      <c r="N392" t="s">
        <v>84</v>
      </c>
      <c r="O392" t="s">
        <v>84</v>
      </c>
      <c r="P392" t="s">
        <v>84</v>
      </c>
      <c r="Q392" s="17">
        <v>33359310</v>
      </c>
      <c r="R392" s="17">
        <v>32.5</v>
      </c>
      <c r="S392" t="s">
        <v>85</v>
      </c>
      <c r="T392" t="s">
        <v>84</v>
      </c>
      <c r="U392" t="s">
        <v>320</v>
      </c>
      <c r="V392" s="16">
        <v>43897.5208333333</v>
      </c>
      <c r="W392" s="18">
        <v>43897</v>
      </c>
      <c r="X392" s="18">
        <v>43984.7916666667</v>
      </c>
      <c r="Y392" s="17">
        <v>925</v>
      </c>
      <c r="Z392" t="s">
        <v>148</v>
      </c>
      <c r="AA392" s="17">
        <v>2199</v>
      </c>
      <c r="AB392" s="17">
        <v>2199</v>
      </c>
      <c r="AC392" t="s">
        <v>84</v>
      </c>
      <c r="AD392" t="s">
        <v>84</v>
      </c>
      <c r="AE392" t="s">
        <v>84</v>
      </c>
      <c r="AF392" t="s">
        <v>84</v>
      </c>
      <c r="AG392" s="17">
        <v>30114718</v>
      </c>
      <c r="AH392" s="17">
        <v>32.5</v>
      </c>
      <c r="AI392" s="17">
        <v>11.35</v>
      </c>
      <c r="AJ392" s="17">
        <v>11.35</v>
      </c>
      <c r="AK392" t="s">
        <v>591</v>
      </c>
      <c r="AM392" s="17">
        <v>4</v>
      </c>
      <c r="AN392" s="17"/>
      <c r="AO392" s="17">
        <v>3640</v>
      </c>
      <c r="AP392" s="17"/>
      <c r="AQ392" s="17">
        <v>8010</v>
      </c>
      <c r="AR392" s="17"/>
      <c r="AS392" s="17">
        <v>2.66</v>
      </c>
      <c r="AT392" s="17"/>
      <c r="AU392" s="17">
        <v>1927</v>
      </c>
      <c r="AV392" s="17"/>
      <c r="AW392" s="17">
        <v>8225</v>
      </c>
      <c r="AX392" s="17"/>
      <c r="AY392" t="s">
        <v>92</v>
      </c>
      <c r="AZ392" t="s">
        <v>92</v>
      </c>
      <c r="BA392" t="s">
        <v>92</v>
      </c>
      <c r="BB392" t="s">
        <v>92</v>
      </c>
      <c r="BC392" t="s">
        <v>92</v>
      </c>
      <c r="BD392" s="17">
        <v>22.68</v>
      </c>
      <c r="BE392" s="17">
        <v>21015440.13</v>
      </c>
      <c r="BF392" t="s">
        <v>92</v>
      </c>
      <c r="BG392" t="s">
        <v>92</v>
      </c>
      <c r="BH392" t="s">
        <v>93</v>
      </c>
      <c r="BI392" t="s">
        <v>94</v>
      </c>
      <c r="BJ392" t="s">
        <v>367</v>
      </c>
      <c r="BK392" t="s">
        <v>85</v>
      </c>
      <c r="BL392" t="s">
        <v>85</v>
      </c>
      <c r="BM392" t="s">
        <v>159</v>
      </c>
      <c r="BN392" t="s">
        <v>97</v>
      </c>
      <c r="BO392" t="s">
        <v>98</v>
      </c>
      <c r="BP392" t="s">
        <v>99</v>
      </c>
      <c r="BQ392" s="17">
        <v>180.02847</v>
      </c>
      <c r="BR392" t="s">
        <v>138</v>
      </c>
      <c r="BS392" t="s">
        <v>92</v>
      </c>
      <c r="BT392" t="s">
        <v>99</v>
      </c>
      <c r="BU392" s="17">
        <v>10.4</v>
      </c>
      <c r="BV392" t="s">
        <v>340</v>
      </c>
      <c r="BW392" t="s">
        <v>266</v>
      </c>
      <c r="BX392" t="s">
        <v>85</v>
      </c>
      <c r="BY392" t="str">
        <f>IF(COUNTIF('Data Upload-prod'!E:E,F392)=0,"Missing","Exist")</f>
        <v>Exist</v>
      </c>
    </row>
    <row r="393" hidden="1" spans="1:77">
      <c r="A393" s="16">
        <v>43859</v>
      </c>
      <c r="B393" s="16">
        <v>44056</v>
      </c>
      <c r="C393" t="s">
        <v>360</v>
      </c>
      <c r="D393" t="s">
        <v>142</v>
      </c>
      <c r="E393" t="s">
        <v>486</v>
      </c>
      <c r="F393" t="s">
        <v>828</v>
      </c>
      <c r="G393" t="s">
        <v>81</v>
      </c>
      <c r="H393" t="s">
        <v>825</v>
      </c>
      <c r="I393" t="s">
        <v>147</v>
      </c>
      <c r="J393" s="17">
        <v>1144</v>
      </c>
      <c r="K393" s="17">
        <v>2009</v>
      </c>
      <c r="L393" s="17">
        <v>2009</v>
      </c>
      <c r="M393" t="s">
        <v>84</v>
      </c>
      <c r="N393" t="s">
        <v>84</v>
      </c>
      <c r="O393" t="s">
        <v>84</v>
      </c>
      <c r="P393" t="s">
        <v>84</v>
      </c>
      <c r="Q393" s="17">
        <v>33093250</v>
      </c>
      <c r="R393" s="17">
        <v>32</v>
      </c>
      <c r="S393" t="s">
        <v>85</v>
      </c>
      <c r="T393" t="s">
        <v>84</v>
      </c>
      <c r="U393" t="s">
        <v>320</v>
      </c>
      <c r="V393" s="16">
        <v>43903.28125</v>
      </c>
      <c r="W393" s="18">
        <v>43903</v>
      </c>
      <c r="X393" s="18">
        <v>43995</v>
      </c>
      <c r="Y393" s="17">
        <v>841</v>
      </c>
      <c r="Z393" t="s">
        <v>148</v>
      </c>
      <c r="AA393" s="17">
        <v>2009</v>
      </c>
      <c r="AB393" s="17">
        <v>2009</v>
      </c>
      <c r="AC393" t="s">
        <v>84</v>
      </c>
      <c r="AD393" t="s">
        <v>84</v>
      </c>
      <c r="AE393" t="s">
        <v>84</v>
      </c>
      <c r="AF393" t="s">
        <v>84</v>
      </c>
      <c r="AG393" s="17">
        <v>26115617</v>
      </c>
      <c r="AH393" s="17">
        <v>28.5</v>
      </c>
      <c r="AI393" s="17">
        <v>2.05</v>
      </c>
      <c r="AJ393" s="17">
        <v>2.05</v>
      </c>
      <c r="AK393" t="s">
        <v>591</v>
      </c>
      <c r="AM393" s="17">
        <v>4</v>
      </c>
      <c r="AN393" s="17"/>
      <c r="AO393" s="17">
        <v>3640</v>
      </c>
      <c r="AP393" s="17"/>
      <c r="AQ393" s="17">
        <v>8010</v>
      </c>
      <c r="AR393" s="17"/>
      <c r="AS393" s="17">
        <v>2.72</v>
      </c>
      <c r="AT393" s="17"/>
      <c r="AU393" s="17">
        <v>2453</v>
      </c>
      <c r="AV393" s="17"/>
      <c r="AW393" s="17">
        <v>6501</v>
      </c>
      <c r="AX393" s="17"/>
      <c r="AY393" t="s">
        <v>92</v>
      </c>
      <c r="AZ393" t="s">
        <v>92</v>
      </c>
      <c r="BA393" t="s">
        <v>92</v>
      </c>
      <c r="BB393" t="s">
        <v>92</v>
      </c>
      <c r="BC393" t="s">
        <v>92</v>
      </c>
      <c r="BD393" s="17">
        <v>17.3</v>
      </c>
      <c r="BE393" s="17">
        <v>15315260.14</v>
      </c>
      <c r="BF393" t="s">
        <v>92</v>
      </c>
      <c r="BG393" t="s">
        <v>92</v>
      </c>
      <c r="BH393" t="s">
        <v>93</v>
      </c>
      <c r="BI393" t="s">
        <v>94</v>
      </c>
      <c r="BJ393" t="s">
        <v>367</v>
      </c>
      <c r="BK393" t="s">
        <v>85</v>
      </c>
      <c r="BL393" t="s">
        <v>85</v>
      </c>
      <c r="BM393" t="s">
        <v>159</v>
      </c>
      <c r="BN393" t="s">
        <v>97</v>
      </c>
      <c r="BO393" t="s">
        <v>98</v>
      </c>
      <c r="BP393" t="s">
        <v>99</v>
      </c>
      <c r="BQ393" s="17">
        <v>187.017</v>
      </c>
      <c r="BR393" t="s">
        <v>138</v>
      </c>
      <c r="BS393" t="s">
        <v>92</v>
      </c>
      <c r="BT393" t="s">
        <v>99</v>
      </c>
      <c r="BU393" s="17">
        <v>10.4</v>
      </c>
      <c r="BV393" t="s">
        <v>340</v>
      </c>
      <c r="BW393" t="s">
        <v>266</v>
      </c>
      <c r="BX393" t="s">
        <v>85</v>
      </c>
      <c r="BY393" t="str">
        <f>IF(COUNTIF('Data Upload-prod'!E:E,F393)=0,"Missing","Exist")</f>
        <v>Exist</v>
      </c>
    </row>
    <row r="394" hidden="1" spans="1:77">
      <c r="A394" s="16">
        <v>43851</v>
      </c>
      <c r="B394" s="16">
        <v>44041</v>
      </c>
      <c r="C394" t="s">
        <v>132</v>
      </c>
      <c r="D394" t="s">
        <v>78</v>
      </c>
      <c r="E394" t="s">
        <v>628</v>
      </c>
      <c r="F394" t="s">
        <v>829</v>
      </c>
      <c r="G394" t="s">
        <v>81</v>
      </c>
      <c r="H394" t="s">
        <v>82</v>
      </c>
      <c r="I394" t="s">
        <v>83</v>
      </c>
      <c r="J394" s="17">
        <v>73</v>
      </c>
      <c r="K394" s="17">
        <v>3700</v>
      </c>
      <c r="L394" s="17">
        <v>1499</v>
      </c>
      <c r="M394" t="s">
        <v>84</v>
      </c>
      <c r="N394" t="s">
        <v>84</v>
      </c>
      <c r="O394" t="s">
        <v>84</v>
      </c>
      <c r="P394" t="s">
        <v>84</v>
      </c>
      <c r="Q394" s="17">
        <v>20873462.95</v>
      </c>
      <c r="R394" s="17">
        <v>57.61</v>
      </c>
      <c r="S394" t="s">
        <v>85</v>
      </c>
      <c r="T394" t="s">
        <v>84</v>
      </c>
      <c r="U394" t="s">
        <v>86</v>
      </c>
      <c r="V394" t="s">
        <v>84</v>
      </c>
      <c r="W394" s="18">
        <v>43854.3333333333</v>
      </c>
      <c r="X394" s="18">
        <v>43956.875</v>
      </c>
      <c r="Y394" s="17">
        <v>3489.9</v>
      </c>
      <c r="Z394" t="s">
        <v>87</v>
      </c>
      <c r="AA394" s="17">
        <v>3593</v>
      </c>
      <c r="AB394" s="17">
        <v>1513.29</v>
      </c>
      <c r="AC394" t="s">
        <v>84</v>
      </c>
      <c r="AD394" t="s">
        <v>84</v>
      </c>
      <c r="AE394" t="s">
        <v>84</v>
      </c>
      <c r="AF394" t="s">
        <v>84</v>
      </c>
      <c r="AG394" s="17">
        <v>25184316.9</v>
      </c>
      <c r="AH394" s="17">
        <v>78.67</v>
      </c>
      <c r="AI394" s="17">
        <v>30.49</v>
      </c>
      <c r="AJ394" s="17">
        <v>16.8</v>
      </c>
      <c r="AK394" t="s">
        <v>89</v>
      </c>
      <c r="AM394" s="17">
        <v>2.4</v>
      </c>
      <c r="AN394" s="17"/>
      <c r="AO394" s="17">
        <v>795</v>
      </c>
      <c r="AP394" s="17"/>
      <c r="AQ394" s="17">
        <v>2160</v>
      </c>
      <c r="AR394" s="17"/>
      <c r="AS394" s="17">
        <v>1.75</v>
      </c>
      <c r="AT394" s="17"/>
      <c r="AU394" s="17">
        <v>775</v>
      </c>
      <c r="AV394" s="17"/>
      <c r="AW394" s="17">
        <v>2059</v>
      </c>
      <c r="AX394" s="17"/>
      <c r="AY394" t="s">
        <v>92</v>
      </c>
      <c r="AZ394" t="s">
        <v>92</v>
      </c>
      <c r="BA394" t="s">
        <v>92</v>
      </c>
      <c r="BB394" t="s">
        <v>92</v>
      </c>
      <c r="BC394" t="s">
        <v>92</v>
      </c>
      <c r="BD394" s="17">
        <v>34.02</v>
      </c>
      <c r="BE394" s="17">
        <v>11081315.02</v>
      </c>
      <c r="BF394" t="s">
        <v>92</v>
      </c>
      <c r="BG394" t="s">
        <v>92</v>
      </c>
      <c r="BH394" t="s">
        <v>93</v>
      </c>
      <c r="BI394" t="s">
        <v>94</v>
      </c>
      <c r="BJ394" t="s">
        <v>215</v>
      </c>
      <c r="BK394" t="s">
        <v>85</v>
      </c>
      <c r="BL394" t="s">
        <v>85</v>
      </c>
      <c r="BM394" t="s">
        <v>96</v>
      </c>
      <c r="BN394" t="s">
        <v>253</v>
      </c>
      <c r="BO394" t="s">
        <v>216</v>
      </c>
      <c r="BP394" t="s">
        <v>99</v>
      </c>
      <c r="BQ394" s="17">
        <v>147.645</v>
      </c>
      <c r="BR394" t="s">
        <v>138</v>
      </c>
      <c r="BS394" t="s">
        <v>285</v>
      </c>
      <c r="BT394" t="s">
        <v>99</v>
      </c>
      <c r="BU394" s="17">
        <v>9.1</v>
      </c>
      <c r="BV394" t="s">
        <v>191</v>
      </c>
      <c r="BW394" t="s">
        <v>85</v>
      </c>
      <c r="BX394" t="s">
        <v>342</v>
      </c>
      <c r="BY394" t="str">
        <f>IF(COUNTIF('Data Upload-prod'!E:E,F394)=0,"Missing","Exist")</f>
        <v>Exist</v>
      </c>
    </row>
    <row r="395" hidden="1" spans="1:77">
      <c r="A395" s="16">
        <v>43844</v>
      </c>
      <c r="B395" s="16">
        <v>43978</v>
      </c>
      <c r="C395" t="s">
        <v>132</v>
      </c>
      <c r="D395" t="s">
        <v>78</v>
      </c>
      <c r="E395" t="s">
        <v>830</v>
      </c>
      <c r="F395" t="s">
        <v>831</v>
      </c>
      <c r="G395" t="s">
        <v>145</v>
      </c>
      <c r="H395" t="s">
        <v>181</v>
      </c>
      <c r="I395" t="s">
        <v>124</v>
      </c>
      <c r="J395" s="17">
        <v>77</v>
      </c>
      <c r="K395" s="17">
        <v>2789</v>
      </c>
      <c r="L395" s="17">
        <v>2442</v>
      </c>
      <c r="M395" s="17">
        <v>6110000</v>
      </c>
      <c r="N395" s="17">
        <v>9030000</v>
      </c>
      <c r="O395" s="17">
        <v>28.45</v>
      </c>
      <c r="P395" s="17">
        <v>36.44</v>
      </c>
      <c r="Q395" t="s">
        <v>84</v>
      </c>
      <c r="R395" t="s">
        <v>84</v>
      </c>
      <c r="S395" t="s">
        <v>85</v>
      </c>
      <c r="T395" t="s">
        <v>84</v>
      </c>
      <c r="U395" t="s">
        <v>84</v>
      </c>
      <c r="V395" s="16">
        <v>43887</v>
      </c>
      <c r="W395" s="18">
        <v>43867.84375</v>
      </c>
      <c r="X395" s="18">
        <v>43918.53125</v>
      </c>
      <c r="Y395" s="17">
        <v>2645</v>
      </c>
      <c r="Z395" t="s">
        <v>87</v>
      </c>
      <c r="AA395" s="17">
        <v>2752</v>
      </c>
      <c r="AB395" s="17">
        <v>2442.8</v>
      </c>
      <c r="AC395" t="s">
        <v>84</v>
      </c>
      <c r="AD395" s="17">
        <v>12560000</v>
      </c>
      <c r="AE395" t="s">
        <v>84</v>
      </c>
      <c r="AF395" s="17">
        <v>50.69</v>
      </c>
      <c r="AG395" t="s">
        <v>84</v>
      </c>
      <c r="AH395" t="s">
        <v>84</v>
      </c>
      <c r="AI395" s="17">
        <v>16.75</v>
      </c>
      <c r="AJ395" s="17">
        <v>3.39</v>
      </c>
      <c r="AK395" t="s">
        <v>300</v>
      </c>
      <c r="AM395" s="17">
        <v>1.9</v>
      </c>
      <c r="AN395" s="17"/>
      <c r="AO395" s="17">
        <v>720</v>
      </c>
      <c r="AP395" s="17"/>
      <c r="AQ395" s="17">
        <v>1370</v>
      </c>
      <c r="AR395" s="17"/>
      <c r="AS395" s="17">
        <v>1.07</v>
      </c>
      <c r="AT395" s="17"/>
      <c r="AU395" s="17">
        <v>419</v>
      </c>
      <c r="AV395" s="17"/>
      <c r="AW395" s="17">
        <v>374</v>
      </c>
      <c r="AX395" s="17"/>
      <c r="AY395" t="s">
        <v>92</v>
      </c>
      <c r="AZ395" t="s">
        <v>92</v>
      </c>
      <c r="BA395" t="s">
        <v>92</v>
      </c>
      <c r="BB395" t="s">
        <v>92</v>
      </c>
      <c r="BC395" t="s">
        <v>92</v>
      </c>
      <c r="BD395" t="s">
        <v>92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92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92</v>
      </c>
      <c r="BS395" t="s">
        <v>92</v>
      </c>
      <c r="BT395" t="s">
        <v>92</v>
      </c>
      <c r="BU395" t="s">
        <v>92</v>
      </c>
      <c r="BV395" t="s">
        <v>92</v>
      </c>
      <c r="BW395" t="s">
        <v>92</v>
      </c>
      <c r="BX395" t="s">
        <v>92</v>
      </c>
      <c r="BY395" t="str">
        <f>IF(COUNTIF('Data Upload-prod'!E:E,F395)=0,"Missing","Exist")</f>
        <v>Exist</v>
      </c>
    </row>
    <row r="396" hidden="1" spans="1:77">
      <c r="A396" s="16">
        <v>43844</v>
      </c>
      <c r="B396" s="16">
        <v>43969</v>
      </c>
      <c r="C396" t="s">
        <v>218</v>
      </c>
      <c r="D396" t="s">
        <v>120</v>
      </c>
      <c r="E396" t="s">
        <v>832</v>
      </c>
      <c r="F396" t="s">
        <v>833</v>
      </c>
      <c r="G396" t="s">
        <v>145</v>
      </c>
      <c r="H396" t="s">
        <v>397</v>
      </c>
      <c r="I396" t="s">
        <v>124</v>
      </c>
      <c r="J396" s="17">
        <v>94.4</v>
      </c>
      <c r="K396" s="17">
        <v>2777</v>
      </c>
      <c r="L396" s="17">
        <v>2743</v>
      </c>
      <c r="M396" s="17">
        <v>11555661</v>
      </c>
      <c r="N396" s="17">
        <v>14217691</v>
      </c>
      <c r="O396" s="17">
        <v>39.72</v>
      </c>
      <c r="P396" s="17">
        <v>49.35</v>
      </c>
      <c r="Q396" t="s">
        <v>84</v>
      </c>
      <c r="R396" t="s">
        <v>84</v>
      </c>
      <c r="S396" t="s">
        <v>85</v>
      </c>
      <c r="T396" t="s">
        <v>84</v>
      </c>
      <c r="U396" t="s">
        <v>84</v>
      </c>
      <c r="V396" s="16">
        <v>43894.8645833333</v>
      </c>
      <c r="W396" s="18">
        <v>43890.5208333333</v>
      </c>
      <c r="X396" s="18">
        <v>43932.4479166667</v>
      </c>
      <c r="Y396" s="17">
        <v>1975.8</v>
      </c>
      <c r="Z396" t="s">
        <v>87</v>
      </c>
      <c r="AA396" s="17">
        <v>2104.8</v>
      </c>
      <c r="AB396" s="17">
        <v>2104.15</v>
      </c>
      <c r="AC396" s="17">
        <v>10447449</v>
      </c>
      <c r="AD396" t="s">
        <v>84</v>
      </c>
      <c r="AE396" s="17">
        <v>41.93</v>
      </c>
      <c r="AF396" t="s">
        <v>84</v>
      </c>
      <c r="AG396" t="s">
        <v>84</v>
      </c>
      <c r="AH396" t="s">
        <v>84</v>
      </c>
      <c r="AI396" s="17">
        <v>5.7</v>
      </c>
      <c r="AJ396" s="17">
        <v>5.7</v>
      </c>
      <c r="AK396" t="s">
        <v>323</v>
      </c>
      <c r="AM396" s="17">
        <v>4.4</v>
      </c>
      <c r="AN396" s="17"/>
      <c r="AO396" s="17">
        <v>1980</v>
      </c>
      <c r="AP396" s="17"/>
      <c r="AQ396" s="17">
        <v>2760</v>
      </c>
      <c r="AR396" s="17"/>
      <c r="AS396" s="17">
        <v>2.33</v>
      </c>
      <c r="AT396" s="17"/>
      <c r="AU396" s="17">
        <v>758</v>
      </c>
      <c r="AV396" s="17"/>
      <c r="AW396" s="17">
        <v>1611</v>
      </c>
      <c r="AX396" s="17"/>
      <c r="AY396" t="s">
        <v>92</v>
      </c>
      <c r="AZ396" t="s">
        <v>92</v>
      </c>
      <c r="BA396" t="s">
        <v>92</v>
      </c>
      <c r="BB396" t="s">
        <v>92</v>
      </c>
      <c r="BC396" t="s">
        <v>92</v>
      </c>
      <c r="BD396" t="s">
        <v>92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92</v>
      </c>
      <c r="BM396" t="s">
        <v>92</v>
      </c>
      <c r="BN396" t="s">
        <v>92</v>
      </c>
      <c r="BO396" t="s">
        <v>92</v>
      </c>
      <c r="BP396" t="s">
        <v>92</v>
      </c>
      <c r="BQ396" t="s">
        <v>92</v>
      </c>
      <c r="BR396" t="s">
        <v>92</v>
      </c>
      <c r="BS396" t="s">
        <v>92</v>
      </c>
      <c r="BT396" t="s">
        <v>92</v>
      </c>
      <c r="BU396" t="s">
        <v>92</v>
      </c>
      <c r="BV396" t="s">
        <v>92</v>
      </c>
      <c r="BW396" t="s">
        <v>92</v>
      </c>
      <c r="BX396" t="s">
        <v>92</v>
      </c>
      <c r="BY396" t="str">
        <f>IF(COUNTIF('Data Upload-prod'!E:E,F396)=0,"Missing","Exist")</f>
        <v>Exist</v>
      </c>
    </row>
    <row r="397" hidden="1" spans="1:77">
      <c r="A397" s="16">
        <v>43839</v>
      </c>
      <c r="B397" s="16">
        <v>44078</v>
      </c>
      <c r="C397" t="s">
        <v>132</v>
      </c>
      <c r="D397" t="s">
        <v>120</v>
      </c>
      <c r="E397" t="s">
        <v>203</v>
      </c>
      <c r="F397" t="s">
        <v>834</v>
      </c>
      <c r="G397" t="s">
        <v>81</v>
      </c>
      <c r="H397" t="s">
        <v>801</v>
      </c>
      <c r="I397" t="s">
        <v>124</v>
      </c>
      <c r="J397" s="17">
        <v>29.5</v>
      </c>
      <c r="K397" s="17">
        <v>2585.19</v>
      </c>
      <c r="L397" s="17">
        <v>1371.53</v>
      </c>
      <c r="M397" t="s">
        <v>84</v>
      </c>
      <c r="N397" t="s">
        <v>84</v>
      </c>
      <c r="O397" t="s">
        <v>84</v>
      </c>
      <c r="P397" t="s">
        <v>84</v>
      </c>
      <c r="Q397" s="17">
        <v>6160000</v>
      </c>
      <c r="R397" s="17">
        <v>18.85</v>
      </c>
      <c r="S397" t="s">
        <v>85</v>
      </c>
      <c r="T397" t="s">
        <v>84</v>
      </c>
      <c r="U397" t="s">
        <v>86</v>
      </c>
      <c r="V397" s="16">
        <v>43852</v>
      </c>
      <c r="W397" s="18">
        <v>43845.8333333333</v>
      </c>
      <c r="X397" s="18">
        <v>43885</v>
      </c>
      <c r="Y397" s="17">
        <v>2544.2</v>
      </c>
      <c r="Z397" t="s">
        <v>87</v>
      </c>
      <c r="AA397" s="17">
        <v>2614.14</v>
      </c>
      <c r="AB397" s="17">
        <v>1384.33</v>
      </c>
      <c r="AC397" t="s">
        <v>84</v>
      </c>
      <c r="AD397" t="s">
        <v>84</v>
      </c>
      <c r="AE397" t="s">
        <v>84</v>
      </c>
      <c r="AF397" t="s">
        <v>84</v>
      </c>
      <c r="AG397" s="17">
        <v>9050000</v>
      </c>
      <c r="AH397" s="17">
        <v>34.17</v>
      </c>
      <c r="AI397" s="17">
        <v>3.93</v>
      </c>
      <c r="AJ397" s="17">
        <v>3.93</v>
      </c>
      <c r="AK397" t="s">
        <v>208</v>
      </c>
      <c r="AM397" s="17">
        <v>2.2</v>
      </c>
      <c r="AN397" s="17"/>
      <c r="AO397" s="17">
        <v>830</v>
      </c>
      <c r="AP397" s="17"/>
      <c r="AQ397" s="17">
        <v>1395</v>
      </c>
      <c r="AR397" s="17"/>
      <c r="AS397" s="17">
        <v>1.1</v>
      </c>
      <c r="AT397" s="17"/>
      <c r="AU397" s="17">
        <v>580</v>
      </c>
      <c r="AV397" s="17"/>
      <c r="AW397" s="17">
        <v>1140</v>
      </c>
      <c r="AX397" s="17"/>
      <c r="AY397" t="s">
        <v>92</v>
      </c>
      <c r="AZ397" t="s">
        <v>92</v>
      </c>
      <c r="BA397" t="s">
        <v>92</v>
      </c>
      <c r="BB397" t="s">
        <v>92</v>
      </c>
      <c r="BC397" t="s">
        <v>92</v>
      </c>
      <c r="BD397" s="17">
        <v>11.64</v>
      </c>
      <c r="BE397" s="17">
        <v>2009760</v>
      </c>
      <c r="BF397" t="s">
        <v>92</v>
      </c>
      <c r="BG397" t="s">
        <v>92</v>
      </c>
      <c r="BH397" t="s">
        <v>93</v>
      </c>
      <c r="BI397" t="s">
        <v>94</v>
      </c>
      <c r="BJ397" t="s">
        <v>173</v>
      </c>
      <c r="BK397" t="s">
        <v>85</v>
      </c>
      <c r="BL397" t="s">
        <v>85</v>
      </c>
      <c r="BM397" t="s">
        <v>96</v>
      </c>
      <c r="BN397" t="s">
        <v>253</v>
      </c>
      <c r="BO397" t="s">
        <v>216</v>
      </c>
      <c r="BP397" t="s">
        <v>103</v>
      </c>
      <c r="BQ397" t="s">
        <v>92</v>
      </c>
      <c r="BR397" t="s">
        <v>100</v>
      </c>
      <c r="BS397" t="s">
        <v>156</v>
      </c>
      <c r="BT397" t="s">
        <v>550</v>
      </c>
      <c r="BU397" s="17">
        <v>9</v>
      </c>
      <c r="BV397" t="s">
        <v>110</v>
      </c>
      <c r="BW397" t="s">
        <v>85</v>
      </c>
      <c r="BX397" t="s">
        <v>85</v>
      </c>
      <c r="BY397" t="str">
        <f>IF(COUNTIF('Data Upload-prod'!E:E,F397)=0,"Missing","Exist")</f>
        <v>Exist</v>
      </c>
    </row>
    <row r="398" hidden="1" spans="1:77">
      <c r="A398" s="16">
        <v>43837</v>
      </c>
      <c r="B398" s="16">
        <v>44041</v>
      </c>
      <c r="C398" t="s">
        <v>132</v>
      </c>
      <c r="D398" t="s">
        <v>120</v>
      </c>
      <c r="E398" t="s">
        <v>835</v>
      </c>
      <c r="F398" t="s">
        <v>836</v>
      </c>
      <c r="G398" t="s">
        <v>81</v>
      </c>
      <c r="H398" t="s">
        <v>837</v>
      </c>
      <c r="I398" t="s">
        <v>83</v>
      </c>
      <c r="J398" s="17">
        <v>30.48</v>
      </c>
      <c r="K398" s="17">
        <v>2232.74</v>
      </c>
      <c r="L398" s="17">
        <v>2164.2</v>
      </c>
      <c r="M398" t="s">
        <v>84</v>
      </c>
      <c r="N398" t="s">
        <v>84</v>
      </c>
      <c r="O398" t="s">
        <v>84</v>
      </c>
      <c r="P398" t="s">
        <v>84</v>
      </c>
      <c r="Q398" s="17">
        <v>9530502</v>
      </c>
      <c r="R398" s="17">
        <v>28.64</v>
      </c>
      <c r="S398" t="s">
        <v>85</v>
      </c>
      <c r="T398" t="s">
        <v>84</v>
      </c>
      <c r="U398" t="s">
        <v>86</v>
      </c>
      <c r="V398" t="s">
        <v>84</v>
      </c>
      <c r="W398" s="18">
        <v>43858.7916666667</v>
      </c>
      <c r="X398" s="18">
        <v>43964.5</v>
      </c>
      <c r="Y398" s="17">
        <v>2180.49</v>
      </c>
      <c r="Z398" t="s">
        <v>87</v>
      </c>
      <c r="AA398" s="17">
        <v>2234.07</v>
      </c>
      <c r="AB398" s="17">
        <v>2153.34</v>
      </c>
      <c r="AC398" t="s">
        <v>84</v>
      </c>
      <c r="AD398" t="s">
        <v>84</v>
      </c>
      <c r="AE398" t="s">
        <v>84</v>
      </c>
      <c r="AF398" t="s">
        <v>84</v>
      </c>
      <c r="AG398" s="17">
        <v>8235223.11</v>
      </c>
      <c r="AH398" s="17">
        <v>38.72</v>
      </c>
      <c r="AI398" s="17">
        <v>0.24</v>
      </c>
      <c r="AJ398" s="17">
        <v>0.15</v>
      </c>
      <c r="AK398" t="s">
        <v>89</v>
      </c>
      <c r="AM398" s="17">
        <v>2.4</v>
      </c>
      <c r="AN398" s="17"/>
      <c r="AO398" s="17">
        <v>795</v>
      </c>
      <c r="AP398" s="17"/>
      <c r="AQ398" s="17">
        <v>1580</v>
      </c>
      <c r="AR398" s="17"/>
      <c r="AS398" s="17">
        <v>2.7</v>
      </c>
      <c r="AT398" s="17"/>
      <c r="AU398" s="17">
        <v>640</v>
      </c>
      <c r="AV398" s="17"/>
      <c r="AW398" s="17">
        <v>1555</v>
      </c>
      <c r="AX398" s="17"/>
      <c r="AY398" t="s">
        <v>92</v>
      </c>
      <c r="AZ398" t="s">
        <v>92</v>
      </c>
      <c r="BA398" t="s">
        <v>92</v>
      </c>
      <c r="BB398" t="s">
        <v>92</v>
      </c>
      <c r="BC398" t="s">
        <v>92</v>
      </c>
      <c r="BD398" s="17">
        <v>10.85</v>
      </c>
      <c r="BE398" s="17">
        <v>2147690</v>
      </c>
      <c r="BF398" t="s">
        <v>92</v>
      </c>
      <c r="BG398" t="s">
        <v>92</v>
      </c>
      <c r="BH398" t="s">
        <v>93</v>
      </c>
      <c r="BI398" t="s">
        <v>94</v>
      </c>
      <c r="BJ398" t="s">
        <v>173</v>
      </c>
      <c r="BK398" t="s">
        <v>85</v>
      </c>
      <c r="BL398" t="s">
        <v>85</v>
      </c>
      <c r="BM398" t="s">
        <v>190</v>
      </c>
      <c r="BN398" t="s">
        <v>569</v>
      </c>
      <c r="BO398" t="s">
        <v>98</v>
      </c>
      <c r="BP398" t="s">
        <v>99</v>
      </c>
      <c r="BQ398" s="17">
        <v>470</v>
      </c>
      <c r="BR398" t="s">
        <v>100</v>
      </c>
      <c r="BS398" t="s">
        <v>92</v>
      </c>
      <c r="BT398" t="s">
        <v>99</v>
      </c>
      <c r="BU398" s="17">
        <v>8.9</v>
      </c>
      <c r="BV398" t="s">
        <v>191</v>
      </c>
      <c r="BW398" t="s">
        <v>85</v>
      </c>
      <c r="BX398" t="s">
        <v>85</v>
      </c>
      <c r="BY398" t="str">
        <f>IF(COUNTIF('Data Upload-prod'!E:E,F398)=0,"Missing","Exist")</f>
        <v>Exist</v>
      </c>
    </row>
    <row r="399" hidden="1" spans="1:77">
      <c r="A399" s="16">
        <v>43837</v>
      </c>
      <c r="B399" t="s">
        <v>84</v>
      </c>
      <c r="C399" t="s">
        <v>132</v>
      </c>
      <c r="D399" t="s">
        <v>120</v>
      </c>
      <c r="E399" t="s">
        <v>835</v>
      </c>
      <c r="F399" t="s">
        <v>838</v>
      </c>
      <c r="G399" t="s">
        <v>81</v>
      </c>
      <c r="H399" t="s">
        <v>837</v>
      </c>
      <c r="I399" t="s">
        <v>83</v>
      </c>
      <c r="J399" s="17">
        <v>30.48</v>
      </c>
      <c r="K399" s="17">
        <v>2795.19</v>
      </c>
      <c r="L399" s="17">
        <v>2368.71</v>
      </c>
      <c r="M399" t="s">
        <v>84</v>
      </c>
      <c r="N399" t="s">
        <v>84</v>
      </c>
      <c r="O399" t="s">
        <v>84</v>
      </c>
      <c r="P399" t="s">
        <v>84</v>
      </c>
      <c r="Q399" s="17">
        <v>9926255.82</v>
      </c>
      <c r="R399" s="17">
        <v>34.07</v>
      </c>
      <c r="S399" t="s">
        <v>85</v>
      </c>
      <c r="T399" t="s">
        <v>84</v>
      </c>
      <c r="U399" t="s">
        <v>86</v>
      </c>
      <c r="V399" s="16">
        <v>43881</v>
      </c>
      <c r="W399" s="18">
        <v>43875.6458333333</v>
      </c>
      <c r="X399" s="18">
        <v>43965.75</v>
      </c>
      <c r="Y399" s="17">
        <v>2751.05</v>
      </c>
      <c r="Z399" t="s">
        <v>87</v>
      </c>
      <c r="AA399" s="17">
        <v>2804.63</v>
      </c>
      <c r="AB399" s="17">
        <v>2376.47</v>
      </c>
      <c r="AC399" t="s">
        <v>84</v>
      </c>
      <c r="AD399" t="s">
        <v>84</v>
      </c>
      <c r="AE399" t="s">
        <v>84</v>
      </c>
      <c r="AF399" t="s">
        <v>84</v>
      </c>
      <c r="AG399" s="17">
        <v>8878166.84</v>
      </c>
      <c r="AH399" s="17">
        <v>38.1</v>
      </c>
      <c r="AI399" s="17">
        <v>5.2</v>
      </c>
      <c r="AJ399" s="17">
        <v>0.78</v>
      </c>
      <c r="AK399" t="s">
        <v>89</v>
      </c>
      <c r="AM399" s="17">
        <v>2.4</v>
      </c>
      <c r="AN399" s="17"/>
      <c r="AO399" s="17">
        <v>795</v>
      </c>
      <c r="AP399" s="17"/>
      <c r="AQ399" s="17">
        <v>1580</v>
      </c>
      <c r="AR399" s="17"/>
      <c r="AS399" s="17">
        <v>1.48</v>
      </c>
      <c r="AT399" s="17"/>
      <c r="AU399" s="17">
        <v>465</v>
      </c>
      <c r="AV399" s="17"/>
      <c r="AW399" s="17">
        <v>1120</v>
      </c>
      <c r="AX399" s="17"/>
      <c r="AY399" t="s">
        <v>92</v>
      </c>
      <c r="AZ399" t="s">
        <v>92</v>
      </c>
      <c r="BA399" t="s">
        <v>92</v>
      </c>
      <c r="BB399" t="s">
        <v>92</v>
      </c>
      <c r="BC399" t="s">
        <v>92</v>
      </c>
      <c r="BD399" s="17">
        <v>18.19</v>
      </c>
      <c r="BE399" s="17">
        <v>2429328</v>
      </c>
      <c r="BF399" t="s">
        <v>92</v>
      </c>
      <c r="BG399" t="s">
        <v>92</v>
      </c>
      <c r="BH399" t="s">
        <v>93</v>
      </c>
      <c r="BI399" t="s">
        <v>94</v>
      </c>
      <c r="BJ399" t="s">
        <v>173</v>
      </c>
      <c r="BK399" t="s">
        <v>85</v>
      </c>
      <c r="BL399" t="s">
        <v>85</v>
      </c>
      <c r="BM399" t="s">
        <v>190</v>
      </c>
      <c r="BN399" t="s">
        <v>490</v>
      </c>
      <c r="BO399" t="s">
        <v>98</v>
      </c>
      <c r="BP399" t="s">
        <v>99</v>
      </c>
      <c r="BQ399" s="17">
        <v>1153</v>
      </c>
      <c r="BR399" t="s">
        <v>100</v>
      </c>
      <c r="BS399" t="s">
        <v>92</v>
      </c>
      <c r="BT399" t="s">
        <v>99</v>
      </c>
      <c r="BU399" s="17">
        <v>8.9</v>
      </c>
      <c r="BV399" t="s">
        <v>191</v>
      </c>
      <c r="BW399" t="s">
        <v>85</v>
      </c>
      <c r="BX399" t="s">
        <v>85</v>
      </c>
      <c r="BY399" t="str">
        <f>IF(COUNTIF('Data Upload-prod'!E:E,F399)=0,"Missing","Exist")</f>
        <v>Exist</v>
      </c>
    </row>
    <row r="400" hidden="1" spans="1:77">
      <c r="A400" s="16">
        <v>43837</v>
      </c>
      <c r="B400" s="16">
        <v>43998</v>
      </c>
      <c r="C400" t="s">
        <v>132</v>
      </c>
      <c r="D400" t="s">
        <v>142</v>
      </c>
      <c r="E400" t="s">
        <v>170</v>
      </c>
      <c r="F400" t="s">
        <v>839</v>
      </c>
      <c r="G400" t="s">
        <v>81</v>
      </c>
      <c r="H400" t="s">
        <v>405</v>
      </c>
      <c r="I400" t="s">
        <v>124</v>
      </c>
      <c r="J400" s="17">
        <v>47.55</v>
      </c>
      <c r="K400" s="17">
        <v>2657.12</v>
      </c>
      <c r="L400" s="17">
        <v>2211.43</v>
      </c>
      <c r="M400" t="s">
        <v>84</v>
      </c>
      <c r="N400" t="s">
        <v>84</v>
      </c>
      <c r="O400" t="s">
        <v>84</v>
      </c>
      <c r="P400" t="s">
        <v>84</v>
      </c>
      <c r="Q400" s="17">
        <v>11437527.82</v>
      </c>
      <c r="R400" s="17">
        <v>34.2</v>
      </c>
      <c r="S400" t="s">
        <v>85</v>
      </c>
      <c r="T400" t="s">
        <v>84</v>
      </c>
      <c r="U400" t="s">
        <v>86</v>
      </c>
      <c r="V400" s="16">
        <v>43865</v>
      </c>
      <c r="W400" s="18">
        <v>43863.75</v>
      </c>
      <c r="X400" s="18">
        <v>43910</v>
      </c>
      <c r="Y400" s="17">
        <v>2590.55</v>
      </c>
      <c r="Z400" t="s">
        <v>87</v>
      </c>
      <c r="AA400" s="17">
        <v>2676.01</v>
      </c>
      <c r="AB400" s="17">
        <v>1987.2</v>
      </c>
      <c r="AC400" t="s">
        <v>84</v>
      </c>
      <c r="AD400" t="s">
        <v>84</v>
      </c>
      <c r="AE400" t="s">
        <v>84</v>
      </c>
      <c r="AF400" t="s">
        <v>84</v>
      </c>
      <c r="AG400" s="17">
        <v>10921263</v>
      </c>
      <c r="AH400" s="17">
        <v>40.73</v>
      </c>
      <c r="AI400" s="17">
        <v>7.41</v>
      </c>
      <c r="AJ400" s="17">
        <v>7.41</v>
      </c>
      <c r="AK400" t="s">
        <v>208</v>
      </c>
      <c r="AM400" s="17">
        <v>1.7</v>
      </c>
      <c r="AN400" s="17"/>
      <c r="AO400" s="17">
        <v>720</v>
      </c>
      <c r="AP400" s="17"/>
      <c r="AQ400" s="17">
        <v>1685</v>
      </c>
      <c r="AR400" s="17"/>
      <c r="AS400" s="17">
        <v>2.48</v>
      </c>
      <c r="AT400" s="17"/>
      <c r="AU400" s="17">
        <v>677</v>
      </c>
      <c r="AV400" s="17"/>
      <c r="AW400" s="17">
        <v>1244</v>
      </c>
      <c r="AX400" s="17"/>
      <c r="AY400" t="s">
        <v>92</v>
      </c>
      <c r="AZ400" t="s">
        <v>92</v>
      </c>
      <c r="BA400" t="s">
        <v>92</v>
      </c>
      <c r="BB400" t="s">
        <v>92</v>
      </c>
      <c r="BC400" t="s">
        <v>92</v>
      </c>
      <c r="BD400" s="17">
        <v>17.55</v>
      </c>
      <c r="BE400" s="17">
        <v>4409038.5</v>
      </c>
      <c r="BF400" t="s">
        <v>92</v>
      </c>
      <c r="BG400" t="s">
        <v>92</v>
      </c>
      <c r="BH400" t="s">
        <v>93</v>
      </c>
      <c r="BI400" t="s">
        <v>94</v>
      </c>
      <c r="BJ400" t="s">
        <v>215</v>
      </c>
      <c r="BK400" t="s">
        <v>85</v>
      </c>
      <c r="BL400" t="s">
        <v>85</v>
      </c>
      <c r="BM400" t="s">
        <v>96</v>
      </c>
      <c r="BN400" t="s">
        <v>490</v>
      </c>
      <c r="BO400" t="s">
        <v>216</v>
      </c>
      <c r="BP400" t="s">
        <v>99</v>
      </c>
      <c r="BQ400" s="17">
        <v>1679</v>
      </c>
      <c r="BR400" t="s">
        <v>100</v>
      </c>
      <c r="BS400" t="s">
        <v>92</v>
      </c>
      <c r="BT400" t="s">
        <v>175</v>
      </c>
      <c r="BU400" s="17">
        <v>8.7</v>
      </c>
      <c r="BV400" t="s">
        <v>191</v>
      </c>
      <c r="BW400" t="s">
        <v>85</v>
      </c>
      <c r="BX400" t="s">
        <v>85</v>
      </c>
      <c r="BY400" t="str">
        <f>IF(COUNTIF('Data Upload-prod'!E:E,F400)=0,"Missing","Exist")</f>
        <v>Exist</v>
      </c>
    </row>
    <row r="401" hidden="1" spans="1:77">
      <c r="A401" s="16">
        <v>43831</v>
      </c>
      <c r="B401" s="16">
        <v>43957</v>
      </c>
      <c r="C401" t="s">
        <v>233</v>
      </c>
      <c r="D401" t="s">
        <v>78</v>
      </c>
      <c r="E401" t="s">
        <v>239</v>
      </c>
      <c r="F401" t="s">
        <v>840</v>
      </c>
      <c r="G401" t="s">
        <v>81</v>
      </c>
      <c r="H401" t="s">
        <v>841</v>
      </c>
      <c r="I401" t="s">
        <v>124</v>
      </c>
      <c r="J401" s="17">
        <v>74.7</v>
      </c>
      <c r="K401" s="17">
        <v>5329</v>
      </c>
      <c r="L401" s="17">
        <v>1653</v>
      </c>
      <c r="M401" t="s">
        <v>84</v>
      </c>
      <c r="N401" t="s">
        <v>84</v>
      </c>
      <c r="O401" t="s">
        <v>84</v>
      </c>
      <c r="P401" t="s">
        <v>84</v>
      </c>
      <c r="Q401" s="17">
        <v>14605598</v>
      </c>
      <c r="R401" s="17">
        <v>34.2</v>
      </c>
      <c r="S401" t="s">
        <v>85</v>
      </c>
      <c r="T401" t="s">
        <v>84</v>
      </c>
      <c r="U401" t="s">
        <v>86</v>
      </c>
      <c r="V401" s="16">
        <v>43874</v>
      </c>
      <c r="W401" s="18">
        <v>43841.3958333333</v>
      </c>
      <c r="X401" s="18">
        <v>43900.2916666667</v>
      </c>
      <c r="Y401" s="17">
        <v>5052.3</v>
      </c>
      <c r="Z401" t="s">
        <v>87</v>
      </c>
      <c r="AA401" s="17">
        <v>5180</v>
      </c>
      <c r="AB401" s="17">
        <v>1656.4</v>
      </c>
      <c r="AC401" t="s">
        <v>84</v>
      </c>
      <c r="AD401" t="s">
        <v>84</v>
      </c>
      <c r="AE401" t="s">
        <v>84</v>
      </c>
      <c r="AF401" t="s">
        <v>84</v>
      </c>
      <c r="AG401" s="17">
        <v>14610000</v>
      </c>
      <c r="AH401" s="17">
        <v>50.2</v>
      </c>
      <c r="AI401" s="17">
        <v>42.25</v>
      </c>
      <c r="AJ401" s="17">
        <v>42.25</v>
      </c>
      <c r="AK401" t="s">
        <v>298</v>
      </c>
      <c r="AM401" s="17">
        <v>1.8</v>
      </c>
      <c r="AN401" s="17"/>
      <c r="AO401" s="17">
        <v>600</v>
      </c>
      <c r="AP401" s="17"/>
      <c r="AQ401" s="17">
        <v>1160</v>
      </c>
      <c r="AR401" s="17"/>
      <c r="AS401" s="17">
        <v>7.1</v>
      </c>
      <c r="AT401" s="17"/>
      <c r="AU401" s="17">
        <v>2592</v>
      </c>
      <c r="AV401" s="17"/>
      <c r="AW401" s="17">
        <v>6364</v>
      </c>
      <c r="AX401" s="17"/>
      <c r="AY401" t="s">
        <v>92</v>
      </c>
      <c r="AZ401" t="s">
        <v>92</v>
      </c>
      <c r="BA401" t="s">
        <v>92</v>
      </c>
      <c r="BB401" t="s">
        <v>92</v>
      </c>
      <c r="BC401" t="s">
        <v>92</v>
      </c>
      <c r="BD401" s="17">
        <v>12.9</v>
      </c>
      <c r="BE401" s="17">
        <v>4700000</v>
      </c>
      <c r="BF401" t="s">
        <v>92</v>
      </c>
      <c r="BG401" t="s">
        <v>92</v>
      </c>
      <c r="BH401" t="s">
        <v>93</v>
      </c>
      <c r="BI401" t="s">
        <v>94</v>
      </c>
      <c r="BJ401" t="s">
        <v>128</v>
      </c>
      <c r="BK401" t="s">
        <v>85</v>
      </c>
      <c r="BL401" t="s">
        <v>266</v>
      </c>
      <c r="BM401" t="s">
        <v>96</v>
      </c>
      <c r="BN401" t="s">
        <v>97</v>
      </c>
      <c r="BO401" t="s">
        <v>98</v>
      </c>
      <c r="BP401" t="s">
        <v>103</v>
      </c>
      <c r="BQ401" s="17">
        <v>1653.59119</v>
      </c>
      <c r="BR401" t="s">
        <v>138</v>
      </c>
      <c r="BS401" t="s">
        <v>130</v>
      </c>
      <c r="BT401" t="s">
        <v>103</v>
      </c>
      <c r="BU401" s="17">
        <v>9.2</v>
      </c>
      <c r="BV401" t="s">
        <v>101</v>
      </c>
      <c r="BW401" t="s">
        <v>85</v>
      </c>
      <c r="BX401" t="s">
        <v>85</v>
      </c>
      <c r="BY401" t="str">
        <f>IF(COUNTIF('Data Upload-prod'!E:E,F401)=0,"Missing","Exist")</f>
        <v>Exist</v>
      </c>
    </row>
    <row r="402" hidden="1" spans="1:77">
      <c r="A402" s="16">
        <v>43825</v>
      </c>
      <c r="B402" s="16">
        <v>44028</v>
      </c>
      <c r="C402" t="s">
        <v>132</v>
      </c>
      <c r="D402" t="s">
        <v>78</v>
      </c>
      <c r="E402" t="s">
        <v>842</v>
      </c>
      <c r="F402" t="s">
        <v>843</v>
      </c>
      <c r="G402" t="s">
        <v>81</v>
      </c>
      <c r="H402" t="s">
        <v>135</v>
      </c>
      <c r="I402" t="s">
        <v>124</v>
      </c>
      <c r="J402" s="17">
        <v>63</v>
      </c>
      <c r="K402" s="17">
        <v>2603</v>
      </c>
      <c r="L402" s="17">
        <v>1759</v>
      </c>
      <c r="M402" t="s">
        <v>84</v>
      </c>
      <c r="N402" t="s">
        <v>84</v>
      </c>
      <c r="O402" t="s">
        <v>84</v>
      </c>
      <c r="P402" t="s">
        <v>84</v>
      </c>
      <c r="Q402" s="17">
        <v>9951415</v>
      </c>
      <c r="R402" s="17">
        <v>23.18</v>
      </c>
      <c r="S402" t="s">
        <v>85</v>
      </c>
      <c r="T402" t="s">
        <v>84</v>
      </c>
      <c r="U402" t="s">
        <v>84</v>
      </c>
      <c r="V402" s="16">
        <v>43853</v>
      </c>
      <c r="W402" s="18">
        <v>43853.1666666667</v>
      </c>
      <c r="X402" s="18">
        <v>43980.3541666667</v>
      </c>
      <c r="Y402" s="17">
        <v>2519.4</v>
      </c>
      <c r="Z402" t="s">
        <v>87</v>
      </c>
      <c r="AA402" s="17">
        <v>2625</v>
      </c>
      <c r="AB402" s="17">
        <v>1772.07</v>
      </c>
      <c r="AC402" t="s">
        <v>84</v>
      </c>
      <c r="AD402" t="s">
        <v>84</v>
      </c>
      <c r="AE402" t="s">
        <v>84</v>
      </c>
      <c r="AF402" t="s">
        <v>84</v>
      </c>
      <c r="AG402" s="17">
        <v>7394283.9</v>
      </c>
      <c r="AH402" s="17">
        <v>25.75</v>
      </c>
      <c r="AI402" s="17">
        <v>11.97</v>
      </c>
      <c r="AJ402" s="17">
        <v>11.97</v>
      </c>
      <c r="AK402" t="s">
        <v>208</v>
      </c>
      <c r="AM402" s="17">
        <v>2.1</v>
      </c>
      <c r="AN402" s="17"/>
      <c r="AO402" s="17">
        <v>700</v>
      </c>
      <c r="AP402" s="17"/>
      <c r="AQ402" s="17">
        <v>1220</v>
      </c>
      <c r="AR402" s="17"/>
      <c r="AS402" s="17">
        <v>1.29</v>
      </c>
      <c r="AT402" s="17"/>
      <c r="AU402" s="17">
        <v>399</v>
      </c>
      <c r="AV402" s="17"/>
      <c r="AW402" s="17">
        <v>858.54</v>
      </c>
      <c r="AX402" s="17"/>
      <c r="AY402" t="s">
        <v>92</v>
      </c>
      <c r="AZ402" t="s">
        <v>92</v>
      </c>
      <c r="BA402" t="s">
        <v>92</v>
      </c>
      <c r="BB402" t="s">
        <v>92</v>
      </c>
      <c r="BC402" t="s">
        <v>92</v>
      </c>
      <c r="BD402" t="s">
        <v>92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92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92</v>
      </c>
      <c r="BS402" t="s">
        <v>92</v>
      </c>
      <c r="BT402" t="s">
        <v>92</v>
      </c>
      <c r="BU402" t="s">
        <v>92</v>
      </c>
      <c r="BV402" t="s">
        <v>92</v>
      </c>
      <c r="BW402" t="s">
        <v>92</v>
      </c>
      <c r="BX402" t="s">
        <v>92</v>
      </c>
      <c r="BY402" t="str">
        <f>IF(COUNTIF('Data Upload-prod'!E:E,F402)=0,"Missing","Exist")</f>
        <v>Exist</v>
      </c>
    </row>
    <row r="403" hidden="1" spans="1:77">
      <c r="A403" s="16">
        <v>43825</v>
      </c>
      <c r="B403" s="16">
        <v>44028</v>
      </c>
      <c r="C403" t="s">
        <v>132</v>
      </c>
      <c r="D403" t="s">
        <v>78</v>
      </c>
      <c r="E403" t="s">
        <v>842</v>
      </c>
      <c r="F403" t="s">
        <v>844</v>
      </c>
      <c r="G403" t="s">
        <v>81</v>
      </c>
      <c r="H403" t="s">
        <v>135</v>
      </c>
      <c r="I403" t="s">
        <v>124</v>
      </c>
      <c r="J403" s="17">
        <v>63</v>
      </c>
      <c r="K403" s="17">
        <v>2520</v>
      </c>
      <c r="L403" s="17">
        <v>1711</v>
      </c>
      <c r="M403" t="s">
        <v>84</v>
      </c>
      <c r="N403" t="s">
        <v>84</v>
      </c>
      <c r="O403" t="s">
        <v>84</v>
      </c>
      <c r="P403" t="s">
        <v>84</v>
      </c>
      <c r="Q403" s="17">
        <v>9128863</v>
      </c>
      <c r="R403" s="17">
        <v>20.83</v>
      </c>
      <c r="S403" t="s">
        <v>85</v>
      </c>
      <c r="T403" t="s">
        <v>84</v>
      </c>
      <c r="U403" t="s">
        <v>86</v>
      </c>
      <c r="V403" s="16">
        <v>43860</v>
      </c>
      <c r="W403" s="18">
        <v>43856.7083333333</v>
      </c>
      <c r="X403" s="18">
        <v>43986.7395833333</v>
      </c>
      <c r="Y403" s="17">
        <v>2416</v>
      </c>
      <c r="Z403" t="s">
        <v>87</v>
      </c>
      <c r="AA403" s="17">
        <v>2520</v>
      </c>
      <c r="AB403" s="17">
        <v>1720.83</v>
      </c>
      <c r="AC403" t="s">
        <v>84</v>
      </c>
      <c r="AD403" t="s">
        <v>84</v>
      </c>
      <c r="AE403" t="s">
        <v>84</v>
      </c>
      <c r="AF403" t="s">
        <v>84</v>
      </c>
      <c r="AG403" s="17">
        <v>6697621</v>
      </c>
      <c r="AH403" s="17">
        <v>25.97</v>
      </c>
      <c r="AI403" s="17">
        <v>7.58</v>
      </c>
      <c r="AJ403" s="17">
        <v>7.58</v>
      </c>
      <c r="AK403" t="s">
        <v>208</v>
      </c>
      <c r="AM403" s="17">
        <v>2.1</v>
      </c>
      <c r="AN403" s="17"/>
      <c r="AO403" s="17">
        <v>700</v>
      </c>
      <c r="AP403" s="17"/>
      <c r="AQ403" s="17">
        <v>1220</v>
      </c>
      <c r="AR403" s="17"/>
      <c r="AS403" s="17">
        <v>2.03</v>
      </c>
      <c r="AT403" s="17"/>
      <c r="AU403" s="17">
        <v>495</v>
      </c>
      <c r="AV403" s="17"/>
      <c r="AW403" s="17">
        <v>813.03</v>
      </c>
      <c r="AX403" s="17"/>
      <c r="AY403" t="s">
        <v>92</v>
      </c>
      <c r="AZ403" t="s">
        <v>92</v>
      </c>
      <c r="BA403" t="s">
        <v>92</v>
      </c>
      <c r="BB403" t="s">
        <v>92</v>
      </c>
      <c r="BC403" t="s">
        <v>92</v>
      </c>
      <c r="BD403" s="17">
        <v>5.13</v>
      </c>
      <c r="BE403" s="17">
        <v>1959544.44</v>
      </c>
      <c r="BF403" t="s">
        <v>92</v>
      </c>
      <c r="BG403" t="s">
        <v>92</v>
      </c>
      <c r="BH403" t="s">
        <v>93</v>
      </c>
      <c r="BI403" t="s">
        <v>94</v>
      </c>
      <c r="BJ403" t="s">
        <v>173</v>
      </c>
      <c r="BK403" t="s">
        <v>85</v>
      </c>
      <c r="BL403" t="s">
        <v>85</v>
      </c>
      <c r="BM403" t="s">
        <v>96</v>
      </c>
      <c r="BN403" t="s">
        <v>253</v>
      </c>
      <c r="BO403" t="s">
        <v>98</v>
      </c>
      <c r="BP403" t="s">
        <v>254</v>
      </c>
      <c r="BQ403" s="17">
        <v>302</v>
      </c>
      <c r="BR403" t="s">
        <v>100</v>
      </c>
      <c r="BS403" t="s">
        <v>156</v>
      </c>
      <c r="BT403" t="s">
        <v>255</v>
      </c>
      <c r="BU403" s="17">
        <v>8.6</v>
      </c>
      <c r="BV403" t="s">
        <v>191</v>
      </c>
      <c r="BW403" t="s">
        <v>85</v>
      </c>
      <c r="BX403" t="s">
        <v>85</v>
      </c>
      <c r="BY403" t="str">
        <f>IF(COUNTIF('Data Upload-prod'!E:E,F403)=0,"Missing","Exist")</f>
        <v>Exist</v>
      </c>
    </row>
    <row r="404" hidden="1" spans="1:77">
      <c r="A404" s="16">
        <v>43825</v>
      </c>
      <c r="B404" s="16">
        <v>44043</v>
      </c>
      <c r="C404" t="s">
        <v>132</v>
      </c>
      <c r="D404" t="s">
        <v>78</v>
      </c>
      <c r="E404" t="s">
        <v>628</v>
      </c>
      <c r="F404" t="s">
        <v>845</v>
      </c>
      <c r="G404" t="s">
        <v>81</v>
      </c>
      <c r="H404" t="s">
        <v>82</v>
      </c>
      <c r="I404" t="s">
        <v>83</v>
      </c>
      <c r="J404" s="17">
        <v>23.38</v>
      </c>
      <c r="K404" s="17">
        <v>666.26</v>
      </c>
      <c r="L404" s="17">
        <v>414.2</v>
      </c>
      <c r="M404" t="s">
        <v>84</v>
      </c>
      <c r="N404" t="s">
        <v>84</v>
      </c>
      <c r="O404" t="s">
        <v>84</v>
      </c>
      <c r="P404" t="s">
        <v>84</v>
      </c>
      <c r="Q404" s="17">
        <v>13865103.16</v>
      </c>
      <c r="R404" s="17">
        <v>35.82</v>
      </c>
      <c r="S404" t="s">
        <v>85</v>
      </c>
      <c r="T404" t="s">
        <v>84</v>
      </c>
      <c r="U404" t="s">
        <v>86</v>
      </c>
      <c r="V404" s="16">
        <v>43838</v>
      </c>
      <c r="W404" s="18">
        <v>43838</v>
      </c>
      <c r="X404" s="18">
        <v>43982.5</v>
      </c>
      <c r="Y404" s="17">
        <v>664.94</v>
      </c>
      <c r="Z404" t="s">
        <v>87</v>
      </c>
      <c r="AA404" s="17">
        <v>696.43</v>
      </c>
      <c r="AB404" s="17">
        <v>435.55</v>
      </c>
      <c r="AC404" t="s">
        <v>84</v>
      </c>
      <c r="AD404" t="s">
        <v>84</v>
      </c>
      <c r="AE404" t="s">
        <v>84</v>
      </c>
      <c r="AF404" t="s">
        <v>84</v>
      </c>
      <c r="AG404" s="17">
        <v>12904866.08</v>
      </c>
      <c r="AH404" s="17">
        <v>40.88</v>
      </c>
      <c r="AI404" s="17">
        <v>28.49</v>
      </c>
      <c r="AJ404" s="17">
        <v>28.49</v>
      </c>
      <c r="AK404" t="s">
        <v>208</v>
      </c>
      <c r="AM404" s="17">
        <v>2.1</v>
      </c>
      <c r="AN404" s="17"/>
      <c r="AO404" s="17">
        <v>700</v>
      </c>
      <c r="AP404" s="17"/>
      <c r="AQ404" s="17">
        <v>1620</v>
      </c>
      <c r="AR404" s="17"/>
      <c r="AS404" s="17">
        <v>1.57</v>
      </c>
      <c r="AT404" s="17"/>
      <c r="AU404" s="17">
        <v>654</v>
      </c>
      <c r="AV404" s="17"/>
      <c r="AW404" s="17">
        <v>2352</v>
      </c>
      <c r="AX404" s="17"/>
      <c r="AY404" t="s">
        <v>92</v>
      </c>
      <c r="AZ404" t="s">
        <v>92</v>
      </c>
      <c r="BA404" t="s">
        <v>92</v>
      </c>
      <c r="BB404" t="s">
        <v>92</v>
      </c>
      <c r="BC404" t="s">
        <v>92</v>
      </c>
      <c r="BD404" s="17">
        <v>24.54</v>
      </c>
      <c r="BE404" s="17">
        <v>7811962.57</v>
      </c>
      <c r="BF404" t="s">
        <v>92</v>
      </c>
      <c r="BG404" t="s">
        <v>92</v>
      </c>
      <c r="BH404" t="s">
        <v>93</v>
      </c>
      <c r="BI404" t="s">
        <v>94</v>
      </c>
      <c r="BJ404" t="s">
        <v>215</v>
      </c>
      <c r="BK404" t="s">
        <v>85</v>
      </c>
      <c r="BL404" t="s">
        <v>85</v>
      </c>
      <c r="BM404" t="s">
        <v>96</v>
      </c>
      <c r="BN404" t="s">
        <v>569</v>
      </c>
      <c r="BO404" t="s">
        <v>98</v>
      </c>
      <c r="BP404" t="s">
        <v>99</v>
      </c>
      <c r="BQ404" s="17">
        <v>269.042</v>
      </c>
      <c r="BR404" t="s">
        <v>138</v>
      </c>
      <c r="BS404" t="s">
        <v>285</v>
      </c>
      <c r="BT404" t="s">
        <v>99</v>
      </c>
      <c r="BU404" s="17">
        <v>8.5</v>
      </c>
      <c r="BV404" t="s">
        <v>191</v>
      </c>
      <c r="BW404" t="s">
        <v>85</v>
      </c>
      <c r="BX404" t="s">
        <v>266</v>
      </c>
      <c r="BY404" t="str">
        <f>IF(COUNTIF('Data Upload-prod'!E:E,F404)=0,"Missing","Exist")</f>
        <v>Exist</v>
      </c>
    </row>
    <row r="405" hidden="1" spans="1:77">
      <c r="A405" s="16">
        <v>43818</v>
      </c>
      <c r="B405" s="16">
        <v>44096</v>
      </c>
      <c r="C405" t="s">
        <v>195</v>
      </c>
      <c r="D405" t="s">
        <v>78</v>
      </c>
      <c r="E405" t="s">
        <v>296</v>
      </c>
      <c r="F405" t="s">
        <v>846</v>
      </c>
      <c r="G405" t="s">
        <v>81</v>
      </c>
      <c r="H405" t="s">
        <v>198</v>
      </c>
      <c r="I405" t="s">
        <v>83</v>
      </c>
      <c r="J405" s="17">
        <v>64</v>
      </c>
      <c r="K405" s="17">
        <v>4000</v>
      </c>
      <c r="L405" s="17">
        <v>1649</v>
      </c>
      <c r="M405" t="s">
        <v>84</v>
      </c>
      <c r="N405" t="s">
        <v>84</v>
      </c>
      <c r="O405" t="s">
        <v>84</v>
      </c>
      <c r="P405" t="s">
        <v>84</v>
      </c>
      <c r="Q405" s="17">
        <v>14000000</v>
      </c>
      <c r="R405" s="17">
        <v>38</v>
      </c>
      <c r="S405" t="s">
        <v>85</v>
      </c>
      <c r="T405" t="s">
        <v>84</v>
      </c>
      <c r="U405" t="s">
        <v>86</v>
      </c>
      <c r="V405" s="16">
        <v>43904</v>
      </c>
      <c r="W405" s="18">
        <v>43904.6458333333</v>
      </c>
      <c r="X405" s="18">
        <v>44044</v>
      </c>
      <c r="Y405" s="17">
        <v>4147.9</v>
      </c>
      <c r="Z405" t="s">
        <v>87</v>
      </c>
      <c r="AA405" s="17">
        <v>4245</v>
      </c>
      <c r="AB405" s="17">
        <v>1647</v>
      </c>
      <c r="AC405" t="s">
        <v>84</v>
      </c>
      <c r="AD405" t="s">
        <v>84</v>
      </c>
      <c r="AE405" t="s">
        <v>84</v>
      </c>
      <c r="AF405" t="s">
        <v>84</v>
      </c>
      <c r="AG405" s="17">
        <v>14388000</v>
      </c>
      <c r="AH405" s="17">
        <v>45.1</v>
      </c>
      <c r="AI405" s="17">
        <v>3.51</v>
      </c>
      <c r="AJ405" s="17">
        <v>3.51</v>
      </c>
      <c r="AK405" t="s">
        <v>89</v>
      </c>
      <c r="AM405" s="17">
        <v>2.4</v>
      </c>
      <c r="AN405" s="17"/>
      <c r="AO405" s="17">
        <v>795</v>
      </c>
      <c r="AP405" s="17"/>
      <c r="AQ405" s="17">
        <v>1400</v>
      </c>
      <c r="AR405" s="17"/>
      <c r="AS405" s="17">
        <v>1.7</v>
      </c>
      <c r="AT405" s="17"/>
      <c r="AU405" s="17">
        <v>613</v>
      </c>
      <c r="AV405" s="17"/>
      <c r="AW405" s="17">
        <v>1085</v>
      </c>
      <c r="AX405" s="17"/>
      <c r="AY405" t="s">
        <v>92</v>
      </c>
      <c r="AZ405" t="s">
        <v>92</v>
      </c>
      <c r="BA405" t="s">
        <v>92</v>
      </c>
      <c r="BB405" t="s">
        <v>92</v>
      </c>
      <c r="BC405" t="s">
        <v>92</v>
      </c>
      <c r="BD405" s="17">
        <v>18.3</v>
      </c>
      <c r="BE405" s="17">
        <v>7621000</v>
      </c>
      <c r="BF405" t="s">
        <v>92</v>
      </c>
      <c r="BG405" t="s">
        <v>92</v>
      </c>
      <c r="BH405" t="s">
        <v>93</v>
      </c>
      <c r="BI405" t="s">
        <v>94</v>
      </c>
      <c r="BJ405" t="s">
        <v>128</v>
      </c>
      <c r="BK405" t="s">
        <v>85</v>
      </c>
      <c r="BL405" t="s">
        <v>85</v>
      </c>
      <c r="BM405" t="s">
        <v>96</v>
      </c>
      <c r="BN405" t="s">
        <v>97</v>
      </c>
      <c r="BO405" t="s">
        <v>98</v>
      </c>
      <c r="BP405" t="s">
        <v>99</v>
      </c>
      <c r="BQ405" s="17">
        <v>6447.165</v>
      </c>
      <c r="BR405" t="s">
        <v>100</v>
      </c>
      <c r="BS405" t="s">
        <v>608</v>
      </c>
      <c r="BT405" t="s">
        <v>99</v>
      </c>
      <c r="BU405" s="17">
        <v>9.3</v>
      </c>
      <c r="BV405" t="s">
        <v>191</v>
      </c>
      <c r="BW405" t="s">
        <v>85</v>
      </c>
      <c r="BX405" t="s">
        <v>85</v>
      </c>
      <c r="BY405" t="str">
        <f>IF(COUNTIF('Data Upload-prod'!E:E,F405)=0,"Missing","Exist")</f>
        <v>Exist</v>
      </c>
    </row>
    <row r="406" hidden="1" spans="1:77">
      <c r="A406" s="16">
        <v>43818</v>
      </c>
      <c r="B406" s="16">
        <v>44048</v>
      </c>
      <c r="C406" t="s">
        <v>195</v>
      </c>
      <c r="D406" t="s">
        <v>78</v>
      </c>
      <c r="E406" t="s">
        <v>296</v>
      </c>
      <c r="F406" t="s">
        <v>847</v>
      </c>
      <c r="G406" t="s">
        <v>81</v>
      </c>
      <c r="H406" t="s">
        <v>198</v>
      </c>
      <c r="I406" t="s">
        <v>83</v>
      </c>
      <c r="J406" s="17">
        <v>64</v>
      </c>
      <c r="K406" s="17">
        <v>5700</v>
      </c>
      <c r="L406" s="17">
        <v>1654.3</v>
      </c>
      <c r="M406" t="s">
        <v>84</v>
      </c>
      <c r="N406" t="s">
        <v>84</v>
      </c>
      <c r="O406" t="s">
        <v>84</v>
      </c>
      <c r="P406" t="s">
        <v>84</v>
      </c>
      <c r="Q406" s="17">
        <v>8500000</v>
      </c>
      <c r="R406" s="17">
        <v>23</v>
      </c>
      <c r="S406" t="s">
        <v>85</v>
      </c>
      <c r="T406" t="s">
        <v>84</v>
      </c>
      <c r="U406" t="s">
        <v>86</v>
      </c>
      <c r="V406" s="16">
        <v>43973.7083333333</v>
      </c>
      <c r="W406" s="18">
        <v>43969</v>
      </c>
      <c r="X406" s="18">
        <v>43990</v>
      </c>
      <c r="Y406" s="17">
        <v>3923.9</v>
      </c>
      <c r="Z406" t="s">
        <v>87</v>
      </c>
      <c r="AA406" s="17">
        <v>4021</v>
      </c>
      <c r="AB406" s="17">
        <v>1479</v>
      </c>
      <c r="AC406" t="s">
        <v>84</v>
      </c>
      <c r="AD406" t="s">
        <v>84</v>
      </c>
      <c r="AE406" t="s">
        <v>84</v>
      </c>
      <c r="AF406" t="s">
        <v>84</v>
      </c>
      <c r="AG406" s="17">
        <v>7405000</v>
      </c>
      <c r="AH406" s="17">
        <v>21</v>
      </c>
      <c r="AI406" s="17">
        <v>7.14</v>
      </c>
      <c r="AJ406" s="17">
        <v>6.75</v>
      </c>
      <c r="AK406" t="s">
        <v>298</v>
      </c>
      <c r="AM406" s="17">
        <v>1.8</v>
      </c>
      <c r="AN406" s="17"/>
      <c r="AO406" s="17">
        <v>600</v>
      </c>
      <c r="AP406" s="17"/>
      <c r="AQ406" s="17">
        <v>1160</v>
      </c>
      <c r="AR406" s="17"/>
      <c r="AS406" s="17">
        <v>2.3</v>
      </c>
      <c r="AT406" s="17"/>
      <c r="AU406" s="17">
        <v>748</v>
      </c>
      <c r="AV406" s="17"/>
      <c r="AW406" s="17">
        <v>1478</v>
      </c>
      <c r="AX406" s="17"/>
      <c r="AY406" t="s">
        <v>92</v>
      </c>
      <c r="AZ406" t="s">
        <v>92</v>
      </c>
      <c r="BA406" t="s">
        <v>92</v>
      </c>
      <c r="BB406" t="s">
        <v>92</v>
      </c>
      <c r="BC406" t="s">
        <v>92</v>
      </c>
      <c r="BD406" s="17">
        <v>12.3</v>
      </c>
      <c r="BE406" s="17">
        <v>8557000</v>
      </c>
      <c r="BF406" t="s">
        <v>92</v>
      </c>
      <c r="BG406" t="s">
        <v>92</v>
      </c>
      <c r="BH406" t="s">
        <v>93</v>
      </c>
      <c r="BI406" t="s">
        <v>94</v>
      </c>
      <c r="BJ406" t="s">
        <v>128</v>
      </c>
      <c r="BK406" t="s">
        <v>85</v>
      </c>
      <c r="BL406" t="s">
        <v>85</v>
      </c>
      <c r="BM406" t="s">
        <v>96</v>
      </c>
      <c r="BN406" t="s">
        <v>97</v>
      </c>
      <c r="BO406" t="s">
        <v>98</v>
      </c>
      <c r="BP406" t="s">
        <v>99</v>
      </c>
      <c r="BQ406" s="17">
        <v>2861.032</v>
      </c>
      <c r="BR406" t="s">
        <v>100</v>
      </c>
      <c r="BS406" t="s">
        <v>608</v>
      </c>
      <c r="BT406" t="s">
        <v>99</v>
      </c>
      <c r="BU406" s="17">
        <v>9.3</v>
      </c>
      <c r="BV406" t="s">
        <v>191</v>
      </c>
      <c r="BW406" t="s">
        <v>85</v>
      </c>
      <c r="BX406" t="s">
        <v>85</v>
      </c>
      <c r="BY406" t="str">
        <f>IF(COUNTIF('Data Upload-prod'!E:E,F406)=0,"Missing","Exist")</f>
        <v>Exist</v>
      </c>
    </row>
    <row r="407" hidden="1" spans="1:77">
      <c r="A407" s="16">
        <v>43814</v>
      </c>
      <c r="B407" s="16">
        <v>43948</v>
      </c>
      <c r="C407" t="s">
        <v>77</v>
      </c>
      <c r="D407" t="s">
        <v>78</v>
      </c>
      <c r="E407" t="s">
        <v>848</v>
      </c>
      <c r="F407" t="s">
        <v>849</v>
      </c>
      <c r="G407" t="s">
        <v>81</v>
      </c>
      <c r="H407" t="s">
        <v>123</v>
      </c>
      <c r="I407" t="s">
        <v>124</v>
      </c>
      <c r="J407" s="17">
        <v>70.7</v>
      </c>
      <c r="K407" s="17">
        <v>2060</v>
      </c>
      <c r="L407" s="17">
        <v>1454</v>
      </c>
      <c r="M407" t="s">
        <v>84</v>
      </c>
      <c r="N407" t="s">
        <v>84</v>
      </c>
      <c r="O407" t="s">
        <v>84</v>
      </c>
      <c r="P407" t="s">
        <v>84</v>
      </c>
      <c r="Q407" s="17">
        <v>4355166</v>
      </c>
      <c r="R407" s="17">
        <v>11.3</v>
      </c>
      <c r="S407" t="s">
        <v>106</v>
      </c>
      <c r="T407" t="s">
        <v>84</v>
      </c>
      <c r="U407" t="s">
        <v>86</v>
      </c>
      <c r="V407" s="16">
        <v>43877</v>
      </c>
      <c r="W407" s="18">
        <v>43863.4583333333</v>
      </c>
      <c r="X407" s="18">
        <v>43894.0729166667</v>
      </c>
      <c r="Y407" s="17">
        <v>2646.8</v>
      </c>
      <c r="Z407" t="s">
        <v>87</v>
      </c>
      <c r="AA407" s="17">
        <v>2760</v>
      </c>
      <c r="AB407" s="17">
        <v>1794.64</v>
      </c>
      <c r="AC407" t="s">
        <v>84</v>
      </c>
      <c r="AD407" t="s">
        <v>84</v>
      </c>
      <c r="AE407" t="s">
        <v>84</v>
      </c>
      <c r="AF407" t="s">
        <v>84</v>
      </c>
      <c r="AG407" s="17">
        <v>8597395</v>
      </c>
      <c r="AH407" s="17">
        <v>17.65</v>
      </c>
      <c r="AI407" s="17">
        <v>39.31</v>
      </c>
      <c r="AJ407" s="17">
        <v>39.31</v>
      </c>
      <c r="AK407" t="s">
        <v>89</v>
      </c>
      <c r="AM407" s="17">
        <v>2.4</v>
      </c>
      <c r="AN407" s="17"/>
      <c r="AO407" s="17">
        <v>795</v>
      </c>
      <c r="AP407" s="17"/>
      <c r="AQ407" s="17">
        <v>1200</v>
      </c>
      <c r="AR407" s="17"/>
      <c r="AS407" s="17">
        <v>2.2</v>
      </c>
      <c r="AT407" s="17"/>
      <c r="AU407" s="17">
        <v>880</v>
      </c>
      <c r="AV407" s="17"/>
      <c r="AW407" s="17">
        <v>1235</v>
      </c>
      <c r="AX407" s="17"/>
      <c r="AY407" t="s">
        <v>92</v>
      </c>
      <c r="AZ407" t="s">
        <v>92</v>
      </c>
      <c r="BA407" t="s">
        <v>92</v>
      </c>
      <c r="BB407" t="s">
        <v>92</v>
      </c>
      <c r="BC407" t="s">
        <v>92</v>
      </c>
      <c r="BD407" s="17">
        <v>0.69</v>
      </c>
      <c r="BE407" s="17">
        <v>718082.23</v>
      </c>
      <c r="BF407" t="s">
        <v>92</v>
      </c>
      <c r="BG407" t="s">
        <v>92</v>
      </c>
      <c r="BH407" t="s">
        <v>93</v>
      </c>
      <c r="BI407" t="s">
        <v>94</v>
      </c>
      <c r="BJ407" t="s">
        <v>95</v>
      </c>
      <c r="BK407" t="s">
        <v>85</v>
      </c>
      <c r="BL407" t="s">
        <v>85</v>
      </c>
      <c r="BM407" t="s">
        <v>96</v>
      </c>
      <c r="BN407" t="s">
        <v>97</v>
      </c>
      <c r="BO407" t="s">
        <v>98</v>
      </c>
      <c r="BP407" t="s">
        <v>103</v>
      </c>
      <c r="BQ407" s="17">
        <v>39.372</v>
      </c>
      <c r="BR407" t="s">
        <v>100</v>
      </c>
      <c r="BS407" t="s">
        <v>92</v>
      </c>
      <c r="BT407" t="s">
        <v>103</v>
      </c>
      <c r="BU407" s="17">
        <v>6.8</v>
      </c>
      <c r="BV407" t="s">
        <v>101</v>
      </c>
      <c r="BW407" t="s">
        <v>85</v>
      </c>
      <c r="BX407" t="s">
        <v>85</v>
      </c>
      <c r="BY407" t="str">
        <f>IF(COUNTIF('Data Upload-prod'!E:E,F407)=0,"Missing","Exist")</f>
        <v>Exist</v>
      </c>
    </row>
    <row r="408" hidden="1" spans="1:77">
      <c r="A408" s="16">
        <v>43804</v>
      </c>
      <c r="B408" s="16">
        <v>43928</v>
      </c>
      <c r="C408" t="s">
        <v>77</v>
      </c>
      <c r="D408" t="s">
        <v>78</v>
      </c>
      <c r="E408" t="s">
        <v>848</v>
      </c>
      <c r="F408" t="s">
        <v>850</v>
      </c>
      <c r="G408" t="s">
        <v>81</v>
      </c>
      <c r="H408" t="s">
        <v>123</v>
      </c>
      <c r="I408" t="s">
        <v>124</v>
      </c>
      <c r="J408" s="17">
        <v>70.7</v>
      </c>
      <c r="K408" s="17">
        <v>2033</v>
      </c>
      <c r="L408" s="17">
        <v>1848</v>
      </c>
      <c r="M408" t="s">
        <v>84</v>
      </c>
      <c r="N408" t="s">
        <v>84</v>
      </c>
      <c r="O408" t="s">
        <v>84</v>
      </c>
      <c r="P408" t="s">
        <v>84</v>
      </c>
      <c r="Q408" s="17">
        <v>3394452</v>
      </c>
      <c r="R408" s="17">
        <v>7.7</v>
      </c>
      <c r="S408" t="s">
        <v>85</v>
      </c>
      <c r="T408" t="s">
        <v>84</v>
      </c>
      <c r="U408" t="s">
        <v>86</v>
      </c>
      <c r="V408" s="16">
        <v>43860</v>
      </c>
      <c r="W408" s="18">
        <v>43860.3958333333</v>
      </c>
      <c r="X408" s="18">
        <v>43877.25</v>
      </c>
      <c r="Y408" s="17">
        <v>1924.8</v>
      </c>
      <c r="Z408" t="s">
        <v>87</v>
      </c>
      <c r="AA408" s="17">
        <v>2038</v>
      </c>
      <c r="AB408" s="17">
        <v>1849.43</v>
      </c>
      <c r="AC408" t="s">
        <v>84</v>
      </c>
      <c r="AD408" t="s">
        <v>84</v>
      </c>
      <c r="AE408" t="s">
        <v>84</v>
      </c>
      <c r="AF408" t="s">
        <v>84</v>
      </c>
      <c r="AG408" s="17">
        <v>2792625</v>
      </c>
      <c r="AH408" s="17">
        <v>6.77</v>
      </c>
      <c r="AI408" s="17">
        <v>5.08</v>
      </c>
      <c r="AJ408" s="17">
        <v>5.08</v>
      </c>
      <c r="AK408" t="s">
        <v>208</v>
      </c>
      <c r="AM408" s="17">
        <v>2.1</v>
      </c>
      <c r="AN408" s="17"/>
      <c r="AO408" s="17">
        <v>700</v>
      </c>
      <c r="AP408" s="17"/>
      <c r="AQ408" s="17">
        <v>555</v>
      </c>
      <c r="AR408" s="17"/>
      <c r="AS408" s="17">
        <v>0.95</v>
      </c>
      <c r="AT408" s="17"/>
      <c r="AU408" s="17">
        <v>355</v>
      </c>
      <c r="AV408" s="17"/>
      <c r="AW408" s="17">
        <v>442</v>
      </c>
      <c r="AX408" s="17"/>
      <c r="AY408" t="s">
        <v>92</v>
      </c>
      <c r="AZ408" t="s">
        <v>92</v>
      </c>
      <c r="BA408" t="s">
        <v>92</v>
      </c>
      <c r="BB408" t="s">
        <v>92</v>
      </c>
      <c r="BC408" t="s">
        <v>92</v>
      </c>
      <c r="BD408" s="17">
        <v>0.76</v>
      </c>
      <c r="BE408" s="17">
        <v>552528</v>
      </c>
      <c r="BF408" t="s">
        <v>92</v>
      </c>
      <c r="BG408" t="s">
        <v>92</v>
      </c>
      <c r="BH408" t="s">
        <v>93</v>
      </c>
      <c r="BI408" t="s">
        <v>94</v>
      </c>
      <c r="BJ408" t="s">
        <v>95</v>
      </c>
      <c r="BK408" t="s">
        <v>85</v>
      </c>
      <c r="BL408" t="s">
        <v>85</v>
      </c>
      <c r="BM408" t="s">
        <v>96</v>
      </c>
      <c r="BN408" t="s">
        <v>97</v>
      </c>
      <c r="BO408" t="s">
        <v>98</v>
      </c>
      <c r="BP408" t="s">
        <v>103</v>
      </c>
      <c r="BQ408" s="17">
        <v>19.686</v>
      </c>
      <c r="BR408" t="s">
        <v>100</v>
      </c>
      <c r="BS408" t="s">
        <v>92</v>
      </c>
      <c r="BT408" t="s">
        <v>103</v>
      </c>
      <c r="BU408" s="17">
        <v>6.8</v>
      </c>
      <c r="BV408" t="s">
        <v>101</v>
      </c>
      <c r="BW408" t="s">
        <v>85</v>
      </c>
      <c r="BX408" t="s">
        <v>85</v>
      </c>
      <c r="BY408" t="str">
        <f>IF(COUNTIF('Data Upload-prod'!E:E,F408)=0,"Missing","Exist")</f>
        <v>Exist</v>
      </c>
    </row>
    <row r="409" hidden="1" spans="1:77">
      <c r="A409" s="16">
        <v>43804</v>
      </c>
      <c r="B409" s="16">
        <v>43928</v>
      </c>
      <c r="C409" t="s">
        <v>77</v>
      </c>
      <c r="D409" t="s">
        <v>78</v>
      </c>
      <c r="E409" t="s">
        <v>848</v>
      </c>
      <c r="F409" t="s">
        <v>851</v>
      </c>
      <c r="G409" t="s">
        <v>81</v>
      </c>
      <c r="H409" t="s">
        <v>123</v>
      </c>
      <c r="I409" t="s">
        <v>124</v>
      </c>
      <c r="J409" s="17">
        <v>70.7</v>
      </c>
      <c r="K409" s="17">
        <v>2433</v>
      </c>
      <c r="L409" s="17">
        <v>1789</v>
      </c>
      <c r="M409" t="s">
        <v>84</v>
      </c>
      <c r="N409" t="s">
        <v>84</v>
      </c>
      <c r="O409" t="s">
        <v>84</v>
      </c>
      <c r="P409" t="s">
        <v>84</v>
      </c>
      <c r="Q409" s="17">
        <v>4096851</v>
      </c>
      <c r="R409" s="17">
        <v>11.1</v>
      </c>
      <c r="S409" t="s">
        <v>106</v>
      </c>
      <c r="T409" t="s">
        <v>84</v>
      </c>
      <c r="U409" t="s">
        <v>86</v>
      </c>
      <c r="V409" s="16">
        <v>43867</v>
      </c>
      <c r="W409" s="18">
        <v>43867.46875</v>
      </c>
      <c r="X409" s="18">
        <v>43884.53125</v>
      </c>
      <c r="Y409" s="17">
        <v>2428.8</v>
      </c>
      <c r="Z409" t="s">
        <v>87</v>
      </c>
      <c r="AA409" s="17">
        <v>2542</v>
      </c>
      <c r="AB409" s="17">
        <v>1812.71</v>
      </c>
      <c r="AC409" t="s">
        <v>84</v>
      </c>
      <c r="AD409" t="s">
        <v>84</v>
      </c>
      <c r="AE409" t="s">
        <v>84</v>
      </c>
      <c r="AF409" t="s">
        <v>84</v>
      </c>
      <c r="AG409" s="17">
        <v>3474337</v>
      </c>
      <c r="AH409" s="17">
        <v>9.26</v>
      </c>
      <c r="AI409" s="17">
        <v>0</v>
      </c>
      <c r="AJ409" s="17">
        <v>0</v>
      </c>
      <c r="AK409" t="s">
        <v>298</v>
      </c>
      <c r="AM409" s="17">
        <v>1.8</v>
      </c>
      <c r="AN409" s="17"/>
      <c r="AO409" s="17">
        <v>600</v>
      </c>
      <c r="AP409" s="17"/>
      <c r="AQ409" s="17">
        <v>1000</v>
      </c>
      <c r="AR409" s="17"/>
      <c r="AS409" s="17">
        <v>2.2</v>
      </c>
      <c r="AT409" s="17"/>
      <c r="AU409" s="17">
        <v>880</v>
      </c>
      <c r="AV409" s="17"/>
      <c r="AW409" s="17">
        <v>436</v>
      </c>
      <c r="AX409" s="17"/>
      <c r="AY409" t="s">
        <v>92</v>
      </c>
      <c r="AZ409" t="s">
        <v>92</v>
      </c>
      <c r="BA409" t="s">
        <v>92</v>
      </c>
      <c r="BB409" t="s">
        <v>92</v>
      </c>
      <c r="BC409" t="s">
        <v>92</v>
      </c>
      <c r="BD409" s="17">
        <v>5.61</v>
      </c>
      <c r="BE409" s="17">
        <v>3284901</v>
      </c>
      <c r="BF409" t="s">
        <v>92</v>
      </c>
      <c r="BG409" t="s">
        <v>92</v>
      </c>
      <c r="BH409" t="s">
        <v>93</v>
      </c>
      <c r="BI409" t="s">
        <v>94</v>
      </c>
      <c r="BJ409" t="s">
        <v>173</v>
      </c>
      <c r="BK409" t="s">
        <v>85</v>
      </c>
      <c r="BL409" t="s">
        <v>85</v>
      </c>
      <c r="BM409" t="s">
        <v>96</v>
      </c>
      <c r="BN409" t="s">
        <v>97</v>
      </c>
      <c r="BO409" t="s">
        <v>98</v>
      </c>
      <c r="BP409" t="s">
        <v>99</v>
      </c>
      <c r="BQ409" s="17">
        <v>45.934</v>
      </c>
      <c r="BR409" t="s">
        <v>138</v>
      </c>
      <c r="BS409" t="s">
        <v>92</v>
      </c>
      <c r="BT409" t="s">
        <v>99</v>
      </c>
      <c r="BU409" s="17">
        <v>8.6</v>
      </c>
      <c r="BV409" t="s">
        <v>110</v>
      </c>
      <c r="BW409" t="s">
        <v>85</v>
      </c>
      <c r="BX409" t="s">
        <v>85</v>
      </c>
      <c r="BY409" t="str">
        <f>IF(COUNTIF('Data Upload-prod'!E:E,F409)=0,"Missing","Exist")</f>
        <v>Exist</v>
      </c>
    </row>
    <row r="410" hidden="1" spans="1:77">
      <c r="A410" s="16">
        <v>43804</v>
      </c>
      <c r="B410" s="16">
        <v>43948</v>
      </c>
      <c r="C410" t="s">
        <v>77</v>
      </c>
      <c r="D410" t="s">
        <v>78</v>
      </c>
      <c r="E410" t="s">
        <v>848</v>
      </c>
      <c r="F410" t="s">
        <v>852</v>
      </c>
      <c r="G410" t="s">
        <v>81</v>
      </c>
      <c r="H410" t="s">
        <v>123</v>
      </c>
      <c r="I410" t="s">
        <v>124</v>
      </c>
      <c r="J410" s="17">
        <v>70.7</v>
      </c>
      <c r="K410" s="17">
        <v>2779</v>
      </c>
      <c r="L410" s="17">
        <v>1810</v>
      </c>
      <c r="M410" t="s">
        <v>84</v>
      </c>
      <c r="N410" t="s">
        <v>84</v>
      </c>
      <c r="O410" t="s">
        <v>84</v>
      </c>
      <c r="P410" t="s">
        <v>84</v>
      </c>
      <c r="Q410" s="17">
        <v>4355166</v>
      </c>
      <c r="R410" s="17">
        <v>11.3</v>
      </c>
      <c r="S410" t="s">
        <v>85</v>
      </c>
      <c r="T410" t="s">
        <v>84</v>
      </c>
      <c r="U410" t="s">
        <v>86</v>
      </c>
      <c r="V410" s="16">
        <v>43877</v>
      </c>
      <c r="W410" s="18">
        <v>43863.4583333333</v>
      </c>
      <c r="X410" s="18">
        <v>43924.0729166667</v>
      </c>
      <c r="Y410" s="17">
        <v>2646.8</v>
      </c>
      <c r="Z410" t="s">
        <v>87</v>
      </c>
      <c r="AA410" s="17">
        <v>2760</v>
      </c>
      <c r="AB410" s="17">
        <v>1794.64</v>
      </c>
      <c r="AC410" t="s">
        <v>84</v>
      </c>
      <c r="AD410" t="s">
        <v>84</v>
      </c>
      <c r="AE410" t="s">
        <v>84</v>
      </c>
      <c r="AF410" t="s">
        <v>84</v>
      </c>
      <c r="AG410" s="17">
        <v>16704367</v>
      </c>
      <c r="AH410" s="17">
        <v>41.48</v>
      </c>
      <c r="AI410" s="17">
        <v>16.75</v>
      </c>
      <c r="AJ410" s="17">
        <v>16.75</v>
      </c>
      <c r="AK410" t="s">
        <v>89</v>
      </c>
      <c r="AM410" s="17">
        <v>2.4</v>
      </c>
      <c r="AN410" s="17"/>
      <c r="AO410" s="17">
        <v>795</v>
      </c>
      <c r="AP410" s="17"/>
      <c r="AQ410" s="17">
        <v>1200</v>
      </c>
      <c r="AR410" s="17"/>
      <c r="AS410" s="17">
        <v>1.22</v>
      </c>
      <c r="AT410" s="17"/>
      <c r="AU410" s="17">
        <v>677</v>
      </c>
      <c r="AV410" s="17"/>
      <c r="AW410" s="17">
        <v>865</v>
      </c>
      <c r="AX410" s="17"/>
      <c r="AY410" t="s">
        <v>92</v>
      </c>
      <c r="AZ410" t="s">
        <v>92</v>
      </c>
      <c r="BA410" t="s">
        <v>92</v>
      </c>
      <c r="BB410" t="s">
        <v>92</v>
      </c>
      <c r="BC410" t="s">
        <v>92</v>
      </c>
      <c r="BD410" s="17">
        <v>7.5</v>
      </c>
      <c r="BE410" s="17">
        <v>3892649</v>
      </c>
      <c r="BF410" t="s">
        <v>92</v>
      </c>
      <c r="BG410" t="s">
        <v>92</v>
      </c>
      <c r="BH410" t="s">
        <v>853</v>
      </c>
      <c r="BI410" t="s">
        <v>94</v>
      </c>
      <c r="BJ410" t="s">
        <v>173</v>
      </c>
      <c r="BK410" t="s">
        <v>85</v>
      </c>
      <c r="BL410" t="s">
        <v>85</v>
      </c>
      <c r="BM410" t="s">
        <v>96</v>
      </c>
      <c r="BN410" t="s">
        <v>253</v>
      </c>
      <c r="BO410" t="s">
        <v>98</v>
      </c>
      <c r="BP410" t="s">
        <v>99</v>
      </c>
      <c r="BQ410" s="17">
        <v>120.7408</v>
      </c>
      <c r="BR410" t="s">
        <v>138</v>
      </c>
      <c r="BS410" t="s">
        <v>92</v>
      </c>
      <c r="BT410" t="s">
        <v>99</v>
      </c>
      <c r="BU410" s="17">
        <v>9</v>
      </c>
      <c r="BV410" t="s">
        <v>110</v>
      </c>
      <c r="BW410" t="s">
        <v>85</v>
      </c>
      <c r="BX410" t="s">
        <v>85</v>
      </c>
      <c r="BY410" t="str">
        <f>IF(COUNTIF('Data Upload-prod'!E:E,F410)=0,"Missing","Exist")</f>
        <v>Exist</v>
      </c>
    </row>
    <row r="411" hidden="1" spans="1:77">
      <c r="A411" s="16">
        <v>43804</v>
      </c>
      <c r="B411" s="16">
        <v>43928</v>
      </c>
      <c r="C411" t="s">
        <v>77</v>
      </c>
      <c r="D411" t="s">
        <v>78</v>
      </c>
      <c r="E411" t="s">
        <v>848</v>
      </c>
      <c r="F411" t="s">
        <v>854</v>
      </c>
      <c r="G411" t="s">
        <v>81</v>
      </c>
      <c r="H411" t="s">
        <v>123</v>
      </c>
      <c r="I411" t="s">
        <v>124</v>
      </c>
      <c r="J411" s="17">
        <v>70.7</v>
      </c>
      <c r="K411" s="17">
        <v>2433</v>
      </c>
      <c r="L411" s="17">
        <v>1789</v>
      </c>
      <c r="M411" t="s">
        <v>84</v>
      </c>
      <c r="N411" t="s">
        <v>84</v>
      </c>
      <c r="O411" t="s">
        <v>84</v>
      </c>
      <c r="P411" t="s">
        <v>84</v>
      </c>
      <c r="Q411" s="17">
        <v>14609385</v>
      </c>
      <c r="R411" s="17">
        <v>37.6</v>
      </c>
      <c r="S411" t="s">
        <v>85</v>
      </c>
      <c r="T411" t="s">
        <v>84</v>
      </c>
      <c r="U411" t="s">
        <v>86</v>
      </c>
      <c r="V411" s="16">
        <v>43860</v>
      </c>
      <c r="W411" s="18">
        <v>43855.7083333333</v>
      </c>
      <c r="X411" s="18">
        <v>43897.1875</v>
      </c>
      <c r="Y411" s="17">
        <v>2428.8</v>
      </c>
      <c r="Z411" t="s">
        <v>87</v>
      </c>
      <c r="AA411" s="17">
        <v>2542</v>
      </c>
      <c r="AB411" s="17">
        <v>1812.71</v>
      </c>
      <c r="AC411" t="s">
        <v>84</v>
      </c>
      <c r="AD411" t="s">
        <v>84</v>
      </c>
      <c r="AE411" t="s">
        <v>84</v>
      </c>
      <c r="AF411" t="s">
        <v>84</v>
      </c>
      <c r="AG411" s="17">
        <v>16704367</v>
      </c>
      <c r="AH411" s="17">
        <v>41.48</v>
      </c>
      <c r="AI411" s="17">
        <v>0</v>
      </c>
      <c r="AJ411" s="17">
        <v>0</v>
      </c>
      <c r="AK411" t="s">
        <v>89</v>
      </c>
      <c r="AM411" s="17">
        <v>2.4</v>
      </c>
      <c r="AN411" s="17"/>
      <c r="AO411" s="17">
        <v>795</v>
      </c>
      <c r="AP411" s="17"/>
      <c r="AQ411" s="17">
        <v>1200</v>
      </c>
      <c r="AR411" s="17"/>
      <c r="AS411" s="17">
        <v>0.91</v>
      </c>
      <c r="AT411" s="17"/>
      <c r="AU411" s="17">
        <v>301</v>
      </c>
      <c r="AV411" s="17"/>
      <c r="AW411" s="17">
        <v>436</v>
      </c>
      <c r="AX411" s="17"/>
      <c r="AY411" t="s">
        <v>92</v>
      </c>
      <c r="AZ411" t="s">
        <v>92</v>
      </c>
      <c r="BA411" t="s">
        <v>92</v>
      </c>
      <c r="BB411" t="s">
        <v>92</v>
      </c>
      <c r="BC411" t="s">
        <v>92</v>
      </c>
      <c r="BD411" s="17">
        <v>0.77</v>
      </c>
      <c r="BE411" s="17">
        <v>605861.1</v>
      </c>
      <c r="BF411" t="s">
        <v>92</v>
      </c>
      <c r="BG411" t="s">
        <v>92</v>
      </c>
      <c r="BH411" t="s">
        <v>93</v>
      </c>
      <c r="BI411" t="s">
        <v>94</v>
      </c>
      <c r="BJ411" t="s">
        <v>95</v>
      </c>
      <c r="BK411" t="s">
        <v>85</v>
      </c>
      <c r="BL411" t="s">
        <v>85</v>
      </c>
      <c r="BM411" t="s">
        <v>96</v>
      </c>
      <c r="BN411" t="s">
        <v>97</v>
      </c>
      <c r="BO411" t="s">
        <v>98</v>
      </c>
      <c r="BP411" t="s">
        <v>103</v>
      </c>
      <c r="BQ411" s="17">
        <v>65.62</v>
      </c>
      <c r="BR411" t="s">
        <v>100</v>
      </c>
      <c r="BS411" t="s">
        <v>92</v>
      </c>
      <c r="BT411" t="s">
        <v>103</v>
      </c>
      <c r="BU411" s="17">
        <v>6.8</v>
      </c>
      <c r="BV411" t="s">
        <v>101</v>
      </c>
      <c r="BW411" t="s">
        <v>85</v>
      </c>
      <c r="BX411" t="s">
        <v>85</v>
      </c>
      <c r="BY411" t="str">
        <f>IF(COUNTIF('Data Upload-prod'!E:E,F411)=0,"Missing","Exist")</f>
        <v>Exist</v>
      </c>
    </row>
    <row r="412" hidden="1" spans="1:77">
      <c r="A412" s="16">
        <v>43802</v>
      </c>
      <c r="B412" s="16">
        <v>43973</v>
      </c>
      <c r="C412" t="s">
        <v>269</v>
      </c>
      <c r="D412" t="s">
        <v>78</v>
      </c>
      <c r="E412" t="s">
        <v>817</v>
      </c>
      <c r="F412" t="s">
        <v>855</v>
      </c>
      <c r="G412" t="s">
        <v>81</v>
      </c>
      <c r="H412" t="s">
        <v>790</v>
      </c>
      <c r="I412" t="s">
        <v>124</v>
      </c>
      <c r="J412" s="17">
        <v>56.08</v>
      </c>
      <c r="K412" s="17">
        <v>3476.93</v>
      </c>
      <c r="L412" s="17">
        <v>1257.39</v>
      </c>
      <c r="M412" t="s">
        <v>84</v>
      </c>
      <c r="N412" t="s">
        <v>84</v>
      </c>
      <c r="O412" t="s">
        <v>84</v>
      </c>
      <c r="P412" t="s">
        <v>84</v>
      </c>
      <c r="Q412" s="17">
        <v>13900000</v>
      </c>
      <c r="R412" s="17">
        <v>30.3</v>
      </c>
      <c r="S412" t="s">
        <v>85</v>
      </c>
      <c r="T412" t="s">
        <v>84</v>
      </c>
      <c r="U412" t="s">
        <v>86</v>
      </c>
      <c r="V412" s="16">
        <v>43819</v>
      </c>
      <c r="W412" s="18">
        <v>43819.125</v>
      </c>
      <c r="X412" s="18">
        <v>43894</v>
      </c>
      <c r="Y412" s="17">
        <v>3395.75</v>
      </c>
      <c r="Z412" t="s">
        <v>87</v>
      </c>
      <c r="AA412" s="17">
        <v>3492.84</v>
      </c>
      <c r="AB412" s="17">
        <v>1252.65</v>
      </c>
      <c r="AC412" t="s">
        <v>84</v>
      </c>
      <c r="AD412" t="s">
        <v>84</v>
      </c>
      <c r="AE412" t="s">
        <v>84</v>
      </c>
      <c r="AF412" t="s">
        <v>84</v>
      </c>
      <c r="AG412" s="17">
        <v>12690000</v>
      </c>
      <c r="AH412" s="17">
        <v>33.81</v>
      </c>
      <c r="AI412" s="17">
        <v>0.6</v>
      </c>
      <c r="AJ412" s="17">
        <v>0.6</v>
      </c>
      <c r="AK412" t="s">
        <v>114</v>
      </c>
      <c r="AM412" s="17">
        <v>2.2</v>
      </c>
      <c r="AN412" s="17"/>
      <c r="AO412" s="17">
        <v>915</v>
      </c>
      <c r="AP412" s="17"/>
      <c r="AQ412" s="17">
        <v>1450</v>
      </c>
      <c r="AR412" s="17"/>
      <c r="AS412" s="17">
        <v>0.83</v>
      </c>
      <c r="AT412" s="17"/>
      <c r="AU412" s="17">
        <v>766</v>
      </c>
      <c r="AV412" s="17"/>
      <c r="AW412" s="17">
        <v>1140</v>
      </c>
      <c r="AX412" s="17"/>
      <c r="AY412" t="s">
        <v>92</v>
      </c>
      <c r="AZ412" t="s">
        <v>92</v>
      </c>
      <c r="BA412" t="s">
        <v>92</v>
      </c>
      <c r="BB412" t="s">
        <v>92</v>
      </c>
      <c r="BC412" t="s">
        <v>92</v>
      </c>
      <c r="BD412" s="17">
        <v>11.69</v>
      </c>
      <c r="BE412" s="17">
        <v>5714285.71</v>
      </c>
      <c r="BF412" t="s">
        <v>92</v>
      </c>
      <c r="BG412" t="s">
        <v>92</v>
      </c>
      <c r="BH412" t="s">
        <v>93</v>
      </c>
      <c r="BI412" t="s">
        <v>94</v>
      </c>
      <c r="BJ412" t="s">
        <v>128</v>
      </c>
      <c r="BK412" t="s">
        <v>85</v>
      </c>
      <c r="BL412" t="s">
        <v>85</v>
      </c>
      <c r="BM412" t="s">
        <v>273</v>
      </c>
      <c r="BN412" t="s">
        <v>97</v>
      </c>
      <c r="BO412" t="s">
        <v>98</v>
      </c>
      <c r="BP412" t="s">
        <v>99</v>
      </c>
      <c r="BQ412" s="17">
        <v>1291.33</v>
      </c>
      <c r="BR412" t="s">
        <v>138</v>
      </c>
      <c r="BS412" t="s">
        <v>92</v>
      </c>
      <c r="BT412" t="s">
        <v>99</v>
      </c>
      <c r="BU412" s="17">
        <v>9.3</v>
      </c>
      <c r="BV412" t="s">
        <v>256</v>
      </c>
      <c r="BW412" t="s">
        <v>85</v>
      </c>
      <c r="BX412" t="s">
        <v>85</v>
      </c>
      <c r="BY412" t="str">
        <f>IF(COUNTIF('Data Upload-prod'!E:E,F412)=0,"Missing","Exist")</f>
        <v>Exist</v>
      </c>
    </row>
    <row r="413" hidden="1" spans="1:77">
      <c r="A413" s="16">
        <v>43802</v>
      </c>
      <c r="B413" s="16">
        <v>43922</v>
      </c>
      <c r="C413" t="s">
        <v>269</v>
      </c>
      <c r="D413" t="s">
        <v>78</v>
      </c>
      <c r="E413" t="s">
        <v>817</v>
      </c>
      <c r="F413" t="s">
        <v>856</v>
      </c>
      <c r="G413" t="s">
        <v>81</v>
      </c>
      <c r="H413" t="s">
        <v>790</v>
      </c>
      <c r="I413" t="s">
        <v>124</v>
      </c>
      <c r="J413" s="17">
        <v>56.08</v>
      </c>
      <c r="K413" s="17">
        <v>3754.04</v>
      </c>
      <c r="L413" s="17">
        <v>1323.93</v>
      </c>
      <c r="M413" t="s">
        <v>84</v>
      </c>
      <c r="N413" t="s">
        <v>84</v>
      </c>
      <c r="O413" t="s">
        <v>84</v>
      </c>
      <c r="P413" t="s">
        <v>84</v>
      </c>
      <c r="Q413" s="17">
        <v>15880000</v>
      </c>
      <c r="R413" s="17">
        <v>39.05</v>
      </c>
      <c r="S413" t="s">
        <v>85</v>
      </c>
      <c r="T413" t="s">
        <v>84</v>
      </c>
      <c r="U413" t="s">
        <v>86</v>
      </c>
      <c r="V413" s="16">
        <v>43822</v>
      </c>
      <c r="W413" s="18">
        <v>43821.75</v>
      </c>
      <c r="X413" s="18">
        <v>43867</v>
      </c>
      <c r="Y413" s="17">
        <v>3656.95</v>
      </c>
      <c r="Z413" t="s">
        <v>87</v>
      </c>
      <c r="AA413" s="17">
        <v>3754.04</v>
      </c>
      <c r="AB413" s="17">
        <v>1323.93</v>
      </c>
      <c r="AC413" t="s">
        <v>84</v>
      </c>
      <c r="AD413" t="s">
        <v>84</v>
      </c>
      <c r="AE413" t="s">
        <v>84</v>
      </c>
      <c r="AF413" t="s">
        <v>84</v>
      </c>
      <c r="AG413" s="17">
        <v>12750000</v>
      </c>
      <c r="AH413" s="17">
        <v>33.35</v>
      </c>
      <c r="AI413" s="17">
        <v>1.3</v>
      </c>
      <c r="AJ413" s="17">
        <v>1.3</v>
      </c>
      <c r="AK413" t="s">
        <v>165</v>
      </c>
      <c r="AM413" s="17">
        <v>3.2</v>
      </c>
      <c r="AN413" s="17"/>
      <c r="AO413" s="17">
        <v>1300</v>
      </c>
      <c r="AP413" s="17"/>
      <c r="AQ413" s="17">
        <v>1830</v>
      </c>
      <c r="AR413" s="17"/>
      <c r="AS413" s="17">
        <v>2.8</v>
      </c>
      <c r="AT413" s="17"/>
      <c r="AU413" s="17">
        <v>1560</v>
      </c>
      <c r="AV413" s="17"/>
      <c r="AW413" s="17">
        <v>1245</v>
      </c>
      <c r="AX413" s="17"/>
      <c r="AY413" t="s">
        <v>92</v>
      </c>
      <c r="AZ413" t="s">
        <v>92</v>
      </c>
      <c r="BA413" t="s">
        <v>92</v>
      </c>
      <c r="BB413" t="s">
        <v>92</v>
      </c>
      <c r="BC413" t="s">
        <v>92</v>
      </c>
      <c r="BD413" s="17">
        <v>9.35</v>
      </c>
      <c r="BE413" s="17">
        <v>3840000</v>
      </c>
      <c r="BF413" t="s">
        <v>92</v>
      </c>
      <c r="BG413" t="s">
        <v>92</v>
      </c>
      <c r="BH413" t="s">
        <v>93</v>
      </c>
      <c r="BI413" t="s">
        <v>94</v>
      </c>
      <c r="BJ413" t="s">
        <v>128</v>
      </c>
      <c r="BK413" t="s">
        <v>85</v>
      </c>
      <c r="BL413" t="s">
        <v>85</v>
      </c>
      <c r="BM413" t="s">
        <v>273</v>
      </c>
      <c r="BN413" t="s">
        <v>97</v>
      </c>
      <c r="BO413" t="s">
        <v>98</v>
      </c>
      <c r="BP413" t="s">
        <v>99</v>
      </c>
      <c r="BQ413" s="17">
        <v>987.79</v>
      </c>
      <c r="BR413" t="s">
        <v>138</v>
      </c>
      <c r="BS413" t="s">
        <v>92</v>
      </c>
      <c r="BT413" t="s">
        <v>99</v>
      </c>
      <c r="BU413" s="17">
        <v>9.3</v>
      </c>
      <c r="BV413" t="s">
        <v>256</v>
      </c>
      <c r="BW413" t="s">
        <v>85</v>
      </c>
      <c r="BX413" t="s">
        <v>85</v>
      </c>
      <c r="BY413" t="str">
        <f>IF(COUNTIF('Data Upload-prod'!E:E,F413)=0,"Missing","Exist")</f>
        <v>Exist</v>
      </c>
    </row>
    <row r="414" hidden="1" spans="1:77">
      <c r="A414" s="16">
        <v>43800</v>
      </c>
      <c r="B414" s="16">
        <v>43934</v>
      </c>
      <c r="C414" t="s">
        <v>151</v>
      </c>
      <c r="D414" t="s">
        <v>142</v>
      </c>
      <c r="E414" t="s">
        <v>166</v>
      </c>
      <c r="F414" t="s">
        <v>857</v>
      </c>
      <c r="G414" t="s">
        <v>81</v>
      </c>
      <c r="H414" t="s">
        <v>154</v>
      </c>
      <c r="I414" t="s">
        <v>124</v>
      </c>
      <c r="J414" s="17">
        <v>54.25</v>
      </c>
      <c r="K414" s="17">
        <v>2429.75</v>
      </c>
      <c r="L414" s="17">
        <v>2305.09</v>
      </c>
      <c r="M414" t="s">
        <v>84</v>
      </c>
      <c r="N414" t="s">
        <v>84</v>
      </c>
      <c r="O414" t="s">
        <v>84</v>
      </c>
      <c r="P414" t="s">
        <v>84</v>
      </c>
      <c r="Q414" s="17">
        <v>7370000</v>
      </c>
      <c r="R414" s="17">
        <v>19.39</v>
      </c>
      <c r="S414" t="s">
        <v>85</v>
      </c>
      <c r="T414" t="s">
        <v>84</v>
      </c>
      <c r="U414" t="s">
        <v>86</v>
      </c>
      <c r="V414" s="16">
        <v>43836</v>
      </c>
      <c r="W414" s="18">
        <v>43836</v>
      </c>
      <c r="X414" s="18">
        <v>43849.2291666667</v>
      </c>
      <c r="Y414" s="17">
        <v>2293.39</v>
      </c>
      <c r="Z414" t="s">
        <v>87</v>
      </c>
      <c r="AA414" s="17">
        <v>2390.43</v>
      </c>
      <c r="AB414" s="17">
        <v>2265.77</v>
      </c>
      <c r="AC414" t="s">
        <v>84</v>
      </c>
      <c r="AD414" t="s">
        <v>84</v>
      </c>
      <c r="AE414" t="s">
        <v>84</v>
      </c>
      <c r="AF414" t="s">
        <v>84</v>
      </c>
      <c r="AG414" s="17">
        <v>6170000</v>
      </c>
      <c r="AH414" s="17">
        <v>13.23</v>
      </c>
      <c r="AI414" s="17">
        <v>2.83</v>
      </c>
      <c r="AJ414" s="17">
        <v>2.83</v>
      </c>
      <c r="AK414" t="s">
        <v>208</v>
      </c>
      <c r="AM414" s="17">
        <v>1.7</v>
      </c>
      <c r="AN414" s="17"/>
      <c r="AO414" s="17">
        <v>720</v>
      </c>
      <c r="AP414" s="17"/>
      <c r="AQ414" s="17">
        <v>1285</v>
      </c>
      <c r="AR414" s="17"/>
      <c r="AS414" s="17">
        <v>0.9</v>
      </c>
      <c r="AT414" s="17"/>
      <c r="AU414" s="17">
        <v>293.3</v>
      </c>
      <c r="AV414" s="17"/>
      <c r="AW414" s="17">
        <v>371</v>
      </c>
      <c r="AX414" s="17"/>
      <c r="AY414" t="s">
        <v>92</v>
      </c>
      <c r="AZ414" t="s">
        <v>92</v>
      </c>
      <c r="BA414" t="s">
        <v>92</v>
      </c>
      <c r="BB414" t="s">
        <v>92</v>
      </c>
      <c r="BC414" t="s">
        <v>92</v>
      </c>
      <c r="BD414" s="17">
        <v>3.96</v>
      </c>
      <c r="BE414" s="17">
        <v>1999965</v>
      </c>
      <c r="BF414" t="s">
        <v>92</v>
      </c>
      <c r="BG414" t="s">
        <v>92</v>
      </c>
      <c r="BH414" t="s">
        <v>93</v>
      </c>
      <c r="BI414" t="s">
        <v>94</v>
      </c>
      <c r="BJ414" t="s">
        <v>173</v>
      </c>
      <c r="BK414" t="s">
        <v>85</v>
      </c>
      <c r="BL414" t="s">
        <v>85</v>
      </c>
      <c r="BM414" t="s">
        <v>96</v>
      </c>
      <c r="BN414" t="s">
        <v>97</v>
      </c>
      <c r="BO414" t="s">
        <v>98</v>
      </c>
      <c r="BP414" t="s">
        <v>99</v>
      </c>
      <c r="BQ414" s="17">
        <v>77.5</v>
      </c>
      <c r="BR414" t="s">
        <v>138</v>
      </c>
      <c r="BS414" t="s">
        <v>156</v>
      </c>
      <c r="BT414" t="s">
        <v>99</v>
      </c>
      <c r="BU414" s="17">
        <v>8.6</v>
      </c>
      <c r="BV414" t="s">
        <v>110</v>
      </c>
      <c r="BW414" t="s">
        <v>85</v>
      </c>
      <c r="BX414" t="s">
        <v>85</v>
      </c>
      <c r="BY414" t="str">
        <f>IF(COUNTIF('Data Upload-prod'!E:E,F414)=0,"Missing","Exist")</f>
        <v>Exist</v>
      </c>
    </row>
    <row r="415" hidden="1" spans="1:77">
      <c r="A415" s="16">
        <v>43794</v>
      </c>
      <c r="B415" s="16">
        <v>43950</v>
      </c>
      <c r="C415" t="s">
        <v>218</v>
      </c>
      <c r="D415" t="s">
        <v>120</v>
      </c>
      <c r="E415" t="s">
        <v>858</v>
      </c>
      <c r="F415" t="s">
        <v>859</v>
      </c>
      <c r="G415" t="s">
        <v>145</v>
      </c>
      <c r="H415" t="s">
        <v>397</v>
      </c>
      <c r="I415" t="s">
        <v>124</v>
      </c>
      <c r="J415" s="17">
        <v>88.1</v>
      </c>
      <c r="K415" s="17">
        <v>2410</v>
      </c>
      <c r="L415" s="17">
        <v>2376</v>
      </c>
      <c r="M415" s="17">
        <v>10448000</v>
      </c>
      <c r="N415" s="17">
        <v>12921000</v>
      </c>
      <c r="O415" s="17">
        <v>29.26</v>
      </c>
      <c r="P415" s="17">
        <v>38.19</v>
      </c>
      <c r="Q415" t="s">
        <v>84</v>
      </c>
      <c r="R415" t="s">
        <v>84</v>
      </c>
      <c r="S415" t="s">
        <v>85</v>
      </c>
      <c r="T415" t="s">
        <v>84</v>
      </c>
      <c r="U415" t="s">
        <v>84</v>
      </c>
      <c r="V415" s="16">
        <v>43845.6666666667</v>
      </c>
      <c r="W415" s="18">
        <v>43841.59375</v>
      </c>
      <c r="X415" s="18">
        <v>43890.5208333333</v>
      </c>
      <c r="Y415" s="17">
        <v>1358.85</v>
      </c>
      <c r="Z415" t="s">
        <v>87</v>
      </c>
      <c r="AA415" s="17">
        <v>1481</v>
      </c>
      <c r="AB415" s="17">
        <v>1480.76</v>
      </c>
      <c r="AC415" t="s">
        <v>84</v>
      </c>
      <c r="AD415" s="17">
        <v>12650811.47</v>
      </c>
      <c r="AE415" t="s">
        <v>84</v>
      </c>
      <c r="AF415" s="17">
        <v>48.93</v>
      </c>
      <c r="AG415" t="s">
        <v>84</v>
      </c>
      <c r="AH415" t="s">
        <v>84</v>
      </c>
      <c r="AI415" s="17">
        <v>50.28</v>
      </c>
      <c r="AJ415" s="17">
        <v>28.85</v>
      </c>
      <c r="AK415" t="s">
        <v>323</v>
      </c>
      <c r="AM415" s="17">
        <v>4.4</v>
      </c>
      <c r="AN415" s="17"/>
      <c r="AO415" s="17">
        <v>1980</v>
      </c>
      <c r="AP415" s="17"/>
      <c r="AQ415" s="17">
        <v>2760</v>
      </c>
      <c r="AR415" s="17"/>
      <c r="AS415" s="17">
        <v>6.41</v>
      </c>
      <c r="AT415" s="17"/>
      <c r="AU415" s="17">
        <v>1926.33</v>
      </c>
      <c r="AV415" s="17"/>
      <c r="AW415" s="17">
        <v>2837.53</v>
      </c>
      <c r="AX415" s="17"/>
      <c r="AY415" t="s">
        <v>92</v>
      </c>
      <c r="AZ415" t="s">
        <v>92</v>
      </c>
      <c r="BA415" t="s">
        <v>92</v>
      </c>
      <c r="BB415" t="s">
        <v>92</v>
      </c>
      <c r="BC415" t="s">
        <v>92</v>
      </c>
      <c r="BD415" t="s">
        <v>92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92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92</v>
      </c>
      <c r="BS415" t="s">
        <v>92</v>
      </c>
      <c r="BT415" t="s">
        <v>92</v>
      </c>
      <c r="BU415" t="s">
        <v>92</v>
      </c>
      <c r="BV415" t="s">
        <v>92</v>
      </c>
      <c r="BW415" t="s">
        <v>92</v>
      </c>
      <c r="BX415" t="s">
        <v>92</v>
      </c>
      <c r="BY415" t="str">
        <f>IF(COUNTIF('Data Upload-prod'!E:E,F415)=0,"Missing","Exist")</f>
        <v>Exist</v>
      </c>
    </row>
    <row r="416" hidden="1" spans="1:77">
      <c r="A416" s="16">
        <v>43794</v>
      </c>
      <c r="B416" s="16">
        <v>44026</v>
      </c>
      <c r="C416" t="s">
        <v>132</v>
      </c>
      <c r="D416" t="s">
        <v>120</v>
      </c>
      <c r="E416" t="s">
        <v>860</v>
      </c>
      <c r="F416" t="s">
        <v>861</v>
      </c>
      <c r="G416" t="s">
        <v>145</v>
      </c>
      <c r="H416" t="s">
        <v>146</v>
      </c>
      <c r="I416" t="s">
        <v>147</v>
      </c>
      <c r="J416" s="17">
        <v>1575</v>
      </c>
      <c r="K416" s="17">
        <v>4325</v>
      </c>
      <c r="L416" s="17">
        <v>4325</v>
      </c>
      <c r="M416" s="17">
        <v>47500000</v>
      </c>
      <c r="N416" s="17">
        <v>47500000</v>
      </c>
      <c r="O416" s="17">
        <v>83.7</v>
      </c>
      <c r="P416" s="17">
        <v>83.7</v>
      </c>
      <c r="Q416" t="s">
        <v>84</v>
      </c>
      <c r="R416" t="s">
        <v>84</v>
      </c>
      <c r="S416" t="s">
        <v>118</v>
      </c>
      <c r="T416" t="s">
        <v>84</v>
      </c>
      <c r="U416" t="s">
        <v>84</v>
      </c>
      <c r="V416" s="16">
        <v>43822</v>
      </c>
      <c r="W416" s="18">
        <v>43820.4583333333</v>
      </c>
      <c r="X416" s="18">
        <v>43965.3958333333</v>
      </c>
      <c r="Y416" s="17">
        <v>2450</v>
      </c>
      <c r="Z416" t="s">
        <v>148</v>
      </c>
      <c r="AA416" s="17">
        <v>4050</v>
      </c>
      <c r="AB416" s="17">
        <v>4043.38</v>
      </c>
      <c r="AC416" t="s">
        <v>84</v>
      </c>
      <c r="AD416" s="17">
        <v>35897607</v>
      </c>
      <c r="AE416" t="s">
        <v>84</v>
      </c>
      <c r="AF416" s="17">
        <v>76.75</v>
      </c>
      <c r="AG416" t="s">
        <v>84</v>
      </c>
      <c r="AH416" t="s">
        <v>84</v>
      </c>
      <c r="AI416" s="17">
        <v>8.46</v>
      </c>
      <c r="AJ416" s="17">
        <v>8.46</v>
      </c>
      <c r="AK416" t="s">
        <v>378</v>
      </c>
      <c r="AM416" s="17">
        <v>5.4</v>
      </c>
      <c r="AN416" s="17"/>
      <c r="AO416" s="17">
        <v>5090</v>
      </c>
      <c r="AP416" s="17"/>
      <c r="AQ416" s="17">
        <v>7920</v>
      </c>
      <c r="AR416" s="17"/>
      <c r="AS416" s="17">
        <v>7.73</v>
      </c>
      <c r="AT416" s="17"/>
      <c r="AU416" s="17">
        <v>3607</v>
      </c>
      <c r="AV416" s="17"/>
      <c r="AW416" s="17">
        <v>4341</v>
      </c>
      <c r="AX416" s="17"/>
      <c r="AY416" t="s">
        <v>92</v>
      </c>
      <c r="AZ416" t="s">
        <v>92</v>
      </c>
      <c r="BA416" t="s">
        <v>92</v>
      </c>
      <c r="BB416" t="s">
        <v>92</v>
      </c>
      <c r="BC416" t="s">
        <v>92</v>
      </c>
      <c r="BD416" t="s">
        <v>92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92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92</v>
      </c>
      <c r="BS416" t="s">
        <v>92</v>
      </c>
      <c r="BT416" t="s">
        <v>92</v>
      </c>
      <c r="BU416" t="s">
        <v>92</v>
      </c>
      <c r="BV416" t="s">
        <v>92</v>
      </c>
      <c r="BW416" t="s">
        <v>92</v>
      </c>
      <c r="BX416" t="s">
        <v>92</v>
      </c>
      <c r="BY416" t="str">
        <f>IF(COUNTIF('Data Upload-prod'!E:E,F416)=0,"Missing","Exist")</f>
        <v>Exist</v>
      </c>
    </row>
    <row r="417" hidden="1" spans="1:77">
      <c r="A417" s="16">
        <v>43794</v>
      </c>
      <c r="B417" s="16">
        <v>43902</v>
      </c>
      <c r="C417" t="s">
        <v>77</v>
      </c>
      <c r="D417" t="s">
        <v>78</v>
      </c>
      <c r="E417" t="s">
        <v>862</v>
      </c>
      <c r="F417" t="s">
        <v>863</v>
      </c>
      <c r="G417" t="s">
        <v>145</v>
      </c>
      <c r="H417" t="s">
        <v>123</v>
      </c>
      <c r="I417" t="s">
        <v>124</v>
      </c>
      <c r="J417" s="17">
        <v>65.5</v>
      </c>
      <c r="K417" s="17">
        <v>2245</v>
      </c>
      <c r="L417" s="17">
        <v>2245</v>
      </c>
      <c r="M417" s="17">
        <v>6471178</v>
      </c>
      <c r="N417" s="17">
        <v>6471178</v>
      </c>
      <c r="O417" s="17">
        <v>18.3</v>
      </c>
      <c r="P417" s="17">
        <v>18.3</v>
      </c>
      <c r="Q417" t="s">
        <v>84</v>
      </c>
      <c r="R417" t="s">
        <v>84</v>
      </c>
      <c r="S417" t="s">
        <v>106</v>
      </c>
      <c r="T417" t="s">
        <v>84</v>
      </c>
      <c r="U417" t="s">
        <v>84</v>
      </c>
      <c r="V417" s="16">
        <v>43843</v>
      </c>
      <c r="W417" s="18">
        <v>43824.8958333333</v>
      </c>
      <c r="X417" s="18">
        <v>43855.7083333333</v>
      </c>
      <c r="Y417" s="17">
        <v>1675.5</v>
      </c>
      <c r="Z417" t="s">
        <v>87</v>
      </c>
      <c r="AA417" s="17">
        <v>1771</v>
      </c>
      <c r="AB417" s="17">
        <v>1240.9</v>
      </c>
      <c r="AC417" t="s">
        <v>84</v>
      </c>
      <c r="AD417" s="17">
        <v>6915062</v>
      </c>
      <c r="AE417" t="s">
        <v>84</v>
      </c>
      <c r="AF417" s="17">
        <v>30.2</v>
      </c>
      <c r="AG417" t="s">
        <v>84</v>
      </c>
      <c r="AH417" t="s">
        <v>84</v>
      </c>
      <c r="AI417" s="17">
        <v>53.5</v>
      </c>
      <c r="AJ417" s="17">
        <v>53.5</v>
      </c>
      <c r="AK417" t="s">
        <v>300</v>
      </c>
      <c r="AM417" s="17">
        <v>1.9</v>
      </c>
      <c r="AN417" s="17"/>
      <c r="AO417" s="17">
        <v>720</v>
      </c>
      <c r="AP417" s="17"/>
      <c r="AQ417" s="17">
        <v>1370</v>
      </c>
      <c r="AR417" s="17"/>
      <c r="AS417" s="17">
        <v>0.53</v>
      </c>
      <c r="AT417" s="17"/>
      <c r="AU417" s="17">
        <v>200</v>
      </c>
      <c r="AV417" s="17"/>
      <c r="AW417" s="17">
        <v>605</v>
      </c>
      <c r="AX417" s="17"/>
      <c r="AY417" t="s">
        <v>92</v>
      </c>
      <c r="AZ417" t="s">
        <v>92</v>
      </c>
      <c r="BA417" t="s">
        <v>92</v>
      </c>
      <c r="BB417" t="s">
        <v>92</v>
      </c>
      <c r="BC417" t="s">
        <v>92</v>
      </c>
      <c r="BD417" t="s">
        <v>92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92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92</v>
      </c>
      <c r="BS417" t="s">
        <v>92</v>
      </c>
      <c r="BT417" t="s">
        <v>92</v>
      </c>
      <c r="BU417" t="s">
        <v>92</v>
      </c>
      <c r="BV417" t="s">
        <v>92</v>
      </c>
      <c r="BW417" t="s">
        <v>92</v>
      </c>
      <c r="BX417" t="s">
        <v>92</v>
      </c>
      <c r="BY417" t="str">
        <f>IF(COUNTIF('Data Upload-prod'!E:E,F417)=0,"Missing","Exist")</f>
        <v>Exist</v>
      </c>
    </row>
    <row r="418" hidden="1" spans="1:77">
      <c r="A418" s="16">
        <v>43789</v>
      </c>
      <c r="B418" s="16">
        <v>43892</v>
      </c>
      <c r="C418" t="s">
        <v>132</v>
      </c>
      <c r="D418" t="s">
        <v>142</v>
      </c>
      <c r="E418" t="s">
        <v>170</v>
      </c>
      <c r="F418" t="s">
        <v>864</v>
      </c>
      <c r="G418" t="s">
        <v>81</v>
      </c>
      <c r="H418" t="s">
        <v>405</v>
      </c>
      <c r="I418" t="s">
        <v>124</v>
      </c>
      <c r="J418" s="17">
        <v>47.55</v>
      </c>
      <c r="K418" s="17">
        <v>1847.3</v>
      </c>
      <c r="L418" s="17">
        <v>1737.88</v>
      </c>
      <c r="M418" t="s">
        <v>84</v>
      </c>
      <c r="N418" t="s">
        <v>84</v>
      </c>
      <c r="O418" t="s">
        <v>84</v>
      </c>
      <c r="P418" t="s">
        <v>84</v>
      </c>
      <c r="Q418" s="17">
        <v>9439000</v>
      </c>
      <c r="R418" s="17">
        <v>33.35</v>
      </c>
      <c r="S418" t="s">
        <v>85</v>
      </c>
      <c r="T418" t="s">
        <v>84</v>
      </c>
      <c r="U418" t="s">
        <v>86</v>
      </c>
      <c r="V418" s="16">
        <v>43818</v>
      </c>
      <c r="W418" s="18">
        <v>43816</v>
      </c>
      <c r="X418" s="18">
        <v>43857.625</v>
      </c>
      <c r="Y418" s="17">
        <v>1909.57</v>
      </c>
      <c r="Z418" t="s">
        <v>87</v>
      </c>
      <c r="AA418" s="17">
        <v>1987.2</v>
      </c>
      <c r="AB418" s="17">
        <v>1823.96</v>
      </c>
      <c r="AC418" t="s">
        <v>84</v>
      </c>
      <c r="AD418" t="s">
        <v>84</v>
      </c>
      <c r="AE418" t="s">
        <v>84</v>
      </c>
      <c r="AF418" t="s">
        <v>84</v>
      </c>
      <c r="AG418" s="17">
        <v>8860248</v>
      </c>
      <c r="AH418" s="17">
        <v>39.63</v>
      </c>
      <c r="AI418" s="17">
        <v>3.33</v>
      </c>
      <c r="AJ418" s="17">
        <v>3.33</v>
      </c>
      <c r="AK418" t="s">
        <v>208</v>
      </c>
      <c r="AM418" s="17">
        <v>1.7</v>
      </c>
      <c r="AN418" s="17"/>
      <c r="AO418" s="17">
        <v>720</v>
      </c>
      <c r="AP418" s="17"/>
      <c r="AQ418" s="17">
        <v>1345</v>
      </c>
      <c r="AR418" s="17"/>
      <c r="AS418" s="17">
        <v>1.51</v>
      </c>
      <c r="AT418" s="17"/>
      <c r="AU418" s="17">
        <v>816</v>
      </c>
      <c r="AV418" s="17"/>
      <c r="AW418" s="17">
        <v>3297</v>
      </c>
      <c r="AX418" s="17"/>
      <c r="AY418" t="s">
        <v>92</v>
      </c>
      <c r="AZ418" t="s">
        <v>92</v>
      </c>
      <c r="BA418" t="s">
        <v>92</v>
      </c>
      <c r="BB418" t="s">
        <v>92</v>
      </c>
      <c r="BC418" t="s">
        <v>92</v>
      </c>
      <c r="BD418" s="17">
        <v>13</v>
      </c>
      <c r="BE418" s="17">
        <v>3314764.69</v>
      </c>
      <c r="BF418" t="s">
        <v>92</v>
      </c>
      <c r="BG418" t="s">
        <v>92</v>
      </c>
      <c r="BH418" t="s">
        <v>93</v>
      </c>
      <c r="BI418" t="s">
        <v>94</v>
      </c>
      <c r="BJ418" t="s">
        <v>215</v>
      </c>
      <c r="BK418" t="s">
        <v>85</v>
      </c>
      <c r="BL418" t="s">
        <v>85</v>
      </c>
      <c r="BM418" t="s">
        <v>96</v>
      </c>
      <c r="BN418" t="s">
        <v>253</v>
      </c>
      <c r="BO418" t="s">
        <v>98</v>
      </c>
      <c r="BP418" t="s">
        <v>103</v>
      </c>
      <c r="BQ418" s="17">
        <v>1046</v>
      </c>
      <c r="BR418" t="s">
        <v>100</v>
      </c>
      <c r="BS418" t="s">
        <v>92</v>
      </c>
      <c r="BT418" t="s">
        <v>550</v>
      </c>
      <c r="BU418" s="17">
        <v>8.7</v>
      </c>
      <c r="BV418" t="s">
        <v>191</v>
      </c>
      <c r="BW418" t="s">
        <v>85</v>
      </c>
      <c r="BX418" t="s">
        <v>85</v>
      </c>
      <c r="BY418" t="str">
        <f>IF(COUNTIF('Data Upload-prod'!E:E,F418)=0,"Missing","Exist")</f>
        <v>Exist</v>
      </c>
    </row>
    <row r="419" hidden="1" spans="1:77">
      <c r="A419" s="16">
        <v>43784</v>
      </c>
      <c r="B419" s="16">
        <v>43962</v>
      </c>
      <c r="C419" t="s">
        <v>141</v>
      </c>
      <c r="D419" t="s">
        <v>120</v>
      </c>
      <c r="E419" t="s">
        <v>865</v>
      </c>
      <c r="F419" t="s">
        <v>866</v>
      </c>
      <c r="G419" t="s">
        <v>81</v>
      </c>
      <c r="H419" t="s">
        <v>162</v>
      </c>
      <c r="I419" t="s">
        <v>124</v>
      </c>
      <c r="J419" s="17">
        <v>88.76</v>
      </c>
      <c r="K419" s="17">
        <v>3222.8</v>
      </c>
      <c r="L419" s="17">
        <v>2283.45</v>
      </c>
      <c r="M419" t="s">
        <v>84</v>
      </c>
      <c r="N419" t="s">
        <v>84</v>
      </c>
      <c r="O419" t="s">
        <v>84</v>
      </c>
      <c r="P419" t="s">
        <v>84</v>
      </c>
      <c r="Q419" s="17">
        <v>21690000</v>
      </c>
      <c r="R419" s="17">
        <v>52.6</v>
      </c>
      <c r="S419" t="s">
        <v>85</v>
      </c>
      <c r="T419" t="s">
        <v>84</v>
      </c>
      <c r="U419" t="s">
        <v>84</v>
      </c>
      <c r="V419" s="16">
        <v>43889</v>
      </c>
      <c r="W419" s="18">
        <v>43851</v>
      </c>
      <c r="X419" s="18">
        <v>43906.75</v>
      </c>
      <c r="Y419" s="17">
        <v>2976.77</v>
      </c>
      <c r="Z419" t="s">
        <v>87</v>
      </c>
      <c r="AA419" s="17">
        <v>3110.03</v>
      </c>
      <c r="AB419" s="17">
        <v>2282.97</v>
      </c>
      <c r="AC419" t="s">
        <v>84</v>
      </c>
      <c r="AD419" t="s">
        <v>84</v>
      </c>
      <c r="AE419" t="s">
        <v>84</v>
      </c>
      <c r="AF419" t="s">
        <v>84</v>
      </c>
      <c r="AG419" s="17">
        <v>17829621</v>
      </c>
      <c r="AH419" s="17">
        <v>40.25</v>
      </c>
      <c r="AI419" s="17">
        <v>12.5</v>
      </c>
      <c r="AJ419" s="17">
        <v>12.5</v>
      </c>
      <c r="AK419" t="s">
        <v>126</v>
      </c>
      <c r="AM419" s="17">
        <v>2.5</v>
      </c>
      <c r="AN419" s="17"/>
      <c r="AO419" s="17">
        <v>1010</v>
      </c>
      <c r="AP419" s="17"/>
      <c r="AQ419" s="17">
        <v>1705</v>
      </c>
      <c r="AR419" s="17"/>
      <c r="AS419" s="17">
        <v>1.65</v>
      </c>
      <c r="AT419" s="17"/>
      <c r="AU419" s="17">
        <v>606</v>
      </c>
      <c r="AV419" s="17"/>
      <c r="AW419" s="17">
        <v>1092</v>
      </c>
      <c r="AX419" s="17"/>
      <c r="AY419" t="s">
        <v>92</v>
      </c>
      <c r="AZ419" t="s">
        <v>92</v>
      </c>
      <c r="BA419" t="s">
        <v>92</v>
      </c>
      <c r="BB419" t="s">
        <v>92</v>
      </c>
      <c r="BC419" t="s">
        <v>92</v>
      </c>
      <c r="BD419" t="s">
        <v>92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92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92</v>
      </c>
      <c r="BS419" t="s">
        <v>92</v>
      </c>
      <c r="BT419" t="s">
        <v>92</v>
      </c>
      <c r="BU419" t="s">
        <v>92</v>
      </c>
      <c r="BV419" t="s">
        <v>92</v>
      </c>
      <c r="BW419" t="s">
        <v>92</v>
      </c>
      <c r="BX419" t="s">
        <v>92</v>
      </c>
      <c r="BY419" t="str">
        <f>IF(COUNTIF('Data Upload-prod'!E:E,F419)=0,"Missing","Exist")</f>
        <v>Exist</v>
      </c>
    </row>
    <row r="420" hidden="1" spans="1:77">
      <c r="A420" s="16">
        <v>43784</v>
      </c>
      <c r="B420" s="16">
        <v>43962</v>
      </c>
      <c r="C420" t="s">
        <v>141</v>
      </c>
      <c r="D420" t="s">
        <v>120</v>
      </c>
      <c r="E420" t="s">
        <v>865</v>
      </c>
      <c r="F420" t="s">
        <v>867</v>
      </c>
      <c r="G420" t="s">
        <v>81</v>
      </c>
      <c r="H420" t="s">
        <v>162</v>
      </c>
      <c r="I420" t="s">
        <v>124</v>
      </c>
      <c r="J420" s="17">
        <v>88.76</v>
      </c>
      <c r="K420" s="17">
        <v>3976.23</v>
      </c>
      <c r="L420" s="17">
        <v>2342.58</v>
      </c>
      <c r="M420" t="s">
        <v>84</v>
      </c>
      <c r="N420" t="s">
        <v>84</v>
      </c>
      <c r="O420" t="s">
        <v>84</v>
      </c>
      <c r="P420" t="s">
        <v>84</v>
      </c>
      <c r="Q420" s="17">
        <v>20511503</v>
      </c>
      <c r="R420" s="17">
        <v>48.02</v>
      </c>
      <c r="S420" t="s">
        <v>85</v>
      </c>
      <c r="T420" t="s">
        <v>84</v>
      </c>
      <c r="U420" t="s">
        <v>84</v>
      </c>
      <c r="V420" s="16">
        <v>43856</v>
      </c>
      <c r="W420" s="18">
        <v>43855.1354166667</v>
      </c>
      <c r="X420" s="18">
        <v>43913.75</v>
      </c>
      <c r="Y420" s="17">
        <v>3536.36</v>
      </c>
      <c r="Z420" t="s">
        <v>87</v>
      </c>
      <c r="AA420" s="17">
        <v>3669.61</v>
      </c>
      <c r="AB420" s="17">
        <v>2339.58</v>
      </c>
      <c r="AC420" t="s">
        <v>84</v>
      </c>
      <c r="AD420" t="s">
        <v>84</v>
      </c>
      <c r="AE420" t="s">
        <v>84</v>
      </c>
      <c r="AF420" t="s">
        <v>84</v>
      </c>
      <c r="AG420" s="17">
        <v>14281757</v>
      </c>
      <c r="AH420" s="17">
        <v>39.2</v>
      </c>
      <c r="AI420" s="17">
        <v>9.6</v>
      </c>
      <c r="AJ420" s="17">
        <v>9.6</v>
      </c>
      <c r="AK420" t="s">
        <v>126</v>
      </c>
      <c r="AM420" s="17">
        <v>2.5</v>
      </c>
      <c r="AN420" s="17"/>
      <c r="AO420" s="17">
        <v>1010</v>
      </c>
      <c r="AP420" s="17"/>
      <c r="AQ420" s="17">
        <v>1705</v>
      </c>
      <c r="AR420" s="17"/>
      <c r="AS420" s="17">
        <v>1.48</v>
      </c>
      <c r="AT420" s="17"/>
      <c r="AU420" s="17">
        <v>478</v>
      </c>
      <c r="AV420" s="17"/>
      <c r="AW420" s="17">
        <v>1031</v>
      </c>
      <c r="AX420" s="17"/>
      <c r="AY420" t="s">
        <v>92</v>
      </c>
      <c r="AZ420" t="s">
        <v>92</v>
      </c>
      <c r="BA420" t="s">
        <v>92</v>
      </c>
      <c r="BB420" t="s">
        <v>92</v>
      </c>
      <c r="BC420" t="s">
        <v>92</v>
      </c>
      <c r="BD420" t="s">
        <v>92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92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92</v>
      </c>
      <c r="BS420" t="s">
        <v>92</v>
      </c>
      <c r="BT420" t="s">
        <v>92</v>
      </c>
      <c r="BU420" t="s">
        <v>92</v>
      </c>
      <c r="BV420" t="s">
        <v>92</v>
      </c>
      <c r="BW420" t="s">
        <v>92</v>
      </c>
      <c r="BX420" t="s">
        <v>92</v>
      </c>
      <c r="BY420" t="str">
        <f>IF(COUNTIF('Data Upload-prod'!E:E,F420)=0,"Missing","Exist")</f>
        <v>Exist</v>
      </c>
    </row>
    <row r="421" hidden="1" spans="1:77">
      <c r="A421" s="16">
        <v>43783</v>
      </c>
      <c r="B421" s="16">
        <v>43916</v>
      </c>
      <c r="C421" t="s">
        <v>132</v>
      </c>
      <c r="D421" t="s">
        <v>120</v>
      </c>
      <c r="E421" t="s">
        <v>868</v>
      </c>
      <c r="F421" t="s">
        <v>869</v>
      </c>
      <c r="G421" t="s">
        <v>145</v>
      </c>
      <c r="H421" t="s">
        <v>146</v>
      </c>
      <c r="I421" t="s">
        <v>147</v>
      </c>
      <c r="J421" s="17">
        <v>1582</v>
      </c>
      <c r="K421" s="17">
        <v>3725</v>
      </c>
      <c r="L421" s="17">
        <v>3725</v>
      </c>
      <c r="M421" s="17">
        <v>31500000</v>
      </c>
      <c r="N421" s="17">
        <v>40400000</v>
      </c>
      <c r="O421" s="17">
        <v>43</v>
      </c>
      <c r="P421" s="17">
        <v>65.4</v>
      </c>
      <c r="Q421" t="s">
        <v>84</v>
      </c>
      <c r="R421" t="s">
        <v>84</v>
      </c>
      <c r="S421" t="s">
        <v>85</v>
      </c>
      <c r="T421" t="s">
        <v>84</v>
      </c>
      <c r="U421" t="s">
        <v>84</v>
      </c>
      <c r="V421" s="16">
        <v>43840</v>
      </c>
      <c r="W421" s="18">
        <v>43839.625</v>
      </c>
      <c r="X421" s="18">
        <v>43888.8958333333</v>
      </c>
      <c r="Y421" s="17">
        <v>2118</v>
      </c>
      <c r="Z421" t="s">
        <v>148</v>
      </c>
      <c r="AA421" s="17">
        <v>3725</v>
      </c>
      <c r="AB421" s="17">
        <v>3724.96</v>
      </c>
      <c r="AC421" t="s">
        <v>84</v>
      </c>
      <c r="AD421" s="17">
        <v>30040818.88</v>
      </c>
      <c r="AE421" t="s">
        <v>84</v>
      </c>
      <c r="AF421" s="17">
        <v>49.27</v>
      </c>
      <c r="AG421" t="s">
        <v>84</v>
      </c>
      <c r="AH421" t="s">
        <v>84</v>
      </c>
      <c r="AI421" s="17">
        <v>18.94</v>
      </c>
      <c r="AJ421" s="17">
        <v>18.94</v>
      </c>
      <c r="AK421" t="s">
        <v>232</v>
      </c>
      <c r="AM421" s="17">
        <v>4.4</v>
      </c>
      <c r="AN421" s="17"/>
      <c r="AO421" s="17">
        <v>4200</v>
      </c>
      <c r="AP421" s="17"/>
      <c r="AQ421" s="17">
        <v>6400</v>
      </c>
      <c r="AR421" s="17"/>
      <c r="AS421" s="17">
        <v>3.14</v>
      </c>
      <c r="AT421" s="17"/>
      <c r="AU421" s="17">
        <v>2186</v>
      </c>
      <c r="AV421" s="17"/>
      <c r="AW421" s="17">
        <v>3467</v>
      </c>
      <c r="AX421" s="17"/>
      <c r="AY421" t="s">
        <v>92</v>
      </c>
      <c r="AZ421" t="s">
        <v>92</v>
      </c>
      <c r="BA421" t="s">
        <v>92</v>
      </c>
      <c r="BB421" t="s">
        <v>92</v>
      </c>
      <c r="BC421" t="s">
        <v>92</v>
      </c>
      <c r="BD421" t="s">
        <v>92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92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92</v>
      </c>
      <c r="BS421" t="s">
        <v>92</v>
      </c>
      <c r="BT421" t="s">
        <v>92</v>
      </c>
      <c r="BU421" t="s">
        <v>92</v>
      </c>
      <c r="BV421" t="s">
        <v>92</v>
      </c>
      <c r="BW421" t="s">
        <v>92</v>
      </c>
      <c r="BX421" t="s">
        <v>92</v>
      </c>
      <c r="BY421" t="str">
        <f>IF(COUNTIF('Data Upload-prod'!E:E,F421)=0,"Missing","Exist")</f>
        <v>Exist</v>
      </c>
    </row>
    <row r="422" hidden="1" spans="1:77">
      <c r="A422" s="16">
        <v>43781</v>
      </c>
      <c r="B422" s="16">
        <v>43984</v>
      </c>
      <c r="C422" t="s">
        <v>178</v>
      </c>
      <c r="D422" t="s">
        <v>120</v>
      </c>
      <c r="E422" t="s">
        <v>870</v>
      </c>
      <c r="F422" t="s">
        <v>871</v>
      </c>
      <c r="G422" t="s">
        <v>81</v>
      </c>
      <c r="H422" t="s">
        <v>202</v>
      </c>
      <c r="I422" t="s">
        <v>124</v>
      </c>
      <c r="J422" s="17">
        <v>45.11</v>
      </c>
      <c r="K422" s="17">
        <v>3306.31</v>
      </c>
      <c r="L422" s="17">
        <v>1968.61</v>
      </c>
      <c r="M422" t="s">
        <v>84</v>
      </c>
      <c r="N422" t="s">
        <v>84</v>
      </c>
      <c r="O422" t="s">
        <v>84</v>
      </c>
      <c r="P422" t="s">
        <v>84</v>
      </c>
      <c r="Q422" s="17">
        <v>12540000</v>
      </c>
      <c r="R422" s="17">
        <v>43.7</v>
      </c>
      <c r="S422" t="s">
        <v>85</v>
      </c>
      <c r="T422" t="s">
        <v>84</v>
      </c>
      <c r="U422" t="s">
        <v>84</v>
      </c>
      <c r="V422" s="16">
        <v>43814</v>
      </c>
      <c r="W422" s="18">
        <v>43802.4166666667</v>
      </c>
      <c r="X422" s="18">
        <v>43930.25</v>
      </c>
      <c r="Y422" s="17">
        <v>3306.31</v>
      </c>
      <c r="Z422" t="s">
        <v>87</v>
      </c>
      <c r="AA422" s="17">
        <v>3393.78</v>
      </c>
      <c r="AB422" s="17">
        <v>2013.72</v>
      </c>
      <c r="AC422" t="s">
        <v>84</v>
      </c>
      <c r="AD422" t="s">
        <v>84</v>
      </c>
      <c r="AE422" t="s">
        <v>84</v>
      </c>
      <c r="AF422" t="s">
        <v>84</v>
      </c>
      <c r="AG422" s="17">
        <v>15235528</v>
      </c>
      <c r="AH422" s="17">
        <v>50.8</v>
      </c>
      <c r="AI422" s="17">
        <v>1.21</v>
      </c>
      <c r="AJ422" s="17">
        <v>1.21</v>
      </c>
      <c r="AK422" t="s">
        <v>298</v>
      </c>
      <c r="AM422" s="17">
        <v>1.8</v>
      </c>
      <c r="AN422" s="17"/>
      <c r="AO422" s="17">
        <v>600</v>
      </c>
      <c r="AP422" s="17"/>
      <c r="AQ422" s="17">
        <v>1670</v>
      </c>
      <c r="AR422" s="17"/>
      <c r="AS422" s="17">
        <v>1.4</v>
      </c>
      <c r="AT422" s="17"/>
      <c r="AU422" s="17">
        <v>422</v>
      </c>
      <c r="AV422" s="17"/>
      <c r="AW422" s="17">
        <v>1517</v>
      </c>
      <c r="AX422" s="17"/>
      <c r="AY422" t="s">
        <v>92</v>
      </c>
      <c r="AZ422" t="s">
        <v>92</v>
      </c>
      <c r="BA422" t="s">
        <v>92</v>
      </c>
      <c r="BB422" t="s">
        <v>92</v>
      </c>
      <c r="BC422" t="s">
        <v>92</v>
      </c>
      <c r="BD422" t="s">
        <v>92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92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92</v>
      </c>
      <c r="BS422" t="s">
        <v>92</v>
      </c>
      <c r="BT422" t="s">
        <v>92</v>
      </c>
      <c r="BU422" t="s">
        <v>92</v>
      </c>
      <c r="BV422" t="s">
        <v>92</v>
      </c>
      <c r="BW422" t="s">
        <v>92</v>
      </c>
      <c r="BX422" t="s">
        <v>92</v>
      </c>
      <c r="BY422" t="str">
        <f>IF(COUNTIF('Data Upload-prod'!E:E,F422)=0,"Missing","Exist")</f>
        <v>Exist</v>
      </c>
    </row>
    <row r="423" hidden="1" spans="1:77">
      <c r="A423" s="16">
        <v>43781</v>
      </c>
      <c r="B423" s="16">
        <v>43987</v>
      </c>
      <c r="C423" t="s">
        <v>132</v>
      </c>
      <c r="D423" t="s">
        <v>78</v>
      </c>
      <c r="E423" t="s">
        <v>628</v>
      </c>
      <c r="F423" t="s">
        <v>872</v>
      </c>
      <c r="G423" t="s">
        <v>81</v>
      </c>
      <c r="H423" t="s">
        <v>82</v>
      </c>
      <c r="I423" t="s">
        <v>83</v>
      </c>
      <c r="J423" s="17">
        <v>76.7</v>
      </c>
      <c r="K423" s="17">
        <v>1689</v>
      </c>
      <c r="L423" s="17">
        <v>1486</v>
      </c>
      <c r="M423" t="s">
        <v>84</v>
      </c>
      <c r="N423" t="s">
        <v>84</v>
      </c>
      <c r="O423" t="s">
        <v>84</v>
      </c>
      <c r="P423" t="s">
        <v>84</v>
      </c>
      <c r="Q423" s="17">
        <v>13566845.98</v>
      </c>
      <c r="R423" s="17">
        <v>39.04</v>
      </c>
      <c r="S423" t="s">
        <v>85</v>
      </c>
      <c r="T423" t="s">
        <v>84</v>
      </c>
      <c r="U423" t="s">
        <v>84</v>
      </c>
      <c r="V423" t="s">
        <v>84</v>
      </c>
      <c r="W423" s="18">
        <v>43783</v>
      </c>
      <c r="X423" s="18">
        <v>43920.9166666667</v>
      </c>
      <c r="Y423" s="17">
        <v>1568.2</v>
      </c>
      <c r="Z423" t="s">
        <v>87</v>
      </c>
      <c r="AA423" s="17">
        <v>1675</v>
      </c>
      <c r="AB423" s="17">
        <v>1476.44</v>
      </c>
      <c r="AC423" t="s">
        <v>84</v>
      </c>
      <c r="AD423" t="s">
        <v>84</v>
      </c>
      <c r="AE423" t="s">
        <v>84</v>
      </c>
      <c r="AF423" t="s">
        <v>84</v>
      </c>
      <c r="AG423" s="17">
        <v>11004029.14</v>
      </c>
      <c r="AH423" s="17">
        <v>36.92</v>
      </c>
      <c r="AI423" s="17">
        <v>7.2</v>
      </c>
      <c r="AJ423" s="17">
        <v>7.2</v>
      </c>
      <c r="AK423" s="13" t="s">
        <v>149</v>
      </c>
      <c r="AL423" s="13"/>
      <c r="AM423" t="s">
        <v>92</v>
      </c>
      <c r="AO423" t="s">
        <v>92</v>
      </c>
      <c r="AQ423" t="s">
        <v>92</v>
      </c>
      <c r="AS423" s="17">
        <v>1.72</v>
      </c>
      <c r="AT423" s="17"/>
      <c r="AU423" s="17">
        <v>463</v>
      </c>
      <c r="AV423" s="17"/>
      <c r="AW423" s="17">
        <v>2965</v>
      </c>
      <c r="AX423" s="17"/>
      <c r="AY423" t="s">
        <v>92</v>
      </c>
      <c r="AZ423" t="s">
        <v>92</v>
      </c>
      <c r="BA423" t="s">
        <v>92</v>
      </c>
      <c r="BB423" s="13" t="s">
        <v>92</v>
      </c>
      <c r="BC423" s="13" t="s">
        <v>92</v>
      </c>
      <c r="BD423" t="s">
        <v>92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92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92</v>
      </c>
      <c r="BS423" t="s">
        <v>92</v>
      </c>
      <c r="BT423" t="s">
        <v>92</v>
      </c>
      <c r="BU423" t="s">
        <v>92</v>
      </c>
      <c r="BV423" t="s">
        <v>92</v>
      </c>
      <c r="BW423" t="s">
        <v>92</v>
      </c>
      <c r="BX423" t="s">
        <v>92</v>
      </c>
      <c r="BY423" t="str">
        <f>IF(COUNTIF('Data Upload-prod'!E:E,F423)=0,"Missing","Exist")</f>
        <v>Exist</v>
      </c>
    </row>
    <row r="424" hidden="1" spans="1:77">
      <c r="A424" s="16">
        <v>43780</v>
      </c>
      <c r="B424" s="16">
        <v>44078</v>
      </c>
      <c r="C424" t="s">
        <v>132</v>
      </c>
      <c r="D424" t="s">
        <v>120</v>
      </c>
      <c r="E424" t="s">
        <v>203</v>
      </c>
      <c r="F424" t="s">
        <v>873</v>
      </c>
      <c r="G424" t="s">
        <v>81</v>
      </c>
      <c r="H424" t="s">
        <v>801</v>
      </c>
      <c r="I424" t="s">
        <v>124</v>
      </c>
      <c r="J424" s="17">
        <v>29.5</v>
      </c>
      <c r="K424" s="17">
        <v>2711.67</v>
      </c>
      <c r="L424" s="17">
        <v>1375.19</v>
      </c>
      <c r="M424" t="s">
        <v>84</v>
      </c>
      <c r="N424" t="s">
        <v>84</v>
      </c>
      <c r="O424" t="s">
        <v>84</v>
      </c>
      <c r="P424" t="s">
        <v>84</v>
      </c>
      <c r="Q424" s="17">
        <v>8800000</v>
      </c>
      <c r="R424" s="17">
        <v>22.46</v>
      </c>
      <c r="S424" t="s">
        <v>85</v>
      </c>
      <c r="T424" t="s">
        <v>84</v>
      </c>
      <c r="U424" t="s">
        <v>86</v>
      </c>
      <c r="V424" s="16">
        <v>43781</v>
      </c>
      <c r="W424" s="18">
        <v>43781</v>
      </c>
      <c r="X424" s="18">
        <v>43870</v>
      </c>
      <c r="Y424" s="17">
        <v>2715.79</v>
      </c>
      <c r="Z424" t="s">
        <v>87</v>
      </c>
      <c r="AA424" s="17">
        <v>2785.74</v>
      </c>
      <c r="AB424" s="17">
        <v>1418.77</v>
      </c>
      <c r="AC424" t="s">
        <v>84</v>
      </c>
      <c r="AD424" t="s">
        <v>84</v>
      </c>
      <c r="AE424" t="s">
        <v>84</v>
      </c>
      <c r="AF424" t="s">
        <v>84</v>
      </c>
      <c r="AG424" s="17">
        <v>6670000</v>
      </c>
      <c r="AH424" s="17">
        <v>22.68</v>
      </c>
      <c r="AI424" s="17">
        <v>4.82</v>
      </c>
      <c r="AJ424" s="17">
        <v>4.82</v>
      </c>
      <c r="AK424" t="s">
        <v>208</v>
      </c>
      <c r="AM424" s="17">
        <v>2.2</v>
      </c>
      <c r="AN424" s="17"/>
      <c r="AO424" s="17">
        <v>830</v>
      </c>
      <c r="AP424" s="17"/>
      <c r="AQ424" s="17">
        <v>1395</v>
      </c>
      <c r="AR424" s="17"/>
      <c r="AS424" s="17">
        <v>1.31</v>
      </c>
      <c r="AT424" s="17"/>
      <c r="AU424" s="17">
        <v>444</v>
      </c>
      <c r="AV424" s="17"/>
      <c r="AW424" s="17">
        <v>986</v>
      </c>
      <c r="AX424" s="17"/>
      <c r="AY424" t="s">
        <v>92</v>
      </c>
      <c r="AZ424" t="s">
        <v>92</v>
      </c>
      <c r="BA424" t="s">
        <v>92</v>
      </c>
      <c r="BB424" t="s">
        <v>92</v>
      </c>
      <c r="BC424" t="s">
        <v>92</v>
      </c>
      <c r="BD424" s="17">
        <v>2.13</v>
      </c>
      <c r="BE424" s="17">
        <v>914304.63</v>
      </c>
      <c r="BF424" t="s">
        <v>92</v>
      </c>
      <c r="BG424" t="s">
        <v>92</v>
      </c>
      <c r="BH424" t="s">
        <v>93</v>
      </c>
      <c r="BI424" t="s">
        <v>94</v>
      </c>
      <c r="BJ424" t="s">
        <v>173</v>
      </c>
      <c r="BK424" t="s">
        <v>627</v>
      </c>
      <c r="BL424" t="s">
        <v>85</v>
      </c>
      <c r="BM424" t="s">
        <v>96</v>
      </c>
      <c r="BN424" t="s">
        <v>97</v>
      </c>
      <c r="BO424" t="s">
        <v>98</v>
      </c>
      <c r="BP424" t="s">
        <v>103</v>
      </c>
      <c r="BQ424" t="s">
        <v>92</v>
      </c>
      <c r="BR424" t="s">
        <v>138</v>
      </c>
      <c r="BS424" t="s">
        <v>156</v>
      </c>
      <c r="BT424" t="s">
        <v>550</v>
      </c>
      <c r="BU424" s="17">
        <v>8.6</v>
      </c>
      <c r="BV424" t="s">
        <v>110</v>
      </c>
      <c r="BW424" t="s">
        <v>85</v>
      </c>
      <c r="BX424" t="s">
        <v>341</v>
      </c>
      <c r="BY424" t="str">
        <f>IF(COUNTIF('Data Upload-prod'!E:E,F424)=0,"Missing","Exist")</f>
        <v>Exist</v>
      </c>
    </row>
    <row r="425" hidden="1" spans="1:77">
      <c r="A425" s="16">
        <v>43776</v>
      </c>
      <c r="B425" s="16">
        <v>44000</v>
      </c>
      <c r="C425" t="s">
        <v>132</v>
      </c>
      <c r="D425" t="s">
        <v>78</v>
      </c>
      <c r="E425" t="s">
        <v>628</v>
      </c>
      <c r="F425" t="s">
        <v>874</v>
      </c>
      <c r="G425" t="s">
        <v>81</v>
      </c>
      <c r="H425" t="s">
        <v>82</v>
      </c>
      <c r="I425" t="s">
        <v>83</v>
      </c>
      <c r="J425" s="17">
        <v>76.7</v>
      </c>
      <c r="K425" s="17">
        <v>1886.46</v>
      </c>
      <c r="L425" s="17">
        <v>1419.45</v>
      </c>
      <c r="M425" t="s">
        <v>84</v>
      </c>
      <c r="N425" t="s">
        <v>84</v>
      </c>
      <c r="O425" t="s">
        <v>84</v>
      </c>
      <c r="P425" t="s">
        <v>84</v>
      </c>
      <c r="Q425" s="17">
        <v>8017304.09</v>
      </c>
      <c r="R425" s="17">
        <v>22.62</v>
      </c>
      <c r="S425" t="s">
        <v>106</v>
      </c>
      <c r="T425" t="s">
        <v>84</v>
      </c>
      <c r="U425" t="s">
        <v>86</v>
      </c>
      <c r="V425" t="s">
        <v>84</v>
      </c>
      <c r="W425" s="18">
        <v>43800.875</v>
      </c>
      <c r="X425" s="18">
        <v>43925</v>
      </c>
      <c r="Y425" s="17">
        <v>1847.3</v>
      </c>
      <c r="Z425" t="s">
        <v>87</v>
      </c>
      <c r="AA425" s="17">
        <v>1954.1</v>
      </c>
      <c r="AB425" s="17">
        <v>1527.07</v>
      </c>
      <c r="AC425" t="s">
        <v>84</v>
      </c>
      <c r="AD425" t="s">
        <v>84</v>
      </c>
      <c r="AE425" t="s">
        <v>84</v>
      </c>
      <c r="AF425" t="s">
        <v>84</v>
      </c>
      <c r="AG425" s="17">
        <v>4061575.47</v>
      </c>
      <c r="AH425" s="17">
        <v>10.83</v>
      </c>
      <c r="AI425" s="17">
        <v>0</v>
      </c>
      <c r="AJ425" s="17">
        <v>0</v>
      </c>
      <c r="AK425" t="s">
        <v>298</v>
      </c>
      <c r="AM425" s="17">
        <v>1.8</v>
      </c>
      <c r="AN425" s="17"/>
      <c r="AO425" s="17">
        <v>600</v>
      </c>
      <c r="AP425" s="17"/>
      <c r="AQ425" s="17">
        <v>1670</v>
      </c>
      <c r="AR425" s="17"/>
      <c r="AS425" s="17">
        <v>0.83</v>
      </c>
      <c r="AT425" s="17"/>
      <c r="AU425" s="17">
        <v>375</v>
      </c>
      <c r="AV425" s="17"/>
      <c r="AW425" s="17">
        <v>1215</v>
      </c>
      <c r="AX425" s="17"/>
      <c r="AY425" t="s">
        <v>92</v>
      </c>
      <c r="AZ425" t="s">
        <v>92</v>
      </c>
      <c r="BA425" t="s">
        <v>92</v>
      </c>
      <c r="BB425" t="s">
        <v>92</v>
      </c>
      <c r="BC425" t="s">
        <v>92</v>
      </c>
      <c r="BD425" s="17">
        <v>3.96</v>
      </c>
      <c r="BE425" s="17">
        <v>1333811.48</v>
      </c>
      <c r="BF425" t="s">
        <v>92</v>
      </c>
      <c r="BG425" t="s">
        <v>92</v>
      </c>
      <c r="BH425" t="s">
        <v>93</v>
      </c>
      <c r="BI425" t="s">
        <v>94</v>
      </c>
      <c r="BJ425" t="s">
        <v>173</v>
      </c>
      <c r="BK425" t="s">
        <v>85</v>
      </c>
      <c r="BL425" t="s">
        <v>85</v>
      </c>
      <c r="BM425" t="s">
        <v>96</v>
      </c>
      <c r="BN425" t="s">
        <v>97</v>
      </c>
      <c r="BO425" t="s">
        <v>98</v>
      </c>
      <c r="BP425" t="s">
        <v>254</v>
      </c>
      <c r="BQ425" s="17">
        <v>32.81</v>
      </c>
      <c r="BR425" t="s">
        <v>100</v>
      </c>
      <c r="BS425" t="s">
        <v>156</v>
      </c>
      <c r="BT425" t="s">
        <v>255</v>
      </c>
      <c r="BU425" s="17">
        <v>8.5</v>
      </c>
      <c r="BV425" t="s">
        <v>191</v>
      </c>
      <c r="BW425" t="s">
        <v>85</v>
      </c>
      <c r="BX425" t="s">
        <v>85</v>
      </c>
      <c r="BY425" t="str">
        <f>IF(COUNTIF('Data Upload-prod'!E:E,F425)=0,"Missing","Exist")</f>
        <v>Exist</v>
      </c>
    </row>
    <row r="426" hidden="1" spans="1:77">
      <c r="A426" s="16">
        <v>43776</v>
      </c>
      <c r="B426" t="s">
        <v>84</v>
      </c>
      <c r="C426" t="s">
        <v>132</v>
      </c>
      <c r="D426" t="s">
        <v>120</v>
      </c>
      <c r="E426" t="s">
        <v>835</v>
      </c>
      <c r="F426" t="s">
        <v>875</v>
      </c>
      <c r="G426" t="s">
        <v>81</v>
      </c>
      <c r="H426" t="s">
        <v>837</v>
      </c>
      <c r="I426" t="s">
        <v>83</v>
      </c>
      <c r="J426" s="17">
        <v>30.48</v>
      </c>
      <c r="K426" s="17">
        <v>2484.91</v>
      </c>
      <c r="L426" s="17">
        <v>2252.36</v>
      </c>
      <c r="M426" t="s">
        <v>84</v>
      </c>
      <c r="N426" t="s">
        <v>84</v>
      </c>
      <c r="O426" t="s">
        <v>84</v>
      </c>
      <c r="P426" t="s">
        <v>84</v>
      </c>
      <c r="Q426" s="17">
        <v>12121930</v>
      </c>
      <c r="R426" s="17">
        <v>51.34</v>
      </c>
      <c r="S426" t="s">
        <v>85</v>
      </c>
      <c r="T426" t="s">
        <v>84</v>
      </c>
      <c r="U426" t="s">
        <v>86</v>
      </c>
      <c r="V426" s="16">
        <v>43870</v>
      </c>
      <c r="W426" s="18">
        <v>43859.90625</v>
      </c>
      <c r="X426" s="18">
        <v>44006.4375</v>
      </c>
      <c r="Y426" s="17">
        <v>2450.47</v>
      </c>
      <c r="Z426" t="s">
        <v>87</v>
      </c>
      <c r="AA426" s="17">
        <v>2505.33</v>
      </c>
      <c r="AB426" s="17">
        <v>2265.86</v>
      </c>
      <c r="AC426" t="s">
        <v>84</v>
      </c>
      <c r="AD426" t="s">
        <v>84</v>
      </c>
      <c r="AE426" t="s">
        <v>84</v>
      </c>
      <c r="AF426" t="s">
        <v>84</v>
      </c>
      <c r="AG426" s="17">
        <v>14763796</v>
      </c>
      <c r="AH426" s="17">
        <v>70.82</v>
      </c>
      <c r="AI426" s="17">
        <v>7.5</v>
      </c>
      <c r="AJ426" s="17">
        <v>7</v>
      </c>
      <c r="AK426" t="s">
        <v>89</v>
      </c>
      <c r="AM426" s="17">
        <v>2.4</v>
      </c>
      <c r="AN426" s="17"/>
      <c r="AO426" s="17">
        <v>795</v>
      </c>
      <c r="AP426" s="17"/>
      <c r="AQ426" s="17">
        <v>2160</v>
      </c>
      <c r="AR426" s="17"/>
      <c r="AS426" s="17">
        <v>1.35</v>
      </c>
      <c r="AT426" s="17"/>
      <c r="AU426" s="17">
        <v>397</v>
      </c>
      <c r="AV426" s="17"/>
      <c r="AW426" s="17">
        <v>2101</v>
      </c>
      <c r="AX426" s="17"/>
      <c r="AY426" t="s">
        <v>92</v>
      </c>
      <c r="AZ426" t="s">
        <v>92</v>
      </c>
      <c r="BA426" t="s">
        <v>92</v>
      </c>
      <c r="BB426" t="s">
        <v>92</v>
      </c>
      <c r="BC426" t="s">
        <v>92</v>
      </c>
      <c r="BD426" s="17">
        <v>47.19</v>
      </c>
      <c r="BE426" s="17">
        <v>7052760</v>
      </c>
      <c r="BF426" t="s">
        <v>92</v>
      </c>
      <c r="BG426" t="s">
        <v>92</v>
      </c>
      <c r="BH426" t="s">
        <v>93</v>
      </c>
      <c r="BI426" t="s">
        <v>94</v>
      </c>
      <c r="BJ426" t="s">
        <v>876</v>
      </c>
      <c r="BK426" t="s">
        <v>85</v>
      </c>
      <c r="BL426" t="s">
        <v>85</v>
      </c>
      <c r="BM426" t="s">
        <v>190</v>
      </c>
      <c r="BN426" t="s">
        <v>490</v>
      </c>
      <c r="BO426" t="s">
        <v>216</v>
      </c>
      <c r="BP426" t="s">
        <v>99</v>
      </c>
      <c r="BQ426" s="17">
        <v>3258</v>
      </c>
      <c r="BR426" t="s">
        <v>100</v>
      </c>
      <c r="BS426" t="s">
        <v>92</v>
      </c>
      <c r="BT426" t="s">
        <v>99</v>
      </c>
      <c r="BU426" s="17">
        <v>9.1</v>
      </c>
      <c r="BV426" t="s">
        <v>191</v>
      </c>
      <c r="BW426" t="s">
        <v>85</v>
      </c>
      <c r="BX426" t="s">
        <v>85</v>
      </c>
      <c r="BY426" t="str">
        <f>IF(COUNTIF('Data Upload-prod'!E:E,F426)=0,"Missing","Exist")</f>
        <v>Exist</v>
      </c>
    </row>
    <row r="427" hidden="1" spans="1:77">
      <c r="A427" s="16">
        <v>43776</v>
      </c>
      <c r="B427" s="16">
        <v>43927</v>
      </c>
      <c r="C427" t="s">
        <v>132</v>
      </c>
      <c r="D427" t="s">
        <v>120</v>
      </c>
      <c r="E427" t="s">
        <v>877</v>
      </c>
      <c r="F427" t="s">
        <v>878</v>
      </c>
      <c r="G427" t="s">
        <v>145</v>
      </c>
      <c r="H427" t="s">
        <v>181</v>
      </c>
      <c r="I427" t="s">
        <v>124</v>
      </c>
      <c r="J427" s="17">
        <v>44</v>
      </c>
      <c r="K427" s="17">
        <v>3692</v>
      </c>
      <c r="L427" s="17">
        <v>3692</v>
      </c>
      <c r="M427" s="17">
        <v>25404464</v>
      </c>
      <c r="N427" s="17">
        <v>27235254</v>
      </c>
      <c r="O427" s="17">
        <v>63.8</v>
      </c>
      <c r="P427" s="17">
        <v>75.2</v>
      </c>
      <c r="Q427" t="s">
        <v>84</v>
      </c>
      <c r="R427" t="s">
        <v>84</v>
      </c>
      <c r="S427" t="s">
        <v>85</v>
      </c>
      <c r="T427" t="s">
        <v>84</v>
      </c>
      <c r="U427" t="s">
        <v>84</v>
      </c>
      <c r="V427" s="16">
        <v>43790</v>
      </c>
      <c r="W427" s="18">
        <v>43781.6770833333</v>
      </c>
      <c r="X427" s="18">
        <v>43867.84375</v>
      </c>
      <c r="Y427" s="17">
        <v>3629</v>
      </c>
      <c r="Z427" t="s">
        <v>87</v>
      </c>
      <c r="AA427" s="17">
        <v>3705</v>
      </c>
      <c r="AB427" s="17">
        <v>3703.6</v>
      </c>
      <c r="AC427" s="17">
        <v>31054332.44</v>
      </c>
      <c r="AD427" t="s">
        <v>84</v>
      </c>
      <c r="AE427" s="17">
        <v>86.16</v>
      </c>
      <c r="AF427" t="s">
        <v>84</v>
      </c>
      <c r="AG427" t="s">
        <v>84</v>
      </c>
      <c r="AH427" t="s">
        <v>84</v>
      </c>
      <c r="AI427" s="17">
        <v>8.36</v>
      </c>
      <c r="AJ427" s="17">
        <v>6.15</v>
      </c>
      <c r="AK427" t="s">
        <v>374</v>
      </c>
      <c r="AM427" s="17">
        <v>5</v>
      </c>
      <c r="AN427" s="17"/>
      <c r="AO427" s="17">
        <v>2360</v>
      </c>
      <c r="AP427" s="17"/>
      <c r="AQ427" s="17">
        <v>4280</v>
      </c>
      <c r="AR427" s="17"/>
      <c r="AS427" s="17">
        <v>4.7</v>
      </c>
      <c r="AT427" s="17"/>
      <c r="AU427" s="17">
        <v>1958</v>
      </c>
      <c r="AV427" s="17"/>
      <c r="AW427" s="17">
        <v>2398</v>
      </c>
      <c r="AX427" s="17"/>
      <c r="AY427" t="s">
        <v>92</v>
      </c>
      <c r="AZ427" t="s">
        <v>92</v>
      </c>
      <c r="BA427" t="s">
        <v>92</v>
      </c>
      <c r="BB427" t="s">
        <v>92</v>
      </c>
      <c r="BC427" t="s">
        <v>92</v>
      </c>
      <c r="BD427" t="s">
        <v>92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92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92</v>
      </c>
      <c r="BS427" t="s">
        <v>92</v>
      </c>
      <c r="BT427" t="s">
        <v>92</v>
      </c>
      <c r="BU427" t="s">
        <v>92</v>
      </c>
      <c r="BV427" t="s">
        <v>92</v>
      </c>
      <c r="BW427" t="s">
        <v>92</v>
      </c>
      <c r="BX427" t="s">
        <v>92</v>
      </c>
      <c r="BY427" t="str">
        <f>IF(COUNTIF('Data Upload-prod'!E:E,F427)=0,"Missing","Exist")</f>
        <v>Exist</v>
      </c>
    </row>
    <row r="428" hidden="1" spans="1:77">
      <c r="A428" s="16">
        <v>43770</v>
      </c>
      <c r="B428" t="s">
        <v>84</v>
      </c>
      <c r="C428" t="s">
        <v>132</v>
      </c>
      <c r="D428" t="s">
        <v>78</v>
      </c>
      <c r="E428" t="s">
        <v>842</v>
      </c>
      <c r="F428" t="s">
        <v>879</v>
      </c>
      <c r="G428" t="s">
        <v>81</v>
      </c>
      <c r="H428" t="s">
        <v>880</v>
      </c>
      <c r="I428" t="s">
        <v>124</v>
      </c>
      <c r="J428" s="17">
        <v>63</v>
      </c>
      <c r="K428" s="17">
        <v>2029</v>
      </c>
      <c r="L428" s="17">
        <v>1730</v>
      </c>
      <c r="M428" t="s">
        <v>84</v>
      </c>
      <c r="N428" t="s">
        <v>84</v>
      </c>
      <c r="O428" t="s">
        <v>84</v>
      </c>
      <c r="P428" t="s">
        <v>84</v>
      </c>
      <c r="Q428" s="17">
        <v>9002914</v>
      </c>
      <c r="R428" s="17">
        <v>26.1</v>
      </c>
      <c r="S428" t="s">
        <v>85</v>
      </c>
      <c r="T428" t="s">
        <v>84</v>
      </c>
      <c r="U428" t="s">
        <v>86</v>
      </c>
      <c r="V428" s="16">
        <v>43786</v>
      </c>
      <c r="W428" s="18">
        <v>43785.625</v>
      </c>
      <c r="X428" s="18">
        <v>44013.7916666667</v>
      </c>
      <c r="Y428" s="17">
        <v>1913.15</v>
      </c>
      <c r="Z428" t="s">
        <v>87</v>
      </c>
      <c r="AA428" s="17">
        <v>2013</v>
      </c>
      <c r="AB428" s="17">
        <v>1718.66</v>
      </c>
      <c r="AC428" t="s">
        <v>84</v>
      </c>
      <c r="AD428" t="s">
        <v>84</v>
      </c>
      <c r="AE428" t="s">
        <v>84</v>
      </c>
      <c r="AF428" t="s">
        <v>84</v>
      </c>
      <c r="AG428" s="17">
        <v>9206722</v>
      </c>
      <c r="AH428" s="17">
        <v>34.29</v>
      </c>
      <c r="AI428" s="17">
        <v>9.88</v>
      </c>
      <c r="AJ428" s="17">
        <v>2.8</v>
      </c>
      <c r="AK428" t="s">
        <v>208</v>
      </c>
      <c r="AM428" s="17">
        <v>2.1</v>
      </c>
      <c r="AN428" s="17"/>
      <c r="AO428" s="17">
        <v>700</v>
      </c>
      <c r="AP428" s="17"/>
      <c r="AQ428" s="17">
        <v>1220</v>
      </c>
      <c r="AR428" s="17"/>
      <c r="AS428" s="17">
        <v>2.75</v>
      </c>
      <c r="AT428" s="17"/>
      <c r="AU428" s="17">
        <v>729</v>
      </c>
      <c r="AV428" s="17"/>
      <c r="AW428" s="17">
        <v>1235</v>
      </c>
      <c r="AX428" s="17"/>
      <c r="AY428" t="s">
        <v>92</v>
      </c>
      <c r="AZ428" t="s">
        <v>92</v>
      </c>
      <c r="BA428" t="s">
        <v>92</v>
      </c>
      <c r="BB428" t="s">
        <v>92</v>
      </c>
      <c r="BC428" t="s">
        <v>92</v>
      </c>
      <c r="BD428" s="17">
        <v>8.42</v>
      </c>
      <c r="BE428" s="17">
        <v>2268143.8</v>
      </c>
      <c r="BF428" t="s">
        <v>92</v>
      </c>
      <c r="BG428" t="s">
        <v>92</v>
      </c>
      <c r="BH428" t="s">
        <v>93</v>
      </c>
      <c r="BI428" t="s">
        <v>94</v>
      </c>
      <c r="BJ428" t="s">
        <v>173</v>
      </c>
      <c r="BK428" t="s">
        <v>85</v>
      </c>
      <c r="BL428" t="s">
        <v>85</v>
      </c>
      <c r="BM428" t="s">
        <v>96</v>
      </c>
      <c r="BN428" t="s">
        <v>569</v>
      </c>
      <c r="BO428" t="s">
        <v>98</v>
      </c>
      <c r="BP428" t="s">
        <v>99</v>
      </c>
      <c r="BQ428" s="17">
        <v>367.5</v>
      </c>
      <c r="BR428" t="s">
        <v>138</v>
      </c>
      <c r="BS428" t="s">
        <v>156</v>
      </c>
      <c r="BT428" t="s">
        <v>175</v>
      </c>
      <c r="BU428" s="17">
        <v>9</v>
      </c>
      <c r="BV428" t="s">
        <v>191</v>
      </c>
      <c r="BW428" t="s">
        <v>129</v>
      </c>
      <c r="BX428" t="s">
        <v>85</v>
      </c>
      <c r="BY428" t="str">
        <f>IF(COUNTIF('Data Upload-prod'!E:E,F428)=0,"Missing","Exist")</f>
        <v>Exist</v>
      </c>
    </row>
    <row r="429" hidden="1" spans="1:77">
      <c r="A429" s="16">
        <v>43770</v>
      </c>
      <c r="B429" s="16">
        <v>43934</v>
      </c>
      <c r="C429" t="s">
        <v>151</v>
      </c>
      <c r="D429" t="s">
        <v>142</v>
      </c>
      <c r="E429" t="s">
        <v>166</v>
      </c>
      <c r="F429" t="s">
        <v>881</v>
      </c>
      <c r="G429" t="s">
        <v>81</v>
      </c>
      <c r="H429" t="s">
        <v>154</v>
      </c>
      <c r="I429" t="s">
        <v>124</v>
      </c>
      <c r="J429" s="17">
        <v>54.25</v>
      </c>
      <c r="K429" s="17">
        <v>4489.48</v>
      </c>
      <c r="L429" s="17">
        <v>3618.1</v>
      </c>
      <c r="M429" t="s">
        <v>84</v>
      </c>
      <c r="N429" t="s">
        <v>84</v>
      </c>
      <c r="O429" t="s">
        <v>84</v>
      </c>
      <c r="P429" t="s">
        <v>84</v>
      </c>
      <c r="Q429" s="17">
        <v>13019618</v>
      </c>
      <c r="R429" s="17">
        <v>38.29</v>
      </c>
      <c r="S429" t="s">
        <v>85</v>
      </c>
      <c r="T429" t="s">
        <v>84</v>
      </c>
      <c r="U429" t="s">
        <v>86</v>
      </c>
      <c r="V429" s="16">
        <v>43811</v>
      </c>
      <c r="W429" s="18">
        <v>43810.15625</v>
      </c>
      <c r="X429" s="18">
        <v>43835.2083333333</v>
      </c>
      <c r="Y429" s="17">
        <v>4392.44</v>
      </c>
      <c r="Z429" t="s">
        <v>87</v>
      </c>
      <c r="AA429" s="17">
        <v>4489.48</v>
      </c>
      <c r="AB429" s="17">
        <v>3624.2</v>
      </c>
      <c r="AC429" t="s">
        <v>84</v>
      </c>
      <c r="AD429" t="s">
        <v>84</v>
      </c>
      <c r="AE429" t="s">
        <v>84</v>
      </c>
      <c r="AF429" t="s">
        <v>84</v>
      </c>
      <c r="AG429" s="17">
        <v>11550000</v>
      </c>
      <c r="AH429" s="17">
        <v>37.66</v>
      </c>
      <c r="AI429" s="17">
        <v>0.33</v>
      </c>
      <c r="AJ429" s="17">
        <v>0.33</v>
      </c>
      <c r="AK429" t="s">
        <v>208</v>
      </c>
      <c r="AM429" s="17">
        <v>1.7</v>
      </c>
      <c r="AN429" s="17"/>
      <c r="AO429" s="17">
        <v>720</v>
      </c>
      <c r="AP429" s="17"/>
      <c r="AQ429" s="17">
        <v>1285</v>
      </c>
      <c r="AR429" s="17"/>
      <c r="AS429" s="17">
        <v>1.1</v>
      </c>
      <c r="AT429" s="17"/>
      <c r="AU429" s="17">
        <v>313</v>
      </c>
      <c r="AV429" s="17"/>
      <c r="AW429" s="17">
        <v>784</v>
      </c>
      <c r="AX429" s="17"/>
      <c r="AY429" t="s">
        <v>92</v>
      </c>
      <c r="AZ429" t="s">
        <v>92</v>
      </c>
      <c r="BA429" t="s">
        <v>92</v>
      </c>
      <c r="BB429" t="s">
        <v>92</v>
      </c>
      <c r="BC429" t="s">
        <v>92</v>
      </c>
      <c r="BD429" s="17">
        <v>10.98</v>
      </c>
      <c r="BE429" s="17">
        <v>4181143</v>
      </c>
      <c r="BF429" t="s">
        <v>92</v>
      </c>
      <c r="BG429" t="s">
        <v>92</v>
      </c>
      <c r="BH429" t="s">
        <v>93</v>
      </c>
      <c r="BI429" t="s">
        <v>94</v>
      </c>
      <c r="BJ429" t="s">
        <v>173</v>
      </c>
      <c r="BK429" t="s">
        <v>85</v>
      </c>
      <c r="BL429" t="s">
        <v>85</v>
      </c>
      <c r="BM429" t="s">
        <v>96</v>
      </c>
      <c r="BN429" t="s">
        <v>569</v>
      </c>
      <c r="BO429" t="s">
        <v>216</v>
      </c>
      <c r="BP429" t="s">
        <v>99</v>
      </c>
      <c r="BQ429" s="17">
        <v>160</v>
      </c>
      <c r="BR429" t="s">
        <v>138</v>
      </c>
      <c r="BS429" t="s">
        <v>156</v>
      </c>
      <c r="BT429" t="s">
        <v>99</v>
      </c>
      <c r="BU429" s="17">
        <v>8.6</v>
      </c>
      <c r="BV429" t="s">
        <v>110</v>
      </c>
      <c r="BW429" t="s">
        <v>85</v>
      </c>
      <c r="BX429" t="s">
        <v>85</v>
      </c>
      <c r="BY429" t="str">
        <f>IF(COUNTIF('Data Upload-prod'!E:E,F429)=0,"Missing","Exist")</f>
        <v>Exist</v>
      </c>
    </row>
    <row r="430" hidden="1" spans="1:77">
      <c r="A430" s="16">
        <v>43770</v>
      </c>
      <c r="B430" s="16">
        <v>43881</v>
      </c>
      <c r="C430" t="s">
        <v>151</v>
      </c>
      <c r="D430" t="s">
        <v>142</v>
      </c>
      <c r="E430" t="s">
        <v>166</v>
      </c>
      <c r="F430" t="s">
        <v>882</v>
      </c>
      <c r="G430" t="s">
        <v>81</v>
      </c>
      <c r="H430" t="s">
        <v>154</v>
      </c>
      <c r="I430" t="s">
        <v>124</v>
      </c>
      <c r="J430" s="17">
        <v>54.25</v>
      </c>
      <c r="K430" s="17">
        <v>3517.22</v>
      </c>
      <c r="L430" s="17">
        <v>3352.94</v>
      </c>
      <c r="M430" t="s">
        <v>84</v>
      </c>
      <c r="N430" t="s">
        <v>84</v>
      </c>
      <c r="O430" t="s">
        <v>84</v>
      </c>
      <c r="P430" t="s">
        <v>84</v>
      </c>
      <c r="Q430" s="17">
        <v>9520000</v>
      </c>
      <c r="R430" s="17">
        <v>27.39</v>
      </c>
      <c r="S430" t="s">
        <v>106</v>
      </c>
      <c r="T430" t="s">
        <v>84</v>
      </c>
      <c r="U430" t="s">
        <v>86</v>
      </c>
      <c r="V430" s="16">
        <v>43784</v>
      </c>
      <c r="W430" s="18">
        <v>43783.5</v>
      </c>
      <c r="X430" s="18">
        <v>43810.15625</v>
      </c>
      <c r="Y430" s="17">
        <v>3407.99</v>
      </c>
      <c r="Z430" t="s">
        <v>87</v>
      </c>
      <c r="AA430" s="17">
        <v>3505.03</v>
      </c>
      <c r="AB430" s="17">
        <v>3341.05</v>
      </c>
      <c r="AC430" t="s">
        <v>84</v>
      </c>
      <c r="AD430" t="s">
        <v>84</v>
      </c>
      <c r="AE430" t="s">
        <v>84</v>
      </c>
      <c r="AF430" t="s">
        <v>84</v>
      </c>
      <c r="AG430" s="17">
        <v>8980000</v>
      </c>
      <c r="AH430" s="17">
        <v>26.24</v>
      </c>
      <c r="AI430" s="17">
        <v>0.16</v>
      </c>
      <c r="AJ430" s="17">
        <v>0.16</v>
      </c>
      <c r="AK430" t="s">
        <v>208</v>
      </c>
      <c r="AM430" s="17">
        <v>1.7</v>
      </c>
      <c r="AN430" s="17"/>
      <c r="AO430" s="17">
        <v>720</v>
      </c>
      <c r="AP430" s="17"/>
      <c r="AQ430" s="17">
        <v>1285</v>
      </c>
      <c r="AR430" s="17"/>
      <c r="AS430" s="17">
        <v>1.1</v>
      </c>
      <c r="AT430" s="17"/>
      <c r="AU430" s="17">
        <v>326</v>
      </c>
      <c r="AV430" s="17"/>
      <c r="AW430" s="17">
        <v>621</v>
      </c>
      <c r="AX430" s="17"/>
      <c r="AY430" t="s">
        <v>92</v>
      </c>
      <c r="AZ430" t="s">
        <v>92</v>
      </c>
      <c r="BA430" t="s">
        <v>92</v>
      </c>
      <c r="BB430" t="s">
        <v>92</v>
      </c>
      <c r="BC430" t="s">
        <v>92</v>
      </c>
      <c r="BD430" s="17">
        <v>3.91</v>
      </c>
      <c r="BE430" s="17">
        <v>2007228</v>
      </c>
      <c r="BF430" t="s">
        <v>92</v>
      </c>
      <c r="BG430" t="s">
        <v>92</v>
      </c>
      <c r="BH430" t="s">
        <v>93</v>
      </c>
      <c r="BI430" t="s">
        <v>94</v>
      </c>
      <c r="BJ430" t="s">
        <v>173</v>
      </c>
      <c r="BK430" t="s">
        <v>85</v>
      </c>
      <c r="BL430" t="s">
        <v>85</v>
      </c>
      <c r="BM430" t="s">
        <v>96</v>
      </c>
      <c r="BN430" t="s">
        <v>97</v>
      </c>
      <c r="BO430" t="s">
        <v>98</v>
      </c>
      <c r="BP430" t="s">
        <v>99</v>
      </c>
      <c r="BQ430" s="17">
        <v>90</v>
      </c>
      <c r="BR430" t="s">
        <v>138</v>
      </c>
      <c r="BS430" t="s">
        <v>156</v>
      </c>
      <c r="BT430" t="s">
        <v>99</v>
      </c>
      <c r="BU430" s="17">
        <v>8.6</v>
      </c>
      <c r="BV430" t="s">
        <v>110</v>
      </c>
      <c r="BW430" t="s">
        <v>85</v>
      </c>
      <c r="BX430" t="s">
        <v>85</v>
      </c>
      <c r="BY430" t="str">
        <f>IF(COUNTIF('Data Upload-prod'!E:E,F430)=0,"Missing","Exist")</f>
        <v>Exist</v>
      </c>
    </row>
    <row r="431" hidden="1" spans="1:77">
      <c r="A431" s="16">
        <v>43770</v>
      </c>
      <c r="B431" s="16">
        <v>43896</v>
      </c>
      <c r="C431" t="s">
        <v>132</v>
      </c>
      <c r="D431" t="s">
        <v>78</v>
      </c>
      <c r="E431" t="s">
        <v>842</v>
      </c>
      <c r="F431" t="s">
        <v>883</v>
      </c>
      <c r="G431" t="s">
        <v>81</v>
      </c>
      <c r="H431" t="s">
        <v>880</v>
      </c>
      <c r="I431" t="s">
        <v>124</v>
      </c>
      <c r="J431" s="17">
        <v>63</v>
      </c>
      <c r="K431" s="17">
        <v>1797.92</v>
      </c>
      <c r="L431" s="17">
        <v>1710</v>
      </c>
      <c r="M431" t="s">
        <v>84</v>
      </c>
      <c r="N431" t="s">
        <v>84</v>
      </c>
      <c r="O431" t="s">
        <v>84</v>
      </c>
      <c r="P431" t="s">
        <v>84</v>
      </c>
      <c r="Q431" s="17">
        <v>9018369</v>
      </c>
      <c r="R431" s="17">
        <v>25.72</v>
      </c>
      <c r="S431" t="s">
        <v>85</v>
      </c>
      <c r="T431" t="s">
        <v>84</v>
      </c>
      <c r="U431" t="s">
        <v>86</v>
      </c>
      <c r="V431" s="16">
        <v>43785.1666666667</v>
      </c>
      <c r="W431" s="18">
        <v>43782</v>
      </c>
      <c r="X431" s="18">
        <v>43845.5</v>
      </c>
      <c r="Y431" s="17">
        <v>1698.07</v>
      </c>
      <c r="Z431" t="s">
        <v>87</v>
      </c>
      <c r="AA431" s="17">
        <v>1797.92</v>
      </c>
      <c r="AB431" s="17">
        <v>1710</v>
      </c>
      <c r="AC431" t="s">
        <v>84</v>
      </c>
      <c r="AD431" t="s">
        <v>84</v>
      </c>
      <c r="AE431" t="s">
        <v>84</v>
      </c>
      <c r="AF431" t="s">
        <v>84</v>
      </c>
      <c r="AG431" s="17">
        <v>8364619</v>
      </c>
      <c r="AH431" s="17">
        <v>26.04</v>
      </c>
      <c r="AI431" s="17">
        <v>5.18</v>
      </c>
      <c r="AJ431" s="17">
        <v>5.18</v>
      </c>
      <c r="AK431" t="s">
        <v>208</v>
      </c>
      <c r="AM431" s="17">
        <v>2.1</v>
      </c>
      <c r="AN431" s="17"/>
      <c r="AO431" s="17">
        <v>700</v>
      </c>
      <c r="AP431" s="17"/>
      <c r="AQ431" s="17">
        <v>1220</v>
      </c>
      <c r="AR431" s="17"/>
      <c r="AS431" s="17">
        <v>3.07</v>
      </c>
      <c r="AT431" s="17"/>
      <c r="AU431" s="17">
        <v>802</v>
      </c>
      <c r="AV431" s="17"/>
      <c r="AW431" s="17">
        <v>1508</v>
      </c>
      <c r="AX431" s="17"/>
      <c r="AY431" t="s">
        <v>92</v>
      </c>
      <c r="AZ431" t="s">
        <v>92</v>
      </c>
      <c r="BA431" t="s">
        <v>92</v>
      </c>
      <c r="BB431" t="s">
        <v>92</v>
      </c>
      <c r="BC431" t="s">
        <v>92</v>
      </c>
      <c r="BD431" s="17">
        <v>7.24</v>
      </c>
      <c r="BE431" s="17">
        <v>2166027.12</v>
      </c>
      <c r="BF431" t="s">
        <v>92</v>
      </c>
      <c r="BG431" t="s">
        <v>92</v>
      </c>
      <c r="BH431" t="s">
        <v>93</v>
      </c>
      <c r="BI431" t="s">
        <v>94</v>
      </c>
      <c r="BJ431" t="s">
        <v>173</v>
      </c>
      <c r="BK431" t="s">
        <v>85</v>
      </c>
      <c r="BL431" t="s">
        <v>85</v>
      </c>
      <c r="BM431" t="s">
        <v>96</v>
      </c>
      <c r="BN431" t="s">
        <v>569</v>
      </c>
      <c r="BO431" t="s">
        <v>98</v>
      </c>
      <c r="BP431" t="s">
        <v>99</v>
      </c>
      <c r="BQ431" s="17">
        <v>193.6</v>
      </c>
      <c r="BR431" t="s">
        <v>138</v>
      </c>
      <c r="BS431" t="s">
        <v>156</v>
      </c>
      <c r="BT431" t="s">
        <v>175</v>
      </c>
      <c r="BU431" s="17">
        <v>9</v>
      </c>
      <c r="BV431" t="s">
        <v>191</v>
      </c>
      <c r="BW431" t="s">
        <v>129</v>
      </c>
      <c r="BX431" t="s">
        <v>85</v>
      </c>
      <c r="BY431" t="str">
        <f>IF(COUNTIF('Data Upload-prod'!E:E,F431)=0,"Missing","Exist")</f>
        <v>Exist</v>
      </c>
    </row>
    <row r="432" hidden="1" spans="1:77">
      <c r="A432" s="16">
        <v>43769</v>
      </c>
      <c r="B432" s="16">
        <v>43930</v>
      </c>
      <c r="C432" t="s">
        <v>132</v>
      </c>
      <c r="D432" t="s">
        <v>120</v>
      </c>
      <c r="E432" t="s">
        <v>326</v>
      </c>
      <c r="F432" t="s">
        <v>884</v>
      </c>
      <c r="G432" t="s">
        <v>81</v>
      </c>
      <c r="H432" t="s">
        <v>168</v>
      </c>
      <c r="I432" t="s">
        <v>124</v>
      </c>
      <c r="J432" s="17">
        <v>34.6</v>
      </c>
      <c r="K432" s="17">
        <v>2034.13</v>
      </c>
      <c r="L432" s="17">
        <v>1348</v>
      </c>
      <c r="M432" t="s">
        <v>84</v>
      </c>
      <c r="N432" t="s">
        <v>84</v>
      </c>
      <c r="O432" t="s">
        <v>84</v>
      </c>
      <c r="P432" t="s">
        <v>84</v>
      </c>
      <c r="Q432" s="17">
        <v>9918798</v>
      </c>
      <c r="R432" s="17">
        <v>26.64</v>
      </c>
      <c r="S432" t="s">
        <v>85</v>
      </c>
      <c r="T432" t="s">
        <v>84</v>
      </c>
      <c r="U432" t="s">
        <v>86</v>
      </c>
      <c r="V432" t="s">
        <v>84</v>
      </c>
      <c r="W432" s="18">
        <v>43778.25</v>
      </c>
      <c r="X432" s="18">
        <v>43904</v>
      </c>
      <c r="Y432" s="17">
        <v>2157.8</v>
      </c>
      <c r="Z432" t="s">
        <v>87</v>
      </c>
      <c r="AA432" s="17">
        <v>2214</v>
      </c>
      <c r="AB432" s="17">
        <v>1678</v>
      </c>
      <c r="AC432" t="s">
        <v>84</v>
      </c>
      <c r="AD432" t="s">
        <v>84</v>
      </c>
      <c r="AE432" t="s">
        <v>84</v>
      </c>
      <c r="AF432" t="s">
        <v>84</v>
      </c>
      <c r="AG432" s="17">
        <v>12336152</v>
      </c>
      <c r="AH432" s="17">
        <v>32.21</v>
      </c>
      <c r="AI432" s="17">
        <v>2.94</v>
      </c>
      <c r="AJ432" s="17">
        <v>2.94</v>
      </c>
      <c r="AK432" t="s">
        <v>208</v>
      </c>
      <c r="AM432" s="17">
        <v>2.2</v>
      </c>
      <c r="AN432" s="17"/>
      <c r="AO432" s="17">
        <v>830</v>
      </c>
      <c r="AP432" s="17"/>
      <c r="AQ432" s="17">
        <v>1395</v>
      </c>
      <c r="AR432" s="17"/>
      <c r="AS432" s="17">
        <v>3.33</v>
      </c>
      <c r="AT432" s="17"/>
      <c r="AU432" s="17">
        <v>979</v>
      </c>
      <c r="AV432" s="17"/>
      <c r="AW432" s="17">
        <v>1698</v>
      </c>
      <c r="AX432" s="17"/>
      <c r="AY432" t="s">
        <v>92</v>
      </c>
      <c r="AZ432" t="s">
        <v>92</v>
      </c>
      <c r="BA432" t="s">
        <v>92</v>
      </c>
      <c r="BB432" t="s">
        <v>92</v>
      </c>
      <c r="BC432" t="s">
        <v>92</v>
      </c>
      <c r="BD432" s="17">
        <v>8.46</v>
      </c>
      <c r="BE432" s="17">
        <v>5221378</v>
      </c>
      <c r="BF432" t="s">
        <v>92</v>
      </c>
      <c r="BG432" t="s">
        <v>92</v>
      </c>
      <c r="BH432" t="s">
        <v>93</v>
      </c>
      <c r="BI432" t="s">
        <v>94</v>
      </c>
      <c r="BJ432" t="s">
        <v>173</v>
      </c>
      <c r="BK432" t="s">
        <v>805</v>
      </c>
      <c r="BL432" t="s">
        <v>85</v>
      </c>
      <c r="BM432" t="s">
        <v>96</v>
      </c>
      <c r="BN432" t="s">
        <v>490</v>
      </c>
      <c r="BO432" t="s">
        <v>98</v>
      </c>
      <c r="BP432" t="s">
        <v>99</v>
      </c>
      <c r="BQ432" t="s">
        <v>92</v>
      </c>
      <c r="BR432" t="s">
        <v>138</v>
      </c>
      <c r="BS432" t="s">
        <v>806</v>
      </c>
      <c r="BT432" t="s">
        <v>175</v>
      </c>
      <c r="BU432" s="17">
        <v>9.3</v>
      </c>
      <c r="BV432" t="s">
        <v>191</v>
      </c>
      <c r="BW432" t="s">
        <v>129</v>
      </c>
      <c r="BX432" t="s">
        <v>85</v>
      </c>
      <c r="BY432" t="str">
        <f>IF(COUNTIF('Data Upload-prod'!E:E,F432)=0,"Missing","Exist")</f>
        <v>Exist</v>
      </c>
    </row>
    <row r="433" hidden="1" spans="1:77">
      <c r="A433" s="16">
        <v>43769</v>
      </c>
      <c r="B433" s="16">
        <v>44078</v>
      </c>
      <c r="C433" t="s">
        <v>132</v>
      </c>
      <c r="D433" t="s">
        <v>120</v>
      </c>
      <c r="E433" t="s">
        <v>203</v>
      </c>
      <c r="F433" t="s">
        <v>885</v>
      </c>
      <c r="G433" t="s">
        <v>81</v>
      </c>
      <c r="H433" t="s">
        <v>801</v>
      </c>
      <c r="I433" t="s">
        <v>124</v>
      </c>
      <c r="J433" s="17">
        <v>29.5</v>
      </c>
      <c r="K433" s="17">
        <v>2514.48</v>
      </c>
      <c r="L433" s="17">
        <v>1239.26</v>
      </c>
      <c r="M433" t="s">
        <v>84</v>
      </c>
      <c r="N433" t="s">
        <v>84</v>
      </c>
      <c r="O433" t="s">
        <v>84</v>
      </c>
      <c r="P433" t="s">
        <v>84</v>
      </c>
      <c r="Q433" s="17">
        <v>8890000</v>
      </c>
      <c r="R433" s="17">
        <v>23.04</v>
      </c>
      <c r="S433" t="s">
        <v>85</v>
      </c>
      <c r="T433" t="s">
        <v>84</v>
      </c>
      <c r="U433" t="s">
        <v>86</v>
      </c>
      <c r="V433" s="16">
        <v>43808</v>
      </c>
      <c r="W433" s="18">
        <v>43808.71875</v>
      </c>
      <c r="X433" s="18">
        <v>43834.625</v>
      </c>
      <c r="Y433" s="17">
        <v>2395.77</v>
      </c>
      <c r="Z433" t="s">
        <v>87</v>
      </c>
      <c r="AA433" s="17">
        <v>2465.71</v>
      </c>
      <c r="AB433" s="17">
        <v>1418.77</v>
      </c>
      <c r="AC433" t="s">
        <v>84</v>
      </c>
      <c r="AD433" t="s">
        <v>84</v>
      </c>
      <c r="AE433" t="s">
        <v>84</v>
      </c>
      <c r="AF433" t="s">
        <v>84</v>
      </c>
      <c r="AG433" s="17">
        <v>6105013</v>
      </c>
      <c r="AH433" s="17">
        <v>19</v>
      </c>
      <c r="AI433" s="17">
        <v>0.27</v>
      </c>
      <c r="AJ433" s="17">
        <v>0.27</v>
      </c>
      <c r="AK433" t="s">
        <v>208</v>
      </c>
      <c r="AM433" s="17">
        <v>2.2</v>
      </c>
      <c r="AN433" s="17"/>
      <c r="AO433" s="17">
        <v>830</v>
      </c>
      <c r="AP433" s="17"/>
      <c r="AQ433" s="17">
        <v>1395</v>
      </c>
      <c r="AR433" s="17"/>
      <c r="AS433" s="17">
        <v>1.73</v>
      </c>
      <c r="AT433" s="17"/>
      <c r="AU433" s="17">
        <v>454</v>
      </c>
      <c r="AV433" s="17"/>
      <c r="AW433" s="17">
        <v>755</v>
      </c>
      <c r="AX433" s="17"/>
      <c r="AY433" t="s">
        <v>92</v>
      </c>
      <c r="AZ433" t="s">
        <v>92</v>
      </c>
      <c r="BA433" t="s">
        <v>92</v>
      </c>
      <c r="BB433" t="s">
        <v>92</v>
      </c>
      <c r="BC433" t="s">
        <v>92</v>
      </c>
      <c r="BD433" s="17">
        <v>1.65</v>
      </c>
      <c r="BE433" s="17">
        <v>1804070</v>
      </c>
      <c r="BF433" t="s">
        <v>92</v>
      </c>
      <c r="BG433" t="s">
        <v>92</v>
      </c>
      <c r="BH433" t="s">
        <v>93</v>
      </c>
      <c r="BI433" t="s">
        <v>94</v>
      </c>
      <c r="BJ433" t="s">
        <v>173</v>
      </c>
      <c r="BK433" t="s">
        <v>85</v>
      </c>
      <c r="BL433" t="s">
        <v>85</v>
      </c>
      <c r="BM433" t="s">
        <v>96</v>
      </c>
      <c r="BN433" t="s">
        <v>97</v>
      </c>
      <c r="BO433" t="s">
        <v>98</v>
      </c>
      <c r="BP433" t="s">
        <v>103</v>
      </c>
      <c r="BQ433" t="s">
        <v>92</v>
      </c>
      <c r="BR433" t="s">
        <v>100</v>
      </c>
      <c r="BS433" t="s">
        <v>156</v>
      </c>
      <c r="BT433" t="s">
        <v>550</v>
      </c>
      <c r="BU433" s="17">
        <v>8.6</v>
      </c>
      <c r="BV433" t="s">
        <v>110</v>
      </c>
      <c r="BW433" t="s">
        <v>85</v>
      </c>
      <c r="BX433" t="s">
        <v>337</v>
      </c>
      <c r="BY433" t="str">
        <f>IF(COUNTIF('Data Upload-prod'!E:E,F433)=0,"Missing","Exist")</f>
        <v>Exist</v>
      </c>
    </row>
    <row r="434" hidden="1" spans="1:77">
      <c r="A434" s="16">
        <v>43769</v>
      </c>
      <c r="B434" s="16">
        <v>43930</v>
      </c>
      <c r="C434" t="s">
        <v>132</v>
      </c>
      <c r="D434" t="s">
        <v>120</v>
      </c>
      <c r="E434" t="s">
        <v>326</v>
      </c>
      <c r="F434" t="s">
        <v>886</v>
      </c>
      <c r="G434" t="s">
        <v>81</v>
      </c>
      <c r="H434" t="s">
        <v>168</v>
      </c>
      <c r="I434" t="s">
        <v>124</v>
      </c>
      <c r="J434" s="17">
        <v>34.6</v>
      </c>
      <c r="K434" s="17">
        <v>1998</v>
      </c>
      <c r="L434" s="17">
        <v>1828</v>
      </c>
      <c r="M434" t="s">
        <v>84</v>
      </c>
      <c r="N434" t="s">
        <v>84</v>
      </c>
      <c r="O434" t="s">
        <v>84</v>
      </c>
      <c r="P434" t="s">
        <v>84</v>
      </c>
      <c r="Q434" s="17">
        <v>8776585</v>
      </c>
      <c r="R434" s="17">
        <v>26</v>
      </c>
      <c r="S434" t="s">
        <v>85</v>
      </c>
      <c r="T434" t="s">
        <v>84</v>
      </c>
      <c r="U434" t="s">
        <v>86</v>
      </c>
      <c r="V434" s="16">
        <v>43775</v>
      </c>
      <c r="W434" s="18">
        <v>43773.375</v>
      </c>
      <c r="X434" s="18">
        <v>43844.75</v>
      </c>
      <c r="Y434" s="17">
        <v>1794.8</v>
      </c>
      <c r="Z434" t="s">
        <v>87</v>
      </c>
      <c r="AA434" s="17">
        <v>1851</v>
      </c>
      <c r="AB434" s="17">
        <v>1058</v>
      </c>
      <c r="AC434" t="s">
        <v>84</v>
      </c>
      <c r="AD434" t="s">
        <v>84</v>
      </c>
      <c r="AE434" t="s">
        <v>84</v>
      </c>
      <c r="AF434" t="s">
        <v>84</v>
      </c>
      <c r="AG434" s="17">
        <v>9713206</v>
      </c>
      <c r="AH434" s="17">
        <v>26.33</v>
      </c>
      <c r="AI434" s="17">
        <v>19</v>
      </c>
      <c r="AJ434" s="17">
        <v>0</v>
      </c>
      <c r="AK434" t="s">
        <v>208</v>
      </c>
      <c r="AM434" s="17">
        <v>2.2</v>
      </c>
      <c r="AN434" s="17"/>
      <c r="AO434" s="17">
        <v>830</v>
      </c>
      <c r="AP434" s="17"/>
      <c r="AQ434" s="17">
        <v>1395</v>
      </c>
      <c r="AR434" s="17"/>
      <c r="AS434" s="17">
        <v>3.05</v>
      </c>
      <c r="AT434" s="17"/>
      <c r="AU434" s="17">
        <v>727</v>
      </c>
      <c r="AV434" s="17"/>
      <c r="AW434" s="17">
        <v>1599</v>
      </c>
      <c r="AX434" s="17"/>
      <c r="AY434" t="s">
        <v>92</v>
      </c>
      <c r="AZ434" t="s">
        <v>92</v>
      </c>
      <c r="BA434" t="s">
        <v>92</v>
      </c>
      <c r="BB434" t="s">
        <v>92</v>
      </c>
      <c r="BC434" t="s">
        <v>92</v>
      </c>
      <c r="BD434" s="17">
        <v>7.79</v>
      </c>
      <c r="BE434" s="17">
        <v>5300244.9</v>
      </c>
      <c r="BF434" t="s">
        <v>92</v>
      </c>
      <c r="BG434" t="s">
        <v>92</v>
      </c>
      <c r="BH434" t="s">
        <v>93</v>
      </c>
      <c r="BI434" t="s">
        <v>94</v>
      </c>
      <c r="BJ434" t="s">
        <v>173</v>
      </c>
      <c r="BK434" t="s">
        <v>805</v>
      </c>
      <c r="BL434" t="s">
        <v>85</v>
      </c>
      <c r="BM434" t="s">
        <v>96</v>
      </c>
      <c r="BN434" t="s">
        <v>490</v>
      </c>
      <c r="BO434" t="s">
        <v>98</v>
      </c>
      <c r="BP434" t="s">
        <v>99</v>
      </c>
      <c r="BQ434" t="s">
        <v>92</v>
      </c>
      <c r="BR434" t="s">
        <v>138</v>
      </c>
      <c r="BS434" t="s">
        <v>806</v>
      </c>
      <c r="BT434" t="s">
        <v>175</v>
      </c>
      <c r="BU434" s="17">
        <v>9.4</v>
      </c>
      <c r="BV434" t="s">
        <v>191</v>
      </c>
      <c r="BW434" t="s">
        <v>129</v>
      </c>
      <c r="BX434" t="s">
        <v>85</v>
      </c>
      <c r="BY434" t="str">
        <f>IF(COUNTIF('Data Upload-prod'!E:E,F434)=0,"Missing","Exist")</f>
        <v>Exist</v>
      </c>
    </row>
    <row r="435" hidden="1" spans="1:77">
      <c r="A435" s="16">
        <v>43769</v>
      </c>
      <c r="B435" s="16">
        <v>43930</v>
      </c>
      <c r="C435" t="s">
        <v>132</v>
      </c>
      <c r="D435" t="s">
        <v>120</v>
      </c>
      <c r="E435" t="s">
        <v>326</v>
      </c>
      <c r="F435" t="s">
        <v>887</v>
      </c>
      <c r="G435" t="s">
        <v>81</v>
      </c>
      <c r="H435" t="s">
        <v>168</v>
      </c>
      <c r="I435" t="s">
        <v>124</v>
      </c>
      <c r="J435" s="17">
        <v>34.6</v>
      </c>
      <c r="K435" s="17">
        <v>2151</v>
      </c>
      <c r="L435" s="17">
        <v>1858</v>
      </c>
      <c r="M435" t="s">
        <v>84</v>
      </c>
      <c r="N435" t="s">
        <v>84</v>
      </c>
      <c r="O435" t="s">
        <v>84</v>
      </c>
      <c r="P435" t="s">
        <v>84</v>
      </c>
      <c r="Q435" s="17">
        <v>10890564</v>
      </c>
      <c r="R435" s="17">
        <v>24.71</v>
      </c>
      <c r="S435" t="s">
        <v>85</v>
      </c>
      <c r="T435" t="s">
        <v>84</v>
      </c>
      <c r="U435" t="s">
        <v>86</v>
      </c>
      <c r="V435" s="16">
        <v>43785</v>
      </c>
      <c r="W435" s="18">
        <v>43784.75</v>
      </c>
      <c r="X435" s="18">
        <v>43881</v>
      </c>
      <c r="Y435" s="17">
        <v>2193.8</v>
      </c>
      <c r="Z435" t="s">
        <v>87</v>
      </c>
      <c r="AA435" s="17">
        <v>2250</v>
      </c>
      <c r="AB435" s="17">
        <v>2250</v>
      </c>
      <c r="AC435" t="s">
        <v>84</v>
      </c>
      <c r="AD435" t="s">
        <v>84</v>
      </c>
      <c r="AE435" t="s">
        <v>84</v>
      </c>
      <c r="AF435" t="s">
        <v>84</v>
      </c>
      <c r="AG435" s="17">
        <v>10899280</v>
      </c>
      <c r="AH435" s="17">
        <v>31.67</v>
      </c>
      <c r="AI435" s="17">
        <v>1</v>
      </c>
      <c r="AJ435" s="17">
        <v>1</v>
      </c>
      <c r="AK435" t="s">
        <v>208</v>
      </c>
      <c r="AM435" s="17">
        <v>2.2</v>
      </c>
      <c r="AN435" s="17"/>
      <c r="AO435" s="17">
        <v>830</v>
      </c>
      <c r="AP435" s="17"/>
      <c r="AQ435" s="17">
        <v>1395</v>
      </c>
      <c r="AR435" s="17"/>
      <c r="AS435" s="17">
        <v>2.19</v>
      </c>
      <c r="AT435" s="17"/>
      <c r="AU435" s="17">
        <v>700</v>
      </c>
      <c r="AV435" s="17"/>
      <c r="AW435" s="17">
        <v>1260</v>
      </c>
      <c r="AX435" s="17"/>
      <c r="AY435" t="s">
        <v>92</v>
      </c>
      <c r="AZ435" t="s">
        <v>92</v>
      </c>
      <c r="BA435" t="s">
        <v>92</v>
      </c>
      <c r="BB435" t="s">
        <v>92</v>
      </c>
      <c r="BC435" t="s">
        <v>92</v>
      </c>
      <c r="BD435" s="17">
        <v>8.67</v>
      </c>
      <c r="BE435" s="17">
        <v>4132800</v>
      </c>
      <c r="BF435" t="s">
        <v>92</v>
      </c>
      <c r="BG435" t="s">
        <v>92</v>
      </c>
      <c r="BH435" t="s">
        <v>93</v>
      </c>
      <c r="BI435" t="s">
        <v>94</v>
      </c>
      <c r="BJ435" t="s">
        <v>173</v>
      </c>
      <c r="BK435" t="s">
        <v>888</v>
      </c>
      <c r="BL435" t="s">
        <v>85</v>
      </c>
      <c r="BM435" t="s">
        <v>96</v>
      </c>
      <c r="BN435" t="s">
        <v>174</v>
      </c>
      <c r="BO435" t="s">
        <v>98</v>
      </c>
      <c r="BP435" t="s">
        <v>99</v>
      </c>
      <c r="BQ435" t="s">
        <v>92</v>
      </c>
      <c r="BR435" t="s">
        <v>138</v>
      </c>
      <c r="BS435" t="s">
        <v>806</v>
      </c>
      <c r="BT435" t="s">
        <v>175</v>
      </c>
      <c r="BU435" s="17">
        <v>9.4</v>
      </c>
      <c r="BV435" t="s">
        <v>191</v>
      </c>
      <c r="BW435" t="s">
        <v>129</v>
      </c>
      <c r="BX435" t="s">
        <v>85</v>
      </c>
      <c r="BY435" t="str">
        <f>IF(COUNTIF('Data Upload-prod'!E:E,F435)=0,"Missing","Exist")</f>
        <v>Exist</v>
      </c>
    </row>
    <row r="436" hidden="1" spans="1:77">
      <c r="A436" s="16">
        <v>43769</v>
      </c>
      <c r="B436" s="16">
        <v>43930</v>
      </c>
      <c r="C436" t="s">
        <v>132</v>
      </c>
      <c r="D436" t="s">
        <v>120</v>
      </c>
      <c r="E436" t="s">
        <v>326</v>
      </c>
      <c r="F436" t="s">
        <v>889</v>
      </c>
      <c r="G436" t="s">
        <v>81</v>
      </c>
      <c r="H436" t="s">
        <v>168</v>
      </c>
      <c r="I436" t="s">
        <v>124</v>
      </c>
      <c r="J436" s="17">
        <v>34.6</v>
      </c>
      <c r="K436" s="17">
        <v>2150</v>
      </c>
      <c r="L436" s="17">
        <v>1346</v>
      </c>
      <c r="M436" t="s">
        <v>84</v>
      </c>
      <c r="N436" t="s">
        <v>84</v>
      </c>
      <c r="O436" t="s">
        <v>84</v>
      </c>
      <c r="P436" t="s">
        <v>84</v>
      </c>
      <c r="Q436" s="17">
        <v>9944992</v>
      </c>
      <c r="R436" s="17">
        <v>25</v>
      </c>
      <c r="S436" t="s">
        <v>85</v>
      </c>
      <c r="T436" t="s">
        <v>84</v>
      </c>
      <c r="U436" t="s">
        <v>84</v>
      </c>
      <c r="V436" t="s">
        <v>84</v>
      </c>
      <c r="W436" s="18">
        <v>43781.75</v>
      </c>
      <c r="X436" s="18">
        <v>43826.25</v>
      </c>
      <c r="Y436" s="17">
        <v>2193.8</v>
      </c>
      <c r="Z436" t="s">
        <v>87</v>
      </c>
      <c r="AA436" s="17">
        <v>2250</v>
      </c>
      <c r="AB436" s="17">
        <v>1343</v>
      </c>
      <c r="AC436" t="s">
        <v>84</v>
      </c>
      <c r="AD436" t="s">
        <v>84</v>
      </c>
      <c r="AE436" t="s">
        <v>84</v>
      </c>
      <c r="AF436" t="s">
        <v>84</v>
      </c>
      <c r="AG436" s="17">
        <v>9777597</v>
      </c>
      <c r="AH436" s="17">
        <v>31.67</v>
      </c>
      <c r="AI436" s="17">
        <v>19</v>
      </c>
      <c r="AJ436" s="17">
        <v>19</v>
      </c>
      <c r="AK436" t="s">
        <v>208</v>
      </c>
      <c r="AM436" s="17">
        <v>2.2</v>
      </c>
      <c r="AN436" s="17"/>
      <c r="AO436" s="17">
        <v>830</v>
      </c>
      <c r="AP436" s="17"/>
      <c r="AQ436" s="17">
        <v>1395</v>
      </c>
      <c r="AR436" s="17"/>
      <c r="AS436" s="17">
        <v>2.84</v>
      </c>
      <c r="AT436" s="17"/>
      <c r="AU436" s="17">
        <v>695</v>
      </c>
      <c r="AV436" s="17"/>
      <c r="AW436" s="17">
        <v>1324</v>
      </c>
      <c r="AX436" s="17"/>
      <c r="AY436" t="s">
        <v>92</v>
      </c>
      <c r="AZ436" t="s">
        <v>92</v>
      </c>
      <c r="BA436" t="s">
        <v>92</v>
      </c>
      <c r="BB436" t="s">
        <v>92</v>
      </c>
      <c r="BC436" t="s">
        <v>92</v>
      </c>
      <c r="BD436" t="s">
        <v>92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92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92</v>
      </c>
      <c r="BS436" t="s">
        <v>92</v>
      </c>
      <c r="BT436" t="s">
        <v>92</v>
      </c>
      <c r="BU436" t="s">
        <v>92</v>
      </c>
      <c r="BV436" t="s">
        <v>92</v>
      </c>
      <c r="BW436" t="s">
        <v>92</v>
      </c>
      <c r="BX436" t="s">
        <v>92</v>
      </c>
      <c r="BY436" t="str">
        <f>IF(COUNTIF('Data Upload-prod'!E:E,F436)=0,"Missing","Exist")</f>
        <v>Exist</v>
      </c>
    </row>
    <row r="437" hidden="1" spans="1:77">
      <c r="A437" s="16">
        <v>43755</v>
      </c>
      <c r="B437" s="16">
        <v>43934</v>
      </c>
      <c r="C437" t="s">
        <v>151</v>
      </c>
      <c r="D437" t="s">
        <v>142</v>
      </c>
      <c r="E437" t="s">
        <v>166</v>
      </c>
      <c r="F437" t="s">
        <v>890</v>
      </c>
      <c r="G437" t="s">
        <v>81</v>
      </c>
      <c r="H437" t="s">
        <v>154</v>
      </c>
      <c r="I437" t="s">
        <v>124</v>
      </c>
      <c r="J437" s="17">
        <v>54.25</v>
      </c>
      <c r="K437" s="17">
        <v>2711.37</v>
      </c>
      <c r="L437" s="17">
        <v>1959.71</v>
      </c>
      <c r="M437" t="s">
        <v>84</v>
      </c>
      <c r="N437" t="s">
        <v>84</v>
      </c>
      <c r="O437" t="s">
        <v>84</v>
      </c>
      <c r="P437" t="s">
        <v>84</v>
      </c>
      <c r="Q437" s="17">
        <v>8640000</v>
      </c>
      <c r="R437" s="17">
        <v>23.43</v>
      </c>
      <c r="S437" t="s">
        <v>85</v>
      </c>
      <c r="T437" t="s">
        <v>84</v>
      </c>
      <c r="U437" t="s">
        <v>86</v>
      </c>
      <c r="V437" s="16">
        <v>43766</v>
      </c>
      <c r="W437" s="18">
        <v>43766</v>
      </c>
      <c r="X437" s="18">
        <v>43783</v>
      </c>
      <c r="Y437" s="17">
        <v>2614.63</v>
      </c>
      <c r="Z437" t="s">
        <v>87</v>
      </c>
      <c r="AA437" s="17">
        <v>2711.67</v>
      </c>
      <c r="AB437" s="17">
        <v>1959.46</v>
      </c>
      <c r="AC437" t="s">
        <v>84</v>
      </c>
      <c r="AD437" t="s">
        <v>84</v>
      </c>
      <c r="AE437" t="s">
        <v>84</v>
      </c>
      <c r="AF437" t="s">
        <v>84</v>
      </c>
      <c r="AG437" s="17">
        <v>8190000</v>
      </c>
      <c r="AH437" s="17">
        <v>18.42</v>
      </c>
      <c r="AI437" s="17">
        <v>5.15</v>
      </c>
      <c r="AJ437" s="17">
        <v>5.15</v>
      </c>
      <c r="AK437" t="s">
        <v>89</v>
      </c>
      <c r="AM437" s="17">
        <v>2.4</v>
      </c>
      <c r="AN437" s="17"/>
      <c r="AO437" s="17">
        <v>795</v>
      </c>
      <c r="AP437" s="17"/>
      <c r="AQ437" s="17">
        <v>1580</v>
      </c>
      <c r="AR437" s="17"/>
      <c r="AS437" s="17">
        <v>1.45</v>
      </c>
      <c r="AT437" s="17"/>
      <c r="AU437" s="17">
        <v>631.4</v>
      </c>
      <c r="AV437" s="17"/>
      <c r="AW437" s="17">
        <v>920</v>
      </c>
      <c r="AX437" s="17"/>
      <c r="AY437" t="s">
        <v>92</v>
      </c>
      <c r="AZ437" t="s">
        <v>92</v>
      </c>
      <c r="BA437" t="s">
        <v>92</v>
      </c>
      <c r="BB437" t="s">
        <v>92</v>
      </c>
      <c r="BC437" t="s">
        <v>92</v>
      </c>
      <c r="BD437" s="17">
        <v>5.5</v>
      </c>
      <c r="BE437" s="17">
        <v>2570056</v>
      </c>
      <c r="BF437" t="s">
        <v>92</v>
      </c>
      <c r="BG437" t="s">
        <v>92</v>
      </c>
      <c r="BH437" t="s">
        <v>93</v>
      </c>
      <c r="BI437" t="s">
        <v>94</v>
      </c>
      <c r="BJ437" t="s">
        <v>173</v>
      </c>
      <c r="BK437" t="s">
        <v>85</v>
      </c>
      <c r="BL437" t="s">
        <v>85</v>
      </c>
      <c r="BM437" t="s">
        <v>96</v>
      </c>
      <c r="BN437" t="s">
        <v>97</v>
      </c>
      <c r="BO437" t="s">
        <v>98</v>
      </c>
      <c r="BP437" t="s">
        <v>99</v>
      </c>
      <c r="BQ437" s="17">
        <v>76</v>
      </c>
      <c r="BR437" t="s">
        <v>138</v>
      </c>
      <c r="BS437" t="s">
        <v>156</v>
      </c>
      <c r="BT437" t="s">
        <v>99</v>
      </c>
      <c r="BU437" s="17">
        <v>8.6</v>
      </c>
      <c r="BV437" t="s">
        <v>110</v>
      </c>
      <c r="BW437" t="s">
        <v>85</v>
      </c>
      <c r="BX437" t="s">
        <v>85</v>
      </c>
      <c r="BY437" t="str">
        <f>IF(COUNTIF('Data Upload-prod'!E:E,F437)=0,"Missing","Exist")</f>
        <v>Exist</v>
      </c>
    </row>
    <row r="438" hidden="1" spans="1:77">
      <c r="A438" s="16">
        <v>43754</v>
      </c>
      <c r="B438" s="16">
        <v>43851</v>
      </c>
      <c r="C438" t="s">
        <v>269</v>
      </c>
      <c r="D438" t="s">
        <v>78</v>
      </c>
      <c r="E438" t="s">
        <v>817</v>
      </c>
      <c r="F438" t="s">
        <v>891</v>
      </c>
      <c r="G438" t="s">
        <v>81</v>
      </c>
      <c r="H438" t="s">
        <v>790</v>
      </c>
      <c r="I438" t="s">
        <v>124</v>
      </c>
      <c r="J438" s="17">
        <v>56.08</v>
      </c>
      <c r="K438" s="17">
        <v>2211.76</v>
      </c>
      <c r="L438" s="17">
        <v>1348.67</v>
      </c>
      <c r="M438" t="s">
        <v>84</v>
      </c>
      <c r="N438" t="s">
        <v>84</v>
      </c>
      <c r="O438" t="s">
        <v>84</v>
      </c>
      <c r="P438" t="s">
        <v>84</v>
      </c>
      <c r="Q438" s="17">
        <v>8310000</v>
      </c>
      <c r="R438" s="17">
        <v>19.41</v>
      </c>
      <c r="S438" t="s">
        <v>85</v>
      </c>
      <c r="T438" t="s">
        <v>84</v>
      </c>
      <c r="U438" t="s">
        <v>86</v>
      </c>
      <c r="V438" s="16">
        <v>43770</v>
      </c>
      <c r="W438" s="18">
        <v>43767.75</v>
      </c>
      <c r="X438" s="18">
        <v>43834</v>
      </c>
      <c r="Y438" s="17">
        <v>2109.56</v>
      </c>
      <c r="Z438" t="s">
        <v>87</v>
      </c>
      <c r="AA438" s="17">
        <v>2206.64</v>
      </c>
      <c r="AB438" s="17">
        <v>1344.09</v>
      </c>
      <c r="AC438" t="s">
        <v>84</v>
      </c>
      <c r="AD438" t="s">
        <v>84</v>
      </c>
      <c r="AE438" t="s">
        <v>84</v>
      </c>
      <c r="AF438" t="s">
        <v>84</v>
      </c>
      <c r="AG438" s="17">
        <v>10670000</v>
      </c>
      <c r="AH438" s="17">
        <v>26.69</v>
      </c>
      <c r="AI438" s="17">
        <v>0.08</v>
      </c>
      <c r="AJ438" s="17">
        <v>0.08</v>
      </c>
      <c r="AK438" t="s">
        <v>165</v>
      </c>
      <c r="AM438" s="17">
        <v>3.2</v>
      </c>
      <c r="AN438" s="17"/>
      <c r="AO438" s="17">
        <v>1300</v>
      </c>
      <c r="AP438" s="17"/>
      <c r="AQ438" s="17">
        <v>1830</v>
      </c>
      <c r="AR438" s="17"/>
      <c r="AS438" s="17">
        <v>2.52</v>
      </c>
      <c r="AT438" s="17"/>
      <c r="AU438" s="17">
        <v>918</v>
      </c>
      <c r="AV438" s="17"/>
      <c r="AW438" s="17">
        <v>1596</v>
      </c>
      <c r="AX438" s="17"/>
      <c r="AY438" t="s">
        <v>92</v>
      </c>
      <c r="AZ438" t="s">
        <v>92</v>
      </c>
      <c r="BA438" t="s">
        <v>92</v>
      </c>
      <c r="BB438" t="s">
        <v>92</v>
      </c>
      <c r="BC438" t="s">
        <v>92</v>
      </c>
      <c r="BD438" s="17">
        <v>13.48</v>
      </c>
      <c r="BE438" s="17">
        <v>4360000</v>
      </c>
      <c r="BF438" t="s">
        <v>92</v>
      </c>
      <c r="BG438" t="s">
        <v>92</v>
      </c>
      <c r="BH438" t="s">
        <v>93</v>
      </c>
      <c r="BI438" t="s">
        <v>94</v>
      </c>
      <c r="BJ438" t="s">
        <v>128</v>
      </c>
      <c r="BK438" t="s">
        <v>85</v>
      </c>
      <c r="BL438" t="s">
        <v>85</v>
      </c>
      <c r="BM438" t="s">
        <v>273</v>
      </c>
      <c r="BN438" t="s">
        <v>97</v>
      </c>
      <c r="BO438" t="s">
        <v>98</v>
      </c>
      <c r="BP438" t="s">
        <v>99</v>
      </c>
      <c r="BQ438" s="17">
        <v>267.26</v>
      </c>
      <c r="BR438" t="s">
        <v>138</v>
      </c>
      <c r="BS438" t="s">
        <v>92</v>
      </c>
      <c r="BT438" t="s">
        <v>99</v>
      </c>
      <c r="BU438" s="17">
        <v>9.3</v>
      </c>
      <c r="BV438" t="s">
        <v>256</v>
      </c>
      <c r="BW438" t="s">
        <v>85</v>
      </c>
      <c r="BX438" t="s">
        <v>85</v>
      </c>
      <c r="BY438" t="str">
        <f>IF(COUNTIF('Data Upload-prod'!E:E,F438)=0,"Missing","Exist")</f>
        <v>Exist</v>
      </c>
    </row>
    <row r="439" hidden="1" spans="1:77">
      <c r="A439" s="16">
        <v>43754</v>
      </c>
      <c r="B439" s="16">
        <v>43853</v>
      </c>
      <c r="C439" t="s">
        <v>269</v>
      </c>
      <c r="D439" t="s">
        <v>78</v>
      </c>
      <c r="E439" t="s">
        <v>817</v>
      </c>
      <c r="F439" t="s">
        <v>892</v>
      </c>
      <c r="G439" t="s">
        <v>81</v>
      </c>
      <c r="H439" t="s">
        <v>790</v>
      </c>
      <c r="I439" t="s">
        <v>124</v>
      </c>
      <c r="J439" s="17">
        <v>56.08</v>
      </c>
      <c r="K439" s="17">
        <v>2416.89</v>
      </c>
      <c r="L439" s="17">
        <v>1257.39</v>
      </c>
      <c r="M439" t="s">
        <v>84</v>
      </c>
      <c r="N439" t="s">
        <v>84</v>
      </c>
      <c r="O439" t="s">
        <v>84</v>
      </c>
      <c r="P439" t="s">
        <v>84</v>
      </c>
      <c r="Q439" s="17">
        <v>8520000</v>
      </c>
      <c r="R439" s="17">
        <v>19.6</v>
      </c>
      <c r="S439" t="s">
        <v>85</v>
      </c>
      <c r="T439" t="s">
        <v>84</v>
      </c>
      <c r="U439" t="s">
        <v>86</v>
      </c>
      <c r="V439" s="16">
        <v>43768</v>
      </c>
      <c r="W439" s="18">
        <v>43767.125</v>
      </c>
      <c r="X439" s="18">
        <v>43837</v>
      </c>
      <c r="Y439" s="17">
        <v>2177.52</v>
      </c>
      <c r="Z439" t="s">
        <v>87</v>
      </c>
      <c r="AA439" s="17">
        <v>2274.61</v>
      </c>
      <c r="AB439" s="17">
        <v>1248.82</v>
      </c>
      <c r="AC439" t="s">
        <v>84</v>
      </c>
      <c r="AD439" t="s">
        <v>84</v>
      </c>
      <c r="AE439" t="s">
        <v>84</v>
      </c>
      <c r="AF439" t="s">
        <v>84</v>
      </c>
      <c r="AG439" s="17">
        <v>10390000</v>
      </c>
      <c r="AH439" s="17">
        <v>24.67</v>
      </c>
      <c r="AI439" s="17">
        <v>1.1</v>
      </c>
      <c r="AJ439" s="17">
        <v>1.1</v>
      </c>
      <c r="AK439" t="s">
        <v>165</v>
      </c>
      <c r="AM439" s="17">
        <v>3.2</v>
      </c>
      <c r="AN439" s="17"/>
      <c r="AO439" s="17">
        <v>1300</v>
      </c>
      <c r="AP439" s="17"/>
      <c r="AQ439" s="17">
        <v>1830</v>
      </c>
      <c r="AR439" s="17"/>
      <c r="AS439" s="17">
        <v>2.68</v>
      </c>
      <c r="AT439" s="17"/>
      <c r="AU439" s="17">
        <v>1098</v>
      </c>
      <c r="AV439" s="17"/>
      <c r="AW439" s="17">
        <v>1505</v>
      </c>
      <c r="AX439" s="17"/>
      <c r="AY439" t="s">
        <v>92</v>
      </c>
      <c r="AZ439" t="s">
        <v>92</v>
      </c>
      <c r="BA439" t="s">
        <v>92</v>
      </c>
      <c r="BB439" t="s">
        <v>92</v>
      </c>
      <c r="BC439" t="s">
        <v>92</v>
      </c>
      <c r="BD439" s="17">
        <v>7.65</v>
      </c>
      <c r="BE439" s="17">
        <v>3180000</v>
      </c>
      <c r="BF439" t="s">
        <v>92</v>
      </c>
      <c r="BG439" t="s">
        <v>92</v>
      </c>
      <c r="BH439" t="s">
        <v>93</v>
      </c>
      <c r="BI439" t="s">
        <v>94</v>
      </c>
      <c r="BJ439" t="s">
        <v>128</v>
      </c>
      <c r="BK439" t="s">
        <v>85</v>
      </c>
      <c r="BL439" t="s">
        <v>85</v>
      </c>
      <c r="BM439" t="s">
        <v>273</v>
      </c>
      <c r="BN439" t="s">
        <v>97</v>
      </c>
      <c r="BO439" t="s">
        <v>98</v>
      </c>
      <c r="BP439" t="s">
        <v>99</v>
      </c>
      <c r="BQ439" s="17">
        <v>417.68</v>
      </c>
      <c r="BR439" t="s">
        <v>138</v>
      </c>
      <c r="BS439" t="s">
        <v>92</v>
      </c>
      <c r="BT439" t="s">
        <v>99</v>
      </c>
      <c r="BU439" s="17">
        <v>9.3</v>
      </c>
      <c r="BV439" t="s">
        <v>256</v>
      </c>
      <c r="BW439" t="s">
        <v>85</v>
      </c>
      <c r="BX439" t="s">
        <v>85</v>
      </c>
      <c r="BY439" t="str">
        <f>IF(COUNTIF('Data Upload-prod'!E:E,F439)=0,"Missing","Exist")</f>
        <v>Exist</v>
      </c>
    </row>
    <row r="440" hidden="1" spans="1:77">
      <c r="A440" s="16">
        <v>43749</v>
      </c>
      <c r="B440" s="16">
        <v>43836</v>
      </c>
      <c r="C440" t="s">
        <v>504</v>
      </c>
      <c r="D440" t="s">
        <v>142</v>
      </c>
      <c r="E440" t="s">
        <v>209</v>
      </c>
      <c r="F440" t="s">
        <v>893</v>
      </c>
      <c r="G440" t="s">
        <v>81</v>
      </c>
      <c r="H440" t="s">
        <v>405</v>
      </c>
      <c r="I440" t="s">
        <v>124</v>
      </c>
      <c r="J440" s="17">
        <v>17.68</v>
      </c>
      <c r="K440" s="17">
        <v>2288.94</v>
      </c>
      <c r="L440" s="17">
        <v>985.68</v>
      </c>
      <c r="M440" t="s">
        <v>84</v>
      </c>
      <c r="N440" t="s">
        <v>84</v>
      </c>
      <c r="O440" t="s">
        <v>84</v>
      </c>
      <c r="P440" t="s">
        <v>84</v>
      </c>
      <c r="Q440" s="17">
        <v>8770664</v>
      </c>
      <c r="R440" s="17">
        <v>25.65</v>
      </c>
      <c r="S440" t="s">
        <v>85</v>
      </c>
      <c r="T440" t="s">
        <v>84</v>
      </c>
      <c r="U440" t="s">
        <v>86</v>
      </c>
      <c r="V440" s="16">
        <v>43760</v>
      </c>
      <c r="W440" s="18">
        <v>43759.25</v>
      </c>
      <c r="X440" s="18">
        <v>43810.5416666667</v>
      </c>
      <c r="Y440" s="17">
        <v>2231.79</v>
      </c>
      <c r="Z440" t="s">
        <v>87</v>
      </c>
      <c r="AA440" s="17">
        <v>2288.94</v>
      </c>
      <c r="AB440" s="17">
        <v>985.68</v>
      </c>
      <c r="AC440" t="s">
        <v>84</v>
      </c>
      <c r="AD440" t="s">
        <v>84</v>
      </c>
      <c r="AE440" t="s">
        <v>84</v>
      </c>
      <c r="AF440" t="s">
        <v>84</v>
      </c>
      <c r="AG440" s="17">
        <v>6936881</v>
      </c>
      <c r="AH440" s="17">
        <v>22.29</v>
      </c>
      <c r="AI440" s="17">
        <v>5</v>
      </c>
      <c r="AJ440" s="17">
        <v>5</v>
      </c>
      <c r="AK440" t="s">
        <v>208</v>
      </c>
      <c r="AM440" s="17">
        <v>1.7</v>
      </c>
      <c r="AN440" s="17"/>
      <c r="AO440" s="17">
        <v>720</v>
      </c>
      <c r="AP440" s="17"/>
      <c r="AQ440" s="17">
        <v>1345</v>
      </c>
      <c r="AR440" s="17"/>
      <c r="AS440" s="17">
        <v>1.64</v>
      </c>
      <c r="AT440" s="17"/>
      <c r="AU440" s="17">
        <v>435.95</v>
      </c>
      <c r="AV440" s="17"/>
      <c r="AW440" s="17">
        <v>923.69</v>
      </c>
      <c r="AX440" s="17"/>
      <c r="AY440" t="s">
        <v>92</v>
      </c>
      <c r="AZ440" t="s">
        <v>92</v>
      </c>
      <c r="BA440" t="s">
        <v>92</v>
      </c>
      <c r="BB440" t="s">
        <v>92</v>
      </c>
      <c r="BC440" t="s">
        <v>92</v>
      </c>
      <c r="BD440" s="17">
        <v>8.29</v>
      </c>
      <c r="BE440" s="17">
        <v>3662866.57</v>
      </c>
      <c r="BF440" t="s">
        <v>92</v>
      </c>
      <c r="BG440" t="s">
        <v>92</v>
      </c>
      <c r="BH440" t="s">
        <v>93</v>
      </c>
      <c r="BI440" t="s">
        <v>94</v>
      </c>
      <c r="BJ440" t="s">
        <v>128</v>
      </c>
      <c r="BK440" t="s">
        <v>85</v>
      </c>
      <c r="BL440" t="s">
        <v>85</v>
      </c>
      <c r="BM440" t="s">
        <v>96</v>
      </c>
      <c r="BN440" t="s">
        <v>569</v>
      </c>
      <c r="BO440" t="s">
        <v>216</v>
      </c>
      <c r="BP440" t="s">
        <v>103</v>
      </c>
      <c r="BQ440" s="17">
        <v>2287</v>
      </c>
      <c r="BR440" t="s">
        <v>138</v>
      </c>
      <c r="BS440" t="s">
        <v>156</v>
      </c>
      <c r="BT440" t="s">
        <v>103</v>
      </c>
      <c r="BU440" s="17">
        <v>9.4</v>
      </c>
      <c r="BV440" t="s">
        <v>110</v>
      </c>
      <c r="BW440" t="s">
        <v>85</v>
      </c>
      <c r="BX440" t="s">
        <v>85</v>
      </c>
      <c r="BY440" t="str">
        <f>IF(COUNTIF('Data Upload-prod'!E:E,F440)=0,"Missing","Exist")</f>
        <v>Exist</v>
      </c>
    </row>
    <row r="441" hidden="1" spans="1:77">
      <c r="A441" s="16">
        <v>43742</v>
      </c>
      <c r="B441" s="16">
        <v>43895</v>
      </c>
      <c r="C441" t="s">
        <v>132</v>
      </c>
      <c r="D441" t="s">
        <v>142</v>
      </c>
      <c r="E441" t="s">
        <v>170</v>
      </c>
      <c r="F441" t="s">
        <v>894</v>
      </c>
      <c r="G441" t="s">
        <v>81</v>
      </c>
      <c r="H441" t="s">
        <v>181</v>
      </c>
      <c r="I441" t="s">
        <v>124</v>
      </c>
      <c r="J441" s="17">
        <v>10.06</v>
      </c>
      <c r="K441" s="17">
        <v>1663.82</v>
      </c>
      <c r="L441" s="17">
        <v>1393.17</v>
      </c>
      <c r="M441" t="s">
        <v>84</v>
      </c>
      <c r="N441" t="s">
        <v>84</v>
      </c>
      <c r="O441" t="s">
        <v>84</v>
      </c>
      <c r="P441" t="s">
        <v>84</v>
      </c>
      <c r="Q441" s="17">
        <v>9513699.73</v>
      </c>
      <c r="R441" s="17">
        <v>26.93</v>
      </c>
      <c r="S441" t="s">
        <v>85</v>
      </c>
      <c r="T441" t="s">
        <v>84</v>
      </c>
      <c r="U441" t="s">
        <v>86</v>
      </c>
      <c r="V441" s="16">
        <v>43748</v>
      </c>
      <c r="W441" s="18">
        <v>43747.625</v>
      </c>
      <c r="X441" s="18">
        <v>43776.7916666667</v>
      </c>
      <c r="Y441" s="17">
        <v>1610.48</v>
      </c>
      <c r="Z441" t="s">
        <v>87</v>
      </c>
      <c r="AA441" s="17">
        <v>1661.38</v>
      </c>
      <c r="AB441" s="17">
        <v>1404.88</v>
      </c>
      <c r="AC441" t="s">
        <v>84</v>
      </c>
      <c r="AD441" t="s">
        <v>84</v>
      </c>
      <c r="AE441" t="s">
        <v>84</v>
      </c>
      <c r="AF441" t="s">
        <v>84</v>
      </c>
      <c r="AG441" s="17">
        <v>9041177</v>
      </c>
      <c r="AH441" s="17">
        <v>29.17</v>
      </c>
      <c r="AI441" s="17">
        <v>2.57</v>
      </c>
      <c r="AJ441" s="17">
        <v>2.14</v>
      </c>
      <c r="AK441" t="s">
        <v>208</v>
      </c>
      <c r="AM441" s="17">
        <v>1.7</v>
      </c>
      <c r="AN441" s="17"/>
      <c r="AO441" s="17">
        <v>720</v>
      </c>
      <c r="AP441" s="17"/>
      <c r="AQ441" s="17">
        <v>1685</v>
      </c>
      <c r="AR441" s="17"/>
      <c r="AS441" s="17">
        <v>2.15</v>
      </c>
      <c r="AT441" s="17"/>
      <c r="AU441" s="17">
        <v>671</v>
      </c>
      <c r="AV441" s="17"/>
      <c r="AW441" s="17">
        <v>1757</v>
      </c>
      <c r="AX441" s="17"/>
      <c r="AY441" t="s">
        <v>92</v>
      </c>
      <c r="AZ441" t="s">
        <v>92</v>
      </c>
      <c r="BA441" t="s">
        <v>92</v>
      </c>
      <c r="BB441" t="s">
        <v>92</v>
      </c>
      <c r="BC441" t="s">
        <v>92</v>
      </c>
      <c r="BD441" s="17">
        <v>11.44</v>
      </c>
      <c r="BE441" s="17">
        <v>4320613.12</v>
      </c>
      <c r="BF441" t="s">
        <v>92</v>
      </c>
      <c r="BG441" t="s">
        <v>92</v>
      </c>
      <c r="BH441" t="s">
        <v>93</v>
      </c>
      <c r="BI441" t="s">
        <v>94</v>
      </c>
      <c r="BJ441" t="s">
        <v>215</v>
      </c>
      <c r="BK441" t="s">
        <v>85</v>
      </c>
      <c r="BL441" t="s">
        <v>85</v>
      </c>
      <c r="BM441" t="s">
        <v>96</v>
      </c>
      <c r="BN441" t="s">
        <v>253</v>
      </c>
      <c r="BO441" t="s">
        <v>216</v>
      </c>
      <c r="BP441" t="s">
        <v>99</v>
      </c>
      <c r="BQ441" s="17">
        <v>2385</v>
      </c>
      <c r="BR441" t="s">
        <v>100</v>
      </c>
      <c r="BS441" t="s">
        <v>92</v>
      </c>
      <c r="BT441" t="s">
        <v>175</v>
      </c>
      <c r="BU441" s="17">
        <v>8.7</v>
      </c>
      <c r="BV441" t="s">
        <v>191</v>
      </c>
      <c r="BW441" t="s">
        <v>85</v>
      </c>
      <c r="BX441" t="s">
        <v>85</v>
      </c>
      <c r="BY441" t="str">
        <f>IF(COUNTIF('Data Upload-prod'!E:E,F441)=0,"Missing","Exist")</f>
        <v>Exist</v>
      </c>
    </row>
    <row r="442" hidden="1" spans="1:77">
      <c r="A442" s="16">
        <v>43739</v>
      </c>
      <c r="B442" s="16">
        <v>43972</v>
      </c>
      <c r="C442" t="s">
        <v>178</v>
      </c>
      <c r="D442" t="s">
        <v>120</v>
      </c>
      <c r="E442" t="s">
        <v>870</v>
      </c>
      <c r="F442" t="s">
        <v>895</v>
      </c>
      <c r="G442" t="s">
        <v>81</v>
      </c>
      <c r="H442" t="s">
        <v>202</v>
      </c>
      <c r="I442" t="s">
        <v>124</v>
      </c>
      <c r="J442" s="17">
        <v>45.11</v>
      </c>
      <c r="K442" s="17">
        <v>3035.05</v>
      </c>
      <c r="L442" s="17">
        <v>1688.2</v>
      </c>
      <c r="M442" t="s">
        <v>84</v>
      </c>
      <c r="N442" t="s">
        <v>84</v>
      </c>
      <c r="O442" t="s">
        <v>84</v>
      </c>
      <c r="P442" t="s">
        <v>84</v>
      </c>
      <c r="Q442" s="17">
        <v>11054198</v>
      </c>
      <c r="R442" s="17">
        <v>29.2</v>
      </c>
      <c r="S442" t="s">
        <v>85</v>
      </c>
      <c r="T442" t="s">
        <v>84</v>
      </c>
      <c r="U442" t="s">
        <v>84</v>
      </c>
      <c r="V442" s="16">
        <v>43884</v>
      </c>
      <c r="W442" s="18">
        <v>43884.25</v>
      </c>
      <c r="X442" s="18">
        <v>43915.125</v>
      </c>
      <c r="Y442" s="17">
        <v>3134.41</v>
      </c>
      <c r="Z442" t="s">
        <v>87</v>
      </c>
      <c r="AA442" s="17">
        <v>3221.58</v>
      </c>
      <c r="AB442" s="17">
        <v>1710.76</v>
      </c>
      <c r="AC442" t="s">
        <v>84</v>
      </c>
      <c r="AD442" t="s">
        <v>84</v>
      </c>
      <c r="AE442" t="s">
        <v>84</v>
      </c>
      <c r="AF442" t="s">
        <v>84</v>
      </c>
      <c r="AG442" s="17">
        <v>11219956</v>
      </c>
      <c r="AH442" s="17">
        <v>30.9</v>
      </c>
      <c r="AI442" s="17">
        <v>0.43</v>
      </c>
      <c r="AJ442" s="17">
        <v>0.43</v>
      </c>
      <c r="AK442" t="s">
        <v>89</v>
      </c>
      <c r="AM442" s="17">
        <v>2.4</v>
      </c>
      <c r="AN442" s="17"/>
      <c r="AO442" s="17">
        <v>795</v>
      </c>
      <c r="AP442" s="17"/>
      <c r="AQ442" s="17">
        <v>1580</v>
      </c>
      <c r="AR442" s="17"/>
      <c r="AS442" s="17">
        <v>1.5</v>
      </c>
      <c r="AT442" s="17"/>
      <c r="AU442" s="17">
        <v>512</v>
      </c>
      <c r="AV442" s="17"/>
      <c r="AW442" s="17">
        <v>834</v>
      </c>
      <c r="AX442" s="17"/>
      <c r="AY442" t="s">
        <v>92</v>
      </c>
      <c r="AZ442" t="s">
        <v>92</v>
      </c>
      <c r="BA442" t="s">
        <v>92</v>
      </c>
      <c r="BB442" t="s">
        <v>92</v>
      </c>
      <c r="BC442" t="s">
        <v>92</v>
      </c>
      <c r="BD442" t="s">
        <v>92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92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92</v>
      </c>
      <c r="BS442" t="s">
        <v>92</v>
      </c>
      <c r="BT442" t="s">
        <v>92</v>
      </c>
      <c r="BU442" t="s">
        <v>92</v>
      </c>
      <c r="BV442" t="s">
        <v>92</v>
      </c>
      <c r="BW442" t="s">
        <v>92</v>
      </c>
      <c r="BX442" t="s">
        <v>92</v>
      </c>
      <c r="BY442" t="str">
        <f>IF(COUNTIF('Data Upload-prod'!E:E,F442)=0,"Missing","Exist")</f>
        <v>Exist</v>
      </c>
    </row>
    <row r="443" hidden="1" spans="1:77">
      <c r="A443" s="16">
        <v>43739</v>
      </c>
      <c r="B443" s="16">
        <v>43942</v>
      </c>
      <c r="C443" t="s">
        <v>178</v>
      </c>
      <c r="D443" t="s">
        <v>120</v>
      </c>
      <c r="E443" t="s">
        <v>870</v>
      </c>
      <c r="F443" t="s">
        <v>896</v>
      </c>
      <c r="G443" t="s">
        <v>81</v>
      </c>
      <c r="H443" t="s">
        <v>202</v>
      </c>
      <c r="I443" t="s">
        <v>124</v>
      </c>
      <c r="J443" s="17">
        <v>45.11</v>
      </c>
      <c r="K443" s="17">
        <v>2999.7</v>
      </c>
      <c r="L443" s="17">
        <v>1962.51</v>
      </c>
      <c r="M443" t="s">
        <v>84</v>
      </c>
      <c r="N443" t="s">
        <v>84</v>
      </c>
      <c r="O443" t="s">
        <v>84</v>
      </c>
      <c r="P443" t="s">
        <v>84</v>
      </c>
      <c r="Q443" s="17">
        <v>10064243</v>
      </c>
      <c r="R443" s="17">
        <v>28.4</v>
      </c>
      <c r="S443" t="s">
        <v>85</v>
      </c>
      <c r="T443" t="s">
        <v>84</v>
      </c>
      <c r="U443" t="s">
        <v>84</v>
      </c>
      <c r="V443" s="16">
        <v>43778</v>
      </c>
      <c r="W443" s="18">
        <v>43778</v>
      </c>
      <c r="X443" s="18">
        <v>43884.25</v>
      </c>
      <c r="Y443" s="17">
        <v>2811.34</v>
      </c>
      <c r="Z443" t="s">
        <v>87</v>
      </c>
      <c r="AA443" s="17">
        <v>2898.51</v>
      </c>
      <c r="AB443" s="17">
        <v>1965.56</v>
      </c>
      <c r="AC443" t="s">
        <v>84</v>
      </c>
      <c r="AD443" t="s">
        <v>84</v>
      </c>
      <c r="AE443" t="s">
        <v>84</v>
      </c>
      <c r="AF443" t="s">
        <v>84</v>
      </c>
      <c r="AG443" s="17">
        <v>9921888.18</v>
      </c>
      <c r="AH443" s="17">
        <v>34.2</v>
      </c>
      <c r="AI443" s="17">
        <v>9.45</v>
      </c>
      <c r="AJ443" s="17">
        <v>9.45</v>
      </c>
      <c r="AK443" t="s">
        <v>165</v>
      </c>
      <c r="AM443" s="17">
        <v>2</v>
      </c>
      <c r="AN443" s="17"/>
      <c r="AO443" s="17">
        <v>725</v>
      </c>
      <c r="AP443" s="17"/>
      <c r="AQ443" s="17">
        <v>1325</v>
      </c>
      <c r="AR443" s="17"/>
      <c r="AS443" s="17">
        <v>1.9</v>
      </c>
      <c r="AT443" s="17"/>
      <c r="AU443" s="17">
        <v>556</v>
      </c>
      <c r="AV443" s="17"/>
      <c r="AW443" s="17">
        <v>1023</v>
      </c>
      <c r="AX443" s="17"/>
      <c r="AY443" t="s">
        <v>92</v>
      </c>
      <c r="AZ443" t="s">
        <v>92</v>
      </c>
      <c r="BA443" t="s">
        <v>92</v>
      </c>
      <c r="BB443" t="s">
        <v>92</v>
      </c>
      <c r="BC443" t="s">
        <v>92</v>
      </c>
      <c r="BD443" t="s">
        <v>92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92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92</v>
      </c>
      <c r="BS443" t="s">
        <v>92</v>
      </c>
      <c r="BT443" t="s">
        <v>92</v>
      </c>
      <c r="BU443" t="s">
        <v>92</v>
      </c>
      <c r="BV443" t="s">
        <v>92</v>
      </c>
      <c r="BW443" t="s">
        <v>92</v>
      </c>
      <c r="BX443" t="s">
        <v>92</v>
      </c>
      <c r="BY443" t="str">
        <f>IF(COUNTIF('Data Upload-prod'!E:E,F443)=0,"Missing","Exist")</f>
        <v>Exist</v>
      </c>
    </row>
    <row r="444" hidden="1" spans="1:77">
      <c r="A444" s="16">
        <v>43738</v>
      </c>
      <c r="B444" s="16">
        <v>43927</v>
      </c>
      <c r="C444" t="s">
        <v>178</v>
      </c>
      <c r="D444" t="s">
        <v>120</v>
      </c>
      <c r="E444" t="s">
        <v>870</v>
      </c>
      <c r="F444" t="s">
        <v>897</v>
      </c>
      <c r="G444" t="s">
        <v>81</v>
      </c>
      <c r="H444" t="s">
        <v>202</v>
      </c>
      <c r="I444" t="s">
        <v>124</v>
      </c>
      <c r="J444" s="17">
        <v>45.11</v>
      </c>
      <c r="K444" s="17">
        <v>3884.79</v>
      </c>
      <c r="L444" s="17">
        <v>2200.24</v>
      </c>
      <c r="M444" t="s">
        <v>84</v>
      </c>
      <c r="N444" t="s">
        <v>84</v>
      </c>
      <c r="O444" t="s">
        <v>84</v>
      </c>
      <c r="P444" t="s">
        <v>84</v>
      </c>
      <c r="Q444" s="17">
        <v>13191510</v>
      </c>
      <c r="R444" s="17">
        <v>40.9</v>
      </c>
      <c r="S444" t="s">
        <v>85</v>
      </c>
      <c r="T444" t="s">
        <v>84</v>
      </c>
      <c r="U444" t="s">
        <v>84</v>
      </c>
      <c r="V444" s="16">
        <v>43845</v>
      </c>
      <c r="W444" s="18">
        <v>43834.3333333333</v>
      </c>
      <c r="X444" s="18">
        <v>43870.75</v>
      </c>
      <c r="Y444" s="17">
        <v>3963.12</v>
      </c>
      <c r="Z444" t="s">
        <v>87</v>
      </c>
      <c r="AA444" s="17">
        <v>4050.59</v>
      </c>
      <c r="AB444" s="17">
        <v>2287.41</v>
      </c>
      <c r="AC444" t="s">
        <v>84</v>
      </c>
      <c r="AD444" t="s">
        <v>84</v>
      </c>
      <c r="AE444" t="s">
        <v>84</v>
      </c>
      <c r="AF444" t="s">
        <v>84</v>
      </c>
      <c r="AG444" s="17">
        <v>12118044</v>
      </c>
      <c r="AH444" s="17">
        <v>36.42</v>
      </c>
      <c r="AI444" s="17">
        <v>0.2</v>
      </c>
      <c r="AJ444" s="17">
        <v>0.2</v>
      </c>
      <c r="AK444" t="s">
        <v>298</v>
      </c>
      <c r="AM444" s="17">
        <v>1.8</v>
      </c>
      <c r="AN444" s="17"/>
      <c r="AO444" s="17">
        <v>600</v>
      </c>
      <c r="AP444" s="17"/>
      <c r="AQ444" s="17">
        <v>1670</v>
      </c>
      <c r="AR444" s="17"/>
      <c r="AS444" s="17">
        <v>1.48</v>
      </c>
      <c r="AT444" s="17"/>
      <c r="AU444" s="17">
        <v>553</v>
      </c>
      <c r="AV444" s="17"/>
      <c r="AW444" s="17">
        <v>1427</v>
      </c>
      <c r="AX444" s="17"/>
      <c r="AY444" t="s">
        <v>92</v>
      </c>
      <c r="AZ444" t="s">
        <v>92</v>
      </c>
      <c r="BA444" t="s">
        <v>92</v>
      </c>
      <c r="BB444" t="s">
        <v>92</v>
      </c>
      <c r="BC444" t="s">
        <v>92</v>
      </c>
      <c r="BD444" t="s">
        <v>92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92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92</v>
      </c>
      <c r="BS444" t="s">
        <v>92</v>
      </c>
      <c r="BT444" t="s">
        <v>92</v>
      </c>
      <c r="BU444" t="s">
        <v>92</v>
      </c>
      <c r="BV444" t="s">
        <v>92</v>
      </c>
      <c r="BW444" t="s">
        <v>92</v>
      </c>
      <c r="BX444" t="s">
        <v>92</v>
      </c>
      <c r="BY444" t="str">
        <f>IF(COUNTIF('Data Upload-prod'!E:E,F444)=0,"Missing","Exist")</f>
        <v>Exist</v>
      </c>
    </row>
    <row r="445" hidden="1" spans="1:77">
      <c r="A445" s="16">
        <v>43735</v>
      </c>
      <c r="B445" s="16">
        <v>43896</v>
      </c>
      <c r="C445" t="s">
        <v>132</v>
      </c>
      <c r="D445" t="s">
        <v>120</v>
      </c>
      <c r="E445" t="s">
        <v>835</v>
      </c>
      <c r="F445" t="s">
        <v>898</v>
      </c>
      <c r="G445" t="s">
        <v>81</v>
      </c>
      <c r="H445" t="s">
        <v>837</v>
      </c>
      <c r="I445" t="s">
        <v>83</v>
      </c>
      <c r="J445" s="17">
        <v>30.48</v>
      </c>
      <c r="K445" s="17">
        <v>3236.3</v>
      </c>
      <c r="L445" s="17">
        <v>2743.07</v>
      </c>
      <c r="M445" t="s">
        <v>84</v>
      </c>
      <c r="N445" t="s">
        <v>84</v>
      </c>
      <c r="O445" t="s">
        <v>84</v>
      </c>
      <c r="P445" t="s">
        <v>84</v>
      </c>
      <c r="Q445" s="17">
        <v>17531147.27</v>
      </c>
      <c r="R445" s="17">
        <v>55.24</v>
      </c>
      <c r="S445" t="s">
        <v>85</v>
      </c>
      <c r="T445" t="s">
        <v>84</v>
      </c>
      <c r="U445" t="s">
        <v>86</v>
      </c>
      <c r="V445" s="16">
        <v>43791</v>
      </c>
      <c r="W445" s="18">
        <v>43791</v>
      </c>
      <c r="X445" s="18">
        <v>43858.7916666667</v>
      </c>
      <c r="Y445" s="17">
        <v>3209.11</v>
      </c>
      <c r="Z445" t="s">
        <v>87</v>
      </c>
      <c r="AA445" s="17">
        <v>3262.72</v>
      </c>
      <c r="AB445" s="17">
        <v>2766.14</v>
      </c>
      <c r="AC445" t="s">
        <v>84</v>
      </c>
      <c r="AD445" t="s">
        <v>84</v>
      </c>
      <c r="AE445" t="s">
        <v>84</v>
      </c>
      <c r="AF445" t="s">
        <v>84</v>
      </c>
      <c r="AG445" s="17">
        <v>17235514.83</v>
      </c>
      <c r="AH445" s="17">
        <v>64.78</v>
      </c>
      <c r="AI445" s="17">
        <v>7</v>
      </c>
      <c r="AJ445" s="17">
        <v>3</v>
      </c>
      <c r="AK445" t="s">
        <v>89</v>
      </c>
      <c r="AM445" s="17">
        <v>2.4</v>
      </c>
      <c r="AN445" s="17"/>
      <c r="AO445" s="17">
        <v>795</v>
      </c>
      <c r="AP445" s="17"/>
      <c r="AQ445" s="17">
        <v>2160</v>
      </c>
      <c r="AR445" s="17"/>
      <c r="AS445" s="17">
        <v>2.48</v>
      </c>
      <c r="AT445" s="17"/>
      <c r="AU445" s="17">
        <v>702</v>
      </c>
      <c r="AV445" s="17"/>
      <c r="AW445" s="17">
        <v>1676</v>
      </c>
      <c r="AX445" s="17"/>
      <c r="AY445" t="s">
        <v>92</v>
      </c>
      <c r="AZ445" t="s">
        <v>92</v>
      </c>
      <c r="BA445" t="s">
        <v>92</v>
      </c>
      <c r="BB445" t="s">
        <v>92</v>
      </c>
      <c r="BC445" t="s">
        <v>92</v>
      </c>
      <c r="BD445" s="17">
        <v>25.17</v>
      </c>
      <c r="BE445" s="17">
        <v>6455115</v>
      </c>
      <c r="BF445" t="s">
        <v>92</v>
      </c>
      <c r="BG445" t="s">
        <v>92</v>
      </c>
      <c r="BH445" t="s">
        <v>93</v>
      </c>
      <c r="BI445" t="s">
        <v>94</v>
      </c>
      <c r="BJ445" t="s">
        <v>215</v>
      </c>
      <c r="BK445" t="s">
        <v>85</v>
      </c>
      <c r="BL445" t="s">
        <v>85</v>
      </c>
      <c r="BM445" t="s">
        <v>190</v>
      </c>
      <c r="BN445" t="s">
        <v>573</v>
      </c>
      <c r="BO445" t="s">
        <v>216</v>
      </c>
      <c r="BP445" t="s">
        <v>99</v>
      </c>
      <c r="BQ445" s="17">
        <v>3750</v>
      </c>
      <c r="BR445" t="s">
        <v>100</v>
      </c>
      <c r="BS445" t="s">
        <v>92</v>
      </c>
      <c r="BT445" t="s">
        <v>99</v>
      </c>
      <c r="BU445" s="17">
        <v>9.3</v>
      </c>
      <c r="BV445" t="s">
        <v>191</v>
      </c>
      <c r="BW445" t="s">
        <v>85</v>
      </c>
      <c r="BX445" t="s">
        <v>85</v>
      </c>
      <c r="BY445" t="str">
        <f>IF(COUNTIF('Data Upload-prod'!E:E,F445)=0,"Missing","Exist")</f>
        <v>Exist</v>
      </c>
    </row>
    <row r="446" hidden="1" spans="1:77">
      <c r="A446" s="16">
        <v>43732</v>
      </c>
      <c r="B446" s="16">
        <v>43881</v>
      </c>
      <c r="C446" t="s">
        <v>132</v>
      </c>
      <c r="D446" t="s">
        <v>78</v>
      </c>
      <c r="E446" t="s">
        <v>628</v>
      </c>
      <c r="F446" t="s">
        <v>899</v>
      </c>
      <c r="G446" t="s">
        <v>81</v>
      </c>
      <c r="H446" t="s">
        <v>82</v>
      </c>
      <c r="I446" t="s">
        <v>83</v>
      </c>
      <c r="J446" s="17">
        <v>76.7</v>
      </c>
      <c r="K446" s="17">
        <v>2185</v>
      </c>
      <c r="L446" s="17">
        <v>1301</v>
      </c>
      <c r="M446" t="s">
        <v>84</v>
      </c>
      <c r="N446" t="s">
        <v>84</v>
      </c>
      <c r="O446" t="s">
        <v>84</v>
      </c>
      <c r="P446" t="s">
        <v>84</v>
      </c>
      <c r="Q446" s="17">
        <v>10500380.18</v>
      </c>
      <c r="R446" s="17">
        <v>27.73</v>
      </c>
      <c r="S446" t="s">
        <v>85</v>
      </c>
      <c r="T446" t="s">
        <v>84</v>
      </c>
      <c r="U446" t="s">
        <v>86</v>
      </c>
      <c r="V446" s="16">
        <v>43769</v>
      </c>
      <c r="W446" s="18">
        <v>43759</v>
      </c>
      <c r="X446" s="18">
        <v>43800.875</v>
      </c>
      <c r="Y446" s="17">
        <v>2078.2</v>
      </c>
      <c r="Z446" t="s">
        <v>87</v>
      </c>
      <c r="AA446" s="17">
        <v>2185</v>
      </c>
      <c r="AB446" s="17">
        <v>1302</v>
      </c>
      <c r="AC446" t="s">
        <v>84</v>
      </c>
      <c r="AD446" t="s">
        <v>84</v>
      </c>
      <c r="AE446" t="s">
        <v>84</v>
      </c>
      <c r="AF446" t="s">
        <v>84</v>
      </c>
      <c r="AG446" s="17">
        <v>11213319.67</v>
      </c>
      <c r="AH446" s="17">
        <v>35.13</v>
      </c>
      <c r="AI446" s="17">
        <v>32.47</v>
      </c>
      <c r="AJ446" s="17">
        <v>29.69</v>
      </c>
      <c r="AK446" t="s">
        <v>208</v>
      </c>
      <c r="AM446" s="17">
        <v>2.1</v>
      </c>
      <c r="AN446" s="17"/>
      <c r="AO446" s="17">
        <v>700</v>
      </c>
      <c r="AP446" s="17"/>
      <c r="AQ446" s="17">
        <v>1620</v>
      </c>
      <c r="AR446" s="17"/>
      <c r="AS446" s="17">
        <v>1.91</v>
      </c>
      <c r="AT446" s="17"/>
      <c r="AU446" s="17">
        <v>985</v>
      </c>
      <c r="AV446" s="17"/>
      <c r="AW446" s="17">
        <v>2984</v>
      </c>
      <c r="AX446" s="17"/>
      <c r="AY446" t="s">
        <v>92</v>
      </c>
      <c r="AZ446" t="s">
        <v>92</v>
      </c>
      <c r="BA446" t="s">
        <v>92</v>
      </c>
      <c r="BB446" t="s">
        <v>92</v>
      </c>
      <c r="BC446" t="s">
        <v>92</v>
      </c>
      <c r="BD446" s="17">
        <v>10.63</v>
      </c>
      <c r="BE446" s="17">
        <v>4036138.56</v>
      </c>
      <c r="BF446" t="s">
        <v>92</v>
      </c>
      <c r="BG446" t="s">
        <v>92</v>
      </c>
      <c r="BH446" t="s">
        <v>93</v>
      </c>
      <c r="BI446" t="s">
        <v>94</v>
      </c>
      <c r="BJ446" t="s">
        <v>215</v>
      </c>
      <c r="BK446" t="s">
        <v>85</v>
      </c>
      <c r="BL446" t="s">
        <v>85</v>
      </c>
      <c r="BM446" t="s">
        <v>96</v>
      </c>
      <c r="BN446" t="s">
        <v>97</v>
      </c>
      <c r="BO446" t="s">
        <v>98</v>
      </c>
      <c r="BP446" t="s">
        <v>99</v>
      </c>
      <c r="BQ446" s="17">
        <v>164.05</v>
      </c>
      <c r="BR446" t="s">
        <v>100</v>
      </c>
      <c r="BS446" t="s">
        <v>156</v>
      </c>
      <c r="BT446" t="s">
        <v>99</v>
      </c>
      <c r="BU446" s="17">
        <v>8.5</v>
      </c>
      <c r="BV446" t="s">
        <v>191</v>
      </c>
      <c r="BW446" t="s">
        <v>85</v>
      </c>
      <c r="BX446" t="s">
        <v>85</v>
      </c>
      <c r="BY446" t="str">
        <f>IF(COUNTIF('Data Upload-prod'!E:E,F446)=0,"Missing","Exist")</f>
        <v>Exist</v>
      </c>
    </row>
    <row r="447" hidden="1" spans="1:77">
      <c r="A447" s="16">
        <v>43728</v>
      </c>
      <c r="B447" s="16">
        <v>44028</v>
      </c>
      <c r="C447" t="s">
        <v>132</v>
      </c>
      <c r="D447" t="s">
        <v>78</v>
      </c>
      <c r="E447" t="s">
        <v>842</v>
      </c>
      <c r="F447" t="s">
        <v>900</v>
      </c>
      <c r="G447" t="s">
        <v>81</v>
      </c>
      <c r="H447" t="s">
        <v>135</v>
      </c>
      <c r="I447" t="s">
        <v>124</v>
      </c>
      <c r="J447" s="17">
        <v>63</v>
      </c>
      <c r="K447" s="17">
        <v>4040</v>
      </c>
      <c r="L447" s="17">
        <v>1668.86</v>
      </c>
      <c r="M447" t="s">
        <v>84</v>
      </c>
      <c r="N447" t="s">
        <v>84</v>
      </c>
      <c r="O447" t="s">
        <v>84</v>
      </c>
      <c r="P447" t="s">
        <v>84</v>
      </c>
      <c r="Q447" s="17">
        <v>14080421</v>
      </c>
      <c r="R447" s="17">
        <v>44.75</v>
      </c>
      <c r="S447" t="s">
        <v>85</v>
      </c>
      <c r="T447" t="s">
        <v>84</v>
      </c>
      <c r="U447" t="s">
        <v>86</v>
      </c>
      <c r="V447" s="16">
        <v>43863</v>
      </c>
      <c r="W447" s="18">
        <v>43827</v>
      </c>
      <c r="X447" s="18">
        <v>43945.4166666667</v>
      </c>
      <c r="Y447" s="17">
        <v>3981.4</v>
      </c>
      <c r="Z447" t="s">
        <v>87</v>
      </c>
      <c r="AA447" s="17">
        <v>4087</v>
      </c>
      <c r="AB447" s="17">
        <v>1680.09</v>
      </c>
      <c r="AC447" t="s">
        <v>84</v>
      </c>
      <c r="AD447" t="s">
        <v>84</v>
      </c>
      <c r="AE447" t="s">
        <v>84</v>
      </c>
      <c r="AF447" t="s">
        <v>84</v>
      </c>
      <c r="AG447" s="17">
        <v>21643512</v>
      </c>
      <c r="AH447" s="17">
        <v>108.02</v>
      </c>
      <c r="AI447" s="17">
        <v>39.94</v>
      </c>
      <c r="AJ447" s="17">
        <v>39.94</v>
      </c>
      <c r="AK447" t="s">
        <v>208</v>
      </c>
      <c r="AM447" s="17">
        <v>2.1</v>
      </c>
      <c r="AN447" s="17"/>
      <c r="AO447" s="17">
        <v>700</v>
      </c>
      <c r="AP447" s="17"/>
      <c r="AQ447" s="17">
        <v>1220</v>
      </c>
      <c r="AR447" s="17"/>
      <c r="AS447" s="17">
        <v>1.86</v>
      </c>
      <c r="AT447" s="17"/>
      <c r="AU447" s="17">
        <v>526</v>
      </c>
      <c r="AV447" s="17"/>
      <c r="AW447" s="17">
        <v>1609.4</v>
      </c>
      <c r="AX447" s="17"/>
      <c r="AY447" t="s">
        <v>92</v>
      </c>
      <c r="AZ447" t="s">
        <v>92</v>
      </c>
      <c r="BA447" t="s">
        <v>92</v>
      </c>
      <c r="BB447" t="s">
        <v>92</v>
      </c>
      <c r="BC447" t="s">
        <v>92</v>
      </c>
      <c r="BD447" s="17">
        <v>13.54</v>
      </c>
      <c r="BE447" s="17">
        <v>3553503.46</v>
      </c>
      <c r="BF447" t="s">
        <v>92</v>
      </c>
      <c r="BG447" t="s">
        <v>92</v>
      </c>
      <c r="BH447" t="s">
        <v>93</v>
      </c>
      <c r="BI447" t="s">
        <v>901</v>
      </c>
      <c r="BJ447" t="s">
        <v>173</v>
      </c>
      <c r="BK447" t="s">
        <v>85</v>
      </c>
      <c r="BL447" t="s">
        <v>85</v>
      </c>
      <c r="BM447" t="s">
        <v>190</v>
      </c>
      <c r="BN447" t="s">
        <v>569</v>
      </c>
      <c r="BO447" t="s">
        <v>98</v>
      </c>
      <c r="BP447" t="s">
        <v>99</v>
      </c>
      <c r="BQ447" s="17">
        <v>193.579</v>
      </c>
      <c r="BR447" t="s">
        <v>138</v>
      </c>
      <c r="BS447" t="s">
        <v>156</v>
      </c>
      <c r="BT447" t="s">
        <v>99</v>
      </c>
      <c r="BU447" s="17">
        <v>9</v>
      </c>
      <c r="BV447" t="s">
        <v>191</v>
      </c>
      <c r="BW447" t="s">
        <v>129</v>
      </c>
      <c r="BX447" t="s">
        <v>85</v>
      </c>
      <c r="BY447" t="str">
        <f>IF(COUNTIF('Data Upload-prod'!E:E,F447)=0,"Missing","Exist")</f>
        <v>Exist</v>
      </c>
    </row>
    <row r="448" hidden="1" spans="1:77">
      <c r="A448" s="16">
        <v>43727</v>
      </c>
      <c r="B448" s="16">
        <v>43852</v>
      </c>
      <c r="C448" t="s">
        <v>77</v>
      </c>
      <c r="D448" t="s">
        <v>78</v>
      </c>
      <c r="E448" t="s">
        <v>902</v>
      </c>
      <c r="F448" t="s">
        <v>903</v>
      </c>
      <c r="G448" t="s">
        <v>81</v>
      </c>
      <c r="H448" t="s">
        <v>123</v>
      </c>
      <c r="I448" t="s">
        <v>124</v>
      </c>
      <c r="J448" s="17">
        <v>71.5</v>
      </c>
      <c r="K448" s="17">
        <v>2201.26</v>
      </c>
      <c r="L448" s="17">
        <v>1481.15</v>
      </c>
      <c r="M448" t="s">
        <v>84</v>
      </c>
      <c r="N448" t="s">
        <v>84</v>
      </c>
      <c r="O448" t="s">
        <v>84</v>
      </c>
      <c r="P448" t="s">
        <v>84</v>
      </c>
      <c r="Q448" s="17">
        <v>28190000</v>
      </c>
      <c r="R448" s="17">
        <v>69.55</v>
      </c>
      <c r="S448" t="s">
        <v>85</v>
      </c>
      <c r="T448" t="s">
        <v>84</v>
      </c>
      <c r="U448" t="s">
        <v>86</v>
      </c>
      <c r="V448" s="16">
        <v>43770</v>
      </c>
      <c r="W448" s="18">
        <v>43762.6354166667</v>
      </c>
      <c r="X448" s="18">
        <v>43798.2916666667</v>
      </c>
      <c r="Y448" s="17">
        <v>2096.03</v>
      </c>
      <c r="Z448" t="s">
        <v>87</v>
      </c>
      <c r="AA448" s="17">
        <v>2209</v>
      </c>
      <c r="AB448" s="17">
        <v>1484</v>
      </c>
      <c r="AC448" t="s">
        <v>84</v>
      </c>
      <c r="AD448" t="s">
        <v>84</v>
      </c>
      <c r="AE448" t="s">
        <v>84</v>
      </c>
      <c r="AF448" t="s">
        <v>84</v>
      </c>
      <c r="AG448" s="17">
        <v>21548749</v>
      </c>
      <c r="AH448" s="17">
        <v>62.26</v>
      </c>
      <c r="AI448" s="17">
        <v>0.55</v>
      </c>
      <c r="AJ448" s="17">
        <v>0.52</v>
      </c>
      <c r="AK448" t="s">
        <v>208</v>
      </c>
      <c r="AM448" s="17">
        <v>2.1</v>
      </c>
      <c r="AN448" s="17"/>
      <c r="AO448" s="17">
        <v>700</v>
      </c>
      <c r="AP448" s="17"/>
      <c r="AQ448" s="17">
        <v>1225</v>
      </c>
      <c r="AR448" s="17"/>
      <c r="AS448" s="17">
        <v>0.8</v>
      </c>
      <c r="AT448" s="17"/>
      <c r="AU448" s="17">
        <v>351</v>
      </c>
      <c r="AV448" s="17"/>
      <c r="AW448" s="17">
        <v>566</v>
      </c>
      <c r="AX448" s="17"/>
      <c r="AY448" t="s">
        <v>92</v>
      </c>
      <c r="AZ448" t="s">
        <v>92</v>
      </c>
      <c r="BA448" t="s">
        <v>92</v>
      </c>
      <c r="BB448" t="s">
        <v>92</v>
      </c>
      <c r="BC448" t="s">
        <v>92</v>
      </c>
      <c r="BD448" s="17">
        <v>4.08</v>
      </c>
      <c r="BE448" s="17">
        <v>1479948.55</v>
      </c>
      <c r="BF448" t="s">
        <v>92</v>
      </c>
      <c r="BG448" t="s">
        <v>92</v>
      </c>
      <c r="BH448" t="s">
        <v>93</v>
      </c>
      <c r="BI448" t="s">
        <v>94</v>
      </c>
      <c r="BJ448" t="s">
        <v>109</v>
      </c>
      <c r="BK448" t="s">
        <v>85</v>
      </c>
      <c r="BL448" t="s">
        <v>129</v>
      </c>
      <c r="BM448" t="s">
        <v>96</v>
      </c>
      <c r="BN448" t="s">
        <v>97</v>
      </c>
      <c r="BO448" t="s">
        <v>98</v>
      </c>
      <c r="BP448" t="s">
        <v>103</v>
      </c>
      <c r="BQ448" s="17">
        <v>729.559879</v>
      </c>
      <c r="BR448" t="s">
        <v>100</v>
      </c>
      <c r="BS448" t="s">
        <v>92</v>
      </c>
      <c r="BT448" t="s">
        <v>103</v>
      </c>
      <c r="BU448" s="17">
        <v>8.6</v>
      </c>
      <c r="BV448" t="s">
        <v>110</v>
      </c>
      <c r="BW448" t="s">
        <v>85</v>
      </c>
      <c r="BX448" t="s">
        <v>85</v>
      </c>
      <c r="BY448" t="str">
        <f>IF(COUNTIF('Data Upload-prod'!E:E,F448)=0,"Missing","Exist")</f>
        <v>Exist</v>
      </c>
    </row>
    <row r="449" hidden="1" spans="1:77">
      <c r="A449" s="16">
        <v>43727</v>
      </c>
      <c r="B449" s="16">
        <v>43852</v>
      </c>
      <c r="C449" t="s">
        <v>77</v>
      </c>
      <c r="D449" t="s">
        <v>78</v>
      </c>
      <c r="E449" t="s">
        <v>902</v>
      </c>
      <c r="F449" t="s">
        <v>904</v>
      </c>
      <c r="G449" t="s">
        <v>81</v>
      </c>
      <c r="H449" t="s">
        <v>123</v>
      </c>
      <c r="I449" t="s">
        <v>124</v>
      </c>
      <c r="J449" s="17">
        <v>71.5</v>
      </c>
      <c r="K449" s="17">
        <v>2481</v>
      </c>
      <c r="L449" s="17">
        <v>1483</v>
      </c>
      <c r="M449" t="s">
        <v>84</v>
      </c>
      <c r="N449" t="s">
        <v>84</v>
      </c>
      <c r="O449" t="s">
        <v>84</v>
      </c>
      <c r="P449" t="s">
        <v>84</v>
      </c>
      <c r="Q449" s="17">
        <v>5940000</v>
      </c>
      <c r="R449" s="17">
        <v>12.7</v>
      </c>
      <c r="S449" t="s">
        <v>85</v>
      </c>
      <c r="T449" t="s">
        <v>84</v>
      </c>
      <c r="U449" t="s">
        <v>86</v>
      </c>
      <c r="V449" s="16">
        <v>43765</v>
      </c>
      <c r="W449" s="18">
        <v>43765.6875</v>
      </c>
      <c r="X449" s="18">
        <v>43792.46875</v>
      </c>
      <c r="Y449" s="17">
        <v>2103.03</v>
      </c>
      <c r="Z449" t="s">
        <v>87</v>
      </c>
      <c r="AA449" s="17">
        <v>2216</v>
      </c>
      <c r="AB449" s="17">
        <v>1483.29</v>
      </c>
      <c r="AC449" t="s">
        <v>84</v>
      </c>
      <c r="AD449" t="s">
        <v>84</v>
      </c>
      <c r="AE449" t="s">
        <v>84</v>
      </c>
      <c r="AF449" t="s">
        <v>84</v>
      </c>
      <c r="AG449" s="17">
        <v>5071547</v>
      </c>
      <c r="AH449" s="17">
        <v>14.03</v>
      </c>
      <c r="AI449" s="17">
        <v>13.29</v>
      </c>
      <c r="AJ449" s="17">
        <v>13.29</v>
      </c>
      <c r="AK449" t="s">
        <v>208</v>
      </c>
      <c r="AM449" s="17">
        <v>2.1</v>
      </c>
      <c r="AN449" s="17"/>
      <c r="AO449" s="17">
        <v>700</v>
      </c>
      <c r="AP449" s="17"/>
      <c r="AQ449" s="17">
        <v>1225</v>
      </c>
      <c r="AR449" s="17"/>
      <c r="AS449" s="17">
        <v>1.4</v>
      </c>
      <c r="AT449" s="17"/>
      <c r="AU449" s="17">
        <v>491</v>
      </c>
      <c r="AV449" s="17"/>
      <c r="AW449" s="17">
        <v>735</v>
      </c>
      <c r="AX449" s="17"/>
      <c r="AY449" t="s">
        <v>92</v>
      </c>
      <c r="AZ449" t="s">
        <v>92</v>
      </c>
      <c r="BA449" t="s">
        <v>92</v>
      </c>
      <c r="BB449" t="s">
        <v>92</v>
      </c>
      <c r="BC449" t="s">
        <v>92</v>
      </c>
      <c r="BD449" s="17">
        <v>4.68</v>
      </c>
      <c r="BE449" s="17">
        <v>1682372.22</v>
      </c>
      <c r="BF449" t="s">
        <v>92</v>
      </c>
      <c r="BG449" t="s">
        <v>92</v>
      </c>
      <c r="BH449" t="s">
        <v>93</v>
      </c>
      <c r="BI449" t="s">
        <v>94</v>
      </c>
      <c r="BJ449" t="s">
        <v>109</v>
      </c>
      <c r="BK449" t="s">
        <v>85</v>
      </c>
      <c r="BL449" t="s">
        <v>129</v>
      </c>
      <c r="BM449" t="s">
        <v>96</v>
      </c>
      <c r="BN449" t="s">
        <v>97</v>
      </c>
      <c r="BO449" t="s">
        <v>98</v>
      </c>
      <c r="BP449" t="s">
        <v>103</v>
      </c>
      <c r="BQ449" s="17">
        <v>686.460663</v>
      </c>
      <c r="BR449" t="s">
        <v>100</v>
      </c>
      <c r="BS449" t="s">
        <v>92</v>
      </c>
      <c r="BT449" t="s">
        <v>103</v>
      </c>
      <c r="BU449" s="17">
        <v>8.6</v>
      </c>
      <c r="BV449" t="s">
        <v>110</v>
      </c>
      <c r="BW449" t="s">
        <v>85</v>
      </c>
      <c r="BX449" t="s">
        <v>85</v>
      </c>
      <c r="BY449" t="str">
        <f>IF(COUNTIF('Data Upload-prod'!E:E,F449)=0,"Missing","Exist")</f>
        <v>Exist</v>
      </c>
    </row>
    <row r="450" hidden="1" spans="1:77">
      <c r="A450" s="16">
        <v>43727</v>
      </c>
      <c r="B450" s="16">
        <v>43852</v>
      </c>
      <c r="C450" t="s">
        <v>77</v>
      </c>
      <c r="D450" t="s">
        <v>78</v>
      </c>
      <c r="E450" t="s">
        <v>902</v>
      </c>
      <c r="F450" t="s">
        <v>905</v>
      </c>
      <c r="G450" t="s">
        <v>81</v>
      </c>
      <c r="H450" t="s">
        <v>123</v>
      </c>
      <c r="I450" t="s">
        <v>124</v>
      </c>
      <c r="J450" s="17">
        <v>71.5</v>
      </c>
      <c r="K450" s="17">
        <v>2197.4</v>
      </c>
      <c r="L450" s="17">
        <v>1482</v>
      </c>
      <c r="M450" t="s">
        <v>84</v>
      </c>
      <c r="N450" t="s">
        <v>84</v>
      </c>
      <c r="O450" t="s">
        <v>84</v>
      </c>
      <c r="P450" t="s">
        <v>84</v>
      </c>
      <c r="Q450" s="17">
        <v>5950000</v>
      </c>
      <c r="R450" s="17">
        <v>9.38</v>
      </c>
      <c r="S450" t="s">
        <v>85</v>
      </c>
      <c r="T450" t="s">
        <v>84</v>
      </c>
      <c r="U450" t="s">
        <v>86</v>
      </c>
      <c r="V450" s="16">
        <v>43768</v>
      </c>
      <c r="W450" s="18">
        <v>43765.7986111111</v>
      </c>
      <c r="X450" s="18">
        <v>43809.3333333333</v>
      </c>
      <c r="Y450" s="17">
        <v>2284.03</v>
      </c>
      <c r="Z450" t="s">
        <v>87</v>
      </c>
      <c r="AA450" s="17">
        <v>2397</v>
      </c>
      <c r="AB450" s="17">
        <v>1483</v>
      </c>
      <c r="AC450" t="s">
        <v>84</v>
      </c>
      <c r="AD450" t="s">
        <v>84</v>
      </c>
      <c r="AE450" t="s">
        <v>84</v>
      </c>
      <c r="AF450" t="s">
        <v>84</v>
      </c>
      <c r="AG450" s="17">
        <v>3885038</v>
      </c>
      <c r="AH450" s="17">
        <v>9.38</v>
      </c>
      <c r="AI450" s="17">
        <v>0</v>
      </c>
      <c r="AJ450" s="17">
        <v>0</v>
      </c>
      <c r="AK450" t="s">
        <v>208</v>
      </c>
      <c r="AM450" s="17">
        <v>2.1</v>
      </c>
      <c r="AN450" s="17"/>
      <c r="AO450" s="17">
        <v>700</v>
      </c>
      <c r="AP450" s="17"/>
      <c r="AQ450" s="17">
        <v>1225</v>
      </c>
      <c r="AR450" s="17"/>
      <c r="AS450" s="17">
        <v>0.8</v>
      </c>
      <c r="AT450" s="17"/>
      <c r="AU450" s="17">
        <v>343</v>
      </c>
      <c r="AV450" s="17"/>
      <c r="AW450" s="17">
        <v>518</v>
      </c>
      <c r="AX450" s="17"/>
      <c r="AY450" t="s">
        <v>92</v>
      </c>
      <c r="AZ450" t="s">
        <v>92</v>
      </c>
      <c r="BA450" t="s">
        <v>92</v>
      </c>
      <c r="BB450" t="s">
        <v>92</v>
      </c>
      <c r="BC450" t="s">
        <v>92</v>
      </c>
      <c r="BD450" s="17">
        <v>3.64</v>
      </c>
      <c r="BE450" s="17">
        <v>1318008.36</v>
      </c>
      <c r="BF450" t="s">
        <v>92</v>
      </c>
      <c r="BG450" t="s">
        <v>92</v>
      </c>
      <c r="BH450" t="s">
        <v>93</v>
      </c>
      <c r="BI450" t="s">
        <v>94</v>
      </c>
      <c r="BJ450" t="s">
        <v>109</v>
      </c>
      <c r="BK450" t="s">
        <v>85</v>
      </c>
      <c r="BL450" t="s">
        <v>129</v>
      </c>
      <c r="BM450" t="s">
        <v>96</v>
      </c>
      <c r="BN450" t="s">
        <v>97</v>
      </c>
      <c r="BO450" t="s">
        <v>98</v>
      </c>
      <c r="BP450" t="s">
        <v>103</v>
      </c>
      <c r="BQ450" s="17">
        <v>513.269797</v>
      </c>
      <c r="BR450" t="s">
        <v>100</v>
      </c>
      <c r="BS450" t="s">
        <v>92</v>
      </c>
      <c r="BT450" t="s">
        <v>103</v>
      </c>
      <c r="BU450" s="17">
        <v>8.6</v>
      </c>
      <c r="BV450" t="s">
        <v>110</v>
      </c>
      <c r="BW450" t="s">
        <v>85</v>
      </c>
      <c r="BX450" t="s">
        <v>85</v>
      </c>
      <c r="BY450" t="str">
        <f>IF(COUNTIF('Data Upload-prod'!E:E,F450)=0,"Missing","Exist")</f>
        <v>Exist</v>
      </c>
    </row>
    <row r="451" hidden="1" spans="1:77">
      <c r="A451" s="16">
        <v>43727</v>
      </c>
      <c r="B451" s="16">
        <v>43852</v>
      </c>
      <c r="C451" t="s">
        <v>77</v>
      </c>
      <c r="D451" t="s">
        <v>78</v>
      </c>
      <c r="E451" t="s">
        <v>902</v>
      </c>
      <c r="F451" t="s">
        <v>906</v>
      </c>
      <c r="G451" t="s">
        <v>81</v>
      </c>
      <c r="H451" t="s">
        <v>123</v>
      </c>
      <c r="I451" t="s">
        <v>124</v>
      </c>
      <c r="J451" s="17">
        <v>71.5</v>
      </c>
      <c r="K451" s="17">
        <v>2981</v>
      </c>
      <c r="L451" s="17">
        <v>1487</v>
      </c>
      <c r="M451" t="s">
        <v>84</v>
      </c>
      <c r="N451" t="s">
        <v>84</v>
      </c>
      <c r="O451" t="s">
        <v>84</v>
      </c>
      <c r="P451" t="s">
        <v>84</v>
      </c>
      <c r="Q451" s="17">
        <v>6400000</v>
      </c>
      <c r="R451" s="17">
        <v>15.08</v>
      </c>
      <c r="S451" t="s">
        <v>85</v>
      </c>
      <c r="T451" t="s">
        <v>84</v>
      </c>
      <c r="U451" t="s">
        <v>86</v>
      </c>
      <c r="V451" s="16">
        <v>43770</v>
      </c>
      <c r="W451" s="18">
        <v>43770</v>
      </c>
      <c r="X451" s="18">
        <v>43804.34375</v>
      </c>
      <c r="Y451" s="17">
        <v>2791.03</v>
      </c>
      <c r="Z451" t="s">
        <v>87</v>
      </c>
      <c r="AA451" s="17">
        <v>2904</v>
      </c>
      <c r="AB451" s="17">
        <v>1487</v>
      </c>
      <c r="AC451" t="s">
        <v>84</v>
      </c>
      <c r="AD451" t="s">
        <v>84</v>
      </c>
      <c r="AE451" t="s">
        <v>84</v>
      </c>
      <c r="AF451" t="s">
        <v>84</v>
      </c>
      <c r="AG451" s="17">
        <v>4233250</v>
      </c>
      <c r="AH451" s="17">
        <v>10.91</v>
      </c>
      <c r="AI451" s="17">
        <v>2.86</v>
      </c>
      <c r="AJ451" s="17">
        <v>2.86</v>
      </c>
      <c r="AK451" t="s">
        <v>208</v>
      </c>
      <c r="AM451" s="17">
        <v>2.1</v>
      </c>
      <c r="AN451" s="17"/>
      <c r="AO451" s="17">
        <v>700</v>
      </c>
      <c r="AP451" s="17"/>
      <c r="AQ451" s="17">
        <v>1225</v>
      </c>
      <c r="AR451" s="17"/>
      <c r="AS451" s="17">
        <v>0.8</v>
      </c>
      <c r="AT451" s="17"/>
      <c r="AU451" s="17">
        <v>311</v>
      </c>
      <c r="AV451" s="17"/>
      <c r="AW451" s="17">
        <v>462</v>
      </c>
      <c r="AX451" s="17"/>
      <c r="AY451" t="s">
        <v>92</v>
      </c>
      <c r="AZ451" t="s">
        <v>92</v>
      </c>
      <c r="BA451" t="s">
        <v>92</v>
      </c>
      <c r="BB451" t="s">
        <v>92</v>
      </c>
      <c r="BC451" t="s">
        <v>92</v>
      </c>
      <c r="BD451" s="17">
        <v>3.96</v>
      </c>
      <c r="BE451" s="17">
        <v>1387402.7</v>
      </c>
      <c r="BF451" t="s">
        <v>92</v>
      </c>
      <c r="BG451" t="s">
        <v>92</v>
      </c>
      <c r="BH451" t="s">
        <v>93</v>
      </c>
      <c r="BI451" t="s">
        <v>94</v>
      </c>
      <c r="BJ451" t="s">
        <v>109</v>
      </c>
      <c r="BK451" t="s">
        <v>85</v>
      </c>
      <c r="BL451" t="s">
        <v>129</v>
      </c>
      <c r="BM451" t="s">
        <v>96</v>
      </c>
      <c r="BN451" t="s">
        <v>97</v>
      </c>
      <c r="BO451" t="s">
        <v>98</v>
      </c>
      <c r="BP451" t="s">
        <v>103</v>
      </c>
      <c r="BQ451" s="17">
        <v>1373.259269</v>
      </c>
      <c r="BR451" t="s">
        <v>100</v>
      </c>
      <c r="BS451" t="s">
        <v>92</v>
      </c>
      <c r="BT451" t="s">
        <v>103</v>
      </c>
      <c r="BU451" s="17">
        <v>8.6</v>
      </c>
      <c r="BV451" t="s">
        <v>110</v>
      </c>
      <c r="BW451" t="s">
        <v>85</v>
      </c>
      <c r="BX451" t="s">
        <v>85</v>
      </c>
      <c r="BY451" t="str">
        <f>IF(COUNTIF('Data Upload-prod'!E:E,F451)=0,"Missing","Exist")</f>
        <v>Exist</v>
      </c>
    </row>
    <row r="452" hidden="1" spans="1:77">
      <c r="A452" s="16">
        <v>43709</v>
      </c>
      <c r="B452" s="16">
        <v>43836</v>
      </c>
      <c r="C452" t="s">
        <v>504</v>
      </c>
      <c r="D452" t="s">
        <v>142</v>
      </c>
      <c r="E452" t="s">
        <v>209</v>
      </c>
      <c r="F452" t="s">
        <v>907</v>
      </c>
      <c r="G452" t="s">
        <v>81</v>
      </c>
      <c r="H452" t="s">
        <v>405</v>
      </c>
      <c r="I452" t="s">
        <v>124</v>
      </c>
      <c r="J452" s="17">
        <v>17.68</v>
      </c>
      <c r="K452" s="17">
        <v>935.08</v>
      </c>
      <c r="L452" s="17">
        <v>901.86</v>
      </c>
      <c r="M452" t="s">
        <v>84</v>
      </c>
      <c r="N452" t="s">
        <v>84</v>
      </c>
      <c r="O452" t="s">
        <v>84</v>
      </c>
      <c r="P452" t="s">
        <v>84</v>
      </c>
      <c r="Q452" s="17">
        <v>1536657</v>
      </c>
      <c r="R452" s="17">
        <v>25.04</v>
      </c>
      <c r="S452" t="s">
        <v>85</v>
      </c>
      <c r="T452" t="s">
        <v>84</v>
      </c>
      <c r="U452" t="s">
        <v>86</v>
      </c>
      <c r="V452" s="16">
        <v>43723</v>
      </c>
      <c r="W452" s="18">
        <v>43723.0833333333</v>
      </c>
      <c r="X452" s="18">
        <v>43792.5416666667</v>
      </c>
      <c r="Y452" s="17">
        <v>882.51</v>
      </c>
      <c r="Z452" t="s">
        <v>87</v>
      </c>
      <c r="AA452" s="17">
        <v>939.65</v>
      </c>
      <c r="AB452" s="17">
        <v>905.52</v>
      </c>
      <c r="AC452" t="s">
        <v>84</v>
      </c>
      <c r="AD452" t="s">
        <v>84</v>
      </c>
      <c r="AE452" t="s">
        <v>84</v>
      </c>
      <c r="AF452" t="s">
        <v>84</v>
      </c>
      <c r="AG452" s="17">
        <v>6750000</v>
      </c>
      <c r="AH452" s="17">
        <v>23.81</v>
      </c>
      <c r="AI452" s="17">
        <v>4</v>
      </c>
      <c r="AJ452" s="17">
        <v>4</v>
      </c>
      <c r="AK452" t="s">
        <v>114</v>
      </c>
      <c r="AM452" s="17">
        <v>2.2</v>
      </c>
      <c r="AN452" s="17"/>
      <c r="AO452" s="17">
        <v>915</v>
      </c>
      <c r="AP452" s="17"/>
      <c r="AQ452" s="17">
        <v>1450</v>
      </c>
      <c r="AR452" s="17"/>
      <c r="AS452" s="17">
        <v>2.22</v>
      </c>
      <c r="AT452" s="17"/>
      <c r="AU452" s="17">
        <v>735.4</v>
      </c>
      <c r="AV452" s="17"/>
      <c r="AW452" s="17">
        <v>1074.6</v>
      </c>
      <c r="AX452" s="17"/>
      <c r="AY452" t="s">
        <v>92</v>
      </c>
      <c r="AZ452" t="s">
        <v>92</v>
      </c>
      <c r="BA452" t="s">
        <v>92</v>
      </c>
      <c r="BB452" t="s">
        <v>92</v>
      </c>
      <c r="BC452" t="s">
        <v>92</v>
      </c>
      <c r="BD452" s="17">
        <v>3.96</v>
      </c>
      <c r="BE452" s="17">
        <v>1766025.87</v>
      </c>
      <c r="BF452" t="s">
        <v>92</v>
      </c>
      <c r="BG452" t="s">
        <v>92</v>
      </c>
      <c r="BH452" t="s">
        <v>93</v>
      </c>
      <c r="BI452" t="s">
        <v>94</v>
      </c>
      <c r="BJ452" t="s">
        <v>128</v>
      </c>
      <c r="BK452" t="s">
        <v>85</v>
      </c>
      <c r="BL452" t="s">
        <v>85</v>
      </c>
      <c r="BM452" t="s">
        <v>96</v>
      </c>
      <c r="BN452" t="s">
        <v>97</v>
      </c>
      <c r="BO452" t="s">
        <v>98</v>
      </c>
      <c r="BP452" t="s">
        <v>103</v>
      </c>
      <c r="BQ452" s="17">
        <v>500</v>
      </c>
      <c r="BR452" t="s">
        <v>138</v>
      </c>
      <c r="BS452" t="s">
        <v>156</v>
      </c>
      <c r="BT452" t="s">
        <v>103</v>
      </c>
      <c r="BU452" s="17">
        <v>9.4</v>
      </c>
      <c r="BV452" t="s">
        <v>110</v>
      </c>
      <c r="BW452" t="s">
        <v>85</v>
      </c>
      <c r="BX452" t="s">
        <v>85</v>
      </c>
      <c r="BY452" t="str">
        <f>IF(COUNTIF('Data Upload-prod'!E:E,F452)=0,"Missing","Exist")</f>
        <v>Exist</v>
      </c>
    </row>
    <row r="453" hidden="1" spans="1:77">
      <c r="A453" s="16">
        <v>43706</v>
      </c>
      <c r="B453" s="16">
        <v>43789</v>
      </c>
      <c r="C453" t="s">
        <v>132</v>
      </c>
      <c r="D453" t="s">
        <v>120</v>
      </c>
      <c r="E453" t="s">
        <v>908</v>
      </c>
      <c r="F453" t="s">
        <v>909</v>
      </c>
      <c r="G453" t="s">
        <v>81</v>
      </c>
      <c r="H453" t="s">
        <v>162</v>
      </c>
      <c r="I453" t="s">
        <v>124</v>
      </c>
      <c r="J453" s="17">
        <v>29</v>
      </c>
      <c r="K453" s="17">
        <v>2348</v>
      </c>
      <c r="L453" s="17">
        <v>1096</v>
      </c>
      <c r="M453" t="s">
        <v>84</v>
      </c>
      <c r="N453" t="s">
        <v>84</v>
      </c>
      <c r="O453" t="s">
        <v>84</v>
      </c>
      <c r="P453" t="s">
        <v>84</v>
      </c>
      <c r="Q453" s="17">
        <v>13878912</v>
      </c>
      <c r="R453" s="17">
        <v>42.34</v>
      </c>
      <c r="S453" t="s">
        <v>85</v>
      </c>
      <c r="T453" t="s">
        <v>84</v>
      </c>
      <c r="U453" t="s">
        <v>86</v>
      </c>
      <c r="V453" s="16">
        <v>43731</v>
      </c>
      <c r="W453" s="18">
        <v>43728.7708333333</v>
      </c>
      <c r="X453" s="18">
        <v>43764</v>
      </c>
      <c r="Y453" s="17">
        <v>2434</v>
      </c>
      <c r="Z453" t="s">
        <v>87</v>
      </c>
      <c r="AA453" s="17">
        <v>2500</v>
      </c>
      <c r="AB453" s="17">
        <v>1246.16</v>
      </c>
      <c r="AC453" t="s">
        <v>84</v>
      </c>
      <c r="AD453" t="s">
        <v>84</v>
      </c>
      <c r="AE453" t="s">
        <v>84</v>
      </c>
      <c r="AF453" t="s">
        <v>84</v>
      </c>
      <c r="AG453" s="17">
        <v>10790469.64</v>
      </c>
      <c r="AH453" s="17">
        <v>35.23</v>
      </c>
      <c r="AI453" s="17">
        <v>2.37</v>
      </c>
      <c r="AJ453" s="17">
        <v>1.85</v>
      </c>
      <c r="AK453" t="s">
        <v>165</v>
      </c>
      <c r="AM453" s="17">
        <v>2</v>
      </c>
      <c r="AN453" s="17"/>
      <c r="AO453" s="17">
        <v>725</v>
      </c>
      <c r="AP453" s="17"/>
      <c r="AQ453" s="17">
        <v>1725</v>
      </c>
      <c r="AR453" s="17"/>
      <c r="AS453" s="17">
        <v>1.72</v>
      </c>
      <c r="AT453" s="17"/>
      <c r="AU453" s="17">
        <v>529</v>
      </c>
      <c r="AV453" s="17"/>
      <c r="AW453" s="17">
        <v>1352</v>
      </c>
      <c r="AX453" s="17"/>
      <c r="AY453" t="s">
        <v>92</v>
      </c>
      <c r="AZ453" t="s">
        <v>92</v>
      </c>
      <c r="BA453" t="s">
        <v>92</v>
      </c>
      <c r="BB453" t="s">
        <v>92</v>
      </c>
      <c r="BC453" t="s">
        <v>92</v>
      </c>
      <c r="BD453" s="17">
        <v>17.53</v>
      </c>
      <c r="BE453" s="17">
        <v>4298110</v>
      </c>
      <c r="BF453" t="s">
        <v>92</v>
      </c>
      <c r="BG453" t="s">
        <v>92</v>
      </c>
      <c r="BH453" t="s">
        <v>93</v>
      </c>
      <c r="BI453" t="s">
        <v>94</v>
      </c>
      <c r="BJ453" t="s">
        <v>215</v>
      </c>
      <c r="BK453" t="s">
        <v>85</v>
      </c>
      <c r="BL453" t="s">
        <v>85</v>
      </c>
      <c r="BM453" t="s">
        <v>96</v>
      </c>
      <c r="BN453" t="s">
        <v>569</v>
      </c>
      <c r="BO453" t="s">
        <v>216</v>
      </c>
      <c r="BP453" t="s">
        <v>103</v>
      </c>
      <c r="BQ453" s="17">
        <v>228</v>
      </c>
      <c r="BR453" t="s">
        <v>100</v>
      </c>
      <c r="BS453" t="s">
        <v>92</v>
      </c>
      <c r="BT453" t="s">
        <v>550</v>
      </c>
      <c r="BU453" s="17">
        <v>9.7</v>
      </c>
      <c r="BV453" t="s">
        <v>191</v>
      </c>
      <c r="BW453" t="s">
        <v>85</v>
      </c>
      <c r="BX453" t="s">
        <v>85</v>
      </c>
      <c r="BY453" t="str">
        <f>IF(COUNTIF('Data Upload-prod'!E:E,F453)=0,"Missing","Exist")</f>
        <v>Exist</v>
      </c>
    </row>
    <row r="454" hidden="1" spans="1:77">
      <c r="A454" s="16">
        <v>43706</v>
      </c>
      <c r="B454" s="16">
        <v>43878</v>
      </c>
      <c r="C454" t="s">
        <v>132</v>
      </c>
      <c r="D454" t="s">
        <v>142</v>
      </c>
      <c r="E454" t="s">
        <v>910</v>
      </c>
      <c r="F454" t="s">
        <v>911</v>
      </c>
      <c r="G454" t="s">
        <v>145</v>
      </c>
      <c r="H454" t="s">
        <v>146</v>
      </c>
      <c r="I454" t="s">
        <v>147</v>
      </c>
      <c r="J454" s="17">
        <v>2677</v>
      </c>
      <c r="K454" s="17">
        <v>5336</v>
      </c>
      <c r="L454" s="17">
        <v>5060</v>
      </c>
      <c r="M454" s="17">
        <v>38832218</v>
      </c>
      <c r="N454" s="17">
        <v>39332591</v>
      </c>
      <c r="O454" s="17">
        <v>64.54</v>
      </c>
      <c r="P454" s="17">
        <v>66.17</v>
      </c>
      <c r="Q454" t="s">
        <v>84</v>
      </c>
      <c r="R454" t="s">
        <v>84</v>
      </c>
      <c r="S454" t="s">
        <v>85</v>
      </c>
      <c r="T454" t="s">
        <v>84</v>
      </c>
      <c r="U454" t="s">
        <v>84</v>
      </c>
      <c r="V454" s="16">
        <v>43727</v>
      </c>
      <c r="W454" s="18">
        <v>43725.4166666667</v>
      </c>
      <c r="X454" s="18">
        <v>43820.4583333333</v>
      </c>
      <c r="Y454" s="17">
        <v>2734</v>
      </c>
      <c r="Z454" t="s">
        <v>148</v>
      </c>
      <c r="AA454" s="17">
        <v>5436</v>
      </c>
      <c r="AB454" s="17">
        <v>5150</v>
      </c>
      <c r="AC454" t="s">
        <v>84</v>
      </c>
      <c r="AD454" s="17">
        <v>54003472.18</v>
      </c>
      <c r="AE454" t="s">
        <v>84</v>
      </c>
      <c r="AF454" s="17">
        <v>95.4</v>
      </c>
      <c r="AG454" t="s">
        <v>84</v>
      </c>
      <c r="AH454" t="s">
        <v>84</v>
      </c>
      <c r="AI454" s="17">
        <v>10.9</v>
      </c>
      <c r="AJ454" s="17">
        <v>10.9</v>
      </c>
      <c r="AK454" t="s">
        <v>378</v>
      </c>
      <c r="AM454" s="17">
        <v>5.4</v>
      </c>
      <c r="AN454" s="17"/>
      <c r="AO454" s="17">
        <v>5090</v>
      </c>
      <c r="AP454" s="17"/>
      <c r="AQ454" s="17">
        <v>7920</v>
      </c>
      <c r="AR454" s="17"/>
      <c r="AS454" s="17">
        <v>8.24</v>
      </c>
      <c r="AT454" s="17"/>
      <c r="AU454" s="17">
        <v>4374</v>
      </c>
      <c r="AV454" s="17"/>
      <c r="AW454" s="17">
        <v>5775</v>
      </c>
      <c r="AX454" s="17"/>
      <c r="AY454" t="s">
        <v>92</v>
      </c>
      <c r="AZ454" t="s">
        <v>92</v>
      </c>
      <c r="BA454" t="s">
        <v>92</v>
      </c>
      <c r="BB454" t="s">
        <v>92</v>
      </c>
      <c r="BC454" t="s">
        <v>92</v>
      </c>
      <c r="BD454" t="s">
        <v>92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92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92</v>
      </c>
      <c r="BS454" t="s">
        <v>92</v>
      </c>
      <c r="BT454" t="s">
        <v>92</v>
      </c>
      <c r="BU454" t="s">
        <v>92</v>
      </c>
      <c r="BV454" t="s">
        <v>92</v>
      </c>
      <c r="BW454" t="s">
        <v>92</v>
      </c>
      <c r="BX454" t="s">
        <v>92</v>
      </c>
      <c r="BY454" t="str">
        <f>IF(COUNTIF('Data Upload-prod'!E:E,F454)=0,"Missing","Exist")</f>
        <v>Exist</v>
      </c>
    </row>
    <row r="455" hidden="1" spans="1:77">
      <c r="A455" s="16">
        <v>43705</v>
      </c>
      <c r="B455" s="16">
        <v>43956</v>
      </c>
      <c r="C455" t="s">
        <v>132</v>
      </c>
      <c r="D455" t="s">
        <v>120</v>
      </c>
      <c r="E455" t="s">
        <v>912</v>
      </c>
      <c r="F455" t="s">
        <v>913</v>
      </c>
      <c r="G455" t="s">
        <v>81</v>
      </c>
      <c r="H455" t="s">
        <v>363</v>
      </c>
      <c r="I455" t="s">
        <v>124</v>
      </c>
      <c r="J455" s="17">
        <v>42.97</v>
      </c>
      <c r="K455" s="17">
        <v>4373.97</v>
      </c>
      <c r="L455" s="17">
        <v>4046.02</v>
      </c>
      <c r="M455" t="s">
        <v>84</v>
      </c>
      <c r="N455" t="s">
        <v>84</v>
      </c>
      <c r="O455" t="s">
        <v>84</v>
      </c>
      <c r="P455" t="s">
        <v>84</v>
      </c>
      <c r="Q455" s="17">
        <v>22267510</v>
      </c>
      <c r="R455" s="17">
        <v>58.6</v>
      </c>
      <c r="S455" t="s">
        <v>85</v>
      </c>
      <c r="T455" t="s">
        <v>84</v>
      </c>
      <c r="U455" t="s">
        <v>86</v>
      </c>
      <c r="V455" s="16">
        <v>43731</v>
      </c>
      <c r="W455" s="18">
        <v>43730.9583333333</v>
      </c>
      <c r="X455" s="18">
        <v>43903.9166666667</v>
      </c>
      <c r="Y455" s="17">
        <v>4271.11</v>
      </c>
      <c r="Z455" t="s">
        <v>87</v>
      </c>
      <c r="AA455" s="17">
        <v>4358.43</v>
      </c>
      <c r="AB455" s="17">
        <v>4030.63</v>
      </c>
      <c r="AC455" t="s">
        <v>84</v>
      </c>
      <c r="AD455" t="s">
        <v>84</v>
      </c>
      <c r="AE455" t="s">
        <v>84</v>
      </c>
      <c r="AF455" t="s">
        <v>84</v>
      </c>
      <c r="AG455" s="17">
        <v>17294104</v>
      </c>
      <c r="AH455" s="17">
        <v>54.08</v>
      </c>
      <c r="AI455" s="17">
        <v>3.81</v>
      </c>
      <c r="AJ455" s="17">
        <v>3.76</v>
      </c>
      <c r="AK455" t="s">
        <v>165</v>
      </c>
      <c r="AM455" s="17">
        <v>2</v>
      </c>
      <c r="AN455" s="17"/>
      <c r="AO455" s="17">
        <v>725</v>
      </c>
      <c r="AP455" s="17"/>
      <c r="AQ455" s="17">
        <v>1325</v>
      </c>
      <c r="AR455" s="17"/>
      <c r="AS455" s="17">
        <v>1.84</v>
      </c>
      <c r="AT455" s="17"/>
      <c r="AU455" s="17">
        <v>621</v>
      </c>
      <c r="AV455" s="17"/>
      <c r="AW455" s="17">
        <v>1234</v>
      </c>
      <c r="AX455" s="17"/>
      <c r="AY455" t="s">
        <v>92</v>
      </c>
      <c r="AZ455" t="s">
        <v>92</v>
      </c>
      <c r="BA455" t="s">
        <v>92</v>
      </c>
      <c r="BB455" t="s">
        <v>92</v>
      </c>
      <c r="BC455" t="s">
        <v>92</v>
      </c>
      <c r="BD455" s="17">
        <v>17.15</v>
      </c>
      <c r="BE455" s="17">
        <v>5834400</v>
      </c>
      <c r="BF455" t="s">
        <v>92</v>
      </c>
      <c r="BG455" t="s">
        <v>92</v>
      </c>
      <c r="BH455" t="s">
        <v>93</v>
      </c>
      <c r="BI455" t="s">
        <v>94</v>
      </c>
      <c r="BJ455" t="s">
        <v>173</v>
      </c>
      <c r="BK455" t="s">
        <v>85</v>
      </c>
      <c r="BL455" t="s">
        <v>85</v>
      </c>
      <c r="BM455" t="s">
        <v>159</v>
      </c>
      <c r="BN455" t="s">
        <v>174</v>
      </c>
      <c r="BO455" t="s">
        <v>98</v>
      </c>
      <c r="BP455" t="s">
        <v>99</v>
      </c>
      <c r="BQ455" s="17">
        <v>2332</v>
      </c>
      <c r="BR455" t="s">
        <v>138</v>
      </c>
      <c r="BS455" t="s">
        <v>92</v>
      </c>
      <c r="BT455" t="s">
        <v>99</v>
      </c>
      <c r="BU455" s="17">
        <v>9.9</v>
      </c>
      <c r="BV455" t="s">
        <v>140</v>
      </c>
      <c r="BW455" t="s">
        <v>85</v>
      </c>
      <c r="BX455" t="s">
        <v>85</v>
      </c>
      <c r="BY455" t="str">
        <f>IF(COUNTIF('Data Upload-prod'!E:E,F455)=0,"Missing","Exist")</f>
        <v>Exist</v>
      </c>
    </row>
    <row r="456" hidden="1" spans="1:77">
      <c r="A456" s="16">
        <v>43705</v>
      </c>
      <c r="B456" s="16">
        <v>43956</v>
      </c>
      <c r="C456" t="s">
        <v>132</v>
      </c>
      <c r="D456" t="s">
        <v>120</v>
      </c>
      <c r="E456" t="s">
        <v>912</v>
      </c>
      <c r="F456" t="s">
        <v>914</v>
      </c>
      <c r="G456" t="s">
        <v>81</v>
      </c>
      <c r="H456" t="s">
        <v>363</v>
      </c>
      <c r="I456" t="s">
        <v>124</v>
      </c>
      <c r="J456" s="17">
        <v>42.97</v>
      </c>
      <c r="K456" s="17">
        <v>5533.37</v>
      </c>
      <c r="L456" s="17">
        <v>4122.83</v>
      </c>
      <c r="M456" t="s">
        <v>84</v>
      </c>
      <c r="N456" t="s">
        <v>84</v>
      </c>
      <c r="O456" t="s">
        <v>84</v>
      </c>
      <c r="P456" t="s">
        <v>84</v>
      </c>
      <c r="Q456" s="17">
        <v>25437820.51</v>
      </c>
      <c r="R456" s="17">
        <v>70.8</v>
      </c>
      <c r="S456" t="s">
        <v>85</v>
      </c>
      <c r="T456" t="s">
        <v>84</v>
      </c>
      <c r="U456" t="s">
        <v>86</v>
      </c>
      <c r="V456" s="16">
        <v>43736</v>
      </c>
      <c r="W456" s="18">
        <v>43735.625</v>
      </c>
      <c r="X456" s="18">
        <v>43901</v>
      </c>
      <c r="Y456" s="17">
        <v>5430.05</v>
      </c>
      <c r="Z456" t="s">
        <v>87</v>
      </c>
      <c r="AA456" s="17">
        <v>5517.22</v>
      </c>
      <c r="AB456" s="17">
        <v>4112.47</v>
      </c>
      <c r="AC456" t="s">
        <v>84</v>
      </c>
      <c r="AD456" t="s">
        <v>84</v>
      </c>
      <c r="AE456" t="s">
        <v>84</v>
      </c>
      <c r="AF456" t="s">
        <v>84</v>
      </c>
      <c r="AG456" s="17">
        <v>21513213</v>
      </c>
      <c r="AH456" s="17">
        <v>64.64</v>
      </c>
      <c r="AI456" s="17">
        <v>13.51</v>
      </c>
      <c r="AJ456" s="17">
        <v>13.51</v>
      </c>
      <c r="AK456" t="s">
        <v>208</v>
      </c>
      <c r="AM456" s="17">
        <v>2.2</v>
      </c>
      <c r="AN456" s="17"/>
      <c r="AO456" s="17">
        <v>830</v>
      </c>
      <c r="AP456" s="17"/>
      <c r="AQ456" s="17">
        <v>1455</v>
      </c>
      <c r="AR456" s="17"/>
      <c r="AS456" s="17">
        <v>1.49</v>
      </c>
      <c r="AT456" s="17"/>
      <c r="AU456" s="17">
        <v>558</v>
      </c>
      <c r="AV456" s="17"/>
      <c r="AW456" s="17">
        <v>1208</v>
      </c>
      <c r="AX456" s="17"/>
      <c r="AY456" t="s">
        <v>92</v>
      </c>
      <c r="AZ456" t="s">
        <v>92</v>
      </c>
      <c r="BA456" t="s">
        <v>92</v>
      </c>
      <c r="BB456" t="s">
        <v>92</v>
      </c>
      <c r="BC456" t="s">
        <v>92</v>
      </c>
      <c r="BD456" s="17">
        <v>17.05</v>
      </c>
      <c r="BE456" s="17">
        <v>7204596</v>
      </c>
      <c r="BF456" t="s">
        <v>92</v>
      </c>
      <c r="BG456" t="s">
        <v>92</v>
      </c>
      <c r="BH456" t="s">
        <v>93</v>
      </c>
      <c r="BI456" t="s">
        <v>94</v>
      </c>
      <c r="BJ456" t="s">
        <v>173</v>
      </c>
      <c r="BK456" t="s">
        <v>85</v>
      </c>
      <c r="BL456" t="s">
        <v>85</v>
      </c>
      <c r="BM456" t="s">
        <v>159</v>
      </c>
      <c r="BN456" t="s">
        <v>174</v>
      </c>
      <c r="BO456" t="s">
        <v>98</v>
      </c>
      <c r="BP456" t="s">
        <v>99</v>
      </c>
      <c r="BQ456" s="17">
        <v>3968</v>
      </c>
      <c r="BR456" t="s">
        <v>138</v>
      </c>
      <c r="BS456" t="s">
        <v>92</v>
      </c>
      <c r="BT456" t="s">
        <v>99</v>
      </c>
      <c r="BU456" s="17">
        <v>9.2</v>
      </c>
      <c r="BV456" t="s">
        <v>140</v>
      </c>
      <c r="BW456" t="s">
        <v>85</v>
      </c>
      <c r="BX456" t="s">
        <v>85</v>
      </c>
      <c r="BY456" t="str">
        <f>IF(COUNTIF('Data Upload-prod'!E:E,F456)=0,"Missing","Exist")</f>
        <v>Exist</v>
      </c>
    </row>
    <row r="457" hidden="1" spans="1:77">
      <c r="A457" s="16">
        <v>43703</v>
      </c>
      <c r="B457" s="16">
        <v>43823</v>
      </c>
      <c r="C457" t="s">
        <v>132</v>
      </c>
      <c r="D457" t="s">
        <v>120</v>
      </c>
      <c r="E457" t="s">
        <v>912</v>
      </c>
      <c r="F457" t="s">
        <v>915</v>
      </c>
      <c r="G457" t="s">
        <v>81</v>
      </c>
      <c r="H457" t="s">
        <v>363</v>
      </c>
      <c r="I457" t="s">
        <v>124</v>
      </c>
      <c r="J457" s="17">
        <v>42.97</v>
      </c>
      <c r="K457" s="17">
        <v>5029.87</v>
      </c>
      <c r="L457" s="17">
        <v>3805.85</v>
      </c>
      <c r="M457" t="s">
        <v>84</v>
      </c>
      <c r="N457" t="s">
        <v>84</v>
      </c>
      <c r="O457" t="s">
        <v>84</v>
      </c>
      <c r="P457" t="s">
        <v>84</v>
      </c>
      <c r="Q457" s="17">
        <v>24508007</v>
      </c>
      <c r="R457" s="17">
        <v>63.09</v>
      </c>
      <c r="S457" t="s">
        <v>85</v>
      </c>
      <c r="T457" t="s">
        <v>84</v>
      </c>
      <c r="U457" t="s">
        <v>86</v>
      </c>
      <c r="V457" s="16">
        <v>43739</v>
      </c>
      <c r="W457" s="18">
        <v>43739</v>
      </c>
      <c r="X457" s="18">
        <v>43793</v>
      </c>
      <c r="Y457" s="17">
        <v>4981.87</v>
      </c>
      <c r="Z457" t="s">
        <v>87</v>
      </c>
      <c r="AA457" s="17">
        <v>5069.19</v>
      </c>
      <c r="AB457" s="17">
        <v>3836.6</v>
      </c>
      <c r="AC457" t="s">
        <v>84</v>
      </c>
      <c r="AD457" t="s">
        <v>84</v>
      </c>
      <c r="AE457" t="s">
        <v>84</v>
      </c>
      <c r="AF457" t="s">
        <v>84</v>
      </c>
      <c r="AG457" s="17">
        <v>18253395</v>
      </c>
      <c r="AH457" s="17">
        <v>53.98</v>
      </c>
      <c r="AI457" s="17">
        <v>8.22</v>
      </c>
      <c r="AJ457" s="17">
        <v>8.14</v>
      </c>
      <c r="AK457" t="s">
        <v>165</v>
      </c>
      <c r="AM457" s="17">
        <v>2</v>
      </c>
      <c r="AN457" s="17"/>
      <c r="AO457" s="17">
        <v>725</v>
      </c>
      <c r="AP457" s="17"/>
      <c r="AQ457" s="17">
        <v>1325</v>
      </c>
      <c r="AR457" s="17"/>
      <c r="AS457" s="17">
        <v>2.07</v>
      </c>
      <c r="AT457" s="17"/>
      <c r="AU457" s="17">
        <v>645</v>
      </c>
      <c r="AV457" s="17"/>
      <c r="AW457" s="17">
        <v>1097</v>
      </c>
      <c r="AX457" s="17"/>
      <c r="AY457" t="s">
        <v>92</v>
      </c>
      <c r="AZ457" t="s">
        <v>92</v>
      </c>
      <c r="BA457" t="s">
        <v>92</v>
      </c>
      <c r="BB457" t="s">
        <v>92</v>
      </c>
      <c r="BC457" t="s">
        <v>92</v>
      </c>
      <c r="BD457" s="17">
        <v>13.02</v>
      </c>
      <c r="BE457" s="17">
        <v>5106024</v>
      </c>
      <c r="BF457" t="s">
        <v>92</v>
      </c>
      <c r="BG457" t="s">
        <v>92</v>
      </c>
      <c r="BH457" t="s">
        <v>93</v>
      </c>
      <c r="BI457" t="s">
        <v>94</v>
      </c>
      <c r="BJ457" t="s">
        <v>173</v>
      </c>
      <c r="BK457" t="s">
        <v>85</v>
      </c>
      <c r="BL457" t="s">
        <v>85</v>
      </c>
      <c r="BM457" t="s">
        <v>159</v>
      </c>
      <c r="BN457" t="s">
        <v>174</v>
      </c>
      <c r="BO457" t="s">
        <v>98</v>
      </c>
      <c r="BP457" t="s">
        <v>99</v>
      </c>
      <c r="BQ457" s="17">
        <v>2919</v>
      </c>
      <c r="BR457" t="s">
        <v>100</v>
      </c>
      <c r="BS457" t="s">
        <v>92</v>
      </c>
      <c r="BT457" t="s">
        <v>99</v>
      </c>
      <c r="BU457" s="17">
        <v>10.2</v>
      </c>
      <c r="BV457" t="s">
        <v>140</v>
      </c>
      <c r="BW457" t="s">
        <v>85</v>
      </c>
      <c r="BX457" t="s">
        <v>85</v>
      </c>
      <c r="BY457" t="str">
        <f>IF(COUNTIF('Data Upload-prod'!E:E,F457)=0,"Missing","Exist")</f>
        <v>Exist</v>
      </c>
    </row>
    <row r="458" hidden="1" spans="1:77">
      <c r="A458" s="16">
        <v>43693</v>
      </c>
      <c r="B458" s="16">
        <v>43895</v>
      </c>
      <c r="C458" t="s">
        <v>132</v>
      </c>
      <c r="D458" t="s">
        <v>142</v>
      </c>
      <c r="E458" t="s">
        <v>170</v>
      </c>
      <c r="F458" t="s">
        <v>916</v>
      </c>
      <c r="G458" t="s">
        <v>81</v>
      </c>
      <c r="H458" t="s">
        <v>181</v>
      </c>
      <c r="I458" t="s">
        <v>124</v>
      </c>
      <c r="J458" s="17">
        <v>10.06</v>
      </c>
      <c r="K458" s="17">
        <v>1606.22</v>
      </c>
      <c r="L458" s="17">
        <v>1308.44</v>
      </c>
      <c r="M458" t="s">
        <v>84</v>
      </c>
      <c r="N458" t="s">
        <v>84</v>
      </c>
      <c r="O458" t="s">
        <v>84</v>
      </c>
      <c r="P458" t="s">
        <v>84</v>
      </c>
      <c r="Q458" s="17">
        <v>6935672</v>
      </c>
      <c r="R458" s="17">
        <v>25.8</v>
      </c>
      <c r="S458" t="s">
        <v>85</v>
      </c>
      <c r="T458" t="s">
        <v>84</v>
      </c>
      <c r="U458" t="s">
        <v>84</v>
      </c>
      <c r="V458" s="16">
        <v>43732</v>
      </c>
      <c r="W458" s="18">
        <v>43732.5</v>
      </c>
      <c r="X458" s="18">
        <v>43747.625</v>
      </c>
      <c r="Y458" s="17">
        <v>1564.46</v>
      </c>
      <c r="Z458" t="s">
        <v>87</v>
      </c>
      <c r="AA458" s="17">
        <v>1615.36</v>
      </c>
      <c r="AB458" s="17">
        <v>1483.85</v>
      </c>
      <c r="AC458" t="s">
        <v>84</v>
      </c>
      <c r="AD458" t="s">
        <v>84</v>
      </c>
      <c r="AE458" t="s">
        <v>84</v>
      </c>
      <c r="AF458" t="s">
        <v>84</v>
      </c>
      <c r="AG458" s="17">
        <v>4051079</v>
      </c>
      <c r="AH458" s="17">
        <v>15.13</v>
      </c>
      <c r="AI458" s="17">
        <v>9.71</v>
      </c>
      <c r="AJ458" s="17">
        <v>9.43</v>
      </c>
      <c r="AK458" t="s">
        <v>298</v>
      </c>
      <c r="AM458" s="17">
        <v>1.8</v>
      </c>
      <c r="AN458" s="17"/>
      <c r="AO458" s="17">
        <v>600</v>
      </c>
      <c r="AP458" s="17"/>
      <c r="AQ458" s="17">
        <v>1670</v>
      </c>
      <c r="AR458" s="17"/>
      <c r="AS458" s="17">
        <v>1.66</v>
      </c>
      <c r="AT458" s="17"/>
      <c r="AU458" s="17">
        <v>359.4</v>
      </c>
      <c r="AV458" s="17"/>
      <c r="AW458" s="17">
        <v>843.56</v>
      </c>
      <c r="AX458" s="17"/>
      <c r="AY458" t="s">
        <v>92</v>
      </c>
      <c r="AZ458" t="s">
        <v>92</v>
      </c>
      <c r="BA458" t="s">
        <v>92</v>
      </c>
      <c r="BB458" t="s">
        <v>92</v>
      </c>
      <c r="BC458" t="s">
        <v>92</v>
      </c>
      <c r="BD458" t="s">
        <v>92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92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92</v>
      </c>
      <c r="BS458" t="s">
        <v>92</v>
      </c>
      <c r="BT458" t="s">
        <v>92</v>
      </c>
      <c r="BU458" t="s">
        <v>92</v>
      </c>
      <c r="BV458" t="s">
        <v>92</v>
      </c>
      <c r="BW458" t="s">
        <v>92</v>
      </c>
      <c r="BX458" t="s">
        <v>92</v>
      </c>
      <c r="BY458" t="str">
        <f>IF(COUNTIF('Data Upload-prod'!E:E,F458)=0,"Missing","Exist")</f>
        <v>Exist</v>
      </c>
    </row>
    <row r="459" hidden="1" spans="1:77">
      <c r="A459" s="16">
        <v>43684</v>
      </c>
      <c r="B459" s="16">
        <v>43809</v>
      </c>
      <c r="C459" t="s">
        <v>233</v>
      </c>
      <c r="D459" t="s">
        <v>78</v>
      </c>
      <c r="E459" t="s">
        <v>239</v>
      </c>
      <c r="F459" t="s">
        <v>917</v>
      </c>
      <c r="G459" t="s">
        <v>81</v>
      </c>
      <c r="H459" t="s">
        <v>841</v>
      </c>
      <c r="I459" t="s">
        <v>124</v>
      </c>
      <c r="J459" s="17">
        <v>74.7</v>
      </c>
      <c r="K459" s="17">
        <v>2664</v>
      </c>
      <c r="L459" s="17">
        <v>1663.8</v>
      </c>
      <c r="M459" t="s">
        <v>84</v>
      </c>
      <c r="N459" t="s">
        <v>84</v>
      </c>
      <c r="O459" t="s">
        <v>84</v>
      </c>
      <c r="P459" t="s">
        <v>84</v>
      </c>
      <c r="Q459" s="17">
        <v>11710000</v>
      </c>
      <c r="R459" s="17">
        <v>31</v>
      </c>
      <c r="S459" t="s">
        <v>85</v>
      </c>
      <c r="T459" t="s">
        <v>84</v>
      </c>
      <c r="U459" t="s">
        <v>86</v>
      </c>
      <c r="V459" s="16">
        <v>43700</v>
      </c>
      <c r="W459" s="18">
        <v>43693.7708333333</v>
      </c>
      <c r="X459" s="18">
        <v>43752.9375</v>
      </c>
      <c r="Y459" s="17">
        <v>2437.28</v>
      </c>
      <c r="Z459" t="s">
        <v>87</v>
      </c>
      <c r="AA459" s="17">
        <v>2565</v>
      </c>
      <c r="AB459" s="17">
        <v>1666.3</v>
      </c>
      <c r="AC459" t="s">
        <v>84</v>
      </c>
      <c r="AD459" t="s">
        <v>84</v>
      </c>
      <c r="AE459" t="s">
        <v>84</v>
      </c>
      <c r="AF459" t="s">
        <v>84</v>
      </c>
      <c r="AG459" s="17">
        <v>12630000</v>
      </c>
      <c r="AH459" s="17">
        <v>35.3</v>
      </c>
      <c r="AI459" s="17">
        <v>4.8</v>
      </c>
      <c r="AJ459" s="17">
        <v>4.8</v>
      </c>
      <c r="AK459" t="s">
        <v>165</v>
      </c>
      <c r="AM459" s="17">
        <v>3.2</v>
      </c>
      <c r="AN459" s="17"/>
      <c r="AO459" s="17">
        <v>1300</v>
      </c>
      <c r="AP459" s="17"/>
      <c r="AQ459" s="17">
        <v>1830</v>
      </c>
      <c r="AR459" s="17"/>
      <c r="AS459" s="17">
        <v>2.9</v>
      </c>
      <c r="AT459" s="17"/>
      <c r="AU459" s="17">
        <v>849.6</v>
      </c>
      <c r="AV459" s="17"/>
      <c r="AW459" s="17">
        <v>1501.4</v>
      </c>
      <c r="AX459" s="17"/>
      <c r="AY459" t="s">
        <v>92</v>
      </c>
      <c r="AZ459" t="s">
        <v>92</v>
      </c>
      <c r="BA459" t="s">
        <v>92</v>
      </c>
      <c r="BB459" t="s">
        <v>92</v>
      </c>
      <c r="BC459" t="s">
        <v>92</v>
      </c>
      <c r="BD459" s="17">
        <v>9.5</v>
      </c>
      <c r="BE459" s="17">
        <v>3600000</v>
      </c>
      <c r="BF459" t="s">
        <v>92</v>
      </c>
      <c r="BG459" t="s">
        <v>92</v>
      </c>
      <c r="BH459" t="s">
        <v>93</v>
      </c>
      <c r="BI459" t="s">
        <v>94</v>
      </c>
      <c r="BJ459" t="s">
        <v>128</v>
      </c>
      <c r="BK459" t="s">
        <v>85</v>
      </c>
      <c r="BL459" t="s">
        <v>266</v>
      </c>
      <c r="BM459" t="s">
        <v>96</v>
      </c>
      <c r="BN459" t="s">
        <v>97</v>
      </c>
      <c r="BO459" t="s">
        <v>98</v>
      </c>
      <c r="BP459" t="s">
        <v>103</v>
      </c>
      <c r="BQ459" s="17">
        <v>1352.280555</v>
      </c>
      <c r="BR459" t="s">
        <v>138</v>
      </c>
      <c r="BS459" t="s">
        <v>130</v>
      </c>
      <c r="BT459" t="s">
        <v>103</v>
      </c>
      <c r="BU459" s="17">
        <v>9.1</v>
      </c>
      <c r="BV459" t="s">
        <v>101</v>
      </c>
      <c r="BW459" t="s">
        <v>85</v>
      </c>
      <c r="BX459" t="s">
        <v>85</v>
      </c>
      <c r="BY459" t="str">
        <f>IF(COUNTIF('Data Upload-prod'!E:E,F459)=0,"Missing","Exist")</f>
        <v>Exist</v>
      </c>
    </row>
    <row r="460" hidden="1" spans="1:77">
      <c r="A460" s="16">
        <v>43683</v>
      </c>
      <c r="B460" s="16">
        <v>43819</v>
      </c>
      <c r="C460" t="s">
        <v>132</v>
      </c>
      <c r="D460" t="s">
        <v>78</v>
      </c>
      <c r="E460" t="s">
        <v>842</v>
      </c>
      <c r="F460" t="s">
        <v>918</v>
      </c>
      <c r="G460" t="s">
        <v>81</v>
      </c>
      <c r="H460" t="s">
        <v>880</v>
      </c>
      <c r="I460" t="s">
        <v>124</v>
      </c>
      <c r="J460" s="17">
        <v>63</v>
      </c>
      <c r="K460" s="17">
        <v>2089</v>
      </c>
      <c r="L460" s="17">
        <v>1717</v>
      </c>
      <c r="M460" t="s">
        <v>84</v>
      </c>
      <c r="N460" t="s">
        <v>84</v>
      </c>
      <c r="O460" t="s">
        <v>84</v>
      </c>
      <c r="P460" t="s">
        <v>84</v>
      </c>
      <c r="Q460" s="17">
        <v>8660208</v>
      </c>
      <c r="R460" s="17">
        <v>22.77</v>
      </c>
      <c r="S460" t="s">
        <v>85</v>
      </c>
      <c r="T460" t="s">
        <v>84</v>
      </c>
      <c r="U460" t="s">
        <v>84</v>
      </c>
      <c r="V460" s="16">
        <v>43717</v>
      </c>
      <c r="W460" s="18">
        <v>43716.75</v>
      </c>
      <c r="X460" s="18">
        <v>43743.9375</v>
      </c>
      <c r="Y460" s="17">
        <v>1976.6</v>
      </c>
      <c r="Z460" t="s">
        <v>87</v>
      </c>
      <c r="AA460" s="17">
        <v>2080</v>
      </c>
      <c r="AB460" s="17">
        <v>1709.76</v>
      </c>
      <c r="AC460" t="s">
        <v>84</v>
      </c>
      <c r="AD460" t="s">
        <v>84</v>
      </c>
      <c r="AE460" t="s">
        <v>84</v>
      </c>
      <c r="AF460" t="s">
        <v>84</v>
      </c>
      <c r="AG460" s="17">
        <v>7891557.11</v>
      </c>
      <c r="AH460" s="17">
        <v>27.19</v>
      </c>
      <c r="AI460" s="17">
        <v>11.37</v>
      </c>
      <c r="AJ460" s="17">
        <v>11.37</v>
      </c>
      <c r="AK460" t="s">
        <v>208</v>
      </c>
      <c r="AM460" s="17">
        <v>2.1</v>
      </c>
      <c r="AN460" s="17"/>
      <c r="AO460" s="17">
        <v>700</v>
      </c>
      <c r="AP460" s="17"/>
      <c r="AQ460" s="17">
        <v>1220</v>
      </c>
      <c r="AR460" s="17"/>
      <c r="AS460" s="17">
        <v>2.08</v>
      </c>
      <c r="AT460" s="17"/>
      <c r="AU460" s="17">
        <v>573</v>
      </c>
      <c r="AV460" s="17"/>
      <c r="AW460" s="17">
        <v>1173</v>
      </c>
      <c r="AX460" s="17"/>
      <c r="AY460" t="s">
        <v>92</v>
      </c>
      <c r="AZ460" t="s">
        <v>92</v>
      </c>
      <c r="BA460" t="s">
        <v>92</v>
      </c>
      <c r="BB460" t="s">
        <v>92</v>
      </c>
      <c r="BC460" t="s">
        <v>92</v>
      </c>
      <c r="BD460" t="s">
        <v>92</v>
      </c>
      <c r="BE460" t="s">
        <v>92</v>
      </c>
      <c r="BF460" t="s">
        <v>92</v>
      </c>
      <c r="BG460" t="s">
        <v>92</v>
      </c>
      <c r="BH460" t="s">
        <v>92</v>
      </c>
      <c r="BI460" t="s">
        <v>92</v>
      </c>
      <c r="BJ460" t="s">
        <v>92</v>
      </c>
      <c r="BK460" t="s">
        <v>92</v>
      </c>
      <c r="BL460" t="s">
        <v>92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92</v>
      </c>
      <c r="BS460" t="s">
        <v>92</v>
      </c>
      <c r="BT460" t="s">
        <v>92</v>
      </c>
      <c r="BU460" t="s">
        <v>92</v>
      </c>
      <c r="BV460" t="s">
        <v>92</v>
      </c>
      <c r="BW460" t="s">
        <v>92</v>
      </c>
      <c r="BX460" t="s">
        <v>92</v>
      </c>
      <c r="BY460" t="str">
        <f>IF(COUNTIF('Data Upload-prod'!E:E,F460)=0,"Missing","Exist")</f>
        <v>Exist</v>
      </c>
    </row>
    <row r="461" hidden="1" spans="1:77">
      <c r="A461" s="16">
        <v>43679</v>
      </c>
      <c r="B461" s="16">
        <v>43812</v>
      </c>
      <c r="C461" t="s">
        <v>633</v>
      </c>
      <c r="D461" t="s">
        <v>120</v>
      </c>
      <c r="E461" t="s">
        <v>634</v>
      </c>
      <c r="F461" t="s">
        <v>919</v>
      </c>
      <c r="G461" t="s">
        <v>145</v>
      </c>
      <c r="H461" t="s">
        <v>202</v>
      </c>
      <c r="I461" t="s">
        <v>124</v>
      </c>
      <c r="J461" s="17">
        <v>90</v>
      </c>
      <c r="K461" s="17">
        <v>1532</v>
      </c>
      <c r="L461" s="17">
        <v>1500</v>
      </c>
      <c r="M461" s="17">
        <v>13700000</v>
      </c>
      <c r="N461" s="17">
        <v>19800000</v>
      </c>
      <c r="O461" s="17">
        <v>23.4</v>
      </c>
      <c r="P461" s="17">
        <v>38.3</v>
      </c>
      <c r="Q461" t="s">
        <v>84</v>
      </c>
      <c r="R461" t="s">
        <v>84</v>
      </c>
      <c r="S461" t="s">
        <v>85</v>
      </c>
      <c r="T461" t="s">
        <v>84</v>
      </c>
      <c r="U461" t="s">
        <v>84</v>
      </c>
      <c r="V461" s="16">
        <v>43740</v>
      </c>
      <c r="W461" s="18">
        <v>43735.6041666667</v>
      </c>
      <c r="X461" s="18">
        <v>43771.8541666667</v>
      </c>
      <c r="Y461" s="17">
        <v>1462.62</v>
      </c>
      <c r="Z461" t="s">
        <v>87</v>
      </c>
      <c r="AA461" s="17">
        <v>1584</v>
      </c>
      <c r="AB461" s="17">
        <v>1533</v>
      </c>
      <c r="AC461" s="17">
        <v>14400000</v>
      </c>
      <c r="AD461" t="s">
        <v>84</v>
      </c>
      <c r="AE461" s="17">
        <v>36.4</v>
      </c>
      <c r="AF461" t="s">
        <v>84</v>
      </c>
      <c r="AG461" t="s">
        <v>84</v>
      </c>
      <c r="AH461" t="s">
        <v>84</v>
      </c>
      <c r="AI461" s="17">
        <v>1.8</v>
      </c>
      <c r="AJ461" s="17">
        <v>1.8</v>
      </c>
      <c r="AK461" t="s">
        <v>300</v>
      </c>
      <c r="AM461" s="17">
        <v>2.4</v>
      </c>
      <c r="AN461" s="17"/>
      <c r="AO461" s="17">
        <v>1375</v>
      </c>
      <c r="AP461" s="17"/>
      <c r="AQ461" s="17">
        <v>3025</v>
      </c>
      <c r="AR461" s="17"/>
      <c r="AS461" s="17">
        <v>2.4</v>
      </c>
      <c r="AT461" s="17"/>
      <c r="AU461" s="17">
        <v>1036</v>
      </c>
      <c r="AV461" s="17"/>
      <c r="AW461" s="17">
        <v>1686</v>
      </c>
      <c r="AX461" s="17"/>
      <c r="AY461" t="s">
        <v>92</v>
      </c>
      <c r="AZ461" t="s">
        <v>92</v>
      </c>
      <c r="BA461" t="s">
        <v>92</v>
      </c>
      <c r="BB461" t="s">
        <v>92</v>
      </c>
      <c r="BC461" t="s">
        <v>92</v>
      </c>
      <c r="BD461" t="s">
        <v>92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92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92</v>
      </c>
      <c r="BS461" t="s">
        <v>92</v>
      </c>
      <c r="BT461" t="s">
        <v>92</v>
      </c>
      <c r="BU461" t="s">
        <v>92</v>
      </c>
      <c r="BV461" t="s">
        <v>92</v>
      </c>
      <c r="BW461" t="s">
        <v>92</v>
      </c>
      <c r="BX461" t="s">
        <v>92</v>
      </c>
      <c r="BY461" t="str">
        <f>IF(COUNTIF('Data Upload-prod'!E:E,F461)=0,"Missing","Exist")</f>
        <v>Exist</v>
      </c>
    </row>
    <row r="462" hidden="1" spans="1:77">
      <c r="A462" s="16">
        <v>43675</v>
      </c>
      <c r="B462" s="16">
        <v>43830</v>
      </c>
      <c r="C462" t="s">
        <v>233</v>
      </c>
      <c r="D462" t="s">
        <v>78</v>
      </c>
      <c r="E462" t="s">
        <v>239</v>
      </c>
      <c r="F462" t="s">
        <v>920</v>
      </c>
      <c r="G462" t="s">
        <v>81</v>
      </c>
      <c r="H462" t="s">
        <v>841</v>
      </c>
      <c r="I462" t="s">
        <v>124</v>
      </c>
      <c r="J462" s="17">
        <v>74.7</v>
      </c>
      <c r="K462" s="17">
        <v>3307</v>
      </c>
      <c r="L462" s="17">
        <v>1663.85</v>
      </c>
      <c r="M462" t="s">
        <v>84</v>
      </c>
      <c r="N462" t="s">
        <v>84</v>
      </c>
      <c r="O462" t="s">
        <v>84</v>
      </c>
      <c r="P462" t="s">
        <v>84</v>
      </c>
      <c r="Q462" s="17">
        <v>13014993</v>
      </c>
      <c r="R462" s="17">
        <v>36.1</v>
      </c>
      <c r="S462" t="s">
        <v>85</v>
      </c>
      <c r="T462" t="s">
        <v>84</v>
      </c>
      <c r="U462" t="s">
        <v>86</v>
      </c>
      <c r="V462" s="16">
        <v>43698</v>
      </c>
      <c r="W462" s="18">
        <v>43697</v>
      </c>
      <c r="X462" s="18">
        <v>43778.5</v>
      </c>
      <c r="Y462" s="17">
        <v>2779.28</v>
      </c>
      <c r="Z462" t="s">
        <v>87</v>
      </c>
      <c r="AA462" s="17">
        <v>2907</v>
      </c>
      <c r="AB462" s="17">
        <v>1663.54</v>
      </c>
      <c r="AC462" t="s">
        <v>84</v>
      </c>
      <c r="AD462" t="s">
        <v>84</v>
      </c>
      <c r="AE462" t="s">
        <v>84</v>
      </c>
      <c r="AF462" t="s">
        <v>84</v>
      </c>
      <c r="AG462" s="17">
        <v>12733904</v>
      </c>
      <c r="AH462" s="17">
        <v>37</v>
      </c>
      <c r="AI462" s="17">
        <v>16.5</v>
      </c>
      <c r="AJ462" s="17">
        <v>16.5</v>
      </c>
      <c r="AK462" t="s">
        <v>114</v>
      </c>
      <c r="AM462" s="17">
        <v>2.2</v>
      </c>
      <c r="AN462" s="17"/>
      <c r="AO462" s="17">
        <v>915</v>
      </c>
      <c r="AP462" s="17"/>
      <c r="AQ462" s="17">
        <v>1450</v>
      </c>
      <c r="AR462" s="17"/>
      <c r="AS462" s="17">
        <v>2.7</v>
      </c>
      <c r="AT462" s="17"/>
      <c r="AU462" s="17">
        <v>1397</v>
      </c>
      <c r="AV462" s="17"/>
      <c r="AW462" s="17">
        <v>787</v>
      </c>
      <c r="AX462" s="17"/>
      <c r="AY462" t="s">
        <v>92</v>
      </c>
      <c r="AZ462" t="s">
        <v>92</v>
      </c>
      <c r="BA462" t="s">
        <v>92</v>
      </c>
      <c r="BB462" t="s">
        <v>92</v>
      </c>
      <c r="BC462" t="s">
        <v>92</v>
      </c>
      <c r="BD462" s="17">
        <v>11</v>
      </c>
      <c r="BE462" s="17">
        <v>3600000</v>
      </c>
      <c r="BF462" t="s">
        <v>92</v>
      </c>
      <c r="BG462" t="s">
        <v>92</v>
      </c>
      <c r="BH462" t="s">
        <v>93</v>
      </c>
      <c r="BI462" t="s">
        <v>94</v>
      </c>
      <c r="BJ462" t="s">
        <v>128</v>
      </c>
      <c r="BK462" t="s">
        <v>85</v>
      </c>
      <c r="BL462" t="s">
        <v>266</v>
      </c>
      <c r="BM462" t="s">
        <v>96</v>
      </c>
      <c r="BN462" t="s">
        <v>97</v>
      </c>
      <c r="BO462" t="s">
        <v>98</v>
      </c>
      <c r="BP462" t="s">
        <v>103</v>
      </c>
      <c r="BQ462" s="17">
        <v>410.771357</v>
      </c>
      <c r="BR462" t="s">
        <v>138</v>
      </c>
      <c r="BS462" t="s">
        <v>130</v>
      </c>
      <c r="BT462" t="s">
        <v>103</v>
      </c>
      <c r="BU462" s="17">
        <v>9.1</v>
      </c>
      <c r="BV462" t="s">
        <v>101</v>
      </c>
      <c r="BW462" t="s">
        <v>85</v>
      </c>
      <c r="BX462" t="s">
        <v>85</v>
      </c>
      <c r="BY462" t="str">
        <f>IF(COUNTIF('Data Upload-prod'!E:E,F462)=0,"Missing","Exist")</f>
        <v>Exist</v>
      </c>
    </row>
    <row r="463" hidden="1" spans="1:77">
      <c r="A463" s="16">
        <v>43675</v>
      </c>
      <c r="B463" s="16">
        <v>43774</v>
      </c>
      <c r="C463" t="s">
        <v>151</v>
      </c>
      <c r="D463" t="s">
        <v>78</v>
      </c>
      <c r="E463" t="s">
        <v>152</v>
      </c>
      <c r="F463" t="s">
        <v>921</v>
      </c>
      <c r="G463" t="s">
        <v>81</v>
      </c>
      <c r="H463" t="s">
        <v>154</v>
      </c>
      <c r="I463" t="s">
        <v>124</v>
      </c>
      <c r="J463" s="17">
        <v>56</v>
      </c>
      <c r="K463" s="17">
        <v>4738.1</v>
      </c>
      <c r="L463" s="17">
        <v>1958.43</v>
      </c>
      <c r="M463" t="s">
        <v>84</v>
      </c>
      <c r="N463" t="s">
        <v>84</v>
      </c>
      <c r="O463" t="s">
        <v>84</v>
      </c>
      <c r="P463" t="s">
        <v>84</v>
      </c>
      <c r="Q463" s="17">
        <v>12610523</v>
      </c>
      <c r="R463" s="17">
        <v>40.4</v>
      </c>
      <c r="S463" t="s">
        <v>85</v>
      </c>
      <c r="T463" t="s">
        <v>84</v>
      </c>
      <c r="U463" t="s">
        <v>86</v>
      </c>
      <c r="V463" s="16">
        <v>43698.6145833333</v>
      </c>
      <c r="W463" s="18">
        <v>43698.3541666667</v>
      </c>
      <c r="X463" s="18">
        <v>43745.59375</v>
      </c>
      <c r="Y463" s="17">
        <v>4700.52</v>
      </c>
      <c r="Z463" t="s">
        <v>87</v>
      </c>
      <c r="AA463" s="17">
        <v>4800</v>
      </c>
      <c r="AB463" s="17">
        <v>1974</v>
      </c>
      <c r="AC463" t="s">
        <v>84</v>
      </c>
      <c r="AD463" t="s">
        <v>84</v>
      </c>
      <c r="AE463" t="s">
        <v>84</v>
      </c>
      <c r="AF463" t="s">
        <v>84</v>
      </c>
      <c r="AG463" s="17">
        <v>12850000</v>
      </c>
      <c r="AH463" s="17">
        <v>46.9</v>
      </c>
      <c r="AI463" s="17">
        <v>3</v>
      </c>
      <c r="AJ463" s="17">
        <v>3</v>
      </c>
      <c r="AK463" t="s">
        <v>114</v>
      </c>
      <c r="AM463" s="17">
        <v>2.2</v>
      </c>
      <c r="AN463" s="17"/>
      <c r="AO463" s="17">
        <v>915</v>
      </c>
      <c r="AP463" s="17"/>
      <c r="AQ463" s="17">
        <v>1520</v>
      </c>
      <c r="AR463" s="17"/>
      <c r="AS463" s="17">
        <v>2.47</v>
      </c>
      <c r="AT463" s="17"/>
      <c r="AU463" s="17">
        <v>601</v>
      </c>
      <c r="AV463" s="17"/>
      <c r="AW463" s="17">
        <v>816</v>
      </c>
      <c r="AX463" s="17"/>
      <c r="AY463" t="s">
        <v>92</v>
      </c>
      <c r="AZ463" t="s">
        <v>92</v>
      </c>
      <c r="BA463" t="s">
        <v>92</v>
      </c>
      <c r="BB463" t="s">
        <v>92</v>
      </c>
      <c r="BC463" t="s">
        <v>92</v>
      </c>
      <c r="BD463" s="17">
        <v>8</v>
      </c>
      <c r="BE463" s="17">
        <v>3401574.8</v>
      </c>
      <c r="BF463" t="s">
        <v>92</v>
      </c>
      <c r="BG463" t="s">
        <v>92</v>
      </c>
      <c r="BH463" t="s">
        <v>93</v>
      </c>
      <c r="BI463" t="s">
        <v>94</v>
      </c>
      <c r="BJ463" t="s">
        <v>173</v>
      </c>
      <c r="BK463" t="s">
        <v>85</v>
      </c>
      <c r="BL463" t="s">
        <v>85</v>
      </c>
      <c r="BM463" t="s">
        <v>96</v>
      </c>
      <c r="BN463" t="s">
        <v>97</v>
      </c>
      <c r="BO463" t="s">
        <v>98</v>
      </c>
      <c r="BP463" t="s">
        <v>99</v>
      </c>
      <c r="BQ463" s="17">
        <v>164.0419948</v>
      </c>
      <c r="BR463" t="s">
        <v>100</v>
      </c>
      <c r="BS463" t="s">
        <v>156</v>
      </c>
      <c r="BT463" t="s">
        <v>99</v>
      </c>
      <c r="BU463" s="17">
        <v>8.6</v>
      </c>
      <c r="BV463" t="s">
        <v>110</v>
      </c>
      <c r="BW463" t="s">
        <v>85</v>
      </c>
      <c r="BX463" t="s">
        <v>85</v>
      </c>
      <c r="BY463" t="str">
        <f>IF(COUNTIF('Data Upload-prod'!E:E,F463)=0,"Missing","Exist")</f>
        <v>Exist</v>
      </c>
    </row>
    <row r="464" hidden="1" spans="1:77">
      <c r="A464" s="16">
        <v>43671</v>
      </c>
      <c r="B464" s="16">
        <v>43797</v>
      </c>
      <c r="C464" t="s">
        <v>504</v>
      </c>
      <c r="D464" t="s">
        <v>142</v>
      </c>
      <c r="E464" t="s">
        <v>209</v>
      </c>
      <c r="F464" t="s">
        <v>922</v>
      </c>
      <c r="G464" t="s">
        <v>81</v>
      </c>
      <c r="H464" t="s">
        <v>405</v>
      </c>
      <c r="I464" t="s">
        <v>124</v>
      </c>
      <c r="J464" s="17">
        <v>17.68</v>
      </c>
      <c r="K464" s="17">
        <v>1802.13</v>
      </c>
      <c r="L464" s="17">
        <v>920.15</v>
      </c>
      <c r="M464" t="s">
        <v>84</v>
      </c>
      <c r="N464" t="s">
        <v>84</v>
      </c>
      <c r="O464" t="s">
        <v>84</v>
      </c>
      <c r="P464" t="s">
        <v>84</v>
      </c>
      <c r="Q464" s="17">
        <v>6958104</v>
      </c>
      <c r="R464" s="17">
        <v>16.4</v>
      </c>
      <c r="S464" t="s">
        <v>85</v>
      </c>
      <c r="T464" t="s">
        <v>84</v>
      </c>
      <c r="U464" t="s">
        <v>86</v>
      </c>
      <c r="V464" s="16">
        <v>43717</v>
      </c>
      <c r="W464" s="18">
        <v>43717.2916666667</v>
      </c>
      <c r="X464" s="18">
        <v>43759.25</v>
      </c>
      <c r="Y464" s="17">
        <v>1756.32</v>
      </c>
      <c r="Z464" t="s">
        <v>87</v>
      </c>
      <c r="AA464" s="17">
        <v>1813.47</v>
      </c>
      <c r="AB464" s="17">
        <v>915.27</v>
      </c>
      <c r="AC464" t="s">
        <v>84</v>
      </c>
      <c r="AD464" t="s">
        <v>84</v>
      </c>
      <c r="AE464" t="s">
        <v>84</v>
      </c>
      <c r="AF464" t="s">
        <v>84</v>
      </c>
      <c r="AG464" s="17">
        <v>5500000</v>
      </c>
      <c r="AH464" s="17">
        <v>14.6</v>
      </c>
      <c r="AI464" s="17">
        <v>6</v>
      </c>
      <c r="AJ464" s="17">
        <v>6</v>
      </c>
      <c r="AK464" t="s">
        <v>114</v>
      </c>
      <c r="AM464" s="17">
        <v>2.2</v>
      </c>
      <c r="AN464" s="17"/>
      <c r="AO464" s="17">
        <v>915</v>
      </c>
      <c r="AP464" s="17"/>
      <c r="AQ464" s="17">
        <v>1450</v>
      </c>
      <c r="AR464" s="17"/>
      <c r="AS464" s="17">
        <v>1.46</v>
      </c>
      <c r="AT464" s="17"/>
      <c r="AU464" s="17">
        <v>635.77</v>
      </c>
      <c r="AV464" s="17"/>
      <c r="AW464" s="17">
        <v>927.59</v>
      </c>
      <c r="AX464" s="17"/>
      <c r="AY464" t="s">
        <v>92</v>
      </c>
      <c r="AZ464" t="s">
        <v>92</v>
      </c>
      <c r="BA464" t="s">
        <v>92</v>
      </c>
      <c r="BB464" t="s">
        <v>92</v>
      </c>
      <c r="BC464" t="s">
        <v>92</v>
      </c>
      <c r="BD464" s="17">
        <v>3.58</v>
      </c>
      <c r="BE464" s="17">
        <v>1736331.4</v>
      </c>
      <c r="BF464" t="s">
        <v>92</v>
      </c>
      <c r="BG464" t="s">
        <v>92</v>
      </c>
      <c r="BH464" t="s">
        <v>93</v>
      </c>
      <c r="BI464" t="s">
        <v>94</v>
      </c>
      <c r="BJ464" t="s">
        <v>128</v>
      </c>
      <c r="BK464" t="s">
        <v>85</v>
      </c>
      <c r="BL464" t="s">
        <v>85</v>
      </c>
      <c r="BM464" t="s">
        <v>96</v>
      </c>
      <c r="BN464" t="s">
        <v>97</v>
      </c>
      <c r="BO464" t="s">
        <v>98</v>
      </c>
      <c r="BP464" t="s">
        <v>103</v>
      </c>
      <c r="BQ464" s="17">
        <v>115</v>
      </c>
      <c r="BR464" t="s">
        <v>138</v>
      </c>
      <c r="BS464" t="s">
        <v>156</v>
      </c>
      <c r="BT464" t="s">
        <v>103</v>
      </c>
      <c r="BU464" s="17">
        <v>9.4</v>
      </c>
      <c r="BV464" t="s">
        <v>110</v>
      </c>
      <c r="BW464" t="s">
        <v>85</v>
      </c>
      <c r="BX464" t="s">
        <v>85</v>
      </c>
      <c r="BY464" t="str">
        <f>IF(COUNTIF('Data Upload-prod'!E:E,F464)=0,"Missing","Exist")</f>
        <v>Exist</v>
      </c>
    </row>
    <row r="465" hidden="1" spans="1:77">
      <c r="A465" s="16">
        <v>43671</v>
      </c>
      <c r="B465" s="16">
        <v>43776</v>
      </c>
      <c r="C465" t="s">
        <v>132</v>
      </c>
      <c r="D465" t="s">
        <v>120</v>
      </c>
      <c r="E465" t="s">
        <v>326</v>
      </c>
      <c r="F465" t="s">
        <v>923</v>
      </c>
      <c r="G465" t="s">
        <v>81</v>
      </c>
      <c r="H465" t="s">
        <v>168</v>
      </c>
      <c r="I465" t="s">
        <v>124</v>
      </c>
      <c r="J465" s="17">
        <v>34.6</v>
      </c>
      <c r="K465" s="17">
        <v>2238</v>
      </c>
      <c r="L465" s="17">
        <v>1363.4</v>
      </c>
      <c r="M465" t="s">
        <v>84</v>
      </c>
      <c r="N465" t="s">
        <v>84</v>
      </c>
      <c r="O465" t="s">
        <v>84</v>
      </c>
      <c r="P465" t="s">
        <v>84</v>
      </c>
      <c r="Q465" s="17">
        <v>9217147</v>
      </c>
      <c r="R465" s="17">
        <v>27.97</v>
      </c>
      <c r="S465" t="s">
        <v>85</v>
      </c>
      <c r="T465" t="s">
        <v>84</v>
      </c>
      <c r="U465" t="s">
        <v>86</v>
      </c>
      <c r="V465" s="16">
        <v>43712</v>
      </c>
      <c r="W465" s="18">
        <v>43697.75</v>
      </c>
      <c r="X465" s="18">
        <v>43730.75</v>
      </c>
      <c r="Y465" s="17">
        <v>2233.8</v>
      </c>
      <c r="Z465" t="s">
        <v>87</v>
      </c>
      <c r="AA465" s="17">
        <v>2290</v>
      </c>
      <c r="AB465" s="17">
        <v>1753.29</v>
      </c>
      <c r="AC465" t="s">
        <v>84</v>
      </c>
      <c r="AD465" t="s">
        <v>84</v>
      </c>
      <c r="AE465" t="s">
        <v>84</v>
      </c>
      <c r="AF465" t="s">
        <v>84</v>
      </c>
      <c r="AG465" s="17">
        <v>9660400.22</v>
      </c>
      <c r="AH465" s="17">
        <v>33</v>
      </c>
      <c r="AI465" s="17">
        <v>22</v>
      </c>
      <c r="AJ465" s="17">
        <v>22</v>
      </c>
      <c r="AK465" t="s">
        <v>208</v>
      </c>
      <c r="AM465" s="17">
        <v>2.2</v>
      </c>
      <c r="AN465" s="17"/>
      <c r="AO465" s="17">
        <v>830</v>
      </c>
      <c r="AP465" s="17"/>
      <c r="AQ465" s="17">
        <v>1790</v>
      </c>
      <c r="AR465" s="17"/>
      <c r="AS465" s="17">
        <v>1.78</v>
      </c>
      <c r="AT465" s="17"/>
      <c r="AU465" s="17">
        <v>517</v>
      </c>
      <c r="AV465" s="17"/>
      <c r="AW465" s="17">
        <v>1975</v>
      </c>
      <c r="AX465" s="17"/>
      <c r="AY465" t="s">
        <v>92</v>
      </c>
      <c r="AZ465" t="s">
        <v>92</v>
      </c>
      <c r="BA465" t="s">
        <v>92</v>
      </c>
      <c r="BB465" t="s">
        <v>92</v>
      </c>
      <c r="BC465" t="s">
        <v>92</v>
      </c>
      <c r="BD465" s="17">
        <v>8.5</v>
      </c>
      <c r="BE465" s="17">
        <v>3763011</v>
      </c>
      <c r="BF465" t="s">
        <v>92</v>
      </c>
      <c r="BG465" t="s">
        <v>92</v>
      </c>
      <c r="BH465" t="s">
        <v>93</v>
      </c>
      <c r="BI465" t="s">
        <v>94</v>
      </c>
      <c r="BJ465" t="s">
        <v>173</v>
      </c>
      <c r="BK465" t="s">
        <v>924</v>
      </c>
      <c r="BL465" t="s">
        <v>85</v>
      </c>
      <c r="BM465" t="s">
        <v>96</v>
      </c>
      <c r="BN465" t="s">
        <v>490</v>
      </c>
      <c r="BO465" t="s">
        <v>98</v>
      </c>
      <c r="BP465" t="s">
        <v>339</v>
      </c>
      <c r="BQ465" t="s">
        <v>92</v>
      </c>
      <c r="BR465" t="s">
        <v>138</v>
      </c>
      <c r="BS465" t="s">
        <v>806</v>
      </c>
      <c r="BT465" t="s">
        <v>255</v>
      </c>
      <c r="BU465" s="17">
        <v>9.1</v>
      </c>
      <c r="BV465" t="s">
        <v>191</v>
      </c>
      <c r="BW465" t="s">
        <v>85</v>
      </c>
      <c r="BX465" t="s">
        <v>85</v>
      </c>
      <c r="BY465" t="str">
        <f>IF(COUNTIF('Data Upload-prod'!E:E,F465)=0,"Missing","Exist")</f>
        <v>Exist</v>
      </c>
    </row>
    <row r="466" hidden="1" spans="1:77">
      <c r="A466" s="16">
        <v>43669</v>
      </c>
      <c r="B466" s="16">
        <v>43822</v>
      </c>
      <c r="C466" t="s">
        <v>281</v>
      </c>
      <c r="D466" t="s">
        <v>78</v>
      </c>
      <c r="E466" t="s">
        <v>282</v>
      </c>
      <c r="F466" t="s">
        <v>925</v>
      </c>
      <c r="G466" t="s">
        <v>81</v>
      </c>
      <c r="H466" t="s">
        <v>926</v>
      </c>
      <c r="I466" t="s">
        <v>83</v>
      </c>
      <c r="J466" s="17">
        <v>73.2</v>
      </c>
      <c r="K466" s="17">
        <v>2464</v>
      </c>
      <c r="L466" s="17">
        <v>1917</v>
      </c>
      <c r="M466" t="s">
        <v>84</v>
      </c>
      <c r="N466" t="s">
        <v>84</v>
      </c>
      <c r="O466" t="s">
        <v>84</v>
      </c>
      <c r="P466" t="s">
        <v>84</v>
      </c>
      <c r="Q466" s="17">
        <v>8363533</v>
      </c>
      <c r="R466" s="17">
        <v>29.07</v>
      </c>
      <c r="S466" t="s">
        <v>106</v>
      </c>
      <c r="T466" t="s">
        <v>84</v>
      </c>
      <c r="U466" t="s">
        <v>84</v>
      </c>
      <c r="V466" s="16">
        <v>43685.09375</v>
      </c>
      <c r="W466" s="18">
        <v>43680.625</v>
      </c>
      <c r="X466" s="18">
        <v>43748.1354166667</v>
      </c>
      <c r="Y466" s="17">
        <v>2468.4</v>
      </c>
      <c r="Z466" t="s">
        <v>87</v>
      </c>
      <c r="AA466" s="17">
        <v>2575</v>
      </c>
      <c r="AB466" s="17">
        <v>2028.71</v>
      </c>
      <c r="AC466" t="s">
        <v>84</v>
      </c>
      <c r="AD466" t="s">
        <v>84</v>
      </c>
      <c r="AE466" t="s">
        <v>84</v>
      </c>
      <c r="AF466" t="s">
        <v>84</v>
      </c>
      <c r="AG466" s="17">
        <v>7025145</v>
      </c>
      <c r="AH466" s="17">
        <v>34.44</v>
      </c>
      <c r="AI466" s="17">
        <v>12.34</v>
      </c>
      <c r="AJ466" s="17">
        <v>7.32</v>
      </c>
      <c r="AK466" t="s">
        <v>208</v>
      </c>
      <c r="AM466" s="17">
        <v>2.1</v>
      </c>
      <c r="AN466" s="17"/>
      <c r="AO466" s="17">
        <v>700</v>
      </c>
      <c r="AP466" s="17"/>
      <c r="AQ466" s="17">
        <v>1220</v>
      </c>
      <c r="AR466" s="17"/>
      <c r="AS466" s="17">
        <v>1.63</v>
      </c>
      <c r="AT466" s="17"/>
      <c r="AU466" s="17">
        <v>339</v>
      </c>
      <c r="AV466" s="17"/>
      <c r="AW466" s="17">
        <v>505</v>
      </c>
      <c r="AX466" s="17"/>
      <c r="AY466" t="s">
        <v>92</v>
      </c>
      <c r="AZ466" t="s">
        <v>92</v>
      </c>
      <c r="BA466" t="s">
        <v>92</v>
      </c>
      <c r="BB466" t="s">
        <v>92</v>
      </c>
      <c r="BC466" t="s">
        <v>92</v>
      </c>
      <c r="BD466" t="s">
        <v>92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92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92</v>
      </c>
      <c r="BS466" t="s">
        <v>92</v>
      </c>
      <c r="BT466" t="s">
        <v>92</v>
      </c>
      <c r="BU466" t="s">
        <v>92</v>
      </c>
      <c r="BV466" t="s">
        <v>92</v>
      </c>
      <c r="BW466" t="s">
        <v>92</v>
      </c>
      <c r="BX466" t="s">
        <v>92</v>
      </c>
      <c r="BY466" t="str">
        <f>IF(COUNTIF('Data Upload-prod'!E:E,F466)=0,"Missing","Exist")</f>
        <v>Exist</v>
      </c>
    </row>
    <row r="467" hidden="1" spans="1:77">
      <c r="A467" s="16">
        <v>43668</v>
      </c>
      <c r="B467" s="16">
        <v>43789</v>
      </c>
      <c r="C467" t="s">
        <v>504</v>
      </c>
      <c r="D467" t="s">
        <v>142</v>
      </c>
      <c r="E467" t="s">
        <v>209</v>
      </c>
      <c r="F467" t="s">
        <v>927</v>
      </c>
      <c r="G467" t="s">
        <v>81</v>
      </c>
      <c r="H467" t="s">
        <v>405</v>
      </c>
      <c r="I467" t="s">
        <v>124</v>
      </c>
      <c r="J467" s="17">
        <v>17.59</v>
      </c>
      <c r="K467" s="17">
        <v>2350.96</v>
      </c>
      <c r="L467" s="17">
        <v>1142.94</v>
      </c>
      <c r="M467" t="s">
        <v>84</v>
      </c>
      <c r="N467" t="s">
        <v>84</v>
      </c>
      <c r="O467" t="s">
        <v>84</v>
      </c>
      <c r="P467" t="s">
        <v>84</v>
      </c>
      <c r="Q467" s="17">
        <v>8160000</v>
      </c>
      <c r="R467" s="17">
        <v>20.3</v>
      </c>
      <c r="S467" t="s">
        <v>85</v>
      </c>
      <c r="T467" t="s">
        <v>84</v>
      </c>
      <c r="U467" t="s">
        <v>86</v>
      </c>
      <c r="V467" s="16">
        <v>43703</v>
      </c>
      <c r="W467" s="18">
        <v>43703</v>
      </c>
      <c r="X467" s="18">
        <v>43744</v>
      </c>
      <c r="Y467" s="17">
        <v>2305.64</v>
      </c>
      <c r="Z467" t="s">
        <v>87</v>
      </c>
      <c r="AA467" s="17">
        <v>2362.69</v>
      </c>
      <c r="AB467" s="17">
        <v>1149.34</v>
      </c>
      <c r="AC467" t="s">
        <v>84</v>
      </c>
      <c r="AD467" t="s">
        <v>84</v>
      </c>
      <c r="AE467" t="s">
        <v>84</v>
      </c>
      <c r="AF467" t="s">
        <v>84</v>
      </c>
      <c r="AG467" s="17">
        <v>8400000</v>
      </c>
      <c r="AH467" s="17">
        <v>28.46</v>
      </c>
      <c r="AI467" s="17">
        <v>20</v>
      </c>
      <c r="AJ467" s="17">
        <v>20</v>
      </c>
      <c r="AK467" t="s">
        <v>114</v>
      </c>
      <c r="AM467" s="17">
        <v>2.2</v>
      </c>
      <c r="AN467" s="17"/>
      <c r="AO467" s="17">
        <v>915</v>
      </c>
      <c r="AP467" s="17"/>
      <c r="AQ467" s="17">
        <v>1450</v>
      </c>
      <c r="AR467" s="17"/>
      <c r="AS467" s="17">
        <v>1.7</v>
      </c>
      <c r="AT467" s="17"/>
      <c r="AU467" s="17">
        <v>798.76</v>
      </c>
      <c r="AV467" s="17"/>
      <c r="AW467" s="17">
        <v>1082.98</v>
      </c>
      <c r="AX467" s="17"/>
      <c r="AY467" t="s">
        <v>92</v>
      </c>
      <c r="AZ467" t="s">
        <v>92</v>
      </c>
      <c r="BA467" t="s">
        <v>92</v>
      </c>
      <c r="BB467" t="s">
        <v>92</v>
      </c>
      <c r="BC467" t="s">
        <v>92</v>
      </c>
      <c r="BD467" s="17">
        <v>4.75</v>
      </c>
      <c r="BE467" s="17">
        <v>2203287.6</v>
      </c>
      <c r="BF467" t="s">
        <v>92</v>
      </c>
      <c r="BG467" t="s">
        <v>92</v>
      </c>
      <c r="BH467" t="s">
        <v>93</v>
      </c>
      <c r="BI467" t="s">
        <v>94</v>
      </c>
      <c r="BJ467" t="s">
        <v>128</v>
      </c>
      <c r="BK467" t="s">
        <v>85</v>
      </c>
      <c r="BL467" t="s">
        <v>85</v>
      </c>
      <c r="BM467" t="s">
        <v>96</v>
      </c>
      <c r="BN467" t="s">
        <v>97</v>
      </c>
      <c r="BO467" t="s">
        <v>98</v>
      </c>
      <c r="BP467" t="s">
        <v>103</v>
      </c>
      <c r="BQ467" s="17">
        <v>312</v>
      </c>
      <c r="BR467" t="s">
        <v>138</v>
      </c>
      <c r="BS467" t="s">
        <v>156</v>
      </c>
      <c r="BT467" t="s">
        <v>103</v>
      </c>
      <c r="BU467" s="17">
        <v>9.4</v>
      </c>
      <c r="BV467" t="s">
        <v>110</v>
      </c>
      <c r="BW467" t="s">
        <v>85</v>
      </c>
      <c r="BX467" t="s">
        <v>85</v>
      </c>
      <c r="BY467" t="str">
        <f>IF(COUNTIF('Data Upload-prod'!E:E,F467)=0,"Missing","Exist")</f>
        <v>Exist</v>
      </c>
    </row>
    <row r="468" hidden="1" spans="1:77">
      <c r="A468" s="16">
        <v>43668</v>
      </c>
      <c r="B468" s="16">
        <v>43822</v>
      </c>
      <c r="C468" t="s">
        <v>281</v>
      </c>
      <c r="D468" t="s">
        <v>78</v>
      </c>
      <c r="E468" t="s">
        <v>282</v>
      </c>
      <c r="F468" t="s">
        <v>928</v>
      </c>
      <c r="G468" t="s">
        <v>81</v>
      </c>
      <c r="H468" t="s">
        <v>926</v>
      </c>
      <c r="I468" t="s">
        <v>83</v>
      </c>
      <c r="J468" s="17">
        <v>73.2</v>
      </c>
      <c r="K468" s="17">
        <v>3245</v>
      </c>
      <c r="L468" s="17">
        <v>2047</v>
      </c>
      <c r="M468" t="s">
        <v>84</v>
      </c>
      <c r="N468" t="s">
        <v>84</v>
      </c>
      <c r="O468" t="s">
        <v>84</v>
      </c>
      <c r="P468" t="s">
        <v>84</v>
      </c>
      <c r="Q468" s="17">
        <v>8865963</v>
      </c>
      <c r="R468" s="17">
        <v>30.75</v>
      </c>
      <c r="S468" t="s">
        <v>85</v>
      </c>
      <c r="T468" t="s">
        <v>84</v>
      </c>
      <c r="U468" t="s">
        <v>84</v>
      </c>
      <c r="V468" s="16">
        <v>43694.4375</v>
      </c>
      <c r="W468" s="18">
        <v>43680.4166666667</v>
      </c>
      <c r="X468" s="18">
        <v>43731.875</v>
      </c>
      <c r="Y468" s="17">
        <v>3110.4</v>
      </c>
      <c r="Z468" t="s">
        <v>87</v>
      </c>
      <c r="AA468" s="17">
        <v>3217</v>
      </c>
      <c r="AB468" s="17">
        <v>2041.29</v>
      </c>
      <c r="AC468" t="s">
        <v>84</v>
      </c>
      <c r="AD468" t="s">
        <v>84</v>
      </c>
      <c r="AE468" t="s">
        <v>84</v>
      </c>
      <c r="AF468" t="s">
        <v>84</v>
      </c>
      <c r="AG468" s="17">
        <v>8970024</v>
      </c>
      <c r="AH468" s="17">
        <v>39.15</v>
      </c>
      <c r="AI468" s="17">
        <v>7.88</v>
      </c>
      <c r="AJ468" s="17">
        <v>7.42</v>
      </c>
      <c r="AK468" t="s">
        <v>208</v>
      </c>
      <c r="AM468" s="17">
        <v>2.1</v>
      </c>
      <c r="AN468" s="17"/>
      <c r="AO468" s="17">
        <v>700</v>
      </c>
      <c r="AP468" s="17"/>
      <c r="AQ468" s="17">
        <v>1220</v>
      </c>
      <c r="AR468" s="17"/>
      <c r="AS468" s="17">
        <v>1.71</v>
      </c>
      <c r="AT468" s="17"/>
      <c r="AU468" s="17">
        <v>356</v>
      </c>
      <c r="AV468" s="17"/>
      <c r="AW468" s="17">
        <v>889</v>
      </c>
      <c r="AX468" s="17"/>
      <c r="AY468" t="s">
        <v>92</v>
      </c>
      <c r="AZ468" t="s">
        <v>92</v>
      </c>
      <c r="BA468" t="s">
        <v>92</v>
      </c>
      <c r="BB468" t="s">
        <v>92</v>
      </c>
      <c r="BC468" t="s">
        <v>92</v>
      </c>
      <c r="BD468" t="s">
        <v>92</v>
      </c>
      <c r="BE468" t="s">
        <v>92</v>
      </c>
      <c r="BF468" t="s">
        <v>92</v>
      </c>
      <c r="BG468" t="s">
        <v>92</v>
      </c>
      <c r="BH468" t="s">
        <v>92</v>
      </c>
      <c r="BI468" t="s">
        <v>92</v>
      </c>
      <c r="BJ468" t="s">
        <v>92</v>
      </c>
      <c r="BK468" t="s">
        <v>92</v>
      </c>
      <c r="BL468" t="s">
        <v>92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92</v>
      </c>
      <c r="BS468" t="s">
        <v>92</v>
      </c>
      <c r="BT468" t="s">
        <v>92</v>
      </c>
      <c r="BU468" t="s">
        <v>92</v>
      </c>
      <c r="BV468" t="s">
        <v>92</v>
      </c>
      <c r="BW468" t="s">
        <v>92</v>
      </c>
      <c r="BX468" t="s">
        <v>92</v>
      </c>
      <c r="BY468" t="str">
        <f>IF(COUNTIF('Data Upload-prod'!E:E,F468)=0,"Missing","Exist")</f>
        <v>Exist</v>
      </c>
    </row>
    <row r="469" spans="1:77">
      <c r="A469" s="16">
        <v>43665</v>
      </c>
      <c r="B469" s="16">
        <v>43788</v>
      </c>
      <c r="C469" t="s">
        <v>633</v>
      </c>
      <c r="D469" t="s">
        <v>120</v>
      </c>
      <c r="E469" t="s">
        <v>929</v>
      </c>
      <c r="F469" t="s">
        <v>930</v>
      </c>
      <c r="G469" t="s">
        <v>145</v>
      </c>
      <c r="H469" t="s">
        <v>202</v>
      </c>
      <c r="I469" t="s">
        <v>124</v>
      </c>
      <c r="J469" s="17">
        <v>90</v>
      </c>
      <c r="K469" s="17">
        <v>1532</v>
      </c>
      <c r="L469" s="17">
        <v>1532</v>
      </c>
      <c r="M469" s="17">
        <v>13704000</v>
      </c>
      <c r="N469" s="17">
        <v>21130000</v>
      </c>
      <c r="O469" s="17">
        <v>22.9</v>
      </c>
      <c r="P469" s="17">
        <v>37.8</v>
      </c>
      <c r="Q469" t="s">
        <v>84</v>
      </c>
      <c r="R469" t="s">
        <v>84</v>
      </c>
      <c r="S469" t="s">
        <v>85</v>
      </c>
      <c r="T469" t="s">
        <v>84</v>
      </c>
      <c r="U469" t="s">
        <v>84</v>
      </c>
      <c r="V469" s="16">
        <v>43698</v>
      </c>
      <c r="W469" s="18">
        <v>43692.3333333333</v>
      </c>
      <c r="X469" s="18">
        <v>43735.6041666667</v>
      </c>
      <c r="Y469" s="17">
        <v>495</v>
      </c>
      <c r="Z469" t="s">
        <v>87</v>
      </c>
      <c r="AA469" s="17">
        <v>615</v>
      </c>
      <c r="AB469" s="17">
        <v>615</v>
      </c>
      <c r="AC469" s="17">
        <v>4500000</v>
      </c>
      <c r="AD469" t="s">
        <v>84</v>
      </c>
      <c r="AE469" s="17">
        <v>16.3</v>
      </c>
      <c r="AF469" t="s">
        <v>84</v>
      </c>
      <c r="AG469" t="s">
        <v>84</v>
      </c>
      <c r="AH469" t="s">
        <v>84</v>
      </c>
      <c r="AI469" s="17">
        <v>3.96</v>
      </c>
      <c r="AJ469" s="17">
        <v>3.07</v>
      </c>
      <c r="AK469" t="s">
        <v>300</v>
      </c>
      <c r="AL469" t="s">
        <v>300</v>
      </c>
      <c r="AM469" s="17">
        <v>2.4</v>
      </c>
      <c r="AN469" s="17">
        <v>2.4</v>
      </c>
      <c r="AO469" s="17">
        <v>1375</v>
      </c>
      <c r="AP469" s="17">
        <v>1375</v>
      </c>
      <c r="AQ469" s="17">
        <v>3025</v>
      </c>
      <c r="AR469" s="17">
        <v>3025</v>
      </c>
      <c r="AS469" s="20" t="s">
        <v>90</v>
      </c>
      <c r="AT469" s="19">
        <v>2.3</v>
      </c>
      <c r="AU469" s="13" t="s">
        <v>90</v>
      </c>
      <c r="AV469" s="13">
        <v>958</v>
      </c>
      <c r="AW469" s="13" t="s">
        <v>90</v>
      </c>
      <c r="AX469" s="13">
        <v>1512</v>
      </c>
      <c r="AY469" t="s">
        <v>92</v>
      </c>
      <c r="AZ469" t="s">
        <v>92</v>
      </c>
      <c r="BA469" t="s">
        <v>92</v>
      </c>
      <c r="BB469" t="s">
        <v>92</v>
      </c>
      <c r="BC469" t="s">
        <v>92</v>
      </c>
      <c r="BD469" t="s">
        <v>92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92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92</v>
      </c>
      <c r="BS469" t="s">
        <v>92</v>
      </c>
      <c r="BT469" t="s">
        <v>92</v>
      </c>
      <c r="BU469" t="s">
        <v>92</v>
      </c>
      <c r="BV469" t="s">
        <v>92</v>
      </c>
      <c r="BW469" t="s">
        <v>92</v>
      </c>
      <c r="BX469" t="s">
        <v>92</v>
      </c>
      <c r="BY469" t="str">
        <f>IF(COUNTIF('Data Upload-prod'!E:E,F469)=0,"Missing","Exist")</f>
        <v>Exist</v>
      </c>
    </row>
    <row r="470" hidden="1" spans="1:77">
      <c r="A470" s="16">
        <v>43663</v>
      </c>
      <c r="B470" s="16">
        <v>43783</v>
      </c>
      <c r="C470" t="s">
        <v>132</v>
      </c>
      <c r="D470" t="s">
        <v>142</v>
      </c>
      <c r="E470" t="s">
        <v>931</v>
      </c>
      <c r="F470" t="s">
        <v>932</v>
      </c>
      <c r="G470" t="s">
        <v>81</v>
      </c>
      <c r="H470" t="s">
        <v>82</v>
      </c>
      <c r="I470" t="s">
        <v>83</v>
      </c>
      <c r="J470" s="17">
        <v>63.97</v>
      </c>
      <c r="K470" s="17">
        <v>3999.09</v>
      </c>
      <c r="L470" s="17">
        <v>2113.99</v>
      </c>
      <c r="M470" t="s">
        <v>84</v>
      </c>
      <c r="N470" t="s">
        <v>84</v>
      </c>
      <c r="O470" t="s">
        <v>84</v>
      </c>
      <c r="P470" t="s">
        <v>84</v>
      </c>
      <c r="Q470" s="17">
        <v>9850000</v>
      </c>
      <c r="R470" s="17">
        <v>28.61</v>
      </c>
      <c r="S470" t="s">
        <v>381</v>
      </c>
      <c r="T470" t="s">
        <v>84</v>
      </c>
      <c r="U470" t="s">
        <v>84</v>
      </c>
      <c r="V470" s="16">
        <v>43674</v>
      </c>
      <c r="W470" s="18">
        <v>43672</v>
      </c>
      <c r="X470" s="18">
        <v>43727.1666666667</v>
      </c>
      <c r="Y470" s="17">
        <v>3797.07</v>
      </c>
      <c r="Z470" t="s">
        <v>87</v>
      </c>
      <c r="AA470" s="17">
        <v>3891.19</v>
      </c>
      <c r="AB470" s="17">
        <v>2099.6</v>
      </c>
      <c r="AC470" t="s">
        <v>84</v>
      </c>
      <c r="AD470" t="s">
        <v>84</v>
      </c>
      <c r="AE470" t="s">
        <v>84</v>
      </c>
      <c r="AF470" t="s">
        <v>84</v>
      </c>
      <c r="AG470" s="17">
        <v>9670065.23</v>
      </c>
      <c r="AH470" s="17">
        <v>40.82</v>
      </c>
      <c r="AI470" s="17">
        <v>31.31</v>
      </c>
      <c r="AJ470" s="17">
        <v>30.16</v>
      </c>
      <c r="AK470" t="s">
        <v>89</v>
      </c>
      <c r="AM470" s="17">
        <v>2.4</v>
      </c>
      <c r="AN470" s="17"/>
      <c r="AO470" s="17">
        <v>795</v>
      </c>
      <c r="AP470" s="17"/>
      <c r="AQ470" s="17">
        <v>1400</v>
      </c>
      <c r="AR470" s="17"/>
      <c r="AS470" s="17">
        <v>1.75</v>
      </c>
      <c r="AT470" s="17"/>
      <c r="AU470" s="17">
        <v>698</v>
      </c>
      <c r="AV470" s="17"/>
      <c r="AW470" s="17">
        <v>1528.4</v>
      </c>
      <c r="AX470" s="17"/>
      <c r="AY470" t="s">
        <v>92</v>
      </c>
      <c r="AZ470" t="s">
        <v>92</v>
      </c>
      <c r="BA470" t="s">
        <v>92</v>
      </c>
      <c r="BB470" t="s">
        <v>92</v>
      </c>
      <c r="BC470" t="s">
        <v>92</v>
      </c>
      <c r="BD470" t="s">
        <v>92</v>
      </c>
      <c r="BE470" t="s">
        <v>92</v>
      </c>
      <c r="BF470" t="s">
        <v>92</v>
      </c>
      <c r="BG470" t="s">
        <v>92</v>
      </c>
      <c r="BH470" t="s">
        <v>92</v>
      </c>
      <c r="BI470" t="s">
        <v>92</v>
      </c>
      <c r="BJ470" t="s">
        <v>92</v>
      </c>
      <c r="BK470" t="s">
        <v>92</v>
      </c>
      <c r="BL470" t="s">
        <v>92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92</v>
      </c>
      <c r="BS470" t="s">
        <v>92</v>
      </c>
      <c r="BT470" t="s">
        <v>92</v>
      </c>
      <c r="BU470" t="s">
        <v>92</v>
      </c>
      <c r="BV470" t="s">
        <v>92</v>
      </c>
      <c r="BW470" t="s">
        <v>92</v>
      </c>
      <c r="BX470" t="s">
        <v>92</v>
      </c>
      <c r="BY470" t="str">
        <f>IF(COUNTIF('Data Upload-prod'!E:E,F470)=0,"Missing","Exist")</f>
        <v>Exist</v>
      </c>
    </row>
    <row r="471" hidden="1" spans="1:77">
      <c r="A471" s="16">
        <v>43663</v>
      </c>
      <c r="B471" s="16">
        <v>43731</v>
      </c>
      <c r="C471" t="s">
        <v>233</v>
      </c>
      <c r="D471" t="s">
        <v>78</v>
      </c>
      <c r="E471" t="s">
        <v>933</v>
      </c>
      <c r="F471" t="s">
        <v>934</v>
      </c>
      <c r="G471" t="s">
        <v>145</v>
      </c>
      <c r="H471" t="s">
        <v>841</v>
      </c>
      <c r="I471" t="s">
        <v>124</v>
      </c>
      <c r="J471" s="17">
        <v>74.7</v>
      </c>
      <c r="K471" s="17">
        <v>1417</v>
      </c>
      <c r="L471" s="17">
        <v>1389</v>
      </c>
      <c r="M471" s="17">
        <v>7500000</v>
      </c>
      <c r="N471" s="17">
        <v>13650000</v>
      </c>
      <c r="O471" s="17">
        <v>21.4</v>
      </c>
      <c r="P471" s="17">
        <v>41.2</v>
      </c>
      <c r="Q471" t="s">
        <v>84</v>
      </c>
      <c r="R471" t="s">
        <v>84</v>
      </c>
      <c r="S471" t="s">
        <v>85</v>
      </c>
      <c r="T471" t="s">
        <v>84</v>
      </c>
      <c r="U471" t="s">
        <v>84</v>
      </c>
      <c r="V471" s="16">
        <v>43675</v>
      </c>
      <c r="W471" s="18">
        <v>43675</v>
      </c>
      <c r="X471" s="18">
        <v>43687</v>
      </c>
      <c r="Y471" s="17">
        <v>1257.28</v>
      </c>
      <c r="Z471" t="s">
        <v>87</v>
      </c>
      <c r="AA471" s="17">
        <v>1374</v>
      </c>
      <c r="AB471" s="17">
        <v>1348.55</v>
      </c>
      <c r="AC471" s="17">
        <v>7461001</v>
      </c>
      <c r="AD471" t="s">
        <v>84</v>
      </c>
      <c r="AE471" s="17">
        <v>19.23</v>
      </c>
      <c r="AF471" t="s">
        <v>84</v>
      </c>
      <c r="AG471" t="s">
        <v>84</v>
      </c>
      <c r="AH471" t="s">
        <v>84</v>
      </c>
      <c r="AI471" s="17">
        <v>5.96</v>
      </c>
      <c r="AJ471" s="17">
        <v>5.96</v>
      </c>
      <c r="AK471" t="s">
        <v>300</v>
      </c>
      <c r="AM471" s="17">
        <v>1.9</v>
      </c>
      <c r="AN471" s="17"/>
      <c r="AO471" s="17">
        <v>720</v>
      </c>
      <c r="AP471" s="17"/>
      <c r="AQ471" s="17">
        <v>1370</v>
      </c>
      <c r="AR471" s="17"/>
      <c r="AS471" s="17">
        <v>1.89</v>
      </c>
      <c r="AT471" s="17"/>
      <c r="AU471" s="17">
        <v>601.94</v>
      </c>
      <c r="AV471" s="17"/>
      <c r="AW471" s="17">
        <v>1797.84</v>
      </c>
      <c r="AX471" s="17"/>
      <c r="AY471" t="s">
        <v>92</v>
      </c>
      <c r="AZ471" t="s">
        <v>92</v>
      </c>
      <c r="BA471" t="s">
        <v>92</v>
      </c>
      <c r="BB471" t="s">
        <v>92</v>
      </c>
      <c r="BC471" t="s">
        <v>92</v>
      </c>
      <c r="BD471" t="s">
        <v>92</v>
      </c>
      <c r="BE471" t="s">
        <v>92</v>
      </c>
      <c r="BF471" t="s">
        <v>92</v>
      </c>
      <c r="BG471" t="s">
        <v>92</v>
      </c>
      <c r="BH471" t="s">
        <v>92</v>
      </c>
      <c r="BI471" t="s">
        <v>92</v>
      </c>
      <c r="BJ471" t="s">
        <v>92</v>
      </c>
      <c r="BK471" t="s">
        <v>92</v>
      </c>
      <c r="BL471" t="s">
        <v>92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92</v>
      </c>
      <c r="BS471" t="s">
        <v>92</v>
      </c>
      <c r="BT471" t="s">
        <v>92</v>
      </c>
      <c r="BU471" t="s">
        <v>92</v>
      </c>
      <c r="BV471" t="s">
        <v>92</v>
      </c>
      <c r="BW471" t="s">
        <v>92</v>
      </c>
      <c r="BX471" t="s">
        <v>92</v>
      </c>
      <c r="BY471" t="str">
        <f>IF(COUNTIF('Data Upload-prod'!E:E,F471)=0,"Missing","Exist")</f>
        <v>Exist</v>
      </c>
    </row>
    <row r="472" hidden="1" spans="1:77">
      <c r="A472" s="16">
        <v>43661</v>
      </c>
      <c r="B472" t="s">
        <v>84</v>
      </c>
      <c r="C472" t="s">
        <v>77</v>
      </c>
      <c r="D472" t="s">
        <v>78</v>
      </c>
      <c r="E472" t="s">
        <v>848</v>
      </c>
      <c r="F472" t="s">
        <v>935</v>
      </c>
      <c r="G472" t="s">
        <v>81</v>
      </c>
      <c r="H472" t="s">
        <v>123</v>
      </c>
      <c r="I472" t="s">
        <v>124</v>
      </c>
      <c r="J472" s="17">
        <v>71.5</v>
      </c>
      <c r="K472" s="17">
        <v>2599</v>
      </c>
      <c r="L472" s="17">
        <v>2457</v>
      </c>
      <c r="M472" t="s">
        <v>84</v>
      </c>
      <c r="N472" t="s">
        <v>84</v>
      </c>
      <c r="O472" t="s">
        <v>84</v>
      </c>
      <c r="P472" t="s">
        <v>84</v>
      </c>
      <c r="Q472" s="17">
        <v>23299745</v>
      </c>
      <c r="R472" s="17">
        <v>59.7</v>
      </c>
      <c r="S472" t="s">
        <v>85</v>
      </c>
      <c r="T472" t="s">
        <v>84</v>
      </c>
      <c r="U472" t="s">
        <v>86</v>
      </c>
      <c r="V472" s="16">
        <v>43723</v>
      </c>
      <c r="W472" s="18">
        <v>43723</v>
      </c>
      <c r="X472" s="18">
        <v>43816</v>
      </c>
      <c r="Y472" s="17">
        <v>2608.15</v>
      </c>
      <c r="Z472" t="s">
        <v>87</v>
      </c>
      <c r="AA472" s="17">
        <v>2722</v>
      </c>
      <c r="AB472" s="17">
        <v>2501.94</v>
      </c>
      <c r="AC472" t="s">
        <v>84</v>
      </c>
      <c r="AD472" t="s">
        <v>84</v>
      </c>
      <c r="AE472" t="s">
        <v>84</v>
      </c>
      <c r="AF472" t="s">
        <v>84</v>
      </c>
      <c r="AG472" s="17">
        <v>18914990</v>
      </c>
      <c r="AH472" s="17">
        <v>54.6</v>
      </c>
      <c r="AI472" s="17">
        <v>0</v>
      </c>
      <c r="AJ472" s="17">
        <v>0</v>
      </c>
      <c r="AK472" t="s">
        <v>208</v>
      </c>
      <c r="AM472" s="17">
        <v>2.1</v>
      </c>
      <c r="AN472" s="17"/>
      <c r="AO472" s="17">
        <v>700</v>
      </c>
      <c r="AP472" s="17"/>
      <c r="AQ472" s="17">
        <v>1620</v>
      </c>
      <c r="AR472" s="17"/>
      <c r="AS472" s="17">
        <v>0.61</v>
      </c>
      <c r="AT472" s="17"/>
      <c r="AU472" s="17">
        <v>231</v>
      </c>
      <c r="AV472" s="17"/>
      <c r="AW472" s="17">
        <v>305</v>
      </c>
      <c r="AX472" s="17"/>
      <c r="AY472" t="s">
        <v>92</v>
      </c>
      <c r="AZ472" t="s">
        <v>92</v>
      </c>
      <c r="BA472" t="s">
        <v>92</v>
      </c>
      <c r="BB472" t="s">
        <v>92</v>
      </c>
      <c r="BC472" t="s">
        <v>92</v>
      </c>
      <c r="BD472" s="17">
        <v>1.01</v>
      </c>
      <c r="BE472" s="17">
        <v>164037.62</v>
      </c>
      <c r="BF472" s="17">
        <v>0.11</v>
      </c>
      <c r="BG472" s="17">
        <v>18.37</v>
      </c>
      <c r="BH472" t="s">
        <v>93</v>
      </c>
      <c r="BI472" t="s">
        <v>94</v>
      </c>
      <c r="BJ472" t="s">
        <v>95</v>
      </c>
      <c r="BK472" t="s">
        <v>85</v>
      </c>
      <c r="BL472" t="s">
        <v>85</v>
      </c>
      <c r="BM472" t="s">
        <v>96</v>
      </c>
      <c r="BN472" t="s">
        <v>97</v>
      </c>
      <c r="BO472" t="s">
        <v>98</v>
      </c>
      <c r="BP472" t="s">
        <v>99</v>
      </c>
      <c r="BQ472" s="17">
        <v>42.653</v>
      </c>
      <c r="BR472" t="s">
        <v>100</v>
      </c>
      <c r="BS472" t="s">
        <v>92</v>
      </c>
      <c r="BT472" t="s">
        <v>99</v>
      </c>
      <c r="BU472" s="17">
        <v>6.8</v>
      </c>
      <c r="BV472" t="s">
        <v>101</v>
      </c>
      <c r="BW472" t="s">
        <v>85</v>
      </c>
      <c r="BX472" t="s">
        <v>85</v>
      </c>
      <c r="BY472" t="str">
        <f>IF(COUNTIF('Data Upload-prod'!E:E,F472)=0,"Missing","Exist")</f>
        <v>Exist</v>
      </c>
    </row>
    <row r="473" hidden="1" spans="1:77">
      <c r="A473" s="16">
        <v>43661</v>
      </c>
      <c r="B473" s="16">
        <v>43809</v>
      </c>
      <c r="C473" t="s">
        <v>77</v>
      </c>
      <c r="D473" t="s">
        <v>78</v>
      </c>
      <c r="E473" t="s">
        <v>412</v>
      </c>
      <c r="F473" t="s">
        <v>936</v>
      </c>
      <c r="G473" t="s">
        <v>81</v>
      </c>
      <c r="H473" t="s">
        <v>123</v>
      </c>
      <c r="I473" t="s">
        <v>124</v>
      </c>
      <c r="J473" s="17">
        <v>71.5</v>
      </c>
      <c r="K473" s="17">
        <v>3001</v>
      </c>
      <c r="L473" s="17">
        <v>2146</v>
      </c>
      <c r="M473" t="s">
        <v>84</v>
      </c>
      <c r="N473" t="s">
        <v>84</v>
      </c>
      <c r="O473" t="s">
        <v>84</v>
      </c>
      <c r="P473" t="s">
        <v>84</v>
      </c>
      <c r="Q473" s="17">
        <v>3803182</v>
      </c>
      <c r="R473" s="17">
        <v>9.5</v>
      </c>
      <c r="S473" t="s">
        <v>85</v>
      </c>
      <c r="T473" t="s">
        <v>84</v>
      </c>
      <c r="U473" t="s">
        <v>86</v>
      </c>
      <c r="V473" s="16">
        <v>43722</v>
      </c>
      <c r="W473" s="18">
        <v>43708.0208333333</v>
      </c>
      <c r="X473" s="18">
        <v>43762.6354166667</v>
      </c>
      <c r="Y473" s="17">
        <v>2660.15</v>
      </c>
      <c r="Z473" t="s">
        <v>87</v>
      </c>
      <c r="AA473" s="17">
        <v>2774</v>
      </c>
      <c r="AB473" s="17">
        <v>2172.04</v>
      </c>
      <c r="AC473" t="s">
        <v>84</v>
      </c>
      <c r="AD473" t="s">
        <v>84</v>
      </c>
      <c r="AE473" t="s">
        <v>84</v>
      </c>
      <c r="AF473" t="s">
        <v>84</v>
      </c>
      <c r="AG473" s="17">
        <v>2825460</v>
      </c>
      <c r="AH473" s="17">
        <v>6.71</v>
      </c>
      <c r="AI473" s="17">
        <v>1.24</v>
      </c>
      <c r="AJ473" s="17">
        <v>0</v>
      </c>
      <c r="AK473" t="s">
        <v>208</v>
      </c>
      <c r="AM473" s="17">
        <v>2.1</v>
      </c>
      <c r="AN473" s="17"/>
      <c r="AO473" s="17">
        <v>700</v>
      </c>
      <c r="AP473" s="17"/>
      <c r="AQ473" s="17">
        <v>1220</v>
      </c>
      <c r="AR473" s="17"/>
      <c r="AS473" s="17">
        <v>0.69</v>
      </c>
      <c r="AT473" s="17"/>
      <c r="AU473" s="17">
        <v>256</v>
      </c>
      <c r="AV473" s="17"/>
      <c r="AW473" s="17">
        <v>324</v>
      </c>
      <c r="AX473" s="17"/>
      <c r="AY473" t="s">
        <v>92</v>
      </c>
      <c r="AZ473" t="s">
        <v>92</v>
      </c>
      <c r="BA473" t="s">
        <v>92</v>
      </c>
      <c r="BB473" t="s">
        <v>92</v>
      </c>
      <c r="BC473" t="s">
        <v>92</v>
      </c>
      <c r="BD473" s="17">
        <v>0.7</v>
      </c>
      <c r="BE473" s="17">
        <v>589298</v>
      </c>
      <c r="BF473" t="s">
        <v>92</v>
      </c>
      <c r="BG473" t="s">
        <v>92</v>
      </c>
      <c r="BH473" t="s">
        <v>93</v>
      </c>
      <c r="BI473" t="s">
        <v>94</v>
      </c>
      <c r="BJ473" t="s">
        <v>95</v>
      </c>
      <c r="BK473" t="s">
        <v>85</v>
      </c>
      <c r="BL473" t="s">
        <v>85</v>
      </c>
      <c r="BM473" t="s">
        <v>96</v>
      </c>
      <c r="BN473" t="s">
        <v>97</v>
      </c>
      <c r="BO473" t="s">
        <v>98</v>
      </c>
      <c r="BP473" t="s">
        <v>99</v>
      </c>
      <c r="BQ473" s="17">
        <v>37.7315</v>
      </c>
      <c r="BR473" t="s">
        <v>100</v>
      </c>
      <c r="BS473" t="s">
        <v>92</v>
      </c>
      <c r="BT473" t="s">
        <v>99</v>
      </c>
      <c r="BU473" s="17">
        <v>6.8</v>
      </c>
      <c r="BV473" t="s">
        <v>101</v>
      </c>
      <c r="BW473" t="s">
        <v>85</v>
      </c>
      <c r="BX473" t="s">
        <v>85</v>
      </c>
      <c r="BY473" t="str">
        <f>IF(COUNTIF('Data Upload-prod'!E:E,F473)=0,"Missing","Exist")</f>
        <v>Exist</v>
      </c>
    </row>
    <row r="474" hidden="1" spans="1:77">
      <c r="A474" s="16">
        <v>43661</v>
      </c>
      <c r="B474" s="16">
        <v>43809</v>
      </c>
      <c r="C474" t="s">
        <v>77</v>
      </c>
      <c r="D474" t="s">
        <v>78</v>
      </c>
      <c r="E474" t="s">
        <v>848</v>
      </c>
      <c r="F474" t="s">
        <v>937</v>
      </c>
      <c r="G474" t="s">
        <v>81</v>
      </c>
      <c r="H474" t="s">
        <v>123</v>
      </c>
      <c r="I474" t="s">
        <v>124</v>
      </c>
      <c r="J474" s="17">
        <v>71.5</v>
      </c>
      <c r="K474" s="17">
        <v>3136</v>
      </c>
      <c r="L474" s="17">
        <v>2702</v>
      </c>
      <c r="M474" t="s">
        <v>84</v>
      </c>
      <c r="N474" t="s">
        <v>84</v>
      </c>
      <c r="O474" t="s">
        <v>84</v>
      </c>
      <c r="P474" t="s">
        <v>84</v>
      </c>
      <c r="Q474" s="17">
        <v>4212662</v>
      </c>
      <c r="R474" s="17">
        <v>10.1</v>
      </c>
      <c r="S474" t="s">
        <v>85</v>
      </c>
      <c r="T474" t="s">
        <v>84</v>
      </c>
      <c r="U474" t="s">
        <v>86</v>
      </c>
      <c r="V474" s="16">
        <v>43724</v>
      </c>
      <c r="W474" s="18">
        <v>43709</v>
      </c>
      <c r="X474" s="18">
        <v>43757.1041666667</v>
      </c>
      <c r="Y474" s="17">
        <v>2973</v>
      </c>
      <c r="Z474" t="s">
        <v>87</v>
      </c>
      <c r="AA474" s="17">
        <v>3087</v>
      </c>
      <c r="AB474" s="17">
        <v>2715.46</v>
      </c>
      <c r="AC474" t="s">
        <v>84</v>
      </c>
      <c r="AD474" t="s">
        <v>84</v>
      </c>
      <c r="AE474" t="s">
        <v>84</v>
      </c>
      <c r="AF474" t="s">
        <v>84</v>
      </c>
      <c r="AG474" s="17">
        <v>3364749</v>
      </c>
      <c r="AH474" s="17">
        <v>9.02</v>
      </c>
      <c r="AI474" s="17">
        <v>23.79</v>
      </c>
      <c r="AJ474" s="17">
        <v>23.79</v>
      </c>
      <c r="AK474" t="s">
        <v>208</v>
      </c>
      <c r="AM474" s="17">
        <v>2.1</v>
      </c>
      <c r="AN474" s="17"/>
      <c r="AO474" s="17">
        <v>700</v>
      </c>
      <c r="AP474" s="17"/>
      <c r="AQ474" s="17">
        <v>555</v>
      </c>
      <c r="AR474" s="17"/>
      <c r="AS474" s="17">
        <v>0.63</v>
      </c>
      <c r="AT474" s="17"/>
      <c r="AU474" s="17">
        <v>238</v>
      </c>
      <c r="AV474" s="17"/>
      <c r="AW474" s="17">
        <v>346</v>
      </c>
      <c r="AX474" s="17"/>
      <c r="AY474" t="s">
        <v>92</v>
      </c>
      <c r="AZ474" t="s">
        <v>92</v>
      </c>
      <c r="BA474" t="s">
        <v>92</v>
      </c>
      <c r="BB474" t="s">
        <v>92</v>
      </c>
      <c r="BC474" t="s">
        <v>92</v>
      </c>
      <c r="BD474" s="17">
        <v>2.87</v>
      </c>
      <c r="BE474" s="17">
        <v>1047814</v>
      </c>
      <c r="BF474" t="s">
        <v>92</v>
      </c>
      <c r="BG474" t="s">
        <v>92</v>
      </c>
      <c r="BH474" t="s">
        <v>93</v>
      </c>
      <c r="BI474" t="s">
        <v>94</v>
      </c>
      <c r="BJ474" t="s">
        <v>95</v>
      </c>
      <c r="BK474" t="s">
        <v>85</v>
      </c>
      <c r="BL474" t="s">
        <v>85</v>
      </c>
      <c r="BM474" t="s">
        <v>96</v>
      </c>
      <c r="BN474" t="s">
        <v>97</v>
      </c>
      <c r="BO474" t="s">
        <v>98</v>
      </c>
      <c r="BP474" t="s">
        <v>99</v>
      </c>
      <c r="BQ474" s="17">
        <v>106.6325</v>
      </c>
      <c r="BR474" t="s">
        <v>100</v>
      </c>
      <c r="BS474" t="s">
        <v>92</v>
      </c>
      <c r="BT474" t="s">
        <v>99</v>
      </c>
      <c r="BU474" s="17">
        <v>6.8</v>
      </c>
      <c r="BV474" t="s">
        <v>101</v>
      </c>
      <c r="BW474" t="s">
        <v>85</v>
      </c>
      <c r="BX474" t="s">
        <v>85</v>
      </c>
      <c r="BY474" t="str">
        <f>IF(COUNTIF('Data Upload-prod'!E:E,F474)=0,"Missing","Exist")</f>
        <v>Exist</v>
      </c>
    </row>
    <row r="475" hidden="1" spans="1:77">
      <c r="A475" s="16">
        <v>43661</v>
      </c>
      <c r="B475" s="16">
        <v>43809</v>
      </c>
      <c r="C475" t="s">
        <v>77</v>
      </c>
      <c r="D475" t="s">
        <v>78</v>
      </c>
      <c r="E475" t="s">
        <v>848</v>
      </c>
      <c r="F475" t="s">
        <v>938</v>
      </c>
      <c r="G475" t="s">
        <v>81</v>
      </c>
      <c r="H475" t="s">
        <v>123</v>
      </c>
      <c r="I475" t="s">
        <v>124</v>
      </c>
      <c r="J475" s="17">
        <v>71.5</v>
      </c>
      <c r="K475" s="17">
        <v>3118</v>
      </c>
      <c r="L475" s="17">
        <v>2781</v>
      </c>
      <c r="M475" t="s">
        <v>84</v>
      </c>
      <c r="N475" t="s">
        <v>84</v>
      </c>
      <c r="O475" t="s">
        <v>84</v>
      </c>
      <c r="P475" t="s">
        <v>84</v>
      </c>
      <c r="Q475" s="17">
        <v>23299745</v>
      </c>
      <c r="R475" s="17">
        <v>59.7</v>
      </c>
      <c r="S475" t="s">
        <v>85</v>
      </c>
      <c r="T475" t="s">
        <v>84</v>
      </c>
      <c r="U475" t="s">
        <v>86</v>
      </c>
      <c r="V475" s="16">
        <v>43723.75</v>
      </c>
      <c r="W475" s="18">
        <v>43709</v>
      </c>
      <c r="X475" s="18">
        <v>43748</v>
      </c>
      <c r="Y475" s="17">
        <v>3006.15</v>
      </c>
      <c r="Z475" t="s">
        <v>87</v>
      </c>
      <c r="AA475" s="17">
        <v>3120</v>
      </c>
      <c r="AB475" s="17">
        <v>2811.7</v>
      </c>
      <c r="AC475" t="s">
        <v>84</v>
      </c>
      <c r="AD475" t="s">
        <v>84</v>
      </c>
      <c r="AE475" t="s">
        <v>84</v>
      </c>
      <c r="AF475" t="s">
        <v>84</v>
      </c>
      <c r="AG475" s="17">
        <v>18914990</v>
      </c>
      <c r="AH475" s="17">
        <v>54.6</v>
      </c>
      <c r="AI475" s="17">
        <v>0</v>
      </c>
      <c r="AJ475" s="17">
        <v>0</v>
      </c>
      <c r="AK475" t="s">
        <v>208</v>
      </c>
      <c r="AM475" s="17">
        <v>2.1</v>
      </c>
      <c r="AN475" s="17"/>
      <c r="AO475" s="17">
        <v>700</v>
      </c>
      <c r="AP475" s="17"/>
      <c r="AQ475" s="17">
        <v>1220</v>
      </c>
      <c r="AR475" s="17"/>
      <c r="AS475" s="17">
        <v>0.56</v>
      </c>
      <c r="AT475" s="17"/>
      <c r="AU475" s="17">
        <v>204</v>
      </c>
      <c r="AV475" s="17"/>
      <c r="AW475" s="17">
        <v>288</v>
      </c>
      <c r="AX475" s="17"/>
      <c r="AY475" t="s">
        <v>92</v>
      </c>
      <c r="AZ475" t="s">
        <v>92</v>
      </c>
      <c r="BA475" t="s">
        <v>92</v>
      </c>
      <c r="BB475" t="s">
        <v>92</v>
      </c>
      <c r="BC475" t="s">
        <v>92</v>
      </c>
      <c r="BD475" s="17">
        <v>0.78</v>
      </c>
      <c r="BE475" s="17">
        <v>831311</v>
      </c>
      <c r="BF475" t="s">
        <v>92</v>
      </c>
      <c r="BG475" t="s">
        <v>92</v>
      </c>
      <c r="BH475" t="s">
        <v>93</v>
      </c>
      <c r="BI475" t="s">
        <v>94</v>
      </c>
      <c r="BJ475" t="s">
        <v>95</v>
      </c>
      <c r="BK475" t="s">
        <v>85</v>
      </c>
      <c r="BL475" t="s">
        <v>85</v>
      </c>
      <c r="BM475" t="s">
        <v>96</v>
      </c>
      <c r="BN475" t="s">
        <v>97</v>
      </c>
      <c r="BO475" t="s">
        <v>98</v>
      </c>
      <c r="BP475" t="s">
        <v>99</v>
      </c>
      <c r="BQ475" s="17">
        <v>111.554</v>
      </c>
      <c r="BR475" t="s">
        <v>100</v>
      </c>
      <c r="BS475" t="s">
        <v>92</v>
      </c>
      <c r="BT475" t="s">
        <v>99</v>
      </c>
      <c r="BU475" s="17">
        <v>6.8</v>
      </c>
      <c r="BV475" t="s">
        <v>101</v>
      </c>
      <c r="BW475" t="s">
        <v>85</v>
      </c>
      <c r="BX475" t="s">
        <v>85</v>
      </c>
      <c r="BY475" t="str">
        <f>IF(COUNTIF('Data Upload-prod'!E:E,F475)=0,"Missing","Exist")</f>
        <v>Exist</v>
      </c>
    </row>
    <row r="476" hidden="1" spans="1:77">
      <c r="A476" s="16">
        <v>43649</v>
      </c>
      <c r="B476" s="16">
        <v>43789</v>
      </c>
      <c r="C476" t="s">
        <v>195</v>
      </c>
      <c r="D476" t="s">
        <v>78</v>
      </c>
      <c r="E476" t="s">
        <v>296</v>
      </c>
      <c r="F476" t="s">
        <v>939</v>
      </c>
      <c r="G476" t="s">
        <v>81</v>
      </c>
      <c r="H476" t="s">
        <v>202</v>
      </c>
      <c r="I476" t="s">
        <v>124</v>
      </c>
      <c r="J476" s="17">
        <v>64</v>
      </c>
      <c r="K476" s="17">
        <v>2490</v>
      </c>
      <c r="L476" s="17">
        <v>2002</v>
      </c>
      <c r="M476" t="s">
        <v>84</v>
      </c>
      <c r="N476" t="s">
        <v>84</v>
      </c>
      <c r="O476" t="s">
        <v>84</v>
      </c>
      <c r="P476" t="s">
        <v>84</v>
      </c>
      <c r="Q476" s="17">
        <v>6600000</v>
      </c>
      <c r="R476" s="17">
        <v>16.1</v>
      </c>
      <c r="S476" t="s">
        <v>106</v>
      </c>
      <c r="T476" t="s">
        <v>84</v>
      </c>
      <c r="U476" t="s">
        <v>86</v>
      </c>
      <c r="V476" s="16">
        <v>43714</v>
      </c>
      <c r="W476" s="18">
        <v>43708</v>
      </c>
      <c r="X476" s="18">
        <v>43727.5</v>
      </c>
      <c r="Y476" s="17">
        <v>2382.7</v>
      </c>
      <c r="Z476" t="s">
        <v>87</v>
      </c>
      <c r="AA476" s="17">
        <v>2480</v>
      </c>
      <c r="AB476" s="17">
        <v>1992</v>
      </c>
      <c r="AC476" t="s">
        <v>84</v>
      </c>
      <c r="AD476" t="s">
        <v>84</v>
      </c>
      <c r="AE476" t="s">
        <v>84</v>
      </c>
      <c r="AF476" t="s">
        <v>84</v>
      </c>
      <c r="AG476" s="17">
        <v>5720000</v>
      </c>
      <c r="AH476" s="17">
        <v>13.5</v>
      </c>
      <c r="AI476" s="17">
        <v>0.5</v>
      </c>
      <c r="AJ476" s="17">
        <v>0.5</v>
      </c>
      <c r="AK476" t="s">
        <v>298</v>
      </c>
      <c r="AM476" s="17">
        <v>1.8</v>
      </c>
      <c r="AN476" s="17"/>
      <c r="AO476" s="17">
        <v>600</v>
      </c>
      <c r="AP476" s="17"/>
      <c r="AQ476" s="17">
        <v>1160</v>
      </c>
      <c r="AR476" s="17"/>
      <c r="AS476" s="17">
        <v>1.7</v>
      </c>
      <c r="AT476" s="17"/>
      <c r="AU476" s="17">
        <v>652</v>
      </c>
      <c r="AV476" s="17"/>
      <c r="AW476" s="17">
        <v>1988</v>
      </c>
      <c r="AX476" s="17"/>
      <c r="AY476" t="s">
        <v>92</v>
      </c>
      <c r="AZ476" t="s">
        <v>92</v>
      </c>
      <c r="BA476" t="s">
        <v>92</v>
      </c>
      <c r="BB476" t="s">
        <v>92</v>
      </c>
      <c r="BC476" t="s">
        <v>92</v>
      </c>
      <c r="BD476" s="17">
        <v>15.9</v>
      </c>
      <c r="BE476" s="17">
        <v>14132200</v>
      </c>
      <c r="BF476" t="s">
        <v>92</v>
      </c>
      <c r="BG476" t="s">
        <v>92</v>
      </c>
      <c r="BH476" t="s">
        <v>93</v>
      </c>
      <c r="BI476" t="s">
        <v>94</v>
      </c>
      <c r="BJ476" t="s">
        <v>128</v>
      </c>
      <c r="BK476" t="s">
        <v>85</v>
      </c>
      <c r="BL476" t="s">
        <v>85</v>
      </c>
      <c r="BM476" t="s">
        <v>96</v>
      </c>
      <c r="BN476" t="s">
        <v>97</v>
      </c>
      <c r="BO476" t="s">
        <v>98</v>
      </c>
      <c r="BP476" t="s">
        <v>99</v>
      </c>
      <c r="BQ476" s="17">
        <v>2860</v>
      </c>
      <c r="BR476" t="s">
        <v>100</v>
      </c>
      <c r="BS476" t="s">
        <v>285</v>
      </c>
      <c r="BT476" t="s">
        <v>99</v>
      </c>
      <c r="BU476" s="17">
        <v>8.6</v>
      </c>
      <c r="BV476" t="s">
        <v>131</v>
      </c>
      <c r="BW476" t="s">
        <v>85</v>
      </c>
      <c r="BX476" t="s">
        <v>85</v>
      </c>
      <c r="BY476" t="str">
        <f>IF(COUNTIF('Data Upload-prod'!E:E,F476)=0,"Missing","Exist")</f>
        <v>Exist</v>
      </c>
    </row>
    <row r="477" hidden="1" spans="1:77">
      <c r="A477" s="16">
        <v>43649</v>
      </c>
      <c r="B477" s="16">
        <v>43693</v>
      </c>
      <c r="C477" t="s">
        <v>233</v>
      </c>
      <c r="D477" t="s">
        <v>78</v>
      </c>
      <c r="E477" t="s">
        <v>239</v>
      </c>
      <c r="F477" t="s">
        <v>940</v>
      </c>
      <c r="G477" t="s">
        <v>145</v>
      </c>
      <c r="H477" t="s">
        <v>841</v>
      </c>
      <c r="I477" t="s">
        <v>124</v>
      </c>
      <c r="J477" s="17">
        <v>77</v>
      </c>
      <c r="K477" s="17">
        <v>1705</v>
      </c>
      <c r="L477" s="17">
        <v>1705</v>
      </c>
      <c r="M477" s="17">
        <v>6104264</v>
      </c>
      <c r="N477" s="17">
        <v>6556875</v>
      </c>
      <c r="O477" s="17">
        <v>19.6</v>
      </c>
      <c r="P477" s="17">
        <v>21.2</v>
      </c>
      <c r="Q477" t="s">
        <v>84</v>
      </c>
      <c r="R477" t="s">
        <v>84</v>
      </c>
      <c r="S477" t="s">
        <v>85</v>
      </c>
      <c r="T477" t="s">
        <v>84</v>
      </c>
      <c r="U477" t="s">
        <v>84</v>
      </c>
      <c r="V477" s="16">
        <v>43660</v>
      </c>
      <c r="W477" s="18">
        <v>43659.2083333333</v>
      </c>
      <c r="X477" s="18">
        <v>43673</v>
      </c>
      <c r="Y477" s="17">
        <v>1585.9</v>
      </c>
      <c r="Z477" t="s">
        <v>87</v>
      </c>
      <c r="AA477" s="17">
        <v>1705</v>
      </c>
      <c r="AB477" s="17">
        <v>1705</v>
      </c>
      <c r="AC477" t="s">
        <v>84</v>
      </c>
      <c r="AD477" s="17">
        <v>4920000</v>
      </c>
      <c r="AE477" t="s">
        <v>84</v>
      </c>
      <c r="AF477" s="17">
        <v>14.4</v>
      </c>
      <c r="AG477" t="s">
        <v>84</v>
      </c>
      <c r="AH477" t="s">
        <v>84</v>
      </c>
      <c r="AI477" s="17">
        <v>0.14</v>
      </c>
      <c r="AJ477" s="17">
        <v>0.14</v>
      </c>
      <c r="AK477" t="s">
        <v>300</v>
      </c>
      <c r="AM477" s="17">
        <v>1.9</v>
      </c>
      <c r="AN477" s="17"/>
      <c r="AO477" s="17">
        <v>720</v>
      </c>
      <c r="AP477" s="17"/>
      <c r="AQ477" s="17">
        <v>1370</v>
      </c>
      <c r="AR477" s="17"/>
      <c r="AS477" s="17">
        <v>1.25</v>
      </c>
      <c r="AT477" s="17"/>
      <c r="AU477" s="17">
        <v>344</v>
      </c>
      <c r="AV477" s="17"/>
      <c r="AW477" s="17">
        <v>716</v>
      </c>
      <c r="AX477" s="17"/>
      <c r="AY477" t="s">
        <v>92</v>
      </c>
      <c r="AZ477" t="s">
        <v>92</v>
      </c>
      <c r="BA477" t="s">
        <v>92</v>
      </c>
      <c r="BB477" t="s">
        <v>92</v>
      </c>
      <c r="BC477" t="s">
        <v>92</v>
      </c>
      <c r="BD477" t="s">
        <v>92</v>
      </c>
      <c r="BE477" t="s">
        <v>92</v>
      </c>
      <c r="BF477" t="s">
        <v>92</v>
      </c>
      <c r="BG477" t="s">
        <v>92</v>
      </c>
      <c r="BH477" t="s">
        <v>92</v>
      </c>
      <c r="BI477" t="s">
        <v>92</v>
      </c>
      <c r="BJ477" t="s">
        <v>92</v>
      </c>
      <c r="BK477" t="s">
        <v>92</v>
      </c>
      <c r="BL477" t="s">
        <v>92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92</v>
      </c>
      <c r="BS477" t="s">
        <v>92</v>
      </c>
      <c r="BT477" t="s">
        <v>92</v>
      </c>
      <c r="BU477" t="s">
        <v>92</v>
      </c>
      <c r="BV477" t="s">
        <v>92</v>
      </c>
      <c r="BW477" t="s">
        <v>92</v>
      </c>
      <c r="BX477" t="s">
        <v>92</v>
      </c>
      <c r="BY477" t="str">
        <f>IF(COUNTIF('Data Upload-prod'!E:E,F477)=0,"Missing","Exist")</f>
        <v>Exist</v>
      </c>
    </row>
    <row r="478" hidden="1" spans="1:77">
      <c r="A478" s="16">
        <v>43649</v>
      </c>
      <c r="B478" s="16">
        <v>43804</v>
      </c>
      <c r="C478" t="s">
        <v>195</v>
      </c>
      <c r="D478" t="s">
        <v>78</v>
      </c>
      <c r="E478" t="s">
        <v>296</v>
      </c>
      <c r="F478" t="s">
        <v>941</v>
      </c>
      <c r="G478" t="s">
        <v>81</v>
      </c>
      <c r="H478" t="s">
        <v>198</v>
      </c>
      <c r="I478" t="s">
        <v>83</v>
      </c>
      <c r="J478" s="17">
        <v>64</v>
      </c>
      <c r="K478" s="17">
        <v>2648</v>
      </c>
      <c r="L478" s="17">
        <v>2003</v>
      </c>
      <c r="M478" t="s">
        <v>84</v>
      </c>
      <c r="N478" t="s">
        <v>84</v>
      </c>
      <c r="O478" t="s">
        <v>84</v>
      </c>
      <c r="P478" t="s">
        <v>84</v>
      </c>
      <c r="Q478" s="17">
        <v>6100000</v>
      </c>
      <c r="R478" s="17">
        <v>14.5</v>
      </c>
      <c r="S478" t="s">
        <v>85</v>
      </c>
      <c r="T478" t="s">
        <v>84</v>
      </c>
      <c r="U478" t="s">
        <v>86</v>
      </c>
      <c r="V478" s="16">
        <v>43727</v>
      </c>
      <c r="W478" s="18">
        <v>43702.375</v>
      </c>
      <c r="X478" s="18">
        <v>43748</v>
      </c>
      <c r="Y478" s="17">
        <v>2632.7</v>
      </c>
      <c r="Z478" t="s">
        <v>87</v>
      </c>
      <c r="AA478" s="17">
        <v>2730</v>
      </c>
      <c r="AB478" s="17">
        <v>1994</v>
      </c>
      <c r="AC478" t="s">
        <v>84</v>
      </c>
      <c r="AD478" t="s">
        <v>84</v>
      </c>
      <c r="AE478" t="s">
        <v>84</v>
      </c>
      <c r="AF478" t="s">
        <v>84</v>
      </c>
      <c r="AG478" s="17">
        <v>6763900</v>
      </c>
      <c r="AH478" s="17">
        <v>26.4</v>
      </c>
      <c r="AI478" s="17">
        <v>31.72</v>
      </c>
      <c r="AJ478" s="17">
        <v>31.64</v>
      </c>
      <c r="AK478" t="s">
        <v>298</v>
      </c>
      <c r="AM478" s="17">
        <v>1.8</v>
      </c>
      <c r="AN478" s="17"/>
      <c r="AO478" s="17">
        <v>600</v>
      </c>
      <c r="AP478" s="17"/>
      <c r="AQ478" s="17">
        <v>1160</v>
      </c>
      <c r="AR478" s="17"/>
      <c r="AS478" s="17">
        <v>1.6</v>
      </c>
      <c r="AT478" s="17"/>
      <c r="AU478" s="17">
        <v>550</v>
      </c>
      <c r="AV478" s="17"/>
      <c r="AW478" s="17">
        <v>2348</v>
      </c>
      <c r="AX478" s="17"/>
      <c r="AY478" t="s">
        <v>92</v>
      </c>
      <c r="AZ478" t="s">
        <v>92</v>
      </c>
      <c r="BA478" t="s">
        <v>92</v>
      </c>
      <c r="BB478" t="s">
        <v>92</v>
      </c>
      <c r="BC478" t="s">
        <v>92</v>
      </c>
      <c r="BD478" s="17">
        <v>16.7</v>
      </c>
      <c r="BE478" s="17">
        <v>14821000</v>
      </c>
      <c r="BF478" t="s">
        <v>92</v>
      </c>
      <c r="BG478" t="s">
        <v>92</v>
      </c>
      <c r="BH478" t="s">
        <v>93</v>
      </c>
      <c r="BI478" t="s">
        <v>94</v>
      </c>
      <c r="BJ478" t="s">
        <v>128</v>
      </c>
      <c r="BK478" t="s">
        <v>85</v>
      </c>
      <c r="BL478" t="s">
        <v>85</v>
      </c>
      <c r="BM478" t="s">
        <v>96</v>
      </c>
      <c r="BN478" t="s">
        <v>97</v>
      </c>
      <c r="BO478" t="s">
        <v>98</v>
      </c>
      <c r="BP478" t="s">
        <v>99</v>
      </c>
      <c r="BQ478" s="17">
        <v>2861.032</v>
      </c>
      <c r="BR478" t="s">
        <v>100</v>
      </c>
      <c r="BS478" t="s">
        <v>285</v>
      </c>
      <c r="BT478" t="s">
        <v>99</v>
      </c>
      <c r="BU478" s="17">
        <v>8.6</v>
      </c>
      <c r="BV478" t="s">
        <v>131</v>
      </c>
      <c r="BW478" t="s">
        <v>85</v>
      </c>
      <c r="BX478" t="s">
        <v>85</v>
      </c>
      <c r="BY478" t="str">
        <f>IF(COUNTIF('Data Upload-prod'!E:E,F478)=0,"Missing","Exist")</f>
        <v>Exist</v>
      </c>
    </row>
    <row r="479" hidden="1" spans="1:77">
      <c r="A479" s="16">
        <v>43649</v>
      </c>
      <c r="B479" s="16">
        <v>43838</v>
      </c>
      <c r="C479" t="s">
        <v>195</v>
      </c>
      <c r="D479" t="s">
        <v>78</v>
      </c>
      <c r="E479" t="s">
        <v>296</v>
      </c>
      <c r="F479" t="s">
        <v>942</v>
      </c>
      <c r="G479" t="s">
        <v>81</v>
      </c>
      <c r="H479" t="s">
        <v>198</v>
      </c>
      <c r="I479" t="s">
        <v>83</v>
      </c>
      <c r="J479" s="17">
        <v>64</v>
      </c>
      <c r="K479" s="17">
        <v>3242</v>
      </c>
      <c r="L479" s="17">
        <v>1617</v>
      </c>
      <c r="M479" t="s">
        <v>84</v>
      </c>
      <c r="N479" t="s">
        <v>84</v>
      </c>
      <c r="O479" t="s">
        <v>84</v>
      </c>
      <c r="P479" t="s">
        <v>84</v>
      </c>
      <c r="Q479" s="17">
        <v>9200000</v>
      </c>
      <c r="R479" s="17">
        <v>18.5</v>
      </c>
      <c r="S479" t="s">
        <v>85</v>
      </c>
      <c r="T479" t="s">
        <v>84</v>
      </c>
      <c r="U479" t="s">
        <v>86</v>
      </c>
      <c r="V479" s="16">
        <v>43762.5</v>
      </c>
      <c r="W479" s="18">
        <v>43678.5</v>
      </c>
      <c r="X479" s="18">
        <v>43782</v>
      </c>
      <c r="Y479" s="17">
        <v>1794.7</v>
      </c>
      <c r="Z479" t="s">
        <v>87</v>
      </c>
      <c r="AA479" s="17">
        <v>1892</v>
      </c>
      <c r="AB479" s="17">
        <v>1395</v>
      </c>
      <c r="AC479" t="s">
        <v>84</v>
      </c>
      <c r="AD479" t="s">
        <v>84</v>
      </c>
      <c r="AE479" t="s">
        <v>84</v>
      </c>
      <c r="AF479" t="s">
        <v>84</v>
      </c>
      <c r="AG479" s="17">
        <v>9779000</v>
      </c>
      <c r="AH479" s="17">
        <v>19.5</v>
      </c>
      <c r="AI479" s="17">
        <v>16.77</v>
      </c>
      <c r="AJ479" s="17">
        <v>3.74</v>
      </c>
      <c r="AK479" t="s">
        <v>298</v>
      </c>
      <c r="AM479" s="17">
        <v>1.8</v>
      </c>
      <c r="AN479" s="17"/>
      <c r="AO479" s="17">
        <v>600</v>
      </c>
      <c r="AP479" s="17"/>
      <c r="AQ479" s="17">
        <v>1580</v>
      </c>
      <c r="AR479" s="17"/>
      <c r="AS479" s="17">
        <v>1.4</v>
      </c>
      <c r="AT479" s="17"/>
      <c r="AU479" s="17">
        <v>521</v>
      </c>
      <c r="AV479" s="17"/>
      <c r="AW479" s="17">
        <v>1583</v>
      </c>
      <c r="AX479" s="17"/>
      <c r="AY479" t="s">
        <v>92</v>
      </c>
      <c r="AZ479" t="s">
        <v>92</v>
      </c>
      <c r="BA479" t="s">
        <v>92</v>
      </c>
      <c r="BB479" t="s">
        <v>92</v>
      </c>
      <c r="BC479" t="s">
        <v>92</v>
      </c>
      <c r="BD479" s="17">
        <v>16.7</v>
      </c>
      <c r="BE479" s="17">
        <v>8897000</v>
      </c>
      <c r="BF479" t="s">
        <v>92</v>
      </c>
      <c r="BG479" t="s">
        <v>92</v>
      </c>
      <c r="BH479" t="s">
        <v>93</v>
      </c>
      <c r="BI479" t="s">
        <v>94</v>
      </c>
      <c r="BJ479" t="s">
        <v>128</v>
      </c>
      <c r="BK479" t="s">
        <v>85</v>
      </c>
      <c r="BL479" t="s">
        <v>85</v>
      </c>
      <c r="BM479" t="s">
        <v>96</v>
      </c>
      <c r="BN479" t="s">
        <v>97</v>
      </c>
      <c r="BO479" t="s">
        <v>216</v>
      </c>
      <c r="BP479" t="s">
        <v>99</v>
      </c>
      <c r="BQ479" s="17">
        <v>5338.187</v>
      </c>
      <c r="BR479" t="s">
        <v>100</v>
      </c>
      <c r="BS479" t="s">
        <v>608</v>
      </c>
      <c r="BT479" t="s">
        <v>99</v>
      </c>
      <c r="BU479" s="17">
        <v>8.6</v>
      </c>
      <c r="BV479" t="s">
        <v>131</v>
      </c>
      <c r="BW479" t="s">
        <v>85</v>
      </c>
      <c r="BX479" t="s">
        <v>85</v>
      </c>
      <c r="BY479" t="str">
        <f>IF(COUNTIF('Data Upload-prod'!E:E,F479)=0,"Missing","Exist")</f>
        <v>Exist</v>
      </c>
    </row>
    <row r="480" hidden="1" spans="1:77">
      <c r="A480" s="16">
        <v>43649</v>
      </c>
      <c r="B480" s="16">
        <v>43812</v>
      </c>
      <c r="C480" t="s">
        <v>195</v>
      </c>
      <c r="D480" t="s">
        <v>78</v>
      </c>
      <c r="E480" t="s">
        <v>296</v>
      </c>
      <c r="F480" t="s">
        <v>943</v>
      </c>
      <c r="G480" t="s">
        <v>81</v>
      </c>
      <c r="H480" t="s">
        <v>198</v>
      </c>
      <c r="I480" t="s">
        <v>83</v>
      </c>
      <c r="J480" s="17">
        <v>64</v>
      </c>
      <c r="K480" s="17">
        <v>2823.5</v>
      </c>
      <c r="L480" s="17">
        <v>1978</v>
      </c>
      <c r="M480" t="s">
        <v>84</v>
      </c>
      <c r="N480" t="s">
        <v>84</v>
      </c>
      <c r="O480" t="s">
        <v>84</v>
      </c>
      <c r="P480" t="s">
        <v>84</v>
      </c>
      <c r="Q480" s="17">
        <v>6100000</v>
      </c>
      <c r="R480" s="17">
        <v>14.5</v>
      </c>
      <c r="S480" t="s">
        <v>85</v>
      </c>
      <c r="T480" t="s">
        <v>84</v>
      </c>
      <c r="U480" t="s">
        <v>86</v>
      </c>
      <c r="V480" s="16">
        <v>43749</v>
      </c>
      <c r="W480" s="18">
        <v>43748</v>
      </c>
      <c r="X480" s="18">
        <v>43762.5</v>
      </c>
      <c r="Y480" s="17">
        <v>2737.7</v>
      </c>
      <c r="Z480" t="s">
        <v>87</v>
      </c>
      <c r="AA480" s="17">
        <v>2835</v>
      </c>
      <c r="AB480" s="17">
        <v>1980</v>
      </c>
      <c r="AC480" t="s">
        <v>84</v>
      </c>
      <c r="AD480" t="s">
        <v>84</v>
      </c>
      <c r="AE480" t="s">
        <v>84</v>
      </c>
      <c r="AF480" t="s">
        <v>84</v>
      </c>
      <c r="AG480" s="17">
        <v>5083000</v>
      </c>
      <c r="AH480" s="17">
        <v>13.4</v>
      </c>
      <c r="AI480" s="17">
        <v>14.15</v>
      </c>
      <c r="AJ480" s="17">
        <v>14.15</v>
      </c>
      <c r="AK480" t="s">
        <v>298</v>
      </c>
      <c r="AM480" s="17">
        <v>1.8</v>
      </c>
      <c r="AN480" s="17"/>
      <c r="AO480" s="17">
        <v>600</v>
      </c>
      <c r="AP480" s="17"/>
      <c r="AQ480" s="17">
        <v>1160</v>
      </c>
      <c r="AR480" s="17"/>
      <c r="AS480" s="17">
        <v>2.6</v>
      </c>
      <c r="AT480" s="17"/>
      <c r="AU480" s="17">
        <v>889</v>
      </c>
      <c r="AV480" s="17"/>
      <c r="AW480" s="17">
        <v>2365</v>
      </c>
      <c r="AX480" s="17"/>
      <c r="AY480" t="s">
        <v>92</v>
      </c>
      <c r="AZ480" t="s">
        <v>92</v>
      </c>
      <c r="BA480" t="s">
        <v>92</v>
      </c>
      <c r="BB480" t="s">
        <v>92</v>
      </c>
      <c r="BC480" t="s">
        <v>92</v>
      </c>
      <c r="BD480" s="17">
        <v>21.5</v>
      </c>
      <c r="BE480" s="17">
        <v>14858000</v>
      </c>
      <c r="BF480" t="s">
        <v>92</v>
      </c>
      <c r="BG480" t="s">
        <v>92</v>
      </c>
      <c r="BH480" t="s">
        <v>93</v>
      </c>
      <c r="BI480" t="s">
        <v>94</v>
      </c>
      <c r="BJ480" t="s">
        <v>128</v>
      </c>
      <c r="BK480" t="s">
        <v>85</v>
      </c>
      <c r="BL480" t="s">
        <v>85</v>
      </c>
      <c r="BM480" t="s">
        <v>96</v>
      </c>
      <c r="BN480" t="s">
        <v>97</v>
      </c>
      <c r="BO480" t="s">
        <v>98</v>
      </c>
      <c r="BP480" t="s">
        <v>99</v>
      </c>
      <c r="BQ480" s="17">
        <v>2063.749</v>
      </c>
      <c r="BR480" t="s">
        <v>100</v>
      </c>
      <c r="BS480" t="s">
        <v>285</v>
      </c>
      <c r="BT480" t="s">
        <v>99</v>
      </c>
      <c r="BU480" s="17">
        <v>8.6</v>
      </c>
      <c r="BV480" t="s">
        <v>131</v>
      </c>
      <c r="BW480" t="s">
        <v>85</v>
      </c>
      <c r="BX480" t="s">
        <v>85</v>
      </c>
      <c r="BY480" t="str">
        <f>IF(COUNTIF('Data Upload-prod'!E:E,F480)=0,"Missing","Exist")</f>
        <v>Exist</v>
      </c>
    </row>
    <row r="481" hidden="1" spans="1:77">
      <c r="A481" s="16">
        <v>43647</v>
      </c>
      <c r="B481" s="16">
        <v>43822</v>
      </c>
      <c r="C481" t="s">
        <v>218</v>
      </c>
      <c r="D481" t="s">
        <v>120</v>
      </c>
      <c r="E481" t="s">
        <v>944</v>
      </c>
      <c r="F481" t="s">
        <v>945</v>
      </c>
      <c r="G481" t="s">
        <v>81</v>
      </c>
      <c r="H481" t="s">
        <v>397</v>
      </c>
      <c r="I481" t="s">
        <v>124</v>
      </c>
      <c r="J481" s="17">
        <v>81.2</v>
      </c>
      <c r="K481" s="17">
        <v>2237</v>
      </c>
      <c r="L481" s="17">
        <v>2237</v>
      </c>
      <c r="M481" t="s">
        <v>84</v>
      </c>
      <c r="N481" t="s">
        <v>84</v>
      </c>
      <c r="O481" t="s">
        <v>84</v>
      </c>
      <c r="P481" t="s">
        <v>84</v>
      </c>
      <c r="Q481" s="17">
        <v>15142859</v>
      </c>
      <c r="R481" s="17">
        <v>28.1</v>
      </c>
      <c r="S481" t="s">
        <v>85</v>
      </c>
      <c r="T481" t="s">
        <v>84</v>
      </c>
      <c r="U481" t="s">
        <v>84</v>
      </c>
      <c r="V481" s="16">
        <v>43670</v>
      </c>
      <c r="W481" s="18">
        <v>43669.9166666667</v>
      </c>
      <c r="X481" s="18">
        <v>43758.75</v>
      </c>
      <c r="Y481" s="17">
        <v>2113.3</v>
      </c>
      <c r="Z481" t="s">
        <v>87</v>
      </c>
      <c r="AA481" s="17">
        <v>2237</v>
      </c>
      <c r="AB481" s="17">
        <v>2237</v>
      </c>
      <c r="AC481" t="s">
        <v>84</v>
      </c>
      <c r="AD481" t="s">
        <v>84</v>
      </c>
      <c r="AE481" t="s">
        <v>84</v>
      </c>
      <c r="AF481" t="s">
        <v>84</v>
      </c>
      <c r="AG481" s="17">
        <v>11160314.91</v>
      </c>
      <c r="AH481" s="17">
        <v>32.82</v>
      </c>
      <c r="AI481" s="17">
        <v>29.36</v>
      </c>
      <c r="AJ481" s="17">
        <v>29.36</v>
      </c>
      <c r="AK481" t="s">
        <v>126</v>
      </c>
      <c r="AM481" s="17">
        <v>2.5</v>
      </c>
      <c r="AN481" s="17"/>
      <c r="AO481" s="17">
        <v>1010</v>
      </c>
      <c r="AP481" s="17"/>
      <c r="AQ481" s="17">
        <v>1705</v>
      </c>
      <c r="AR481" s="17"/>
      <c r="AS481" s="17">
        <v>2.03</v>
      </c>
      <c r="AT481" s="17"/>
      <c r="AU481" s="17">
        <v>672.05</v>
      </c>
      <c r="AV481" s="17"/>
      <c r="AW481" s="17">
        <v>1154.48</v>
      </c>
      <c r="AX481" s="17"/>
      <c r="AY481" t="s">
        <v>92</v>
      </c>
      <c r="AZ481" t="s">
        <v>92</v>
      </c>
      <c r="BA481" t="s">
        <v>92</v>
      </c>
      <c r="BB481" t="s">
        <v>92</v>
      </c>
      <c r="BC481" t="s">
        <v>92</v>
      </c>
      <c r="BD481" t="s">
        <v>92</v>
      </c>
      <c r="BE481" t="s">
        <v>92</v>
      </c>
      <c r="BF481" t="s">
        <v>92</v>
      </c>
      <c r="BG481" t="s">
        <v>92</v>
      </c>
      <c r="BH481" t="s">
        <v>92</v>
      </c>
      <c r="BI481" t="s">
        <v>92</v>
      </c>
      <c r="BJ481" t="s">
        <v>92</v>
      </c>
      <c r="BK481" t="s">
        <v>92</v>
      </c>
      <c r="BL481" t="s">
        <v>92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92</v>
      </c>
      <c r="BS481" t="s">
        <v>92</v>
      </c>
      <c r="BT481" t="s">
        <v>92</v>
      </c>
      <c r="BU481" t="s">
        <v>92</v>
      </c>
      <c r="BV481" t="s">
        <v>92</v>
      </c>
      <c r="BW481" t="s">
        <v>92</v>
      </c>
      <c r="BX481" t="s">
        <v>92</v>
      </c>
      <c r="BY481" t="str">
        <f>IF(COUNTIF('Data Upload-prod'!E:E,F481)=0,"Missing","Exist")</f>
        <v>Exist</v>
      </c>
    </row>
    <row r="482" hidden="1" spans="1:77">
      <c r="A482" s="16">
        <v>43647</v>
      </c>
      <c r="B482" s="16">
        <v>43810</v>
      </c>
      <c r="C482" t="s">
        <v>218</v>
      </c>
      <c r="D482" t="s">
        <v>120</v>
      </c>
      <c r="E482" t="s">
        <v>944</v>
      </c>
      <c r="F482" t="s">
        <v>946</v>
      </c>
      <c r="G482" t="s">
        <v>81</v>
      </c>
      <c r="H482" t="s">
        <v>397</v>
      </c>
      <c r="I482" t="s">
        <v>124</v>
      </c>
      <c r="J482" s="17">
        <v>81.2</v>
      </c>
      <c r="K482" s="17">
        <v>2187</v>
      </c>
      <c r="L482" s="17">
        <v>2083.19</v>
      </c>
      <c r="M482" t="s">
        <v>84</v>
      </c>
      <c r="N482" t="s">
        <v>84</v>
      </c>
      <c r="O482" t="s">
        <v>84</v>
      </c>
      <c r="P482" t="s">
        <v>84</v>
      </c>
      <c r="Q482" s="17">
        <v>15168816</v>
      </c>
      <c r="R482" s="17">
        <v>28.28</v>
      </c>
      <c r="S482" t="s">
        <v>85</v>
      </c>
      <c r="T482" t="s">
        <v>84</v>
      </c>
      <c r="U482" t="s">
        <v>84</v>
      </c>
      <c r="V482" s="16">
        <v>43669</v>
      </c>
      <c r="W482" s="18">
        <v>43668</v>
      </c>
      <c r="X482" s="18">
        <v>43687</v>
      </c>
      <c r="Y482" s="17">
        <v>2114.39</v>
      </c>
      <c r="Z482" t="s">
        <v>87</v>
      </c>
      <c r="AA482" s="17">
        <v>2238</v>
      </c>
      <c r="AB482" s="17">
        <v>2130.08</v>
      </c>
      <c r="AC482" t="s">
        <v>84</v>
      </c>
      <c r="AD482" t="s">
        <v>84</v>
      </c>
      <c r="AE482" t="s">
        <v>84</v>
      </c>
      <c r="AF482" t="s">
        <v>84</v>
      </c>
      <c r="AG482" s="17">
        <v>8857339</v>
      </c>
      <c r="AH482" s="17">
        <v>27.06</v>
      </c>
      <c r="AI482" s="17">
        <v>0</v>
      </c>
      <c r="AJ482" s="17">
        <v>0</v>
      </c>
      <c r="AK482" t="s">
        <v>126</v>
      </c>
      <c r="AM482" s="17">
        <v>2.5</v>
      </c>
      <c r="AN482" s="17"/>
      <c r="AO482" s="17">
        <v>1010</v>
      </c>
      <c r="AP482" s="17"/>
      <c r="AQ482" s="17">
        <v>1705</v>
      </c>
      <c r="AR482" s="17"/>
      <c r="AS482" s="17">
        <v>1.76</v>
      </c>
      <c r="AT482" s="17"/>
      <c r="AU482" s="17">
        <v>486</v>
      </c>
      <c r="AV482" s="17"/>
      <c r="AW482" s="17">
        <v>1028</v>
      </c>
      <c r="AX482" s="17"/>
      <c r="AY482" t="s">
        <v>92</v>
      </c>
      <c r="AZ482" t="s">
        <v>92</v>
      </c>
      <c r="BA482" t="s">
        <v>92</v>
      </c>
      <c r="BB482" t="s">
        <v>92</v>
      </c>
      <c r="BC482" t="s">
        <v>92</v>
      </c>
      <c r="BD482" t="s">
        <v>92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92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92</v>
      </c>
      <c r="BS482" t="s">
        <v>92</v>
      </c>
      <c r="BT482" t="s">
        <v>92</v>
      </c>
      <c r="BU482" t="s">
        <v>92</v>
      </c>
      <c r="BV482" t="s">
        <v>92</v>
      </c>
      <c r="BW482" t="s">
        <v>92</v>
      </c>
      <c r="BX482" t="s">
        <v>92</v>
      </c>
      <c r="BY482" t="str">
        <f>IF(COUNTIF('Data Upload-prod'!E:E,F482)=0,"Missing","Exist")</f>
        <v>Exist</v>
      </c>
    </row>
    <row r="483" hidden="1" spans="1:77">
      <c r="A483" s="16">
        <v>43644</v>
      </c>
      <c r="B483" s="16">
        <v>43754</v>
      </c>
      <c r="C483" t="s">
        <v>132</v>
      </c>
      <c r="D483" t="s">
        <v>120</v>
      </c>
      <c r="E483" t="s">
        <v>908</v>
      </c>
      <c r="F483" t="s">
        <v>947</v>
      </c>
      <c r="G483" t="s">
        <v>81</v>
      </c>
      <c r="H483" t="s">
        <v>162</v>
      </c>
      <c r="I483" t="s">
        <v>124</v>
      </c>
      <c r="J483" s="17">
        <v>30.6</v>
      </c>
      <c r="K483" s="17">
        <v>2697</v>
      </c>
      <c r="L483" s="17">
        <v>1120</v>
      </c>
      <c r="M483" t="s">
        <v>84</v>
      </c>
      <c r="N483" t="s">
        <v>84</v>
      </c>
      <c r="O483" t="s">
        <v>84</v>
      </c>
      <c r="P483" t="s">
        <v>84</v>
      </c>
      <c r="Q483" s="17">
        <v>14036109</v>
      </c>
      <c r="R483" s="17">
        <v>47.18</v>
      </c>
      <c r="S483" t="s">
        <v>85</v>
      </c>
      <c r="T483" t="s">
        <v>84</v>
      </c>
      <c r="U483" t="s">
        <v>86</v>
      </c>
      <c r="V483" s="16">
        <v>43676</v>
      </c>
      <c r="W483" s="18">
        <v>43674.6875</v>
      </c>
      <c r="X483" s="18">
        <v>43728.7708333333</v>
      </c>
      <c r="Y483" s="17">
        <v>2928.5</v>
      </c>
      <c r="Z483" t="s">
        <v>87</v>
      </c>
      <c r="AA483" s="17">
        <v>2984</v>
      </c>
      <c r="AB483" s="17">
        <v>1256.71</v>
      </c>
      <c r="AC483" t="s">
        <v>84</v>
      </c>
      <c r="AD483" t="s">
        <v>84</v>
      </c>
      <c r="AE483" t="s">
        <v>84</v>
      </c>
      <c r="AF483" t="s">
        <v>84</v>
      </c>
      <c r="AG483" s="17">
        <v>13753785</v>
      </c>
      <c r="AH483" s="17">
        <v>54.04</v>
      </c>
      <c r="AI483" s="17">
        <v>1.85</v>
      </c>
      <c r="AJ483" s="17">
        <v>1.85</v>
      </c>
      <c r="AK483" t="s">
        <v>208</v>
      </c>
      <c r="AM483" s="17">
        <v>2.2</v>
      </c>
      <c r="AN483" s="17"/>
      <c r="AO483" s="17">
        <v>830</v>
      </c>
      <c r="AP483" s="17"/>
      <c r="AQ483" s="17">
        <v>1395</v>
      </c>
      <c r="AR483" s="17"/>
      <c r="AS483" s="17">
        <v>1.64</v>
      </c>
      <c r="AT483" s="17"/>
      <c r="AU483" s="17">
        <v>447</v>
      </c>
      <c r="AV483" s="17"/>
      <c r="AW483" s="17">
        <v>1232</v>
      </c>
      <c r="AX483" s="17"/>
      <c r="AY483" t="s">
        <v>92</v>
      </c>
      <c r="AZ483" t="s">
        <v>92</v>
      </c>
      <c r="BA483" t="s">
        <v>92</v>
      </c>
      <c r="BB483" t="s">
        <v>92</v>
      </c>
      <c r="BC483" t="s">
        <v>92</v>
      </c>
      <c r="BD483" s="17">
        <v>31.1</v>
      </c>
      <c r="BE483" s="17">
        <v>6275713.06</v>
      </c>
      <c r="BF483" t="s">
        <v>92</v>
      </c>
      <c r="BG483" t="s">
        <v>92</v>
      </c>
      <c r="BH483" t="s">
        <v>93</v>
      </c>
      <c r="BI483" t="s">
        <v>94</v>
      </c>
      <c r="BJ483" t="s">
        <v>215</v>
      </c>
      <c r="BK483" t="s">
        <v>85</v>
      </c>
      <c r="BL483" t="s">
        <v>85</v>
      </c>
      <c r="BM483" t="s">
        <v>96</v>
      </c>
      <c r="BN483" t="s">
        <v>253</v>
      </c>
      <c r="BO483" t="s">
        <v>216</v>
      </c>
      <c r="BP483" t="s">
        <v>103</v>
      </c>
      <c r="BQ483" s="17">
        <v>1515.8</v>
      </c>
      <c r="BR483" t="s">
        <v>100</v>
      </c>
      <c r="BS483" t="s">
        <v>92</v>
      </c>
      <c r="BT483" t="s">
        <v>550</v>
      </c>
      <c r="BU483" s="17">
        <v>9.7</v>
      </c>
      <c r="BV483" t="s">
        <v>191</v>
      </c>
      <c r="BW483" t="s">
        <v>85</v>
      </c>
      <c r="BX483" t="s">
        <v>85</v>
      </c>
      <c r="BY483" t="str">
        <f>IF(COUNTIF('Data Upload-prod'!E:E,F483)=0,"Missing","Exist")</f>
        <v>Exist</v>
      </c>
    </row>
    <row r="484" hidden="1" spans="1:77">
      <c r="A484" s="16">
        <v>43641</v>
      </c>
      <c r="B484" s="16">
        <v>43825</v>
      </c>
      <c r="C484" t="s">
        <v>269</v>
      </c>
      <c r="D484" t="s">
        <v>78</v>
      </c>
      <c r="E484" t="s">
        <v>948</v>
      </c>
      <c r="F484" t="s">
        <v>949</v>
      </c>
      <c r="G484" t="s">
        <v>81</v>
      </c>
      <c r="H484" t="s">
        <v>790</v>
      </c>
      <c r="I484" t="s">
        <v>124</v>
      </c>
      <c r="J484" s="17">
        <v>56.02</v>
      </c>
      <c r="K484" s="17">
        <v>3273.7</v>
      </c>
      <c r="L484" s="17">
        <v>1300.52</v>
      </c>
      <c r="M484" t="s">
        <v>84</v>
      </c>
      <c r="N484" t="s">
        <v>84</v>
      </c>
      <c r="O484" t="s">
        <v>84</v>
      </c>
      <c r="P484" t="s">
        <v>84</v>
      </c>
      <c r="Q484" s="17">
        <v>13160000</v>
      </c>
      <c r="R484" s="17">
        <v>27</v>
      </c>
      <c r="S484" t="s">
        <v>85</v>
      </c>
      <c r="T484" t="s">
        <v>84</v>
      </c>
      <c r="U484" t="s">
        <v>86</v>
      </c>
      <c r="V484" s="16">
        <v>43675</v>
      </c>
      <c r="W484" s="18">
        <v>43674.7916666667</v>
      </c>
      <c r="X484" s="18">
        <v>43756.7916666667</v>
      </c>
      <c r="Y484" s="17">
        <v>3208.9</v>
      </c>
      <c r="Z484" t="s">
        <v>87</v>
      </c>
      <c r="AA484" s="17">
        <v>3308.14</v>
      </c>
      <c r="AB484" s="17">
        <v>1313.34</v>
      </c>
      <c r="AC484" t="s">
        <v>84</v>
      </c>
      <c r="AD484" t="s">
        <v>84</v>
      </c>
      <c r="AE484" t="s">
        <v>84</v>
      </c>
      <c r="AF484" t="s">
        <v>84</v>
      </c>
      <c r="AG484" s="17">
        <v>17815000</v>
      </c>
      <c r="AH484" s="17">
        <v>43.56</v>
      </c>
      <c r="AI484" s="17">
        <v>22.14</v>
      </c>
      <c r="AJ484" s="17">
        <v>22.14</v>
      </c>
      <c r="AK484" t="s">
        <v>114</v>
      </c>
      <c r="AM484" s="17">
        <v>2.2</v>
      </c>
      <c r="AN484" s="17"/>
      <c r="AO484" s="17">
        <v>915</v>
      </c>
      <c r="AP484" s="17"/>
      <c r="AQ484" s="17">
        <v>1450</v>
      </c>
      <c r="AR484" s="17"/>
      <c r="AS484" s="17">
        <v>3.26</v>
      </c>
      <c r="AT484" s="17"/>
      <c r="AU484" s="17">
        <v>1238</v>
      </c>
      <c r="AV484" s="17"/>
      <c r="AW484" s="17">
        <v>1730</v>
      </c>
      <c r="AX484" s="17"/>
      <c r="AY484" t="s">
        <v>92</v>
      </c>
      <c r="AZ484" t="s">
        <v>92</v>
      </c>
      <c r="BA484" t="s">
        <v>92</v>
      </c>
      <c r="BB484" t="s">
        <v>92</v>
      </c>
      <c r="BC484" t="s">
        <v>92</v>
      </c>
      <c r="BD484" s="17">
        <v>11.3</v>
      </c>
      <c r="BE484" s="17">
        <v>6730000</v>
      </c>
      <c r="BF484" t="s">
        <v>92</v>
      </c>
      <c r="BG484" t="s">
        <v>92</v>
      </c>
      <c r="BH484" t="s">
        <v>93</v>
      </c>
      <c r="BI484" t="s">
        <v>94</v>
      </c>
      <c r="BJ484" t="s">
        <v>128</v>
      </c>
      <c r="BK484" t="s">
        <v>85</v>
      </c>
      <c r="BL484" t="s">
        <v>85</v>
      </c>
      <c r="BM484" t="s">
        <v>273</v>
      </c>
      <c r="BN484" t="s">
        <v>97</v>
      </c>
      <c r="BO484" t="s">
        <v>98</v>
      </c>
      <c r="BP484" t="s">
        <v>99</v>
      </c>
      <c r="BQ484" s="17">
        <v>379.99</v>
      </c>
      <c r="BR484" t="s">
        <v>138</v>
      </c>
      <c r="BS484" t="s">
        <v>92</v>
      </c>
      <c r="BT484" t="s">
        <v>99</v>
      </c>
      <c r="BU484" s="17">
        <v>9.4</v>
      </c>
      <c r="BV484" t="s">
        <v>256</v>
      </c>
      <c r="BW484" t="s">
        <v>85</v>
      </c>
      <c r="BX484" t="s">
        <v>85</v>
      </c>
      <c r="BY484" t="str">
        <f>IF(COUNTIF('Data Upload-prod'!E:E,F484)=0,"Missing","Exist")</f>
        <v>Exist</v>
      </c>
    </row>
    <row r="485" hidden="1" spans="1:77">
      <c r="A485" s="16">
        <v>43641</v>
      </c>
      <c r="B485" s="16">
        <v>44054</v>
      </c>
      <c r="C485" t="s">
        <v>269</v>
      </c>
      <c r="D485" t="s">
        <v>78</v>
      </c>
      <c r="E485" t="s">
        <v>948</v>
      </c>
      <c r="F485" t="s">
        <v>950</v>
      </c>
      <c r="G485" t="s">
        <v>81</v>
      </c>
      <c r="H485" t="s">
        <v>790</v>
      </c>
      <c r="I485" t="s">
        <v>124</v>
      </c>
      <c r="J485" s="17">
        <v>56.02</v>
      </c>
      <c r="K485" s="17">
        <v>2791.83</v>
      </c>
      <c r="L485" s="17">
        <v>1219.14</v>
      </c>
      <c r="M485" t="s">
        <v>84</v>
      </c>
      <c r="N485" t="s">
        <v>84</v>
      </c>
      <c r="O485" t="s">
        <v>84</v>
      </c>
      <c r="P485" t="s">
        <v>84</v>
      </c>
      <c r="Q485" s="17">
        <v>11420000</v>
      </c>
      <c r="R485" s="17">
        <v>20.8</v>
      </c>
      <c r="S485" t="s">
        <v>85</v>
      </c>
      <c r="T485" t="s">
        <v>84</v>
      </c>
      <c r="U485" t="s">
        <v>86</v>
      </c>
      <c r="V485" s="16">
        <v>43678</v>
      </c>
      <c r="W485" s="18">
        <v>43678.375</v>
      </c>
      <c r="X485" s="18">
        <v>43958.0625</v>
      </c>
      <c r="Y485" s="17">
        <v>2529.93</v>
      </c>
      <c r="Z485" t="s">
        <v>87</v>
      </c>
      <c r="AA485" s="17">
        <v>2629.38</v>
      </c>
      <c r="AB485" s="17">
        <v>1229.81</v>
      </c>
      <c r="AC485" t="s">
        <v>84</v>
      </c>
      <c r="AD485" t="s">
        <v>84</v>
      </c>
      <c r="AE485" t="s">
        <v>84</v>
      </c>
      <c r="AF485" t="s">
        <v>84</v>
      </c>
      <c r="AG485" s="17">
        <v>9430000</v>
      </c>
      <c r="AH485" s="17">
        <v>23.92</v>
      </c>
      <c r="AI485" s="17">
        <v>1.3</v>
      </c>
      <c r="AJ485" s="17">
        <v>1.3</v>
      </c>
      <c r="AK485" t="s">
        <v>114</v>
      </c>
      <c r="AM485" s="17">
        <v>2.2</v>
      </c>
      <c r="AN485" s="17"/>
      <c r="AO485" s="17">
        <v>915</v>
      </c>
      <c r="AP485" s="17"/>
      <c r="AQ485" s="17">
        <v>1450</v>
      </c>
      <c r="AR485" s="17"/>
      <c r="AS485" s="17">
        <v>1.83</v>
      </c>
      <c r="AT485" s="17"/>
      <c r="AU485" s="17">
        <v>680</v>
      </c>
      <c r="AV485" s="17"/>
      <c r="AW485" s="17">
        <v>1169</v>
      </c>
      <c r="AX485" s="17"/>
      <c r="AY485" t="s">
        <v>92</v>
      </c>
      <c r="AZ485" t="s">
        <v>92</v>
      </c>
      <c r="BA485" t="s">
        <v>92</v>
      </c>
      <c r="BB485" t="s">
        <v>92</v>
      </c>
      <c r="BC485" t="s">
        <v>92</v>
      </c>
      <c r="BD485" s="17">
        <v>8.32</v>
      </c>
      <c r="BE485" s="17">
        <v>3930000</v>
      </c>
      <c r="BF485" t="s">
        <v>92</v>
      </c>
      <c r="BG485" t="s">
        <v>92</v>
      </c>
      <c r="BH485" t="s">
        <v>93</v>
      </c>
      <c r="BI485" t="s">
        <v>94</v>
      </c>
      <c r="BJ485" t="s">
        <v>128</v>
      </c>
      <c r="BK485" t="s">
        <v>85</v>
      </c>
      <c r="BL485" t="s">
        <v>85</v>
      </c>
      <c r="BM485" t="s">
        <v>273</v>
      </c>
      <c r="BN485" t="s">
        <v>97</v>
      </c>
      <c r="BO485" t="s">
        <v>98</v>
      </c>
      <c r="BP485" t="s">
        <v>99</v>
      </c>
      <c r="BQ485" s="17">
        <v>2225.77</v>
      </c>
      <c r="BR485" t="s">
        <v>138</v>
      </c>
      <c r="BS485" t="s">
        <v>92</v>
      </c>
      <c r="BT485" t="s">
        <v>99</v>
      </c>
      <c r="BU485" s="17">
        <v>9.3</v>
      </c>
      <c r="BV485" t="s">
        <v>256</v>
      </c>
      <c r="BW485" t="s">
        <v>85</v>
      </c>
      <c r="BX485" t="s">
        <v>85</v>
      </c>
      <c r="BY485" t="str">
        <f>IF(COUNTIF('Data Upload-prod'!E:E,F485)=0,"Missing","Exist")</f>
        <v>Exist</v>
      </c>
    </row>
    <row r="486" hidden="1" spans="1:77">
      <c r="A486" s="16">
        <v>43641</v>
      </c>
      <c r="B486" s="16">
        <v>44039</v>
      </c>
      <c r="C486" t="s">
        <v>269</v>
      </c>
      <c r="D486" t="s">
        <v>78</v>
      </c>
      <c r="E486" t="s">
        <v>948</v>
      </c>
      <c r="F486" t="s">
        <v>951</v>
      </c>
      <c r="G486" t="s">
        <v>81</v>
      </c>
      <c r="H486" t="s">
        <v>790</v>
      </c>
      <c r="I486" t="s">
        <v>124</v>
      </c>
      <c r="J486" s="17">
        <v>55.93</v>
      </c>
      <c r="K486" s="17">
        <v>3383.72</v>
      </c>
      <c r="L486" s="17">
        <v>1231.94</v>
      </c>
      <c r="M486" t="s">
        <v>84</v>
      </c>
      <c r="N486" t="s">
        <v>84</v>
      </c>
      <c r="O486" t="s">
        <v>84</v>
      </c>
      <c r="P486" t="s">
        <v>84</v>
      </c>
      <c r="Q486" s="17">
        <v>14300000</v>
      </c>
      <c r="R486" s="17">
        <v>26.7</v>
      </c>
      <c r="S486" t="s">
        <v>85</v>
      </c>
      <c r="T486" t="s">
        <v>84</v>
      </c>
      <c r="U486" t="s">
        <v>86</v>
      </c>
      <c r="V486" s="16">
        <v>43682.1458333333</v>
      </c>
      <c r="W486" s="18">
        <v>43681.6041666667</v>
      </c>
      <c r="X486" s="18">
        <v>43999.8125</v>
      </c>
      <c r="Y486" s="17">
        <v>3375.95</v>
      </c>
      <c r="Z486" t="s">
        <v>87</v>
      </c>
      <c r="AA486" s="17">
        <v>3462.36</v>
      </c>
      <c r="AB486" s="17">
        <v>1343.19</v>
      </c>
      <c r="AC486" t="s">
        <v>84</v>
      </c>
      <c r="AD486" t="s">
        <v>84</v>
      </c>
      <c r="AE486" t="s">
        <v>84</v>
      </c>
      <c r="AF486" t="s">
        <v>84</v>
      </c>
      <c r="AG486" s="17">
        <v>11110000</v>
      </c>
      <c r="AH486" s="17">
        <v>28.94</v>
      </c>
      <c r="AI486" s="17">
        <v>8.35</v>
      </c>
      <c r="AJ486" s="17">
        <v>8.35</v>
      </c>
      <c r="AK486" t="s">
        <v>114</v>
      </c>
      <c r="AM486" s="17">
        <v>2.2</v>
      </c>
      <c r="AN486" s="17"/>
      <c r="AO486" s="17">
        <v>915</v>
      </c>
      <c r="AP486" s="17"/>
      <c r="AQ486" s="17">
        <v>1450</v>
      </c>
      <c r="AR486" s="17"/>
      <c r="AS486" s="17">
        <v>1.81</v>
      </c>
      <c r="AT486" s="17"/>
      <c r="AU486" s="17">
        <v>617</v>
      </c>
      <c r="AV486" s="17"/>
      <c r="AW486" s="17">
        <v>1028</v>
      </c>
      <c r="AX486" s="17"/>
      <c r="AY486" t="s">
        <v>92</v>
      </c>
      <c r="AZ486" t="s">
        <v>92</v>
      </c>
      <c r="BA486" t="s">
        <v>92</v>
      </c>
      <c r="BB486" t="s">
        <v>92</v>
      </c>
      <c r="BC486" t="s">
        <v>92</v>
      </c>
      <c r="BD486" s="17">
        <v>10.94</v>
      </c>
      <c r="BE486" s="17">
        <v>4310000</v>
      </c>
      <c r="BF486" t="s">
        <v>92</v>
      </c>
      <c r="BG486" t="s">
        <v>92</v>
      </c>
      <c r="BH486" t="s">
        <v>93</v>
      </c>
      <c r="BI486" t="s">
        <v>94</v>
      </c>
      <c r="BJ486" t="s">
        <v>128</v>
      </c>
      <c r="BK486" t="s">
        <v>85</v>
      </c>
      <c r="BL486" t="s">
        <v>85</v>
      </c>
      <c r="BM486" t="s">
        <v>273</v>
      </c>
      <c r="BN486" t="s">
        <v>97</v>
      </c>
      <c r="BO486" t="s">
        <v>98</v>
      </c>
      <c r="BP486" t="s">
        <v>99</v>
      </c>
      <c r="BQ486" s="17">
        <v>1265.14</v>
      </c>
      <c r="BR486" t="s">
        <v>138</v>
      </c>
      <c r="BS486" t="s">
        <v>92</v>
      </c>
      <c r="BT486" t="s">
        <v>99</v>
      </c>
      <c r="BU486" s="17">
        <v>9.3</v>
      </c>
      <c r="BV486" t="s">
        <v>256</v>
      </c>
      <c r="BW486" t="s">
        <v>85</v>
      </c>
      <c r="BX486" t="s">
        <v>85</v>
      </c>
      <c r="BY486" t="str">
        <f>IF(COUNTIF('Data Upload-prod'!E:E,F486)=0,"Missing","Exist")</f>
        <v>Exist</v>
      </c>
    </row>
    <row r="487" hidden="1" spans="1:77">
      <c r="A487" s="16">
        <v>43641</v>
      </c>
      <c r="B487" s="16">
        <v>43817</v>
      </c>
      <c r="C487" t="s">
        <v>269</v>
      </c>
      <c r="D487" t="s">
        <v>78</v>
      </c>
      <c r="E487" t="s">
        <v>948</v>
      </c>
      <c r="F487" t="s">
        <v>952</v>
      </c>
      <c r="G487" t="s">
        <v>81</v>
      </c>
      <c r="H487" t="s">
        <v>790</v>
      </c>
      <c r="I487" t="s">
        <v>124</v>
      </c>
      <c r="J487" s="17">
        <v>56.02</v>
      </c>
      <c r="K487" s="17">
        <v>2875.34</v>
      </c>
      <c r="L487" s="17">
        <v>1225.24</v>
      </c>
      <c r="M487" t="s">
        <v>84</v>
      </c>
      <c r="N487" t="s">
        <v>84</v>
      </c>
      <c r="O487" t="s">
        <v>84</v>
      </c>
      <c r="P487" t="s">
        <v>84</v>
      </c>
      <c r="Q487" s="17">
        <v>11160000</v>
      </c>
      <c r="R487" s="17">
        <v>23.4</v>
      </c>
      <c r="S487" t="s">
        <v>85</v>
      </c>
      <c r="T487" t="s">
        <v>84</v>
      </c>
      <c r="U487" t="s">
        <v>86</v>
      </c>
      <c r="V487" s="16">
        <v>43685</v>
      </c>
      <c r="W487" s="18">
        <v>43684.7916666667</v>
      </c>
      <c r="X487" s="18">
        <v>43754.75</v>
      </c>
      <c r="Y487" s="17">
        <v>2788.6</v>
      </c>
      <c r="Z487" t="s">
        <v>87</v>
      </c>
      <c r="AA487" s="17">
        <v>2887.84</v>
      </c>
      <c r="AB487" s="17">
        <v>1237</v>
      </c>
      <c r="AC487" t="s">
        <v>84</v>
      </c>
      <c r="AD487" t="s">
        <v>84</v>
      </c>
      <c r="AE487" t="s">
        <v>84</v>
      </c>
      <c r="AF487" t="s">
        <v>84</v>
      </c>
      <c r="AG487" s="17">
        <v>11450000</v>
      </c>
      <c r="AH487" s="17">
        <v>32.06</v>
      </c>
      <c r="AI487" s="17">
        <v>6.82</v>
      </c>
      <c r="AJ487" s="17">
        <v>6.82</v>
      </c>
      <c r="AK487" t="s">
        <v>114</v>
      </c>
      <c r="AM487" s="17">
        <v>2.2</v>
      </c>
      <c r="AN487" s="17"/>
      <c r="AO487" s="17">
        <v>915</v>
      </c>
      <c r="AP487" s="17"/>
      <c r="AQ487" s="17">
        <v>1450</v>
      </c>
      <c r="AR487" s="17"/>
      <c r="AS487" s="17">
        <v>2.4</v>
      </c>
      <c r="AT487" s="17"/>
      <c r="AU487" s="17">
        <v>891</v>
      </c>
      <c r="AV487" s="17"/>
      <c r="AW487" s="17">
        <v>1284</v>
      </c>
      <c r="AX487" s="17"/>
      <c r="AY487" t="s">
        <v>92</v>
      </c>
      <c r="AZ487" t="s">
        <v>92</v>
      </c>
      <c r="BA487" t="s">
        <v>92</v>
      </c>
      <c r="BB487" t="s">
        <v>92</v>
      </c>
      <c r="BC487" t="s">
        <v>92</v>
      </c>
      <c r="BD487" s="17">
        <v>10.75</v>
      </c>
      <c r="BE487" s="17">
        <v>4460000</v>
      </c>
      <c r="BF487" t="s">
        <v>92</v>
      </c>
      <c r="BG487" t="s">
        <v>92</v>
      </c>
      <c r="BH487" t="s">
        <v>93</v>
      </c>
      <c r="BI487" t="s">
        <v>94</v>
      </c>
      <c r="BJ487" t="s">
        <v>128</v>
      </c>
      <c r="BK487" t="s">
        <v>85</v>
      </c>
      <c r="BL487" t="s">
        <v>85</v>
      </c>
      <c r="BM487" t="s">
        <v>273</v>
      </c>
      <c r="BN487" t="s">
        <v>97</v>
      </c>
      <c r="BO487" t="s">
        <v>98</v>
      </c>
      <c r="BP487" t="s">
        <v>99</v>
      </c>
      <c r="BQ487" s="17">
        <v>1025.37</v>
      </c>
      <c r="BR487" t="s">
        <v>138</v>
      </c>
      <c r="BS487" t="s">
        <v>92</v>
      </c>
      <c r="BT487" t="s">
        <v>99</v>
      </c>
      <c r="BU487" s="17">
        <v>9.4</v>
      </c>
      <c r="BV487" t="s">
        <v>256</v>
      </c>
      <c r="BW487" t="s">
        <v>85</v>
      </c>
      <c r="BX487" t="s">
        <v>85</v>
      </c>
      <c r="BY487" t="str">
        <f>IF(COUNTIF('Data Upload-prod'!E:E,F487)=0,"Missing","Exist")</f>
        <v>Exist</v>
      </c>
    </row>
    <row r="488" hidden="1" spans="1:77">
      <c r="A488" s="16">
        <v>43626</v>
      </c>
      <c r="B488" s="16">
        <v>43742</v>
      </c>
      <c r="C488" t="s">
        <v>141</v>
      </c>
      <c r="D488" t="s">
        <v>120</v>
      </c>
      <c r="E488" t="s">
        <v>953</v>
      </c>
      <c r="F488" t="s">
        <v>954</v>
      </c>
      <c r="G488" t="s">
        <v>145</v>
      </c>
      <c r="H488" t="s">
        <v>658</v>
      </c>
      <c r="I488" t="s">
        <v>231</v>
      </c>
      <c r="J488" s="17">
        <v>121.4</v>
      </c>
      <c r="K488" s="17">
        <v>1969</v>
      </c>
      <c r="L488" s="17">
        <v>1946</v>
      </c>
      <c r="M488" s="17">
        <v>13597000</v>
      </c>
      <c r="N488" s="17">
        <v>18021000</v>
      </c>
      <c r="O488" s="17">
        <v>31.38</v>
      </c>
      <c r="P488" s="17">
        <v>44.49</v>
      </c>
      <c r="Q488" t="s">
        <v>84</v>
      </c>
      <c r="R488" t="s">
        <v>84</v>
      </c>
      <c r="S488" t="s">
        <v>85</v>
      </c>
      <c r="T488" t="s">
        <v>84</v>
      </c>
      <c r="U488" t="s">
        <v>84</v>
      </c>
      <c r="V488" s="16">
        <v>43638</v>
      </c>
      <c r="W488" s="18">
        <v>43636.2916666667</v>
      </c>
      <c r="X488" s="18">
        <v>43684.7916666667</v>
      </c>
      <c r="Y488" s="17">
        <v>2650.74</v>
      </c>
      <c r="Z488" t="s">
        <v>87</v>
      </c>
      <c r="AA488" s="17">
        <v>2795</v>
      </c>
      <c r="AB488" s="17">
        <v>2795</v>
      </c>
      <c r="AC488" t="s">
        <v>84</v>
      </c>
      <c r="AD488" s="17">
        <v>18340000</v>
      </c>
      <c r="AE488" t="s">
        <v>84</v>
      </c>
      <c r="AF488" s="17">
        <v>50.6</v>
      </c>
      <c r="AG488" t="s">
        <v>84</v>
      </c>
      <c r="AH488" t="s">
        <v>84</v>
      </c>
      <c r="AI488" s="17">
        <v>2.9</v>
      </c>
      <c r="AJ488" s="17">
        <v>2.9</v>
      </c>
      <c r="AK488" t="s">
        <v>323</v>
      </c>
      <c r="AM488" s="17">
        <v>4.4</v>
      </c>
      <c r="AN488" s="17"/>
      <c r="AO488" s="17">
        <v>1980</v>
      </c>
      <c r="AP488" s="17"/>
      <c r="AQ488" s="17">
        <v>2760</v>
      </c>
      <c r="AR488" s="17"/>
      <c r="AS488" s="17">
        <v>2.5</v>
      </c>
      <c r="AT488" s="17"/>
      <c r="AU488" s="17">
        <v>1060</v>
      </c>
      <c r="AV488" s="17"/>
      <c r="AW488" s="17">
        <v>2685</v>
      </c>
      <c r="AX488" s="17"/>
      <c r="AY488" t="s">
        <v>92</v>
      </c>
      <c r="AZ488" t="s">
        <v>92</v>
      </c>
      <c r="BA488" t="s">
        <v>92</v>
      </c>
      <c r="BB488" t="s">
        <v>92</v>
      </c>
      <c r="BC488" t="s">
        <v>92</v>
      </c>
      <c r="BD488" t="s">
        <v>92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92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92</v>
      </c>
      <c r="BS488" t="s">
        <v>92</v>
      </c>
      <c r="BT488" t="s">
        <v>92</v>
      </c>
      <c r="BU488" t="s">
        <v>92</v>
      </c>
      <c r="BV488" t="s">
        <v>92</v>
      </c>
      <c r="BW488" t="s">
        <v>92</v>
      </c>
      <c r="BX488" t="s">
        <v>92</v>
      </c>
      <c r="BY488" t="str">
        <f>IF(COUNTIF('Data Upload-prod'!E:E,F488)=0,"Missing","Exist")</f>
        <v>Exist</v>
      </c>
    </row>
    <row r="489" hidden="1" spans="1:77">
      <c r="A489" s="16">
        <v>43608</v>
      </c>
      <c r="B489" s="16">
        <v>43775</v>
      </c>
      <c r="C489" t="s">
        <v>132</v>
      </c>
      <c r="D489" t="s">
        <v>120</v>
      </c>
      <c r="E489" t="s">
        <v>463</v>
      </c>
      <c r="F489" t="s">
        <v>955</v>
      </c>
      <c r="G489" t="s">
        <v>81</v>
      </c>
      <c r="H489" t="s">
        <v>172</v>
      </c>
      <c r="I489" t="s">
        <v>124</v>
      </c>
      <c r="J489" s="17">
        <v>68.88</v>
      </c>
      <c r="K489" s="17">
        <v>2199.94</v>
      </c>
      <c r="L489" s="17">
        <v>1190.49</v>
      </c>
      <c r="M489" t="s">
        <v>84</v>
      </c>
      <c r="N489" t="s">
        <v>84</v>
      </c>
      <c r="O489" t="s">
        <v>84</v>
      </c>
      <c r="P489" t="s">
        <v>84</v>
      </c>
      <c r="Q489" s="17">
        <v>9993869</v>
      </c>
      <c r="R489" s="17">
        <v>23</v>
      </c>
      <c r="S489" t="s">
        <v>85</v>
      </c>
      <c r="T489" t="s">
        <v>84</v>
      </c>
      <c r="U489" t="s">
        <v>86</v>
      </c>
      <c r="V489" s="16">
        <v>43637</v>
      </c>
      <c r="W489" s="18">
        <v>43636.7291666667</v>
      </c>
      <c r="X489" s="18">
        <v>43717.875</v>
      </c>
      <c r="Y489" s="17">
        <v>2179.52</v>
      </c>
      <c r="Z489" t="s">
        <v>87</v>
      </c>
      <c r="AA489" s="17">
        <v>2288.02</v>
      </c>
      <c r="AB489" s="17">
        <v>1203.87</v>
      </c>
      <c r="AC489" t="s">
        <v>84</v>
      </c>
      <c r="AD489" t="s">
        <v>84</v>
      </c>
      <c r="AE489" t="s">
        <v>84</v>
      </c>
      <c r="AF489" t="s">
        <v>84</v>
      </c>
      <c r="AG489" s="17">
        <v>9431177.67</v>
      </c>
      <c r="AH489" s="17">
        <v>27.34</v>
      </c>
      <c r="AI489" s="17">
        <v>1.52</v>
      </c>
      <c r="AJ489" s="17">
        <v>1.52</v>
      </c>
      <c r="AK489" t="s">
        <v>208</v>
      </c>
      <c r="AM489" s="17">
        <v>2.2</v>
      </c>
      <c r="AN489" s="17"/>
      <c r="AO489" s="17">
        <v>830</v>
      </c>
      <c r="AP489" s="17"/>
      <c r="AQ489" s="17">
        <v>1395</v>
      </c>
      <c r="AR489" s="17"/>
      <c r="AS489" s="17">
        <v>1.61</v>
      </c>
      <c r="AT489" s="17"/>
      <c r="AU489" s="17">
        <v>602</v>
      </c>
      <c r="AV489" s="17"/>
      <c r="AW489" s="17">
        <v>1237</v>
      </c>
      <c r="AX489" s="17"/>
      <c r="AY489" t="s">
        <v>92</v>
      </c>
      <c r="AZ489" t="s">
        <v>92</v>
      </c>
      <c r="BA489" t="s">
        <v>92</v>
      </c>
      <c r="BB489" t="s">
        <v>92</v>
      </c>
      <c r="BC489" t="s">
        <v>92</v>
      </c>
      <c r="BD489" s="17">
        <v>13.1</v>
      </c>
      <c r="BE489" s="17">
        <v>2838014</v>
      </c>
      <c r="BF489" t="s">
        <v>92</v>
      </c>
      <c r="BG489" t="s">
        <v>92</v>
      </c>
      <c r="BH489" t="s">
        <v>93</v>
      </c>
      <c r="BI489" t="s">
        <v>94</v>
      </c>
      <c r="BJ489" t="s">
        <v>268</v>
      </c>
      <c r="BK489" t="s">
        <v>924</v>
      </c>
      <c r="BL489" t="s">
        <v>85</v>
      </c>
      <c r="BM489" t="s">
        <v>96</v>
      </c>
      <c r="BN489" t="s">
        <v>253</v>
      </c>
      <c r="BO489" t="s">
        <v>98</v>
      </c>
      <c r="BP489" t="s">
        <v>255</v>
      </c>
      <c r="BQ489" s="17">
        <v>1233</v>
      </c>
      <c r="BR489" t="s">
        <v>138</v>
      </c>
      <c r="BS489" t="s">
        <v>806</v>
      </c>
      <c r="BT489" t="s">
        <v>255</v>
      </c>
      <c r="BU489" s="17">
        <v>8.5</v>
      </c>
      <c r="BV489" t="s">
        <v>191</v>
      </c>
      <c r="BW489" t="s">
        <v>85</v>
      </c>
      <c r="BX489" t="s">
        <v>85</v>
      </c>
      <c r="BY489" t="str">
        <f>IF(COUNTIF('Data Upload-prod'!E:E,F489)=0,"Missing","Exist")</f>
        <v>Exist</v>
      </c>
    </row>
    <row r="490" hidden="1" spans="1:77">
      <c r="A490" s="16">
        <v>43608</v>
      </c>
      <c r="B490" s="16">
        <v>43797</v>
      </c>
      <c r="C490" t="s">
        <v>132</v>
      </c>
      <c r="D490" t="s">
        <v>120</v>
      </c>
      <c r="E490" t="s">
        <v>463</v>
      </c>
      <c r="F490" t="s">
        <v>956</v>
      </c>
      <c r="G490" t="s">
        <v>81</v>
      </c>
      <c r="H490" t="s">
        <v>172</v>
      </c>
      <c r="I490" t="s">
        <v>124</v>
      </c>
      <c r="J490" s="17">
        <v>68.88</v>
      </c>
      <c r="K490" s="17">
        <v>1300.77</v>
      </c>
      <c r="L490" s="17">
        <v>1146.6</v>
      </c>
      <c r="M490" t="s">
        <v>84</v>
      </c>
      <c r="N490" t="s">
        <v>84</v>
      </c>
      <c r="O490" t="s">
        <v>84</v>
      </c>
      <c r="P490" t="s">
        <v>84</v>
      </c>
      <c r="Q490" s="17">
        <v>9290745</v>
      </c>
      <c r="R490" s="17">
        <v>20.76</v>
      </c>
      <c r="S490" t="s">
        <v>85</v>
      </c>
      <c r="T490" t="s">
        <v>84</v>
      </c>
      <c r="U490" t="s">
        <v>86</v>
      </c>
      <c r="V490" s="16">
        <v>43630</v>
      </c>
      <c r="W490" s="18">
        <v>43625.5</v>
      </c>
      <c r="X490" s="18">
        <v>43733.3333333333</v>
      </c>
      <c r="Y490" s="17">
        <v>1296.56</v>
      </c>
      <c r="Z490" t="s">
        <v>87</v>
      </c>
      <c r="AA490" s="17">
        <v>1405.06</v>
      </c>
      <c r="AB490" s="17">
        <v>1208.05</v>
      </c>
      <c r="AC490" t="s">
        <v>84</v>
      </c>
      <c r="AD490" t="s">
        <v>84</v>
      </c>
      <c r="AE490" t="s">
        <v>84</v>
      </c>
      <c r="AF490" t="s">
        <v>84</v>
      </c>
      <c r="AG490" s="17">
        <v>9097196</v>
      </c>
      <c r="AH490" s="17">
        <v>26.23</v>
      </c>
      <c r="AI490" s="17">
        <v>21.92</v>
      </c>
      <c r="AJ490" s="17">
        <v>21.72</v>
      </c>
      <c r="AK490" t="s">
        <v>208</v>
      </c>
      <c r="AM490" s="17">
        <v>2.2</v>
      </c>
      <c r="AN490" s="17"/>
      <c r="AO490" s="17">
        <v>830</v>
      </c>
      <c r="AP490" s="17"/>
      <c r="AQ490" s="17">
        <v>1395</v>
      </c>
      <c r="AR490" s="17"/>
      <c r="AS490" s="17">
        <v>2.03</v>
      </c>
      <c r="AT490" s="17"/>
      <c r="AU490" s="17">
        <v>727</v>
      </c>
      <c r="AV490" s="17"/>
      <c r="AW490" s="17">
        <v>1218</v>
      </c>
      <c r="AX490" s="17"/>
      <c r="AY490" t="s">
        <v>92</v>
      </c>
      <c r="AZ490" t="s">
        <v>92</v>
      </c>
      <c r="BA490" t="s">
        <v>92</v>
      </c>
      <c r="BB490" t="s">
        <v>92</v>
      </c>
      <c r="BC490" t="s">
        <v>92</v>
      </c>
      <c r="BD490" s="17">
        <v>9.33</v>
      </c>
      <c r="BE490" s="17">
        <v>1919319</v>
      </c>
      <c r="BF490" t="s">
        <v>92</v>
      </c>
      <c r="BG490" t="s">
        <v>92</v>
      </c>
      <c r="BH490" t="s">
        <v>93</v>
      </c>
      <c r="BI490" t="s">
        <v>94</v>
      </c>
      <c r="BJ490" t="s">
        <v>268</v>
      </c>
      <c r="BK490" t="s">
        <v>924</v>
      </c>
      <c r="BL490" t="s">
        <v>85</v>
      </c>
      <c r="BM490" t="s">
        <v>96</v>
      </c>
      <c r="BN490" t="s">
        <v>253</v>
      </c>
      <c r="BO490" t="s">
        <v>98</v>
      </c>
      <c r="BP490" t="s">
        <v>255</v>
      </c>
      <c r="BQ490" s="17">
        <v>647</v>
      </c>
      <c r="BR490" t="s">
        <v>138</v>
      </c>
      <c r="BS490" t="s">
        <v>806</v>
      </c>
      <c r="BT490" t="s">
        <v>255</v>
      </c>
      <c r="BU490" s="17">
        <v>8.5</v>
      </c>
      <c r="BV490" t="s">
        <v>191</v>
      </c>
      <c r="BW490" t="s">
        <v>85</v>
      </c>
      <c r="BX490" t="s">
        <v>85</v>
      </c>
      <c r="BY490" t="str">
        <f>IF(COUNTIF('Data Upload-prod'!E:E,F490)=0,"Missing","Exist")</f>
        <v>Exist</v>
      </c>
    </row>
    <row r="491" hidden="1" spans="1:77">
      <c r="A491" s="16">
        <v>43608</v>
      </c>
      <c r="B491" s="16">
        <v>43797</v>
      </c>
      <c r="C491" t="s">
        <v>132</v>
      </c>
      <c r="D491" t="s">
        <v>120</v>
      </c>
      <c r="E491" t="s">
        <v>463</v>
      </c>
      <c r="F491" t="s">
        <v>957</v>
      </c>
      <c r="G491" t="s">
        <v>81</v>
      </c>
      <c r="H491" t="s">
        <v>172</v>
      </c>
      <c r="I491" t="s">
        <v>124</v>
      </c>
      <c r="J491" s="17">
        <v>70.1</v>
      </c>
      <c r="K491" s="17">
        <v>2605.91</v>
      </c>
      <c r="L491" s="17">
        <v>1160.22</v>
      </c>
      <c r="M491" t="s">
        <v>84</v>
      </c>
      <c r="N491" t="s">
        <v>84</v>
      </c>
      <c r="O491" t="s">
        <v>84</v>
      </c>
      <c r="P491" t="s">
        <v>84</v>
      </c>
      <c r="Q491" s="17">
        <v>13807202.15</v>
      </c>
      <c r="R491" s="17">
        <v>27.5</v>
      </c>
      <c r="S491" t="s">
        <v>85</v>
      </c>
      <c r="T491" t="s">
        <v>84</v>
      </c>
      <c r="U491" t="s">
        <v>86</v>
      </c>
      <c r="V491" s="16">
        <v>43636</v>
      </c>
      <c r="W491" s="18">
        <v>43636</v>
      </c>
      <c r="X491" s="18">
        <v>43749</v>
      </c>
      <c r="Y491" s="17">
        <v>2585.19</v>
      </c>
      <c r="Z491" t="s">
        <v>87</v>
      </c>
      <c r="AA491" s="17">
        <v>2694.91</v>
      </c>
      <c r="AB491" s="17">
        <v>1194.18</v>
      </c>
      <c r="AC491" t="s">
        <v>84</v>
      </c>
      <c r="AD491" t="s">
        <v>84</v>
      </c>
      <c r="AE491" t="s">
        <v>84</v>
      </c>
      <c r="AF491" t="s">
        <v>84</v>
      </c>
      <c r="AG491" s="17">
        <v>15721194.6</v>
      </c>
      <c r="AH491" s="17">
        <v>48.97</v>
      </c>
      <c r="AI491" s="17">
        <v>22.97</v>
      </c>
      <c r="AJ491" s="17">
        <v>22.51</v>
      </c>
      <c r="AK491" t="s">
        <v>208</v>
      </c>
      <c r="AM491" s="17">
        <v>2.2</v>
      </c>
      <c r="AN491" s="17"/>
      <c r="AO491" s="17">
        <v>830</v>
      </c>
      <c r="AP491" s="17"/>
      <c r="AQ491" s="17">
        <v>1395</v>
      </c>
      <c r="AR491" s="17"/>
      <c r="AS491" s="17">
        <v>2.44</v>
      </c>
      <c r="AT491" s="17"/>
      <c r="AU491" s="17">
        <v>845</v>
      </c>
      <c r="AV491" s="17"/>
      <c r="AW491" s="17">
        <v>1815</v>
      </c>
      <c r="AX491" s="17"/>
      <c r="AY491" t="s">
        <v>92</v>
      </c>
      <c r="AZ491" t="s">
        <v>92</v>
      </c>
      <c r="BA491" t="s">
        <v>92</v>
      </c>
      <c r="BB491" t="s">
        <v>92</v>
      </c>
      <c r="BC491" t="s">
        <v>92</v>
      </c>
      <c r="BD491" s="17">
        <v>24.25</v>
      </c>
      <c r="BE491" s="17">
        <v>5444007.18</v>
      </c>
      <c r="BF491" t="s">
        <v>92</v>
      </c>
      <c r="BG491" t="s">
        <v>92</v>
      </c>
      <c r="BH491" t="s">
        <v>93</v>
      </c>
      <c r="BI491" t="s">
        <v>94</v>
      </c>
      <c r="BJ491" t="s">
        <v>268</v>
      </c>
      <c r="BK491" t="s">
        <v>924</v>
      </c>
      <c r="BL491" t="s">
        <v>85</v>
      </c>
      <c r="BM491" t="s">
        <v>96</v>
      </c>
      <c r="BN491" t="s">
        <v>253</v>
      </c>
      <c r="BO491" t="s">
        <v>98</v>
      </c>
      <c r="BP491" t="s">
        <v>255</v>
      </c>
      <c r="BQ491" s="17">
        <v>1047</v>
      </c>
      <c r="BR491" t="s">
        <v>138</v>
      </c>
      <c r="BS491" t="s">
        <v>806</v>
      </c>
      <c r="BT491" t="s">
        <v>255</v>
      </c>
      <c r="BU491" s="17">
        <v>8.5</v>
      </c>
      <c r="BV491" t="s">
        <v>191</v>
      </c>
      <c r="BW491" t="s">
        <v>85</v>
      </c>
      <c r="BX491" t="s">
        <v>85</v>
      </c>
      <c r="BY491" t="str">
        <f>IF(COUNTIF('Data Upload-prod'!E:E,F491)=0,"Missing","Exist")</f>
        <v>Exist</v>
      </c>
    </row>
    <row r="492" hidden="1" spans="1:77">
      <c r="A492" s="16">
        <v>43608</v>
      </c>
      <c r="B492" s="16">
        <v>43763</v>
      </c>
      <c r="C492" t="s">
        <v>132</v>
      </c>
      <c r="D492" t="s">
        <v>120</v>
      </c>
      <c r="E492" t="s">
        <v>463</v>
      </c>
      <c r="F492" t="s">
        <v>958</v>
      </c>
      <c r="G492" t="s">
        <v>81</v>
      </c>
      <c r="H492" t="s">
        <v>172</v>
      </c>
      <c r="I492" t="s">
        <v>124</v>
      </c>
      <c r="J492" s="17">
        <v>70.1</v>
      </c>
      <c r="K492" s="17">
        <v>1260.69</v>
      </c>
      <c r="L492" s="17">
        <v>1139.59</v>
      </c>
      <c r="M492" t="s">
        <v>84</v>
      </c>
      <c r="N492" t="s">
        <v>84</v>
      </c>
      <c r="O492" t="s">
        <v>84</v>
      </c>
      <c r="P492" t="s">
        <v>84</v>
      </c>
      <c r="Q492" s="17">
        <v>8512030.77</v>
      </c>
      <c r="R492" s="17">
        <v>19.51</v>
      </c>
      <c r="S492" t="s">
        <v>85</v>
      </c>
      <c r="T492" t="s">
        <v>84</v>
      </c>
      <c r="U492" t="s">
        <v>86</v>
      </c>
      <c r="V492" s="16">
        <v>43638</v>
      </c>
      <c r="W492" s="18">
        <v>43637.4583333333</v>
      </c>
      <c r="X492" s="18">
        <v>43704.5</v>
      </c>
      <c r="Y492" s="17">
        <v>1275.53</v>
      </c>
      <c r="Z492" t="s">
        <v>87</v>
      </c>
      <c r="AA492" s="17">
        <v>1385.25</v>
      </c>
      <c r="AB492" s="17">
        <v>1208.02</v>
      </c>
      <c r="AC492" t="s">
        <v>84</v>
      </c>
      <c r="AD492" t="s">
        <v>84</v>
      </c>
      <c r="AE492" t="s">
        <v>84</v>
      </c>
      <c r="AF492" t="s">
        <v>84</v>
      </c>
      <c r="AG492" s="17">
        <v>7829880.89</v>
      </c>
      <c r="AH492" s="17">
        <v>23.9</v>
      </c>
      <c r="AI492" s="17">
        <v>4.99</v>
      </c>
      <c r="AJ492" s="17">
        <v>4.99</v>
      </c>
      <c r="AK492" t="s">
        <v>208</v>
      </c>
      <c r="AM492" s="17">
        <v>2.2</v>
      </c>
      <c r="AN492" s="17"/>
      <c r="AO492" s="17">
        <v>830</v>
      </c>
      <c r="AP492" s="17"/>
      <c r="AQ492" s="17">
        <v>1380</v>
      </c>
      <c r="AR492" s="17"/>
      <c r="AS492" s="17">
        <v>2.19</v>
      </c>
      <c r="AT492" s="17"/>
      <c r="AU492" s="17">
        <v>803</v>
      </c>
      <c r="AV492" s="17"/>
      <c r="AW492" s="17">
        <v>1628</v>
      </c>
      <c r="AX492" s="17"/>
      <c r="AY492" t="s">
        <v>92</v>
      </c>
      <c r="AZ492" t="s">
        <v>92</v>
      </c>
      <c r="BA492" t="s">
        <v>92</v>
      </c>
      <c r="BB492" t="s">
        <v>92</v>
      </c>
      <c r="BC492" t="s">
        <v>92</v>
      </c>
      <c r="BD492" s="17">
        <v>12.85</v>
      </c>
      <c r="BE492" s="17">
        <v>2296683.18</v>
      </c>
      <c r="BF492" t="s">
        <v>92</v>
      </c>
      <c r="BG492" t="s">
        <v>92</v>
      </c>
      <c r="BH492" t="s">
        <v>93</v>
      </c>
      <c r="BI492" t="s">
        <v>94</v>
      </c>
      <c r="BJ492" t="s">
        <v>268</v>
      </c>
      <c r="BK492" t="s">
        <v>924</v>
      </c>
      <c r="BL492" t="s">
        <v>85</v>
      </c>
      <c r="BM492" t="s">
        <v>96</v>
      </c>
      <c r="BN492" t="s">
        <v>253</v>
      </c>
      <c r="BO492" t="s">
        <v>98</v>
      </c>
      <c r="BP492" t="s">
        <v>255</v>
      </c>
      <c r="BQ492" s="17">
        <v>618</v>
      </c>
      <c r="BR492" t="s">
        <v>138</v>
      </c>
      <c r="BS492" t="s">
        <v>806</v>
      </c>
      <c r="BT492" t="s">
        <v>255</v>
      </c>
      <c r="BU492" s="17">
        <v>8.5</v>
      </c>
      <c r="BV492" t="s">
        <v>191</v>
      </c>
      <c r="BW492" t="s">
        <v>85</v>
      </c>
      <c r="BX492" t="s">
        <v>85</v>
      </c>
      <c r="BY492" t="str">
        <f>IF(COUNTIF('Data Upload-prod'!E:E,F492)=0,"Missing","Exist")</f>
        <v>Exist</v>
      </c>
    </row>
    <row r="493" hidden="1" spans="1:77">
      <c r="A493" s="16">
        <v>43606</v>
      </c>
      <c r="B493" s="16">
        <v>43808</v>
      </c>
      <c r="C493" t="s">
        <v>780</v>
      </c>
      <c r="D493" t="s">
        <v>142</v>
      </c>
      <c r="E493" t="s">
        <v>777</v>
      </c>
      <c r="F493" t="s">
        <v>959</v>
      </c>
      <c r="G493" t="s">
        <v>81</v>
      </c>
      <c r="H493" t="s">
        <v>405</v>
      </c>
      <c r="I493" t="s">
        <v>124</v>
      </c>
      <c r="J493" s="17">
        <v>39.38</v>
      </c>
      <c r="K493" s="17">
        <v>1934.47</v>
      </c>
      <c r="L493" s="17">
        <v>759.83</v>
      </c>
      <c r="M493" t="s">
        <v>84</v>
      </c>
      <c r="N493" t="s">
        <v>84</v>
      </c>
      <c r="O493" t="s">
        <v>84</v>
      </c>
      <c r="P493" t="s">
        <v>84</v>
      </c>
      <c r="Q493" s="17">
        <v>7240734</v>
      </c>
      <c r="R493" s="17">
        <v>18.2</v>
      </c>
      <c r="S493" t="s">
        <v>85</v>
      </c>
      <c r="T493" t="s">
        <v>84</v>
      </c>
      <c r="U493" t="s">
        <v>84</v>
      </c>
      <c r="V493" s="16">
        <v>43630.5416666667</v>
      </c>
      <c r="W493" s="18">
        <v>43629.25</v>
      </c>
      <c r="X493" s="18">
        <v>43669.875</v>
      </c>
      <c r="Y493" s="17">
        <v>1805.36</v>
      </c>
      <c r="Z493" t="s">
        <v>87</v>
      </c>
      <c r="AA493" s="17">
        <v>1883.57</v>
      </c>
      <c r="AB493" s="17">
        <v>763.05</v>
      </c>
      <c r="AC493" t="s">
        <v>84</v>
      </c>
      <c r="AD493" t="s">
        <v>84</v>
      </c>
      <c r="AE493" t="s">
        <v>84</v>
      </c>
      <c r="AF493" t="s">
        <v>84</v>
      </c>
      <c r="AG493" s="17">
        <v>6304229</v>
      </c>
      <c r="AH493" s="17">
        <v>18.25</v>
      </c>
      <c r="AI493" s="17">
        <v>18.84</v>
      </c>
      <c r="AJ493" s="17">
        <v>18.84</v>
      </c>
      <c r="AK493" t="s">
        <v>114</v>
      </c>
      <c r="AM493" s="17">
        <v>2.2</v>
      </c>
      <c r="AN493" s="17"/>
      <c r="AO493" s="17">
        <v>915</v>
      </c>
      <c r="AP493" s="17"/>
      <c r="AQ493" s="17">
        <v>1450</v>
      </c>
      <c r="AR493" s="17"/>
      <c r="AS493" s="17">
        <v>1.42</v>
      </c>
      <c r="AT493" s="17"/>
      <c r="AU493" s="17">
        <v>857</v>
      </c>
      <c r="AV493" s="17"/>
      <c r="AW493" s="17">
        <v>1020</v>
      </c>
      <c r="AX493" s="17"/>
      <c r="AY493" t="s">
        <v>92</v>
      </c>
      <c r="AZ493" t="s">
        <v>92</v>
      </c>
      <c r="BA493" t="s">
        <v>92</v>
      </c>
      <c r="BB493" t="s">
        <v>92</v>
      </c>
      <c r="BC493" t="s">
        <v>92</v>
      </c>
      <c r="BD493" t="s">
        <v>92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92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92</v>
      </c>
      <c r="BS493" t="s">
        <v>92</v>
      </c>
      <c r="BT493" t="s">
        <v>92</v>
      </c>
      <c r="BU493" t="s">
        <v>92</v>
      </c>
      <c r="BV493" t="s">
        <v>92</v>
      </c>
      <c r="BW493" t="s">
        <v>92</v>
      </c>
      <c r="BX493" t="s">
        <v>92</v>
      </c>
      <c r="BY493" t="str">
        <f>IF(COUNTIF('Data Upload-prod'!E:E,F493)=0,"Missing","Exist")</f>
        <v>Exist</v>
      </c>
    </row>
    <row r="494" hidden="1" spans="1:77">
      <c r="A494" s="16">
        <v>43606</v>
      </c>
      <c r="B494" s="16">
        <v>43677</v>
      </c>
      <c r="C494" t="s">
        <v>233</v>
      </c>
      <c r="D494" t="s">
        <v>78</v>
      </c>
      <c r="E494" t="s">
        <v>239</v>
      </c>
      <c r="F494" t="s">
        <v>960</v>
      </c>
      <c r="G494" t="s">
        <v>81</v>
      </c>
      <c r="H494" t="s">
        <v>841</v>
      </c>
      <c r="I494" t="s">
        <v>124</v>
      </c>
      <c r="J494" s="17">
        <v>76.8</v>
      </c>
      <c r="K494" s="17">
        <v>1700</v>
      </c>
      <c r="L494" s="17">
        <v>1700</v>
      </c>
      <c r="M494" t="s">
        <v>84</v>
      </c>
      <c r="N494" t="s">
        <v>84</v>
      </c>
      <c r="O494" t="s">
        <v>84</v>
      </c>
      <c r="P494" t="s">
        <v>84</v>
      </c>
      <c r="Q494" s="17">
        <v>6553308</v>
      </c>
      <c r="R494" s="17">
        <v>21.2</v>
      </c>
      <c r="S494" t="s">
        <v>85</v>
      </c>
      <c r="T494" t="s">
        <v>84</v>
      </c>
      <c r="U494" t="s">
        <v>84</v>
      </c>
      <c r="V494" s="16">
        <v>43641.6666666667</v>
      </c>
      <c r="W494" s="18">
        <v>43638.3958333333</v>
      </c>
      <c r="X494" s="18">
        <v>43659.125</v>
      </c>
      <c r="Y494" s="17">
        <v>1588.1</v>
      </c>
      <c r="Z494" t="s">
        <v>87</v>
      </c>
      <c r="AA494" s="17">
        <v>1707</v>
      </c>
      <c r="AB494" s="17">
        <v>1664.9</v>
      </c>
      <c r="AC494" t="s">
        <v>84</v>
      </c>
      <c r="AD494" t="s">
        <v>84</v>
      </c>
      <c r="AE494" t="s">
        <v>84</v>
      </c>
      <c r="AF494" t="s">
        <v>84</v>
      </c>
      <c r="AG494" s="17">
        <v>6560041</v>
      </c>
      <c r="AH494" s="17">
        <v>21.6</v>
      </c>
      <c r="AI494" s="17">
        <v>4.2</v>
      </c>
      <c r="AJ494" s="17">
        <v>4.2</v>
      </c>
      <c r="AK494" t="s">
        <v>208</v>
      </c>
      <c r="AM494" s="17">
        <v>2.1</v>
      </c>
      <c r="AN494" s="17"/>
      <c r="AO494" s="17">
        <v>700</v>
      </c>
      <c r="AP494" s="17"/>
      <c r="AQ494" s="17">
        <v>1220</v>
      </c>
      <c r="AR494" s="17"/>
      <c r="AS494" s="17">
        <v>1.9</v>
      </c>
      <c r="AT494" s="17"/>
      <c r="AU494" s="17">
        <v>597.5</v>
      </c>
      <c r="AV494" s="17"/>
      <c r="AW494" s="17">
        <v>1259.1</v>
      </c>
      <c r="AX494" s="17"/>
      <c r="AY494" t="s">
        <v>92</v>
      </c>
      <c r="AZ494" t="s">
        <v>92</v>
      </c>
      <c r="BA494" t="s">
        <v>92</v>
      </c>
      <c r="BB494" t="s">
        <v>92</v>
      </c>
      <c r="BC494" t="s">
        <v>92</v>
      </c>
      <c r="BD494" t="s">
        <v>92</v>
      </c>
      <c r="BE494" t="s">
        <v>92</v>
      </c>
      <c r="BF494" t="s">
        <v>92</v>
      </c>
      <c r="BG494" t="s">
        <v>92</v>
      </c>
      <c r="BH494" t="s">
        <v>92</v>
      </c>
      <c r="BI494" t="s">
        <v>92</v>
      </c>
      <c r="BJ494" t="s">
        <v>92</v>
      </c>
      <c r="BK494" t="s">
        <v>92</v>
      </c>
      <c r="BL494" t="s">
        <v>92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92</v>
      </c>
      <c r="BS494" t="s">
        <v>92</v>
      </c>
      <c r="BT494" t="s">
        <v>92</v>
      </c>
      <c r="BU494" t="s">
        <v>92</v>
      </c>
      <c r="BV494" t="s">
        <v>92</v>
      </c>
      <c r="BW494" t="s">
        <v>92</v>
      </c>
      <c r="BX494" t="s">
        <v>92</v>
      </c>
      <c r="BY494" t="str">
        <f>IF(COUNTIF('Data Upload-prod'!E:E,F494)=0,"Missing","Exist")</f>
        <v>Exist</v>
      </c>
    </row>
    <row r="495" hidden="1" spans="1:77">
      <c r="A495" s="16">
        <v>43601</v>
      </c>
      <c r="B495" s="16">
        <v>43731</v>
      </c>
      <c r="C495" t="s">
        <v>178</v>
      </c>
      <c r="D495" t="s">
        <v>120</v>
      </c>
      <c r="E495" t="s">
        <v>870</v>
      </c>
      <c r="F495" t="s">
        <v>961</v>
      </c>
      <c r="G495" t="s">
        <v>81</v>
      </c>
      <c r="H495" t="s">
        <v>202</v>
      </c>
      <c r="I495" t="s">
        <v>124</v>
      </c>
      <c r="J495" s="17">
        <v>47.24</v>
      </c>
      <c r="K495" s="17">
        <v>2505.03</v>
      </c>
      <c r="L495" s="17">
        <v>1778.73</v>
      </c>
      <c r="M495" t="s">
        <v>84</v>
      </c>
      <c r="N495" t="s">
        <v>84</v>
      </c>
      <c r="O495" t="s">
        <v>84</v>
      </c>
      <c r="P495" t="s">
        <v>84</v>
      </c>
      <c r="Q495" s="17">
        <v>11773145</v>
      </c>
      <c r="R495" s="17">
        <v>43.36</v>
      </c>
      <c r="S495" t="s">
        <v>85</v>
      </c>
      <c r="T495" t="s">
        <v>84</v>
      </c>
      <c r="U495" t="s">
        <v>84</v>
      </c>
      <c r="V495" s="16">
        <v>43652</v>
      </c>
      <c r="W495" s="18">
        <v>43637</v>
      </c>
      <c r="X495" s="18">
        <v>43689</v>
      </c>
      <c r="Y495" s="17">
        <v>2421.21</v>
      </c>
      <c r="Z495" t="s">
        <v>87</v>
      </c>
      <c r="AA495" s="17">
        <v>2508.38</v>
      </c>
      <c r="AB495" s="17">
        <v>1780.86</v>
      </c>
      <c r="AC495" t="s">
        <v>84</v>
      </c>
      <c r="AD495" t="s">
        <v>84</v>
      </c>
      <c r="AE495" t="s">
        <v>84</v>
      </c>
      <c r="AF495" t="s">
        <v>84</v>
      </c>
      <c r="AG495" s="17">
        <v>8211766</v>
      </c>
      <c r="AH495" s="17">
        <v>30.96</v>
      </c>
      <c r="AI495" s="17">
        <v>10</v>
      </c>
      <c r="AJ495" s="17">
        <v>10</v>
      </c>
      <c r="AK495" t="s">
        <v>89</v>
      </c>
      <c r="AM495" s="17">
        <v>2.4</v>
      </c>
      <c r="AN495" s="17"/>
      <c r="AO495" s="17">
        <v>795</v>
      </c>
      <c r="AP495" s="17"/>
      <c r="AQ495" s="17">
        <v>1580</v>
      </c>
      <c r="AR495" s="17"/>
      <c r="AS495" s="17">
        <v>1.72</v>
      </c>
      <c r="AT495" s="17"/>
      <c r="AU495" s="17">
        <v>518.15</v>
      </c>
      <c r="AV495" s="17"/>
      <c r="AW495" s="17">
        <v>848.5</v>
      </c>
      <c r="AX495" s="17"/>
      <c r="AY495" t="s">
        <v>92</v>
      </c>
      <c r="AZ495" t="s">
        <v>92</v>
      </c>
      <c r="BA495" t="s">
        <v>92</v>
      </c>
      <c r="BB495" t="s">
        <v>92</v>
      </c>
      <c r="BC495" t="s">
        <v>92</v>
      </c>
      <c r="BD495" t="s">
        <v>92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92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92</v>
      </c>
      <c r="BS495" t="s">
        <v>92</v>
      </c>
      <c r="BT495" t="s">
        <v>92</v>
      </c>
      <c r="BU495" t="s">
        <v>92</v>
      </c>
      <c r="BV495" t="s">
        <v>92</v>
      </c>
      <c r="BW495" t="s">
        <v>92</v>
      </c>
      <c r="BX495" t="s">
        <v>92</v>
      </c>
      <c r="BY495" t="str">
        <f>IF(COUNTIF('Data Upload-prod'!E:E,F495)=0,"Missing","Exist")</f>
        <v>Exist</v>
      </c>
    </row>
    <row r="496" hidden="1" spans="1:77">
      <c r="A496" s="16">
        <v>43600</v>
      </c>
      <c r="B496" s="16">
        <v>43684</v>
      </c>
      <c r="C496" t="s">
        <v>218</v>
      </c>
      <c r="D496" t="s">
        <v>78</v>
      </c>
      <c r="E496" t="s">
        <v>962</v>
      </c>
      <c r="F496" t="s">
        <v>963</v>
      </c>
      <c r="G496" t="s">
        <v>81</v>
      </c>
      <c r="H496" t="s">
        <v>801</v>
      </c>
      <c r="I496" t="s">
        <v>124</v>
      </c>
      <c r="J496" s="17">
        <v>72.8</v>
      </c>
      <c r="K496" s="17">
        <v>3588</v>
      </c>
      <c r="L496" s="17">
        <v>1162</v>
      </c>
      <c r="M496" t="s">
        <v>84</v>
      </c>
      <c r="N496" t="s">
        <v>84</v>
      </c>
      <c r="O496" t="s">
        <v>84</v>
      </c>
      <c r="P496" t="s">
        <v>84</v>
      </c>
      <c r="Q496" s="17">
        <v>6827044</v>
      </c>
      <c r="R496" s="17">
        <v>20.77</v>
      </c>
      <c r="S496" t="s">
        <v>85</v>
      </c>
      <c r="T496" t="s">
        <v>84</v>
      </c>
      <c r="U496" t="s">
        <v>84</v>
      </c>
      <c r="V496" s="16">
        <v>43610</v>
      </c>
      <c r="W496" s="18">
        <v>43607.9166666667</v>
      </c>
      <c r="X496" s="18">
        <v>43626.5</v>
      </c>
      <c r="Y496" s="17">
        <v>2854.3</v>
      </c>
      <c r="Z496" t="s">
        <v>87</v>
      </c>
      <c r="AA496" s="17">
        <v>2967</v>
      </c>
      <c r="AB496" s="17">
        <v>1163.48</v>
      </c>
      <c r="AC496" t="s">
        <v>84</v>
      </c>
      <c r="AD496" t="s">
        <v>84</v>
      </c>
      <c r="AE496" t="s">
        <v>84</v>
      </c>
      <c r="AF496" t="s">
        <v>84</v>
      </c>
      <c r="AG496" s="17">
        <v>5956372</v>
      </c>
      <c r="AH496" s="17">
        <v>18.58</v>
      </c>
      <c r="AI496" s="17">
        <v>5.66</v>
      </c>
      <c r="AJ496" s="17">
        <v>5.66</v>
      </c>
      <c r="AK496" t="s">
        <v>89</v>
      </c>
      <c r="AM496" s="17">
        <v>2.4</v>
      </c>
      <c r="AN496" s="17"/>
      <c r="AO496" s="17">
        <v>795</v>
      </c>
      <c r="AP496" s="17"/>
      <c r="AQ496" s="17">
        <v>1400</v>
      </c>
      <c r="AR496" s="17"/>
      <c r="AS496" s="17">
        <v>1.35</v>
      </c>
      <c r="AT496" s="17"/>
      <c r="AU496" s="17">
        <v>361.63</v>
      </c>
      <c r="AV496" s="17"/>
      <c r="AW496" s="17">
        <v>597.57</v>
      </c>
      <c r="AX496" s="17"/>
      <c r="AY496" t="s">
        <v>92</v>
      </c>
      <c r="AZ496" t="s">
        <v>92</v>
      </c>
      <c r="BA496" t="s">
        <v>92</v>
      </c>
      <c r="BB496" t="s">
        <v>92</v>
      </c>
      <c r="BC496" t="s">
        <v>92</v>
      </c>
      <c r="BD496" t="s">
        <v>92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92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92</v>
      </c>
      <c r="BS496" t="s">
        <v>92</v>
      </c>
      <c r="BT496" t="s">
        <v>92</v>
      </c>
      <c r="BU496" t="s">
        <v>92</v>
      </c>
      <c r="BV496" t="s">
        <v>92</v>
      </c>
      <c r="BW496" t="s">
        <v>92</v>
      </c>
      <c r="BX496" t="s">
        <v>92</v>
      </c>
      <c r="BY496" t="str">
        <f>IF(COUNTIF('Data Upload-prod'!E:E,F496)=0,"Missing","Exist")</f>
        <v>Exist</v>
      </c>
    </row>
    <row r="497" hidden="1" spans="1:77">
      <c r="A497" s="16">
        <v>43600</v>
      </c>
      <c r="B497" s="16">
        <v>43720</v>
      </c>
      <c r="C497" t="s">
        <v>132</v>
      </c>
      <c r="D497" t="s">
        <v>142</v>
      </c>
      <c r="E497" t="s">
        <v>931</v>
      </c>
      <c r="F497" t="s">
        <v>964</v>
      </c>
      <c r="G497" t="s">
        <v>81</v>
      </c>
      <c r="H497" t="s">
        <v>82</v>
      </c>
      <c r="I497" t="s">
        <v>83</v>
      </c>
      <c r="J497" s="17">
        <v>61.87</v>
      </c>
      <c r="K497" s="17">
        <v>2767.5</v>
      </c>
      <c r="L497" s="17">
        <v>2150.25</v>
      </c>
      <c r="M497" t="s">
        <v>84</v>
      </c>
      <c r="N497" t="s">
        <v>84</v>
      </c>
      <c r="O497" t="s">
        <v>84</v>
      </c>
      <c r="P497" t="s">
        <v>84</v>
      </c>
      <c r="Q497" s="17">
        <v>5969846.58</v>
      </c>
      <c r="R497" s="17">
        <v>18.11</v>
      </c>
      <c r="S497" t="s">
        <v>106</v>
      </c>
      <c r="T497" t="s">
        <v>84</v>
      </c>
      <c r="U497" t="s">
        <v>84</v>
      </c>
      <c r="V497" t="s">
        <v>84</v>
      </c>
      <c r="W497" s="18">
        <v>43632.4375</v>
      </c>
      <c r="X497" s="18">
        <v>43659.5625</v>
      </c>
      <c r="Y497" s="17">
        <v>2679.46</v>
      </c>
      <c r="Z497" t="s">
        <v>87</v>
      </c>
      <c r="AA497" s="17">
        <v>2771.41</v>
      </c>
      <c r="AB497" s="17">
        <v>1968.24</v>
      </c>
      <c r="AC497" t="s">
        <v>84</v>
      </c>
      <c r="AD497" t="s">
        <v>84</v>
      </c>
      <c r="AE497" t="s">
        <v>84</v>
      </c>
      <c r="AF497" t="s">
        <v>84</v>
      </c>
      <c r="AG497" s="17">
        <v>5626209.04</v>
      </c>
      <c r="AH497" s="17">
        <v>21.64</v>
      </c>
      <c r="AI497" s="17">
        <v>7.85</v>
      </c>
      <c r="AJ497" s="17">
        <v>7.51</v>
      </c>
      <c r="AK497" t="s">
        <v>298</v>
      </c>
      <c r="AM497" s="17">
        <v>1.8</v>
      </c>
      <c r="AN497" s="17"/>
      <c r="AO497" s="17">
        <v>600</v>
      </c>
      <c r="AP497" s="17"/>
      <c r="AQ497" s="17">
        <v>1670</v>
      </c>
      <c r="AR497" s="17"/>
      <c r="AS497" s="17">
        <v>2.16</v>
      </c>
      <c r="AT497" s="17"/>
      <c r="AU497" s="17">
        <v>604</v>
      </c>
      <c r="AV497" s="17"/>
      <c r="AW497" s="17">
        <v>1344</v>
      </c>
      <c r="AX497" s="17"/>
      <c r="AY497" t="s">
        <v>92</v>
      </c>
      <c r="AZ497" t="s">
        <v>92</v>
      </c>
      <c r="BA497" t="s">
        <v>92</v>
      </c>
      <c r="BB497" t="s">
        <v>92</v>
      </c>
      <c r="BC497" t="s">
        <v>92</v>
      </c>
      <c r="BD497" t="s">
        <v>92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92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92</v>
      </c>
      <c r="BS497" t="s">
        <v>92</v>
      </c>
      <c r="BT497" t="s">
        <v>92</v>
      </c>
      <c r="BU497" t="s">
        <v>92</v>
      </c>
      <c r="BV497" t="s">
        <v>92</v>
      </c>
      <c r="BW497" t="s">
        <v>92</v>
      </c>
      <c r="BX497" t="s">
        <v>92</v>
      </c>
      <c r="BY497" t="str">
        <f>IF(COUNTIF('Data Upload-prod'!E:E,F497)=0,"Missing","Exist")</f>
        <v>Exist</v>
      </c>
    </row>
    <row r="498" hidden="1" spans="1:77">
      <c r="A498" s="16">
        <v>43600</v>
      </c>
      <c r="B498" s="16">
        <v>43720</v>
      </c>
      <c r="C498" t="s">
        <v>132</v>
      </c>
      <c r="D498" t="s">
        <v>142</v>
      </c>
      <c r="E498" t="s">
        <v>931</v>
      </c>
      <c r="F498" t="s">
        <v>965</v>
      </c>
      <c r="G498" t="s">
        <v>81</v>
      </c>
      <c r="H498" t="s">
        <v>82</v>
      </c>
      <c r="I498" t="s">
        <v>83</v>
      </c>
      <c r="J498" s="17">
        <v>61.87</v>
      </c>
      <c r="K498" s="17">
        <v>2767.5</v>
      </c>
      <c r="L498" s="17">
        <v>2150.25</v>
      </c>
      <c r="M498" t="s">
        <v>84</v>
      </c>
      <c r="N498" t="s">
        <v>84</v>
      </c>
      <c r="O498" t="s">
        <v>84</v>
      </c>
      <c r="P498" t="s">
        <v>84</v>
      </c>
      <c r="Q498" s="17">
        <v>5969847</v>
      </c>
      <c r="R498" s="17">
        <v>18.11</v>
      </c>
      <c r="S498" t="s">
        <v>106</v>
      </c>
      <c r="T498" t="s">
        <v>84</v>
      </c>
      <c r="U498" t="s">
        <v>86</v>
      </c>
      <c r="V498" s="16">
        <v>43632</v>
      </c>
      <c r="W498" s="18">
        <v>43632.4375</v>
      </c>
      <c r="X498" s="18">
        <v>43659.5625</v>
      </c>
      <c r="Y498" s="17">
        <v>2679.46</v>
      </c>
      <c r="Z498" t="s">
        <v>87</v>
      </c>
      <c r="AA498" s="17">
        <v>2771.41</v>
      </c>
      <c r="AB498" s="17">
        <v>1968.24</v>
      </c>
      <c r="AC498" t="s">
        <v>84</v>
      </c>
      <c r="AD498" t="s">
        <v>84</v>
      </c>
      <c r="AE498" t="s">
        <v>84</v>
      </c>
      <c r="AF498" t="s">
        <v>84</v>
      </c>
      <c r="AG498" s="17">
        <v>5626209</v>
      </c>
      <c r="AH498" s="17">
        <v>21.64</v>
      </c>
      <c r="AI498" s="17">
        <v>7.85</v>
      </c>
      <c r="AJ498" s="17">
        <v>7.51</v>
      </c>
      <c r="AK498" t="s">
        <v>298</v>
      </c>
      <c r="AM498" s="17">
        <v>1.8</v>
      </c>
      <c r="AN498" s="17"/>
      <c r="AO498" s="17">
        <v>600</v>
      </c>
      <c r="AP498" s="17"/>
      <c r="AQ498" s="17">
        <v>1670</v>
      </c>
      <c r="AR498" s="17"/>
      <c r="AS498" s="17">
        <v>2.16</v>
      </c>
      <c r="AT498" s="17"/>
      <c r="AU498" s="17">
        <v>604</v>
      </c>
      <c r="AV498" s="17"/>
      <c r="AW498" s="17">
        <v>1344</v>
      </c>
      <c r="AX498" s="17"/>
      <c r="AY498" t="s">
        <v>92</v>
      </c>
      <c r="AZ498" t="s">
        <v>92</v>
      </c>
      <c r="BA498" t="s">
        <v>92</v>
      </c>
      <c r="BB498" t="s">
        <v>92</v>
      </c>
      <c r="BC498" t="s">
        <v>92</v>
      </c>
      <c r="BD498" t="s">
        <v>92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92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92</v>
      </c>
      <c r="BS498" t="s">
        <v>92</v>
      </c>
      <c r="BT498" t="s">
        <v>92</v>
      </c>
      <c r="BU498" t="s">
        <v>92</v>
      </c>
      <c r="BV498" t="s">
        <v>92</v>
      </c>
      <c r="BW498" t="s">
        <v>92</v>
      </c>
      <c r="BX498" t="s">
        <v>92</v>
      </c>
      <c r="BY498" t="str">
        <f>IF(COUNTIF('Data Upload-prod'!E:E,F498)=0,"Missing","Exist")</f>
        <v>Exist</v>
      </c>
    </row>
    <row r="499" hidden="1" spans="1:77">
      <c r="A499" s="16">
        <v>43600</v>
      </c>
      <c r="B499" s="16">
        <v>43692</v>
      </c>
      <c r="C499" t="s">
        <v>132</v>
      </c>
      <c r="D499" t="s">
        <v>142</v>
      </c>
      <c r="E499" t="s">
        <v>931</v>
      </c>
      <c r="F499" t="s">
        <v>965</v>
      </c>
      <c r="G499" t="s">
        <v>81</v>
      </c>
      <c r="H499" t="s">
        <v>82</v>
      </c>
      <c r="I499" t="s">
        <v>83</v>
      </c>
      <c r="J499" s="17">
        <v>63.97</v>
      </c>
      <c r="K499" s="17">
        <v>3102.8</v>
      </c>
      <c r="L499" s="17">
        <v>2138.05</v>
      </c>
      <c r="M499" t="s">
        <v>84</v>
      </c>
      <c r="N499" t="s">
        <v>84</v>
      </c>
      <c r="O499" t="s">
        <v>84</v>
      </c>
      <c r="P499" t="s">
        <v>84</v>
      </c>
      <c r="Q499" s="17">
        <v>5875000</v>
      </c>
      <c r="R499" s="17">
        <v>18.1</v>
      </c>
      <c r="S499" t="s">
        <v>85</v>
      </c>
      <c r="T499" t="s">
        <v>84</v>
      </c>
      <c r="U499" t="s">
        <v>86</v>
      </c>
      <c r="V499" s="16">
        <v>43620</v>
      </c>
      <c r="W499" s="18">
        <v>43618.5625</v>
      </c>
      <c r="X499" s="18">
        <v>43632.4375</v>
      </c>
      <c r="Y499" s="17">
        <v>2948.58</v>
      </c>
      <c r="Z499" t="s">
        <v>87</v>
      </c>
      <c r="AA499" s="17">
        <v>3042.67</v>
      </c>
      <c r="AB499" s="17">
        <v>2128.47</v>
      </c>
      <c r="AC499" t="s">
        <v>84</v>
      </c>
      <c r="AD499" t="s">
        <v>84</v>
      </c>
      <c r="AE499" t="s">
        <v>84</v>
      </c>
      <c r="AF499" t="s">
        <v>84</v>
      </c>
      <c r="AG499" s="17">
        <v>4687081.49</v>
      </c>
      <c r="AH499" s="17">
        <v>13.88</v>
      </c>
      <c r="AI499" s="17">
        <v>8.13</v>
      </c>
      <c r="AJ499" s="17">
        <v>8.03</v>
      </c>
      <c r="AK499" t="s">
        <v>89</v>
      </c>
      <c r="AM499" s="17">
        <v>2.4</v>
      </c>
      <c r="AN499" s="17"/>
      <c r="AO499" s="17">
        <v>795</v>
      </c>
      <c r="AP499" s="17"/>
      <c r="AQ499" s="17">
        <v>1400</v>
      </c>
      <c r="AR499" s="17"/>
      <c r="AS499" s="17">
        <v>1.8</v>
      </c>
      <c r="AT499" s="17"/>
      <c r="AU499" s="17">
        <v>781</v>
      </c>
      <c r="AV499" s="17"/>
      <c r="AW499" s="17">
        <v>1456</v>
      </c>
      <c r="AX499" s="17"/>
      <c r="AY499" t="s">
        <v>92</v>
      </c>
      <c r="AZ499" t="s">
        <v>92</v>
      </c>
      <c r="BA499" t="s">
        <v>92</v>
      </c>
      <c r="BB499" t="s">
        <v>92</v>
      </c>
      <c r="BC499" t="s">
        <v>92</v>
      </c>
      <c r="BD499" s="17">
        <v>4.83</v>
      </c>
      <c r="BE499" s="17">
        <v>1327739</v>
      </c>
      <c r="BF499" t="s">
        <v>92</v>
      </c>
      <c r="BG499" t="s">
        <v>92</v>
      </c>
      <c r="BH499" t="s">
        <v>93</v>
      </c>
      <c r="BI499" t="s">
        <v>94</v>
      </c>
      <c r="BJ499" t="s">
        <v>173</v>
      </c>
      <c r="BK499" t="s">
        <v>85</v>
      </c>
      <c r="BL499" t="s">
        <v>85</v>
      </c>
      <c r="BM499" t="s">
        <v>96</v>
      </c>
      <c r="BN499" t="s">
        <v>97</v>
      </c>
      <c r="BO499" t="s">
        <v>98</v>
      </c>
      <c r="BP499" t="s">
        <v>103</v>
      </c>
      <c r="BQ499" s="17">
        <v>39</v>
      </c>
      <c r="BR499" t="s">
        <v>100</v>
      </c>
      <c r="BS499" t="s">
        <v>156</v>
      </c>
      <c r="BT499" t="s">
        <v>550</v>
      </c>
      <c r="BU499" s="17">
        <v>8.5</v>
      </c>
      <c r="BV499" t="s">
        <v>131</v>
      </c>
      <c r="BW499" t="s">
        <v>85</v>
      </c>
      <c r="BX499" t="s">
        <v>85</v>
      </c>
      <c r="BY499" t="str">
        <f>IF(COUNTIF('Data Upload-prod'!E:E,F499)=0,"Missing","Exist")</f>
        <v>Exist</v>
      </c>
    </row>
    <row r="500" hidden="1" spans="1:77">
      <c r="A500" s="16">
        <v>43600</v>
      </c>
      <c r="B500" s="16">
        <v>43703</v>
      </c>
      <c r="C500" t="s">
        <v>218</v>
      </c>
      <c r="D500" t="s">
        <v>78</v>
      </c>
      <c r="E500" t="s">
        <v>962</v>
      </c>
      <c r="F500" t="s">
        <v>966</v>
      </c>
      <c r="G500" t="s">
        <v>81</v>
      </c>
      <c r="H500" t="s">
        <v>801</v>
      </c>
      <c r="I500" t="s">
        <v>124</v>
      </c>
      <c r="J500" s="17">
        <v>72.8</v>
      </c>
      <c r="K500" s="17">
        <v>3234</v>
      </c>
      <c r="L500" s="17">
        <v>1162.8</v>
      </c>
      <c r="M500" t="s">
        <v>84</v>
      </c>
      <c r="N500" t="s">
        <v>84</v>
      </c>
      <c r="O500" t="s">
        <v>84</v>
      </c>
      <c r="P500" t="s">
        <v>84</v>
      </c>
      <c r="Q500" s="17">
        <v>6691555</v>
      </c>
      <c r="R500" s="17">
        <v>20.08</v>
      </c>
      <c r="S500" t="s">
        <v>85</v>
      </c>
      <c r="T500" t="s">
        <v>84</v>
      </c>
      <c r="U500" t="s">
        <v>84</v>
      </c>
      <c r="V500" s="16">
        <v>43628</v>
      </c>
      <c r="W500" s="18">
        <v>43626.5</v>
      </c>
      <c r="X500" s="18">
        <v>43643.5</v>
      </c>
      <c r="Y500" s="17">
        <v>2517.3</v>
      </c>
      <c r="Z500" t="s">
        <v>87</v>
      </c>
      <c r="AA500" s="17">
        <v>2630</v>
      </c>
      <c r="AB500" s="17">
        <v>1159.18</v>
      </c>
      <c r="AC500" t="s">
        <v>84</v>
      </c>
      <c r="AD500" t="s">
        <v>84</v>
      </c>
      <c r="AE500" t="s">
        <v>84</v>
      </c>
      <c r="AF500" t="s">
        <v>84</v>
      </c>
      <c r="AG500" s="17">
        <v>5745054</v>
      </c>
      <c r="AH500" s="17">
        <v>17</v>
      </c>
      <c r="AI500" s="17">
        <v>3.55</v>
      </c>
      <c r="AJ500" s="17">
        <v>3.55</v>
      </c>
      <c r="AK500" t="s">
        <v>89</v>
      </c>
      <c r="AM500" s="17">
        <v>2.4</v>
      </c>
      <c r="AN500" s="17"/>
      <c r="AO500" s="17">
        <v>795</v>
      </c>
      <c r="AP500" s="17"/>
      <c r="AQ500" s="17">
        <v>1400</v>
      </c>
      <c r="AR500" s="17"/>
      <c r="AS500" s="17">
        <v>1.31</v>
      </c>
      <c r="AT500" s="17"/>
      <c r="AU500" s="17">
        <v>336.61</v>
      </c>
      <c r="AV500" s="17"/>
      <c r="AW500" s="17">
        <v>708.62</v>
      </c>
      <c r="AX500" s="17"/>
      <c r="AY500" t="s">
        <v>92</v>
      </c>
      <c r="AZ500" t="s">
        <v>92</v>
      </c>
      <c r="BA500" t="s">
        <v>92</v>
      </c>
      <c r="BB500" t="s">
        <v>92</v>
      </c>
      <c r="BC500" t="s">
        <v>92</v>
      </c>
      <c r="BD500" t="s">
        <v>92</v>
      </c>
      <c r="BE500" t="s">
        <v>92</v>
      </c>
      <c r="BF500" t="s">
        <v>92</v>
      </c>
      <c r="BG500" t="s">
        <v>92</v>
      </c>
      <c r="BH500" t="s">
        <v>92</v>
      </c>
      <c r="BI500" t="s">
        <v>92</v>
      </c>
      <c r="BJ500" t="s">
        <v>92</v>
      </c>
      <c r="BK500" t="s">
        <v>92</v>
      </c>
      <c r="BL500" t="s">
        <v>92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92</v>
      </c>
      <c r="BS500" t="s">
        <v>92</v>
      </c>
      <c r="BT500" t="s">
        <v>92</v>
      </c>
      <c r="BU500" t="s">
        <v>92</v>
      </c>
      <c r="BV500" t="s">
        <v>92</v>
      </c>
      <c r="BW500" t="s">
        <v>92</v>
      </c>
      <c r="BX500" t="s">
        <v>92</v>
      </c>
      <c r="BY500" t="str">
        <f>IF(COUNTIF('Data Upload-prod'!E:E,F500)=0,"Missing","Exist")</f>
        <v>Exist</v>
      </c>
    </row>
    <row r="501" hidden="1" spans="1:77">
      <c r="A501" s="16">
        <v>43600</v>
      </c>
      <c r="B501" s="16">
        <v>43808</v>
      </c>
      <c r="C501" t="s">
        <v>780</v>
      </c>
      <c r="D501" t="s">
        <v>142</v>
      </c>
      <c r="E501" t="s">
        <v>777</v>
      </c>
      <c r="F501" t="s">
        <v>967</v>
      </c>
      <c r="G501" t="s">
        <v>81</v>
      </c>
      <c r="H501" t="s">
        <v>405</v>
      </c>
      <c r="I501" t="s">
        <v>124</v>
      </c>
      <c r="J501" s="17">
        <v>39.13</v>
      </c>
      <c r="K501" s="17">
        <v>2061.57</v>
      </c>
      <c r="L501" s="17">
        <v>759.22</v>
      </c>
      <c r="M501" t="s">
        <v>84</v>
      </c>
      <c r="N501" t="s">
        <v>84</v>
      </c>
      <c r="O501" t="s">
        <v>84</v>
      </c>
      <c r="P501" t="s">
        <v>84</v>
      </c>
      <c r="Q501" s="17">
        <v>7509244</v>
      </c>
      <c r="R501" s="17">
        <v>18.9</v>
      </c>
      <c r="S501" t="s">
        <v>85</v>
      </c>
      <c r="T501" t="s">
        <v>84</v>
      </c>
      <c r="U501" t="s">
        <v>86</v>
      </c>
      <c r="V501" s="16">
        <v>43641</v>
      </c>
      <c r="W501" s="18">
        <v>43640.5833333333</v>
      </c>
      <c r="X501" s="18">
        <v>43676.875</v>
      </c>
      <c r="Y501" s="17">
        <v>1845.66</v>
      </c>
      <c r="Z501" t="s">
        <v>87</v>
      </c>
      <c r="AA501" s="17">
        <v>1920.15</v>
      </c>
      <c r="AB501" s="17">
        <v>760.74</v>
      </c>
      <c r="AC501" t="s">
        <v>84</v>
      </c>
      <c r="AD501" t="s">
        <v>84</v>
      </c>
      <c r="AE501" t="s">
        <v>84</v>
      </c>
      <c r="AF501" t="s">
        <v>84</v>
      </c>
      <c r="AG501" s="17">
        <v>6572066</v>
      </c>
      <c r="AH501" s="17">
        <v>14.4</v>
      </c>
      <c r="AI501" s="17">
        <v>0</v>
      </c>
      <c r="AJ501" s="17">
        <v>0</v>
      </c>
      <c r="AK501" t="s">
        <v>114</v>
      </c>
      <c r="AM501" s="17">
        <v>2.2</v>
      </c>
      <c r="AN501" s="17"/>
      <c r="AO501" s="17">
        <v>915</v>
      </c>
      <c r="AP501" s="17"/>
      <c r="AQ501" s="17">
        <v>1450</v>
      </c>
      <c r="AR501" s="17"/>
      <c r="AS501" s="17">
        <v>1.49</v>
      </c>
      <c r="AT501" s="17"/>
      <c r="AU501" s="17">
        <v>774</v>
      </c>
      <c r="AV501" s="17"/>
      <c r="AW501" s="17">
        <v>1015</v>
      </c>
      <c r="AX501" s="17"/>
      <c r="AY501" t="s">
        <v>92</v>
      </c>
      <c r="AZ501" t="s">
        <v>92</v>
      </c>
      <c r="BA501" t="s">
        <v>92</v>
      </c>
      <c r="BB501" t="s">
        <v>92</v>
      </c>
      <c r="BC501" t="s">
        <v>92</v>
      </c>
      <c r="BD501" s="17">
        <v>3.73</v>
      </c>
      <c r="BE501" s="17">
        <v>2051832.9</v>
      </c>
      <c r="BF501" t="s">
        <v>92</v>
      </c>
      <c r="BG501" t="s">
        <v>92</v>
      </c>
      <c r="BH501" t="s">
        <v>93</v>
      </c>
      <c r="BI501" t="s">
        <v>94</v>
      </c>
      <c r="BJ501" t="s">
        <v>128</v>
      </c>
      <c r="BK501" t="s">
        <v>85</v>
      </c>
      <c r="BL501" t="s">
        <v>85</v>
      </c>
      <c r="BM501" t="s">
        <v>96</v>
      </c>
      <c r="BN501" t="s">
        <v>97</v>
      </c>
      <c r="BO501" t="s">
        <v>98</v>
      </c>
      <c r="BP501" t="s">
        <v>103</v>
      </c>
      <c r="BQ501" s="17">
        <v>2329</v>
      </c>
      <c r="BR501" t="s">
        <v>138</v>
      </c>
      <c r="BS501" t="s">
        <v>608</v>
      </c>
      <c r="BT501" t="s">
        <v>103</v>
      </c>
      <c r="BU501" s="17">
        <v>8.6</v>
      </c>
      <c r="BV501" t="s">
        <v>110</v>
      </c>
      <c r="BW501" t="s">
        <v>85</v>
      </c>
      <c r="BX501" t="s">
        <v>85</v>
      </c>
      <c r="BY501" t="str">
        <f>IF(COUNTIF('Data Upload-prod'!E:E,F501)=0,"Missing","Exist")</f>
        <v>Exist</v>
      </c>
    </row>
    <row r="502" hidden="1" spans="1:77">
      <c r="A502" s="16">
        <v>43599</v>
      </c>
      <c r="B502" s="16">
        <v>43745</v>
      </c>
      <c r="C502" t="s">
        <v>178</v>
      </c>
      <c r="D502" t="s">
        <v>120</v>
      </c>
      <c r="E502" t="s">
        <v>870</v>
      </c>
      <c r="F502" t="s">
        <v>968</v>
      </c>
      <c r="G502" t="s">
        <v>81</v>
      </c>
      <c r="H502" t="s">
        <v>202</v>
      </c>
      <c r="I502" t="s">
        <v>124</v>
      </c>
      <c r="J502" s="17">
        <v>47.24</v>
      </c>
      <c r="K502" s="17">
        <v>1986.59</v>
      </c>
      <c r="L502" s="17">
        <v>1811.34</v>
      </c>
      <c r="M502" t="s">
        <v>84</v>
      </c>
      <c r="N502" t="s">
        <v>84</v>
      </c>
      <c r="O502" t="s">
        <v>84</v>
      </c>
      <c r="P502" t="s">
        <v>84</v>
      </c>
      <c r="Q502" s="17">
        <v>7040000</v>
      </c>
      <c r="R502" s="17">
        <v>20.44</v>
      </c>
      <c r="S502" t="s">
        <v>85</v>
      </c>
      <c r="T502" t="s">
        <v>84</v>
      </c>
      <c r="U502" t="s">
        <v>84</v>
      </c>
      <c r="V502" s="16">
        <v>43669</v>
      </c>
      <c r="W502" s="18">
        <v>43639.8333333333</v>
      </c>
      <c r="X502" s="18">
        <v>43686.875</v>
      </c>
      <c r="Y502" s="17">
        <v>1890.89</v>
      </c>
      <c r="Z502" t="s">
        <v>87</v>
      </c>
      <c r="AA502" s="17">
        <v>1978.06</v>
      </c>
      <c r="AB502" s="17">
        <v>1803.41</v>
      </c>
      <c r="AC502" t="s">
        <v>84</v>
      </c>
      <c r="AD502" t="s">
        <v>84</v>
      </c>
      <c r="AE502" t="s">
        <v>84</v>
      </c>
      <c r="AF502" t="s">
        <v>84</v>
      </c>
      <c r="AG502" s="17">
        <v>5619079</v>
      </c>
      <c r="AH502" s="17">
        <v>20.55</v>
      </c>
      <c r="AI502" s="17">
        <v>3.69</v>
      </c>
      <c r="AJ502" s="17">
        <v>3.69</v>
      </c>
      <c r="AK502" t="s">
        <v>89</v>
      </c>
      <c r="AM502" s="17">
        <v>2.4</v>
      </c>
      <c r="AN502" s="17"/>
      <c r="AO502" s="17">
        <v>795</v>
      </c>
      <c r="AP502" s="17"/>
      <c r="AQ502" s="17">
        <v>1580</v>
      </c>
      <c r="AR502" s="17"/>
      <c r="AS502" s="17">
        <v>2.53</v>
      </c>
      <c r="AT502" s="17"/>
      <c r="AU502" s="17">
        <v>801.37</v>
      </c>
      <c r="AV502" s="17"/>
      <c r="AW502" s="17">
        <v>1616.07</v>
      </c>
      <c r="AX502" s="17"/>
      <c r="AY502" t="s">
        <v>92</v>
      </c>
      <c r="AZ502" t="s">
        <v>92</v>
      </c>
      <c r="BA502" t="s">
        <v>92</v>
      </c>
      <c r="BB502" t="s">
        <v>92</v>
      </c>
      <c r="BC502" t="s">
        <v>92</v>
      </c>
      <c r="BD502" t="s">
        <v>92</v>
      </c>
      <c r="BE502" t="s">
        <v>92</v>
      </c>
      <c r="BF502" t="s">
        <v>92</v>
      </c>
      <c r="BG502" t="s">
        <v>92</v>
      </c>
      <c r="BH502" t="s">
        <v>92</v>
      </c>
      <c r="BI502" t="s">
        <v>92</v>
      </c>
      <c r="BJ502" t="s">
        <v>92</v>
      </c>
      <c r="BK502" t="s">
        <v>92</v>
      </c>
      <c r="BL502" t="s">
        <v>92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92</v>
      </c>
      <c r="BS502" t="s">
        <v>92</v>
      </c>
      <c r="BT502" t="s">
        <v>92</v>
      </c>
      <c r="BU502" t="s">
        <v>92</v>
      </c>
      <c r="BV502" t="s">
        <v>92</v>
      </c>
      <c r="BW502" t="s">
        <v>92</v>
      </c>
      <c r="BX502" t="s">
        <v>92</v>
      </c>
      <c r="BY502" t="str">
        <f>IF(COUNTIF('Data Upload-prod'!E:E,F502)=0,"Missing","Exist")</f>
        <v>Exist</v>
      </c>
    </row>
    <row r="503" hidden="1" spans="1:77">
      <c r="A503" s="16">
        <v>43599</v>
      </c>
      <c r="B503" s="16">
        <v>43763</v>
      </c>
      <c r="C503" t="s">
        <v>77</v>
      </c>
      <c r="D503" t="s">
        <v>120</v>
      </c>
      <c r="E503" t="s">
        <v>969</v>
      </c>
      <c r="F503" t="s">
        <v>970</v>
      </c>
      <c r="G503" t="s">
        <v>145</v>
      </c>
      <c r="H503" t="s">
        <v>123</v>
      </c>
      <c r="I503" t="s">
        <v>124</v>
      </c>
      <c r="J503" s="17">
        <v>70.5</v>
      </c>
      <c r="K503" s="17">
        <v>3343</v>
      </c>
      <c r="L503" s="17">
        <v>1954</v>
      </c>
      <c r="M503" s="17">
        <v>6200000</v>
      </c>
      <c r="N503" s="17">
        <v>6200000</v>
      </c>
      <c r="O503" s="17">
        <v>23.5</v>
      </c>
      <c r="P503" s="17">
        <v>23.5</v>
      </c>
      <c r="Q503" t="s">
        <v>84</v>
      </c>
      <c r="R503" t="s">
        <v>84</v>
      </c>
      <c r="S503" t="s">
        <v>85</v>
      </c>
      <c r="T503" t="s">
        <v>84</v>
      </c>
      <c r="U503" t="s">
        <v>84</v>
      </c>
      <c r="V503" s="16">
        <v>43666</v>
      </c>
      <c r="W503" s="18">
        <v>43615.75</v>
      </c>
      <c r="X503" s="18">
        <v>43704.1041666667</v>
      </c>
      <c r="Y503" s="17">
        <v>3109.35</v>
      </c>
      <c r="Z503" t="s">
        <v>87</v>
      </c>
      <c r="AA503" s="17">
        <v>3215</v>
      </c>
      <c r="AB503" s="17">
        <v>1960.83</v>
      </c>
      <c r="AC503" t="s">
        <v>84</v>
      </c>
      <c r="AD503" s="17">
        <v>6454588</v>
      </c>
      <c r="AE503" t="s">
        <v>84</v>
      </c>
      <c r="AF503" s="17">
        <v>21.89</v>
      </c>
      <c r="AG503" t="s">
        <v>84</v>
      </c>
      <c r="AH503" t="s">
        <v>84</v>
      </c>
      <c r="AI503" s="17">
        <v>25.45</v>
      </c>
      <c r="AJ503" s="17">
        <v>25.45</v>
      </c>
      <c r="AK503" t="s">
        <v>323</v>
      </c>
      <c r="AM503" s="17">
        <v>4.4</v>
      </c>
      <c r="AN503" s="17"/>
      <c r="AO503" s="17">
        <v>1980</v>
      </c>
      <c r="AP503" s="17"/>
      <c r="AQ503" s="17">
        <v>2760</v>
      </c>
      <c r="AR503" s="17"/>
      <c r="AS503" s="17">
        <v>1.55</v>
      </c>
      <c r="AT503" s="17"/>
      <c r="AU503" s="17">
        <v>474</v>
      </c>
      <c r="AV503" s="17"/>
      <c r="AW503" s="17">
        <v>719</v>
      </c>
      <c r="AX503" s="17"/>
      <c r="AY503" t="s">
        <v>92</v>
      </c>
      <c r="AZ503" t="s">
        <v>92</v>
      </c>
      <c r="BA503" t="s">
        <v>92</v>
      </c>
      <c r="BB503" t="s">
        <v>92</v>
      </c>
      <c r="BC503" t="s">
        <v>92</v>
      </c>
      <c r="BD503" t="s">
        <v>92</v>
      </c>
      <c r="BE503" t="s">
        <v>92</v>
      </c>
      <c r="BF503" t="s">
        <v>92</v>
      </c>
      <c r="BG503" t="s">
        <v>92</v>
      </c>
      <c r="BH503" t="s">
        <v>92</v>
      </c>
      <c r="BI503" t="s">
        <v>92</v>
      </c>
      <c r="BJ503" t="s">
        <v>92</v>
      </c>
      <c r="BK503" t="s">
        <v>92</v>
      </c>
      <c r="BL503" t="s">
        <v>92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92</v>
      </c>
      <c r="BS503" t="s">
        <v>92</v>
      </c>
      <c r="BT503" t="s">
        <v>92</v>
      </c>
      <c r="BU503" t="s">
        <v>92</v>
      </c>
      <c r="BV503" t="s">
        <v>92</v>
      </c>
      <c r="BW503" t="s">
        <v>92</v>
      </c>
      <c r="BX503" t="s">
        <v>92</v>
      </c>
      <c r="BY503" t="str">
        <f>IF(COUNTIF('Data Upload-prod'!E:E,F503)=0,"Missing","Exist")</f>
        <v>Exist</v>
      </c>
    </row>
    <row r="504" hidden="1" spans="1:77">
      <c r="A504" s="16">
        <v>43599</v>
      </c>
      <c r="B504" s="16">
        <v>43760</v>
      </c>
      <c r="C504" t="s">
        <v>77</v>
      </c>
      <c r="D504" t="s">
        <v>120</v>
      </c>
      <c r="E504" t="s">
        <v>121</v>
      </c>
      <c r="F504" t="s">
        <v>971</v>
      </c>
      <c r="G504" t="s">
        <v>81</v>
      </c>
      <c r="H504" t="s">
        <v>123</v>
      </c>
      <c r="I504" t="s">
        <v>124</v>
      </c>
      <c r="J504" s="17">
        <v>70.5</v>
      </c>
      <c r="K504" s="17">
        <v>2595</v>
      </c>
      <c r="L504" s="17">
        <v>1710</v>
      </c>
      <c r="M504" t="s">
        <v>84</v>
      </c>
      <c r="N504" t="s">
        <v>84</v>
      </c>
      <c r="O504" t="s">
        <v>84</v>
      </c>
      <c r="P504" t="s">
        <v>84</v>
      </c>
      <c r="Q504" s="17">
        <v>8373993</v>
      </c>
      <c r="R504" s="17">
        <v>22.2</v>
      </c>
      <c r="S504" t="s">
        <v>106</v>
      </c>
      <c r="T504" t="s">
        <v>84</v>
      </c>
      <c r="U504" t="s">
        <v>86</v>
      </c>
      <c r="V504" s="16">
        <v>43645</v>
      </c>
      <c r="W504" s="18">
        <v>43635</v>
      </c>
      <c r="X504" s="18">
        <v>43700.9375</v>
      </c>
      <c r="Y504" s="17">
        <v>2474.35</v>
      </c>
      <c r="Z504" t="s">
        <v>87</v>
      </c>
      <c r="AA504" s="17">
        <v>2580</v>
      </c>
      <c r="AB504" s="17">
        <v>1708</v>
      </c>
      <c r="AC504" t="s">
        <v>84</v>
      </c>
      <c r="AD504" t="s">
        <v>84</v>
      </c>
      <c r="AE504" t="s">
        <v>84</v>
      </c>
      <c r="AF504" t="s">
        <v>84</v>
      </c>
      <c r="AG504" s="17">
        <v>8990865</v>
      </c>
      <c r="AH504" s="17">
        <v>29.45</v>
      </c>
      <c r="AI504" s="17">
        <v>24.08</v>
      </c>
      <c r="AJ504" s="17">
        <v>24.08</v>
      </c>
      <c r="AK504" t="s">
        <v>126</v>
      </c>
      <c r="AM504" s="17">
        <v>2.5</v>
      </c>
      <c r="AN504" s="17"/>
      <c r="AO504" s="17">
        <v>1010</v>
      </c>
      <c r="AP504" s="17"/>
      <c r="AQ504" s="17">
        <v>1870</v>
      </c>
      <c r="AR504" s="17"/>
      <c r="AS504" s="17">
        <v>1.37</v>
      </c>
      <c r="AT504" s="17"/>
      <c r="AU504" s="17">
        <v>377</v>
      </c>
      <c r="AV504" s="17"/>
      <c r="AW504" s="17">
        <v>559</v>
      </c>
      <c r="AX504" s="17"/>
      <c r="AY504" t="s">
        <v>92</v>
      </c>
      <c r="AZ504" t="s">
        <v>92</v>
      </c>
      <c r="BA504" t="s">
        <v>92</v>
      </c>
      <c r="BB504" t="s">
        <v>92</v>
      </c>
      <c r="BC504" t="s">
        <v>92</v>
      </c>
      <c r="BD504" s="17">
        <v>7.3</v>
      </c>
      <c r="BE504" s="17">
        <v>2805797</v>
      </c>
      <c r="BF504" t="s">
        <v>92</v>
      </c>
      <c r="BG504" t="s">
        <v>92</v>
      </c>
      <c r="BH504" t="s">
        <v>127</v>
      </c>
      <c r="BI504" t="s">
        <v>94</v>
      </c>
      <c r="BJ504" t="s">
        <v>128</v>
      </c>
      <c r="BK504" t="s">
        <v>85</v>
      </c>
      <c r="BL504" t="s">
        <v>129</v>
      </c>
      <c r="BM504" t="s">
        <v>96</v>
      </c>
      <c r="BN504" t="s">
        <v>97</v>
      </c>
      <c r="BO504" t="s">
        <v>98</v>
      </c>
      <c r="BP504" t="s">
        <v>103</v>
      </c>
      <c r="BQ504" s="17">
        <v>93.590525</v>
      </c>
      <c r="BR504" t="s">
        <v>100</v>
      </c>
      <c r="BS504" t="s">
        <v>130</v>
      </c>
      <c r="BT504" t="s">
        <v>103</v>
      </c>
      <c r="BU504" s="17">
        <v>8.6</v>
      </c>
      <c r="BV504" t="s">
        <v>131</v>
      </c>
      <c r="BW504" t="s">
        <v>85</v>
      </c>
      <c r="BX504" t="s">
        <v>85</v>
      </c>
      <c r="BY504" t="str">
        <f>IF(COUNTIF('Data Upload-prod'!E:E,F504)=0,"Missing","Exist")</f>
        <v>Exist</v>
      </c>
    </row>
    <row r="505" hidden="1" spans="1:77">
      <c r="A505" s="16">
        <v>43595</v>
      </c>
      <c r="B505" s="16">
        <v>43720</v>
      </c>
      <c r="C505" t="s">
        <v>504</v>
      </c>
      <c r="D505" t="s">
        <v>142</v>
      </c>
      <c r="E505" t="s">
        <v>782</v>
      </c>
      <c r="F505" t="s">
        <v>972</v>
      </c>
      <c r="G505" t="s">
        <v>81</v>
      </c>
      <c r="H505" t="s">
        <v>405</v>
      </c>
      <c r="I505" t="s">
        <v>124</v>
      </c>
      <c r="J505" s="17">
        <v>39.38</v>
      </c>
      <c r="K505" s="17">
        <v>2042.06</v>
      </c>
      <c r="L505" s="17">
        <v>751.6</v>
      </c>
      <c r="M505" t="s">
        <v>84</v>
      </c>
      <c r="N505" t="s">
        <v>84</v>
      </c>
      <c r="O505" t="s">
        <v>84</v>
      </c>
      <c r="P505" t="s">
        <v>84</v>
      </c>
      <c r="Q505" s="17">
        <v>7984465</v>
      </c>
      <c r="R505" s="17">
        <v>22.17</v>
      </c>
      <c r="S505" t="s">
        <v>85</v>
      </c>
      <c r="T505" t="s">
        <v>84</v>
      </c>
      <c r="U505" t="s">
        <v>86</v>
      </c>
      <c r="V505" s="16">
        <v>43623</v>
      </c>
      <c r="W505" s="18">
        <v>43619.6041666667</v>
      </c>
      <c r="X505" s="18">
        <v>43662.9583333333</v>
      </c>
      <c r="Y505" s="17">
        <v>1952.87</v>
      </c>
      <c r="Z505" t="s">
        <v>87</v>
      </c>
      <c r="AA505" s="17">
        <v>2031.09</v>
      </c>
      <c r="AB505" s="17">
        <v>749.47</v>
      </c>
      <c r="AC505" t="s">
        <v>84</v>
      </c>
      <c r="AD505" t="s">
        <v>84</v>
      </c>
      <c r="AE505" t="s">
        <v>84</v>
      </c>
      <c r="AF505" t="s">
        <v>84</v>
      </c>
      <c r="AG505" s="17">
        <v>7389743</v>
      </c>
      <c r="AH505" s="17">
        <v>24.65</v>
      </c>
      <c r="AI505" s="17">
        <v>14.96</v>
      </c>
      <c r="AJ505" s="17">
        <v>14.96</v>
      </c>
      <c r="AK505" t="s">
        <v>114</v>
      </c>
      <c r="AM505" s="17">
        <v>2.2</v>
      </c>
      <c r="AN505" s="17"/>
      <c r="AO505" s="17">
        <v>915</v>
      </c>
      <c r="AP505" s="17"/>
      <c r="AQ505" s="17">
        <v>1450</v>
      </c>
      <c r="AR505" s="17"/>
      <c r="AS505" s="17">
        <v>2.03</v>
      </c>
      <c r="AT505" s="17"/>
      <c r="AU505" s="17">
        <v>849</v>
      </c>
      <c r="AV505" s="17"/>
      <c r="AW505" s="17">
        <v>1087</v>
      </c>
      <c r="AX505" s="17"/>
      <c r="AY505" t="s">
        <v>92</v>
      </c>
      <c r="AZ505" t="s">
        <v>92</v>
      </c>
      <c r="BA505" t="s">
        <v>92</v>
      </c>
      <c r="BB505" t="s">
        <v>92</v>
      </c>
      <c r="BC505" t="s">
        <v>92</v>
      </c>
      <c r="BD505" s="17">
        <v>4.38</v>
      </c>
      <c r="BE505" s="17">
        <v>2231582.79</v>
      </c>
      <c r="BF505" t="s">
        <v>92</v>
      </c>
      <c r="BG505" t="s">
        <v>92</v>
      </c>
      <c r="BH505" t="s">
        <v>93</v>
      </c>
      <c r="BI505" t="s">
        <v>94</v>
      </c>
      <c r="BJ505" t="s">
        <v>128</v>
      </c>
      <c r="BK505" t="s">
        <v>85</v>
      </c>
      <c r="BL505" t="s">
        <v>85</v>
      </c>
      <c r="BM505" t="s">
        <v>96</v>
      </c>
      <c r="BN505" t="s">
        <v>97</v>
      </c>
      <c r="BO505" t="s">
        <v>98</v>
      </c>
      <c r="BP505" t="s">
        <v>103</v>
      </c>
      <c r="BQ505" s="17">
        <v>2471</v>
      </c>
      <c r="BR505" t="s">
        <v>138</v>
      </c>
      <c r="BS505" t="s">
        <v>608</v>
      </c>
      <c r="BT505" t="s">
        <v>103</v>
      </c>
      <c r="BU505" s="17">
        <v>8.6</v>
      </c>
      <c r="BV505" t="s">
        <v>110</v>
      </c>
      <c r="BW505" t="s">
        <v>85</v>
      </c>
      <c r="BX505" t="s">
        <v>85</v>
      </c>
      <c r="BY505" t="str">
        <f>IF(COUNTIF('Data Upload-prod'!E:E,F505)=0,"Missing","Exist")</f>
        <v>Exist</v>
      </c>
    </row>
    <row r="506" hidden="1" spans="1:77">
      <c r="A506" s="16">
        <v>43592</v>
      </c>
      <c r="B506" s="16">
        <v>43748</v>
      </c>
      <c r="C506" t="s">
        <v>132</v>
      </c>
      <c r="D506" t="s">
        <v>120</v>
      </c>
      <c r="E506" t="s">
        <v>133</v>
      </c>
      <c r="F506" t="s">
        <v>973</v>
      </c>
      <c r="G506" t="s">
        <v>81</v>
      </c>
      <c r="H506" t="s">
        <v>135</v>
      </c>
      <c r="I506" t="s">
        <v>124</v>
      </c>
      <c r="J506" s="17">
        <v>76</v>
      </c>
      <c r="K506" s="17">
        <v>2125.07</v>
      </c>
      <c r="L506" s="17">
        <v>1999.24</v>
      </c>
      <c r="M506" t="s">
        <v>84</v>
      </c>
      <c r="N506" t="s">
        <v>84</v>
      </c>
      <c r="O506" t="s">
        <v>84</v>
      </c>
      <c r="P506" t="s">
        <v>84</v>
      </c>
      <c r="Q506" s="17">
        <v>13396131.83</v>
      </c>
      <c r="R506" s="17">
        <v>33.63</v>
      </c>
      <c r="S506" t="s">
        <v>85</v>
      </c>
      <c r="T506" t="s">
        <v>84</v>
      </c>
      <c r="U506" t="s">
        <v>86</v>
      </c>
      <c r="V506" s="16">
        <v>43632</v>
      </c>
      <c r="W506" s="18">
        <v>43632.875</v>
      </c>
      <c r="X506" s="18">
        <v>43648</v>
      </c>
      <c r="Y506" s="17">
        <v>1980.22</v>
      </c>
      <c r="Z506" t="s">
        <v>87</v>
      </c>
      <c r="AA506" s="17">
        <v>2100</v>
      </c>
      <c r="AB506" s="17">
        <v>1950.36</v>
      </c>
      <c r="AC506" t="s">
        <v>84</v>
      </c>
      <c r="AD506" t="s">
        <v>84</v>
      </c>
      <c r="AE506" t="s">
        <v>84</v>
      </c>
      <c r="AF506" t="s">
        <v>84</v>
      </c>
      <c r="AG506" s="17">
        <v>12528040.54</v>
      </c>
      <c r="AH506" s="17">
        <v>36.65</v>
      </c>
      <c r="AI506" s="17">
        <v>5.32</v>
      </c>
      <c r="AJ506" s="17">
        <v>3.96</v>
      </c>
      <c r="AK506" t="s">
        <v>126</v>
      </c>
      <c r="AM506" s="17">
        <v>2.5</v>
      </c>
      <c r="AN506" s="17"/>
      <c r="AO506" s="17">
        <v>1010</v>
      </c>
      <c r="AP506" s="17"/>
      <c r="AQ506" s="17">
        <v>1705</v>
      </c>
      <c r="AR506" s="17"/>
      <c r="AS506" s="17">
        <v>2.77</v>
      </c>
      <c r="AT506" s="17"/>
      <c r="AU506" s="17">
        <v>881</v>
      </c>
      <c r="AV506" s="17"/>
      <c r="AW506" s="17">
        <v>1564</v>
      </c>
      <c r="AX506" s="17"/>
      <c r="AY506" t="s">
        <v>92</v>
      </c>
      <c r="AZ506" t="s">
        <v>92</v>
      </c>
      <c r="BA506" t="s">
        <v>92</v>
      </c>
      <c r="BB506" t="s">
        <v>92</v>
      </c>
      <c r="BC506" t="s">
        <v>92</v>
      </c>
      <c r="BD506" s="17">
        <v>7.51</v>
      </c>
      <c r="BE506" s="17">
        <v>2452841.1</v>
      </c>
      <c r="BF506" t="s">
        <v>92</v>
      </c>
      <c r="BG506" t="s">
        <v>92</v>
      </c>
      <c r="BH506" t="s">
        <v>127</v>
      </c>
      <c r="BI506" t="s">
        <v>94</v>
      </c>
      <c r="BJ506" t="s">
        <v>109</v>
      </c>
      <c r="BK506" t="s">
        <v>85</v>
      </c>
      <c r="BL506" t="s">
        <v>85</v>
      </c>
      <c r="BM506" t="s">
        <v>137</v>
      </c>
      <c r="BN506" t="s">
        <v>97</v>
      </c>
      <c r="BO506" t="s">
        <v>98</v>
      </c>
      <c r="BP506" t="s">
        <v>99</v>
      </c>
      <c r="BQ506" s="17">
        <v>0</v>
      </c>
      <c r="BR506" t="s">
        <v>138</v>
      </c>
      <c r="BS506" t="s">
        <v>92</v>
      </c>
      <c r="BT506" t="s">
        <v>139</v>
      </c>
      <c r="BU506" s="17">
        <v>10.7</v>
      </c>
      <c r="BV506" t="s">
        <v>140</v>
      </c>
      <c r="BW506" t="s">
        <v>85</v>
      </c>
      <c r="BX506" t="s">
        <v>85</v>
      </c>
      <c r="BY506" t="str">
        <f>IF(COUNTIF('Data Upload-prod'!E:E,F506)=0,"Missing","Exist")</f>
        <v>Exist</v>
      </c>
    </row>
    <row r="507" hidden="1" spans="1:77">
      <c r="A507" s="16">
        <v>43591</v>
      </c>
      <c r="B507" s="16">
        <v>43760</v>
      </c>
      <c r="C507" t="s">
        <v>132</v>
      </c>
      <c r="D507" t="s">
        <v>120</v>
      </c>
      <c r="E507" t="s">
        <v>326</v>
      </c>
      <c r="F507" t="s">
        <v>974</v>
      </c>
      <c r="G507" t="s">
        <v>81</v>
      </c>
      <c r="H507" t="s">
        <v>168</v>
      </c>
      <c r="I507" t="s">
        <v>124</v>
      </c>
      <c r="J507" s="17">
        <v>34.6</v>
      </c>
      <c r="K507" s="17">
        <v>2089</v>
      </c>
      <c r="L507" s="17">
        <v>1636</v>
      </c>
      <c r="M507" t="s">
        <v>84</v>
      </c>
      <c r="N507" t="s">
        <v>84</v>
      </c>
      <c r="O507" t="s">
        <v>84</v>
      </c>
      <c r="P507" t="s">
        <v>84</v>
      </c>
      <c r="Q507" s="17">
        <v>9616611</v>
      </c>
      <c r="R507" s="17">
        <v>31.8</v>
      </c>
      <c r="S507" t="s">
        <v>85</v>
      </c>
      <c r="T507" t="s">
        <v>84</v>
      </c>
      <c r="U507" t="s">
        <v>84</v>
      </c>
      <c r="V507" s="16">
        <v>43640.5416666667</v>
      </c>
      <c r="W507" s="18">
        <v>43635.6666666667</v>
      </c>
      <c r="X507" s="18">
        <v>43679.5</v>
      </c>
      <c r="Y507" s="17">
        <v>2168.8</v>
      </c>
      <c r="Z507" t="s">
        <v>87</v>
      </c>
      <c r="AA507" s="17">
        <v>2225</v>
      </c>
      <c r="AB507" s="17">
        <v>1753.29</v>
      </c>
      <c r="AC507" t="s">
        <v>84</v>
      </c>
      <c r="AD507" t="s">
        <v>84</v>
      </c>
      <c r="AE507" t="s">
        <v>84</v>
      </c>
      <c r="AF507" t="s">
        <v>84</v>
      </c>
      <c r="AG507" s="17">
        <v>6103257</v>
      </c>
      <c r="AH507" s="17">
        <v>21.33</v>
      </c>
      <c r="AI507" s="17">
        <v>2</v>
      </c>
      <c r="AJ507" s="17">
        <v>0</v>
      </c>
      <c r="AK507" t="s">
        <v>208</v>
      </c>
      <c r="AM507" s="17">
        <v>2.2</v>
      </c>
      <c r="AN507" s="17"/>
      <c r="AO507" s="17">
        <v>830</v>
      </c>
      <c r="AP507" s="17"/>
      <c r="AQ507" s="17">
        <v>1395</v>
      </c>
      <c r="AR507" s="17"/>
      <c r="AS507" s="17">
        <v>0.48</v>
      </c>
      <c r="AT507" s="17"/>
      <c r="AU507" s="17">
        <v>393</v>
      </c>
      <c r="AV507" s="17"/>
      <c r="AW507" s="17">
        <v>832</v>
      </c>
      <c r="AX507" s="17"/>
      <c r="AY507" t="s">
        <v>92</v>
      </c>
      <c r="AZ507" t="s">
        <v>92</v>
      </c>
      <c r="BA507" t="s">
        <v>92</v>
      </c>
      <c r="BB507" t="s">
        <v>92</v>
      </c>
      <c r="BC507" t="s">
        <v>92</v>
      </c>
      <c r="BD507" t="s">
        <v>92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92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92</v>
      </c>
      <c r="BS507" t="s">
        <v>92</v>
      </c>
      <c r="BT507" t="s">
        <v>92</v>
      </c>
      <c r="BU507" t="s">
        <v>92</v>
      </c>
      <c r="BV507" t="s">
        <v>92</v>
      </c>
      <c r="BW507" t="s">
        <v>92</v>
      </c>
      <c r="BX507" t="s">
        <v>92</v>
      </c>
      <c r="BY507" t="str">
        <f>IF(COUNTIF('Data Upload-prod'!E:E,F507)=0,"Missing","Exist")</f>
        <v>Missing</v>
      </c>
    </row>
    <row r="508" hidden="1" spans="1:77">
      <c r="A508" s="16">
        <v>43586</v>
      </c>
      <c r="B508" s="16">
        <v>43774</v>
      </c>
      <c r="C508" t="s">
        <v>151</v>
      </c>
      <c r="D508" t="s">
        <v>78</v>
      </c>
      <c r="E508" t="s">
        <v>152</v>
      </c>
      <c r="F508" t="s">
        <v>975</v>
      </c>
      <c r="G508" t="s">
        <v>81</v>
      </c>
      <c r="H508" t="s">
        <v>154</v>
      </c>
      <c r="I508" t="s">
        <v>124</v>
      </c>
      <c r="J508" s="17">
        <v>56</v>
      </c>
      <c r="K508" s="17">
        <v>5100</v>
      </c>
      <c r="L508" s="17">
        <v>1945</v>
      </c>
      <c r="M508" t="s">
        <v>84</v>
      </c>
      <c r="N508" t="s">
        <v>84</v>
      </c>
      <c r="O508" t="s">
        <v>84</v>
      </c>
      <c r="P508" t="s">
        <v>84</v>
      </c>
      <c r="Q508" s="17">
        <v>13101906</v>
      </c>
      <c r="R508" s="17">
        <v>41.1</v>
      </c>
      <c r="S508" t="s">
        <v>106</v>
      </c>
      <c r="T508" t="s">
        <v>84</v>
      </c>
      <c r="U508" t="s">
        <v>86</v>
      </c>
      <c r="V508" s="16">
        <v>43641</v>
      </c>
      <c r="W508" s="18">
        <v>43638.5</v>
      </c>
      <c r="X508" s="18">
        <v>43698.3125</v>
      </c>
      <c r="Y508" s="17">
        <v>4760.16</v>
      </c>
      <c r="Z508" t="s">
        <v>87</v>
      </c>
      <c r="AA508" s="17">
        <v>4860</v>
      </c>
      <c r="AB508" s="17">
        <v>1948.1</v>
      </c>
      <c r="AC508" t="s">
        <v>84</v>
      </c>
      <c r="AD508" t="s">
        <v>84</v>
      </c>
      <c r="AE508" t="s">
        <v>84</v>
      </c>
      <c r="AF508" t="s">
        <v>84</v>
      </c>
      <c r="AG508" s="17">
        <v>18055910</v>
      </c>
      <c r="AH508" s="17">
        <v>59.87</v>
      </c>
      <c r="AI508" s="17">
        <v>19</v>
      </c>
      <c r="AJ508" s="17">
        <v>19</v>
      </c>
      <c r="AK508" t="s">
        <v>208</v>
      </c>
      <c r="AM508" s="17">
        <v>2.1</v>
      </c>
      <c r="AN508" s="17"/>
      <c r="AO508" s="17">
        <v>700</v>
      </c>
      <c r="AP508" s="17"/>
      <c r="AQ508" s="17">
        <v>1225</v>
      </c>
      <c r="AR508" s="17"/>
      <c r="AS508" s="17">
        <v>2.28</v>
      </c>
      <c r="AT508" s="17"/>
      <c r="AU508" s="17">
        <v>744</v>
      </c>
      <c r="AV508" s="17"/>
      <c r="AW508" s="17">
        <v>1132</v>
      </c>
      <c r="AX508" s="17"/>
      <c r="AY508" t="s">
        <v>92</v>
      </c>
      <c r="AZ508" t="s">
        <v>92</v>
      </c>
      <c r="BA508" t="s">
        <v>92</v>
      </c>
      <c r="BB508" t="s">
        <v>92</v>
      </c>
      <c r="BC508" t="s">
        <v>92</v>
      </c>
      <c r="BD508" s="17">
        <v>9.58</v>
      </c>
      <c r="BE508" s="17">
        <v>4129724.41</v>
      </c>
      <c r="BF508" t="s">
        <v>92</v>
      </c>
      <c r="BG508" t="s">
        <v>92</v>
      </c>
      <c r="BH508" t="s">
        <v>93</v>
      </c>
      <c r="BI508" t="s">
        <v>94</v>
      </c>
      <c r="BJ508" t="s">
        <v>173</v>
      </c>
      <c r="BK508" t="s">
        <v>85</v>
      </c>
      <c r="BL508" t="s">
        <v>85</v>
      </c>
      <c r="BM508" t="s">
        <v>96</v>
      </c>
      <c r="BN508" t="s">
        <v>97</v>
      </c>
      <c r="BO508" t="s">
        <v>98</v>
      </c>
      <c r="BP508" t="s">
        <v>99</v>
      </c>
      <c r="BQ508" s="17">
        <v>2414.698163</v>
      </c>
      <c r="BR508" t="s">
        <v>138</v>
      </c>
      <c r="BS508" t="s">
        <v>156</v>
      </c>
      <c r="BT508" t="s">
        <v>99</v>
      </c>
      <c r="BU508" s="17">
        <v>8.6</v>
      </c>
      <c r="BV508" t="s">
        <v>110</v>
      </c>
      <c r="BW508" t="s">
        <v>85</v>
      </c>
      <c r="BX508" t="s">
        <v>85</v>
      </c>
      <c r="BY508" t="str">
        <f>IF(COUNTIF('Data Upload-prod'!E:E,F508)=0,"Missing","Exist")</f>
        <v>Exist</v>
      </c>
    </row>
    <row r="509" hidden="1" spans="1:77">
      <c r="A509" s="16">
        <v>43581</v>
      </c>
      <c r="B509" s="16">
        <v>43760</v>
      </c>
      <c r="C509" t="s">
        <v>132</v>
      </c>
      <c r="D509" t="s">
        <v>120</v>
      </c>
      <c r="E509" t="s">
        <v>326</v>
      </c>
      <c r="F509" t="s">
        <v>976</v>
      </c>
      <c r="G509" t="s">
        <v>81</v>
      </c>
      <c r="H509" t="s">
        <v>168</v>
      </c>
      <c r="I509" t="s">
        <v>124</v>
      </c>
      <c r="J509" s="17">
        <v>34.6</v>
      </c>
      <c r="K509" s="17">
        <v>1692</v>
      </c>
      <c r="L509" s="17">
        <v>1683</v>
      </c>
      <c r="M509" t="s">
        <v>84</v>
      </c>
      <c r="N509" t="s">
        <v>84</v>
      </c>
      <c r="O509" t="s">
        <v>84</v>
      </c>
      <c r="P509" t="s">
        <v>84</v>
      </c>
      <c r="Q509" s="17">
        <v>7397722</v>
      </c>
      <c r="R509" s="17">
        <v>23.6</v>
      </c>
      <c r="S509" t="s">
        <v>85</v>
      </c>
      <c r="T509" t="s">
        <v>84</v>
      </c>
      <c r="U509" t="s">
        <v>86</v>
      </c>
      <c r="V509" s="16">
        <v>43629</v>
      </c>
      <c r="W509" s="18">
        <v>43629.25</v>
      </c>
      <c r="X509" s="18">
        <v>43678.5</v>
      </c>
      <c r="Y509" s="17">
        <v>1848.8</v>
      </c>
      <c r="Z509" t="s">
        <v>87</v>
      </c>
      <c r="AA509" s="17">
        <v>1905</v>
      </c>
      <c r="AB509" s="17">
        <v>1845</v>
      </c>
      <c r="AC509" t="s">
        <v>84</v>
      </c>
      <c r="AD509" t="s">
        <v>84</v>
      </c>
      <c r="AE509" t="s">
        <v>84</v>
      </c>
      <c r="AF509" t="s">
        <v>84</v>
      </c>
      <c r="AG509" s="17">
        <v>9439394.58</v>
      </c>
      <c r="AH509" s="17">
        <v>28.83</v>
      </c>
      <c r="AI509" s="17">
        <v>3</v>
      </c>
      <c r="AJ509" s="17">
        <v>0</v>
      </c>
      <c r="AK509" t="s">
        <v>208</v>
      </c>
      <c r="AM509" s="17">
        <v>2.2</v>
      </c>
      <c r="AN509" s="17"/>
      <c r="AO509" s="17">
        <v>830</v>
      </c>
      <c r="AP509" s="17"/>
      <c r="AQ509" s="17">
        <v>1455</v>
      </c>
      <c r="AR509" s="17"/>
      <c r="AS509" s="17">
        <v>1.09</v>
      </c>
      <c r="AT509" s="17"/>
      <c r="AU509" s="17">
        <v>476</v>
      </c>
      <c r="AV509" s="17"/>
      <c r="AW509" s="17">
        <v>1362</v>
      </c>
      <c r="AX509" s="17"/>
      <c r="AY509" t="s">
        <v>92</v>
      </c>
      <c r="AZ509" t="s">
        <v>92</v>
      </c>
      <c r="BA509" t="s">
        <v>92</v>
      </c>
      <c r="BB509" t="s">
        <v>92</v>
      </c>
      <c r="BC509" t="s">
        <v>92</v>
      </c>
      <c r="BD509" s="17">
        <v>11.39</v>
      </c>
      <c r="BE509" s="17">
        <v>4111447.2</v>
      </c>
      <c r="BF509" t="s">
        <v>92</v>
      </c>
      <c r="BG509" t="s">
        <v>92</v>
      </c>
      <c r="BH509" t="s">
        <v>93</v>
      </c>
      <c r="BI509" t="s">
        <v>94</v>
      </c>
      <c r="BJ509" t="s">
        <v>173</v>
      </c>
      <c r="BK509" t="s">
        <v>805</v>
      </c>
      <c r="BL509" t="s">
        <v>85</v>
      </c>
      <c r="BM509" t="s">
        <v>96</v>
      </c>
      <c r="BN509" t="s">
        <v>481</v>
      </c>
      <c r="BO509" t="s">
        <v>98</v>
      </c>
      <c r="BP509" t="s">
        <v>99</v>
      </c>
      <c r="BQ509" t="s">
        <v>92</v>
      </c>
      <c r="BR509" t="s">
        <v>138</v>
      </c>
      <c r="BS509" t="s">
        <v>806</v>
      </c>
      <c r="BT509" t="s">
        <v>175</v>
      </c>
      <c r="BU509" s="17">
        <v>9.1</v>
      </c>
      <c r="BV509" t="s">
        <v>191</v>
      </c>
      <c r="BW509" t="s">
        <v>85</v>
      </c>
      <c r="BX509" t="s">
        <v>85</v>
      </c>
      <c r="BY509" t="str">
        <f>IF(COUNTIF('Data Upload-prod'!E:E,F509)=0,"Missing","Exist")</f>
        <v>Exist</v>
      </c>
    </row>
    <row r="510" hidden="1" spans="1:77">
      <c r="A510" s="16">
        <v>43577</v>
      </c>
      <c r="B510" t="s">
        <v>84</v>
      </c>
      <c r="C510" t="s">
        <v>141</v>
      </c>
      <c r="D510" t="s">
        <v>120</v>
      </c>
      <c r="E510" t="s">
        <v>535</v>
      </c>
      <c r="F510" t="s">
        <v>977</v>
      </c>
      <c r="G510" t="s">
        <v>81</v>
      </c>
      <c r="H510" t="s">
        <v>247</v>
      </c>
      <c r="I510" t="s">
        <v>231</v>
      </c>
      <c r="J510" s="17">
        <v>105.03</v>
      </c>
      <c r="K510" s="17">
        <v>3200.24</v>
      </c>
      <c r="L510" s="17">
        <v>1333.13</v>
      </c>
      <c r="M510" t="s">
        <v>84</v>
      </c>
      <c r="N510" t="s">
        <v>84</v>
      </c>
      <c r="O510" t="s">
        <v>84</v>
      </c>
      <c r="P510" t="s">
        <v>84</v>
      </c>
      <c r="Q510" s="17">
        <v>19147500</v>
      </c>
      <c r="R510" s="17">
        <v>56.45</v>
      </c>
      <c r="S510" t="s">
        <v>85</v>
      </c>
      <c r="T510" t="s">
        <v>84</v>
      </c>
      <c r="U510" t="s">
        <v>84</v>
      </c>
      <c r="V510" s="16">
        <v>43599</v>
      </c>
      <c r="W510" s="18">
        <v>43598.8229166667</v>
      </c>
      <c r="X510" s="18">
        <v>43664.5</v>
      </c>
      <c r="Y510" s="17">
        <v>2989.76</v>
      </c>
      <c r="Z510" t="s">
        <v>87</v>
      </c>
      <c r="AA510" s="17">
        <v>3129.53</v>
      </c>
      <c r="AB510" s="17">
        <v>1362.97</v>
      </c>
      <c r="AC510" t="s">
        <v>84</v>
      </c>
      <c r="AD510" t="s">
        <v>84</v>
      </c>
      <c r="AE510" t="s">
        <v>84</v>
      </c>
      <c r="AF510" t="s">
        <v>84</v>
      </c>
      <c r="AG510" s="17">
        <v>14516148</v>
      </c>
      <c r="AH510" s="17">
        <v>36.7</v>
      </c>
      <c r="AI510" s="17">
        <v>5.67</v>
      </c>
      <c r="AJ510" s="17">
        <v>5.67</v>
      </c>
      <c r="AK510" t="s">
        <v>126</v>
      </c>
      <c r="AM510" s="17">
        <v>2.5</v>
      </c>
      <c r="AN510" s="17"/>
      <c r="AO510" s="17">
        <v>1010</v>
      </c>
      <c r="AP510" s="17"/>
      <c r="AQ510" s="17">
        <v>1705</v>
      </c>
      <c r="AR510" s="17"/>
      <c r="AS510" s="17">
        <v>2.39</v>
      </c>
      <c r="AT510" s="17"/>
      <c r="AU510" s="17">
        <v>869</v>
      </c>
      <c r="AV510" s="17"/>
      <c r="AW510" s="17">
        <v>1268</v>
      </c>
      <c r="AX510" s="17"/>
      <c r="AY510" t="s">
        <v>92</v>
      </c>
      <c r="AZ510" t="s">
        <v>92</v>
      </c>
      <c r="BA510" t="s">
        <v>92</v>
      </c>
      <c r="BB510" t="s">
        <v>92</v>
      </c>
      <c r="BC510" t="s">
        <v>92</v>
      </c>
      <c r="BD510" t="s">
        <v>92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92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92</v>
      </c>
      <c r="BS510" t="s">
        <v>92</v>
      </c>
      <c r="BT510" t="s">
        <v>92</v>
      </c>
      <c r="BU510" t="s">
        <v>92</v>
      </c>
      <c r="BV510" t="s">
        <v>92</v>
      </c>
      <c r="BW510" t="s">
        <v>92</v>
      </c>
      <c r="BX510" t="s">
        <v>92</v>
      </c>
      <c r="BY510" t="str">
        <f>IF(COUNTIF('Data Upload-prod'!E:E,F510)=0,"Missing","Exist")</f>
        <v>Exist</v>
      </c>
    </row>
    <row r="511" hidden="1" spans="1:77">
      <c r="A511" s="16">
        <v>43577</v>
      </c>
      <c r="B511" t="s">
        <v>84</v>
      </c>
      <c r="C511" t="s">
        <v>141</v>
      </c>
      <c r="D511" t="s">
        <v>120</v>
      </c>
      <c r="E511" t="s">
        <v>535</v>
      </c>
      <c r="F511" t="s">
        <v>978</v>
      </c>
      <c r="G511" t="s">
        <v>81</v>
      </c>
      <c r="H511" t="s">
        <v>247</v>
      </c>
      <c r="I511" t="s">
        <v>231</v>
      </c>
      <c r="J511" s="17">
        <v>105.03</v>
      </c>
      <c r="K511" s="17">
        <v>2969.83</v>
      </c>
      <c r="L511" s="17">
        <v>1340.75</v>
      </c>
      <c r="M511" t="s">
        <v>84</v>
      </c>
      <c r="N511" t="s">
        <v>84</v>
      </c>
      <c r="O511" t="s">
        <v>84</v>
      </c>
      <c r="P511" t="s">
        <v>84</v>
      </c>
      <c r="Q511" s="17">
        <v>22680000</v>
      </c>
      <c r="R511" s="17">
        <v>63.53</v>
      </c>
      <c r="S511" t="s">
        <v>85</v>
      </c>
      <c r="T511" t="s">
        <v>84</v>
      </c>
      <c r="U511" t="s">
        <v>84</v>
      </c>
      <c r="V511" s="16">
        <v>43597</v>
      </c>
      <c r="W511" s="18">
        <v>43589.3020833333</v>
      </c>
      <c r="X511" s="18">
        <v>43676.6041666667</v>
      </c>
      <c r="Y511" s="17">
        <v>2730.39</v>
      </c>
      <c r="Z511" t="s">
        <v>87</v>
      </c>
      <c r="AA511" s="17">
        <v>2870.16</v>
      </c>
      <c r="AB511" s="17">
        <v>1374.28</v>
      </c>
      <c r="AC511" t="s">
        <v>84</v>
      </c>
      <c r="AD511" t="s">
        <v>84</v>
      </c>
      <c r="AE511" t="s">
        <v>84</v>
      </c>
      <c r="AF511" t="s">
        <v>84</v>
      </c>
      <c r="AG511" s="17">
        <v>23284607</v>
      </c>
      <c r="AH511" s="17">
        <v>50.6</v>
      </c>
      <c r="AI511" s="17">
        <v>0.84</v>
      </c>
      <c r="AJ511" s="17">
        <v>0.76</v>
      </c>
      <c r="AK511" t="s">
        <v>126</v>
      </c>
      <c r="AM511" s="17">
        <v>2.5</v>
      </c>
      <c r="AN511" s="17"/>
      <c r="AO511" s="17">
        <v>1010</v>
      </c>
      <c r="AP511" s="17"/>
      <c r="AQ511" s="17">
        <v>1705</v>
      </c>
      <c r="AR511" s="17"/>
      <c r="AS511" s="17">
        <v>2.28</v>
      </c>
      <c r="AT511" s="17"/>
      <c r="AU511" s="17">
        <v>873</v>
      </c>
      <c r="AV511" s="17"/>
      <c r="AW511" s="17">
        <v>1275</v>
      </c>
      <c r="AX511" s="17"/>
      <c r="AY511" t="s">
        <v>92</v>
      </c>
      <c r="AZ511" t="s">
        <v>92</v>
      </c>
      <c r="BA511" t="s">
        <v>92</v>
      </c>
      <c r="BB511" t="s">
        <v>92</v>
      </c>
      <c r="BC511" t="s">
        <v>92</v>
      </c>
      <c r="BD511" t="s">
        <v>92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92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92</v>
      </c>
      <c r="BS511" t="s">
        <v>92</v>
      </c>
      <c r="BT511" t="s">
        <v>92</v>
      </c>
      <c r="BU511" t="s">
        <v>92</v>
      </c>
      <c r="BV511" t="s">
        <v>92</v>
      </c>
      <c r="BW511" t="s">
        <v>92</v>
      </c>
      <c r="BX511" t="s">
        <v>92</v>
      </c>
      <c r="BY511" t="str">
        <f>IF(COUNTIF('Data Upload-prod'!E:E,F511)=0,"Missing","Exist")</f>
        <v>Exist</v>
      </c>
    </row>
    <row r="512" hidden="1" spans="1:77">
      <c r="A512" s="16">
        <v>43567</v>
      </c>
      <c r="B512" s="16">
        <v>43783</v>
      </c>
      <c r="C512" t="s">
        <v>132</v>
      </c>
      <c r="D512" t="s">
        <v>142</v>
      </c>
      <c r="E512" t="s">
        <v>931</v>
      </c>
      <c r="F512" t="s">
        <v>979</v>
      </c>
      <c r="G512" t="s">
        <v>81</v>
      </c>
      <c r="H512" t="s">
        <v>82</v>
      </c>
      <c r="I512" t="s">
        <v>83</v>
      </c>
      <c r="J512" s="17">
        <v>63.97</v>
      </c>
      <c r="K512" s="17">
        <v>3483.69</v>
      </c>
      <c r="L512" s="17">
        <v>2163.97</v>
      </c>
      <c r="M512" t="s">
        <v>84</v>
      </c>
      <c r="N512" t="s">
        <v>84</v>
      </c>
      <c r="O512" t="s">
        <v>84</v>
      </c>
      <c r="P512" t="s">
        <v>84</v>
      </c>
      <c r="Q512" s="17">
        <v>6137000</v>
      </c>
      <c r="R512" s="17">
        <v>20.97</v>
      </c>
      <c r="S512" t="s">
        <v>85</v>
      </c>
      <c r="T512" t="s">
        <v>84</v>
      </c>
      <c r="U512" t="s">
        <v>86</v>
      </c>
      <c r="V512" s="16">
        <v>43662</v>
      </c>
      <c r="W512" s="18">
        <v>43614.6041666667</v>
      </c>
      <c r="X512" s="18">
        <v>43715.2083333333</v>
      </c>
      <c r="Y512" s="17">
        <v>3360.29</v>
      </c>
      <c r="Z512" t="s">
        <v>87</v>
      </c>
      <c r="AA512" s="17">
        <v>3454.37</v>
      </c>
      <c r="AB512" s="17">
        <v>2151.48</v>
      </c>
      <c r="AC512" t="s">
        <v>84</v>
      </c>
      <c r="AD512" t="s">
        <v>84</v>
      </c>
      <c r="AE512" t="s">
        <v>84</v>
      </c>
      <c r="AF512" t="s">
        <v>84</v>
      </c>
      <c r="AG512" s="17">
        <v>6081191.77</v>
      </c>
      <c r="AH512" s="17">
        <v>21.06</v>
      </c>
      <c r="AI512" s="17">
        <v>1.91</v>
      </c>
      <c r="AJ512" s="17">
        <v>0.91</v>
      </c>
      <c r="AK512" t="s">
        <v>89</v>
      </c>
      <c r="AM512" s="17">
        <v>2.4</v>
      </c>
      <c r="AN512" s="17"/>
      <c r="AO512" s="17">
        <v>795</v>
      </c>
      <c r="AP512" s="17"/>
      <c r="AQ512" s="17">
        <v>1400</v>
      </c>
      <c r="AR512" s="17"/>
      <c r="AS512" s="17">
        <v>2.2</v>
      </c>
      <c r="AT512" s="17"/>
      <c r="AU512" s="17">
        <v>860</v>
      </c>
      <c r="AV512" s="17"/>
      <c r="AW512" s="17">
        <v>1415</v>
      </c>
      <c r="AX512" s="17"/>
      <c r="AY512" t="s">
        <v>92</v>
      </c>
      <c r="AZ512" t="s">
        <v>92</v>
      </c>
      <c r="BA512" t="s">
        <v>92</v>
      </c>
      <c r="BB512" t="s">
        <v>92</v>
      </c>
      <c r="BC512" t="s">
        <v>92</v>
      </c>
      <c r="BD512" s="17">
        <v>6.16</v>
      </c>
      <c r="BE512" s="17">
        <v>1303387</v>
      </c>
      <c r="BF512" t="s">
        <v>92</v>
      </c>
      <c r="BG512" t="s">
        <v>92</v>
      </c>
      <c r="BH512" t="s">
        <v>93</v>
      </c>
      <c r="BI512" t="s">
        <v>94</v>
      </c>
      <c r="BJ512" t="s">
        <v>173</v>
      </c>
      <c r="BK512" t="s">
        <v>85</v>
      </c>
      <c r="BL512" t="s">
        <v>85</v>
      </c>
      <c r="BM512" t="s">
        <v>96</v>
      </c>
      <c r="BN512" t="s">
        <v>97</v>
      </c>
      <c r="BO512" t="s">
        <v>98</v>
      </c>
      <c r="BP512" t="s">
        <v>103</v>
      </c>
      <c r="BQ512" s="17">
        <v>57</v>
      </c>
      <c r="BR512" t="s">
        <v>100</v>
      </c>
      <c r="BS512" t="s">
        <v>156</v>
      </c>
      <c r="BT512" t="s">
        <v>550</v>
      </c>
      <c r="BU512" s="17">
        <v>8.5</v>
      </c>
      <c r="BV512" t="s">
        <v>131</v>
      </c>
      <c r="BW512" t="s">
        <v>85</v>
      </c>
      <c r="BX512" t="s">
        <v>85</v>
      </c>
      <c r="BY512" t="str">
        <f>IF(COUNTIF('Data Upload-prod'!E:E,F512)=0,"Missing","Exist")</f>
        <v>Exist</v>
      </c>
    </row>
    <row r="513" hidden="1" spans="1:77">
      <c r="A513" s="16">
        <v>43565</v>
      </c>
      <c r="B513" s="16">
        <v>43677</v>
      </c>
      <c r="C513" t="s">
        <v>141</v>
      </c>
      <c r="D513" t="s">
        <v>120</v>
      </c>
      <c r="E513" t="s">
        <v>980</v>
      </c>
      <c r="F513" t="s">
        <v>981</v>
      </c>
      <c r="G513" t="s">
        <v>145</v>
      </c>
      <c r="H513" t="s">
        <v>658</v>
      </c>
      <c r="I513" t="s">
        <v>231</v>
      </c>
      <c r="J513" s="17">
        <v>137</v>
      </c>
      <c r="K513" s="17">
        <v>1266</v>
      </c>
      <c r="L513" s="17">
        <v>1266</v>
      </c>
      <c r="M513" s="17">
        <v>11167000</v>
      </c>
      <c r="N513" s="17">
        <v>14593000</v>
      </c>
      <c r="O513" s="17">
        <v>25.19</v>
      </c>
      <c r="P513" s="17">
        <v>35.89</v>
      </c>
      <c r="Q513" t="s">
        <v>84</v>
      </c>
      <c r="R513" t="s">
        <v>84</v>
      </c>
      <c r="S513" t="s">
        <v>85</v>
      </c>
      <c r="T513" t="s">
        <v>84</v>
      </c>
      <c r="U513" t="s">
        <v>84</v>
      </c>
      <c r="V513" s="16">
        <v>43600</v>
      </c>
      <c r="W513" s="18">
        <v>43594</v>
      </c>
      <c r="X513" s="18">
        <v>43618.5416666667</v>
      </c>
      <c r="Y513" s="17">
        <v>773</v>
      </c>
      <c r="Z513" t="s">
        <v>87</v>
      </c>
      <c r="AA513" s="17">
        <v>933</v>
      </c>
      <c r="AB513" s="17">
        <v>933</v>
      </c>
      <c r="AC513" s="17">
        <v>11170000</v>
      </c>
      <c r="AD513" t="s">
        <v>84</v>
      </c>
      <c r="AE513" s="17">
        <v>21.32</v>
      </c>
      <c r="AF513" t="s">
        <v>84</v>
      </c>
      <c r="AG513" t="s">
        <v>84</v>
      </c>
      <c r="AH513" t="s">
        <v>84</v>
      </c>
      <c r="AI513" s="17">
        <v>15.1</v>
      </c>
      <c r="AJ513" s="17">
        <v>15.1</v>
      </c>
      <c r="AK513" t="s">
        <v>323</v>
      </c>
      <c r="AM513" s="17">
        <v>4.4</v>
      </c>
      <c r="AN513" s="17"/>
      <c r="AO513" s="17">
        <v>1980</v>
      </c>
      <c r="AP513" s="17"/>
      <c r="AQ513" s="17">
        <v>2760</v>
      </c>
      <c r="AR513" s="17"/>
      <c r="AS513" s="17">
        <v>5.97</v>
      </c>
      <c r="AT513" s="17"/>
      <c r="AU513" s="17">
        <v>2453</v>
      </c>
      <c r="AV513" s="17"/>
      <c r="AW513" s="17">
        <v>3627</v>
      </c>
      <c r="AX513" s="17"/>
      <c r="AY513" t="s">
        <v>92</v>
      </c>
      <c r="AZ513" t="s">
        <v>92</v>
      </c>
      <c r="BA513" t="s">
        <v>92</v>
      </c>
      <c r="BB513" t="s">
        <v>92</v>
      </c>
      <c r="BC513" t="s">
        <v>92</v>
      </c>
      <c r="BD513" t="s">
        <v>92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92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92</v>
      </c>
      <c r="BS513" t="s">
        <v>92</v>
      </c>
      <c r="BT513" t="s">
        <v>92</v>
      </c>
      <c r="BU513" t="s">
        <v>92</v>
      </c>
      <c r="BV513" t="s">
        <v>92</v>
      </c>
      <c r="BW513" t="s">
        <v>92</v>
      </c>
      <c r="BX513" t="s">
        <v>92</v>
      </c>
      <c r="BY513" t="str">
        <f>IF(COUNTIF('Data Upload-prod'!E:E,F513)=0,"Missing","Exist")</f>
        <v>Exist</v>
      </c>
    </row>
    <row r="514" hidden="1" spans="1:77">
      <c r="A514" s="16">
        <v>43561</v>
      </c>
      <c r="B514" s="16">
        <v>43692</v>
      </c>
      <c r="C514" t="s">
        <v>141</v>
      </c>
      <c r="D514" t="s">
        <v>120</v>
      </c>
      <c r="E514" t="s">
        <v>982</v>
      </c>
      <c r="F514" t="s">
        <v>983</v>
      </c>
      <c r="G514" t="s">
        <v>145</v>
      </c>
      <c r="H514" t="s">
        <v>658</v>
      </c>
      <c r="I514" t="s">
        <v>231</v>
      </c>
      <c r="J514" s="17">
        <v>139</v>
      </c>
      <c r="K514" s="17">
        <v>1052</v>
      </c>
      <c r="L514" s="17">
        <v>973</v>
      </c>
      <c r="M514" s="17">
        <v>10690000</v>
      </c>
      <c r="N514" s="17">
        <v>14470000</v>
      </c>
      <c r="O514" s="17">
        <v>23.44</v>
      </c>
      <c r="P514" s="17">
        <v>35.35</v>
      </c>
      <c r="Q514" t="s">
        <v>84</v>
      </c>
      <c r="R514" t="s">
        <v>84</v>
      </c>
      <c r="S514" t="s">
        <v>85</v>
      </c>
      <c r="T514" t="s">
        <v>84</v>
      </c>
      <c r="U514" t="s">
        <v>84</v>
      </c>
      <c r="V514" s="16">
        <v>43591</v>
      </c>
      <c r="W514" s="18">
        <v>43591</v>
      </c>
      <c r="X514" s="18">
        <v>43635.1875</v>
      </c>
      <c r="Y514" s="17">
        <v>944</v>
      </c>
      <c r="Z514" t="s">
        <v>87</v>
      </c>
      <c r="AA514" s="17">
        <v>1106</v>
      </c>
      <c r="AB514" s="17">
        <v>1026</v>
      </c>
      <c r="AC514" s="17">
        <v>7810000</v>
      </c>
      <c r="AD514" t="s">
        <v>84</v>
      </c>
      <c r="AE514" s="17">
        <v>17.75</v>
      </c>
      <c r="AF514" t="s">
        <v>84</v>
      </c>
      <c r="AG514" t="s">
        <v>84</v>
      </c>
      <c r="AH514" t="s">
        <v>84</v>
      </c>
      <c r="AI514" s="17">
        <v>8.22</v>
      </c>
      <c r="AJ514" s="17">
        <v>8.22</v>
      </c>
      <c r="AK514" t="s">
        <v>323</v>
      </c>
      <c r="AM514" s="17">
        <v>4.4</v>
      </c>
      <c r="AN514" s="17"/>
      <c r="AO514" s="17">
        <v>1980</v>
      </c>
      <c r="AP514" s="17"/>
      <c r="AQ514" s="17">
        <v>2760</v>
      </c>
      <c r="AR514" s="17"/>
      <c r="AS514" s="17">
        <v>3.63</v>
      </c>
      <c r="AT514" s="17"/>
      <c r="AU514" s="17">
        <v>1594</v>
      </c>
      <c r="AV514" s="17"/>
      <c r="AW514" s="17">
        <v>2520</v>
      </c>
      <c r="AX514" s="17"/>
      <c r="AY514" t="s">
        <v>92</v>
      </c>
      <c r="AZ514" t="s">
        <v>92</v>
      </c>
      <c r="BA514" t="s">
        <v>92</v>
      </c>
      <c r="BB514" t="s">
        <v>92</v>
      </c>
      <c r="BC514" t="s">
        <v>92</v>
      </c>
      <c r="BD514" t="s">
        <v>92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92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92</v>
      </c>
      <c r="BS514" t="s">
        <v>92</v>
      </c>
      <c r="BT514" t="s">
        <v>92</v>
      </c>
      <c r="BU514" t="s">
        <v>92</v>
      </c>
      <c r="BV514" t="s">
        <v>92</v>
      </c>
      <c r="BW514" t="s">
        <v>92</v>
      </c>
      <c r="BX514" t="s">
        <v>92</v>
      </c>
      <c r="BY514" t="str">
        <f>IF(COUNTIF('Data Upload-prod'!E:E,F514)=0,"Missing","Exist")</f>
        <v>Exist</v>
      </c>
    </row>
    <row r="515" hidden="1" spans="1:77">
      <c r="A515" s="16">
        <v>43556</v>
      </c>
      <c r="B515" s="16">
        <v>43649</v>
      </c>
      <c r="C515" t="s">
        <v>360</v>
      </c>
      <c r="D515" t="s">
        <v>120</v>
      </c>
      <c r="E515" t="s">
        <v>984</v>
      </c>
      <c r="F515" t="s">
        <v>985</v>
      </c>
      <c r="G515" t="s">
        <v>145</v>
      </c>
      <c r="H515" t="s">
        <v>162</v>
      </c>
      <c r="I515" t="s">
        <v>124</v>
      </c>
      <c r="J515" s="17">
        <v>24.1</v>
      </c>
      <c r="K515" s="17">
        <v>1803</v>
      </c>
      <c r="L515" s="17">
        <v>1620</v>
      </c>
      <c r="M515" s="17">
        <v>6173717</v>
      </c>
      <c r="N515" s="17">
        <v>6173717</v>
      </c>
      <c r="O515" s="17">
        <v>18.29</v>
      </c>
      <c r="P515" s="17">
        <v>18.29</v>
      </c>
      <c r="Q515" t="s">
        <v>84</v>
      </c>
      <c r="R515" t="s">
        <v>84</v>
      </c>
      <c r="S515" t="s">
        <v>85</v>
      </c>
      <c r="T515" t="s">
        <v>84</v>
      </c>
      <c r="U515" t="s">
        <v>84</v>
      </c>
      <c r="V515" s="16">
        <v>43584</v>
      </c>
      <c r="W515" s="18">
        <v>43582.5833333333</v>
      </c>
      <c r="X515" s="18">
        <v>43596.125</v>
      </c>
      <c r="Y515" s="17">
        <v>1747.51</v>
      </c>
      <c r="Z515" t="s">
        <v>87</v>
      </c>
      <c r="AA515" s="17">
        <v>1802</v>
      </c>
      <c r="AB515" s="17">
        <v>1621</v>
      </c>
      <c r="AC515" s="17">
        <v>4683343</v>
      </c>
      <c r="AD515" t="s">
        <v>84</v>
      </c>
      <c r="AE515" s="17">
        <v>11.88</v>
      </c>
      <c r="AF515" t="s">
        <v>84</v>
      </c>
      <c r="AG515" t="s">
        <v>84</v>
      </c>
      <c r="AH515" t="s">
        <v>84</v>
      </c>
      <c r="AI515" s="17">
        <v>1.75</v>
      </c>
      <c r="AJ515" s="17">
        <v>1.75</v>
      </c>
      <c r="AK515" t="s">
        <v>300</v>
      </c>
      <c r="AM515" s="17">
        <v>2.4</v>
      </c>
      <c r="AN515" s="17"/>
      <c r="AO515" s="17">
        <v>1375</v>
      </c>
      <c r="AP515" s="17"/>
      <c r="AQ515" s="17">
        <v>3025</v>
      </c>
      <c r="AR515" s="17"/>
      <c r="AS515" s="17">
        <v>1.02</v>
      </c>
      <c r="AT515" s="17"/>
      <c r="AU515" s="17">
        <v>348</v>
      </c>
      <c r="AV515" s="17"/>
      <c r="AW515" s="17">
        <v>712</v>
      </c>
      <c r="AX515" s="17"/>
      <c r="AY515" t="s">
        <v>92</v>
      </c>
      <c r="AZ515" t="s">
        <v>92</v>
      </c>
      <c r="BA515" t="s">
        <v>92</v>
      </c>
      <c r="BB515" t="s">
        <v>92</v>
      </c>
      <c r="BC515" t="s">
        <v>92</v>
      </c>
      <c r="BD515" t="s">
        <v>92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92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92</v>
      </c>
      <c r="BS515" t="s">
        <v>92</v>
      </c>
      <c r="BT515" t="s">
        <v>92</v>
      </c>
      <c r="BU515" t="s">
        <v>92</v>
      </c>
      <c r="BV515" t="s">
        <v>92</v>
      </c>
      <c r="BW515" t="s">
        <v>92</v>
      </c>
      <c r="BX515" t="s">
        <v>92</v>
      </c>
      <c r="BY515" t="str">
        <f>IF(COUNTIF('Data Upload-prod'!E:E,F515)=0,"Missing","Exist")</f>
        <v>Exist</v>
      </c>
    </row>
    <row r="516" hidden="1" spans="1:77">
      <c r="A516" s="16">
        <v>43556</v>
      </c>
      <c r="B516" s="16">
        <v>43690</v>
      </c>
      <c r="C516" t="s">
        <v>151</v>
      </c>
      <c r="D516" t="s">
        <v>78</v>
      </c>
      <c r="E516" t="s">
        <v>986</v>
      </c>
      <c r="F516" t="s">
        <v>987</v>
      </c>
      <c r="G516" t="s">
        <v>145</v>
      </c>
      <c r="H516" t="s">
        <v>154</v>
      </c>
      <c r="I516" t="s">
        <v>124</v>
      </c>
      <c r="J516" s="17">
        <v>56</v>
      </c>
      <c r="K516" s="17">
        <v>3258</v>
      </c>
      <c r="L516" s="17">
        <v>2346</v>
      </c>
      <c r="M516" s="17">
        <v>9100000</v>
      </c>
      <c r="N516" s="17">
        <v>17800000</v>
      </c>
      <c r="O516" s="17">
        <v>26.4</v>
      </c>
      <c r="P516" s="17">
        <v>49.9</v>
      </c>
      <c r="Q516" t="s">
        <v>84</v>
      </c>
      <c r="R516" t="s">
        <v>84</v>
      </c>
      <c r="S516" t="s">
        <v>106</v>
      </c>
      <c r="T516" t="s">
        <v>84</v>
      </c>
      <c r="U516" t="s">
        <v>84</v>
      </c>
      <c r="V516" s="16">
        <v>43579.7916666667</v>
      </c>
      <c r="W516" s="18">
        <v>43574.8229166667</v>
      </c>
      <c r="X516" s="18">
        <v>43609</v>
      </c>
      <c r="Y516" s="17">
        <v>3226</v>
      </c>
      <c r="Z516" t="s">
        <v>87</v>
      </c>
      <c r="AA516" s="17">
        <v>3312</v>
      </c>
      <c r="AB516" s="17">
        <v>2388</v>
      </c>
      <c r="AC516" t="s">
        <v>84</v>
      </c>
      <c r="AD516" s="17">
        <v>26050000</v>
      </c>
      <c r="AE516" t="s">
        <v>84</v>
      </c>
      <c r="AF516" s="17">
        <v>60.62</v>
      </c>
      <c r="AG516" t="s">
        <v>84</v>
      </c>
      <c r="AH516" t="s">
        <v>84</v>
      </c>
      <c r="AI516" s="17">
        <v>9.87</v>
      </c>
      <c r="AJ516" s="17">
        <v>9.87</v>
      </c>
      <c r="AK516" t="s">
        <v>300</v>
      </c>
      <c r="AM516" s="17">
        <v>1.9</v>
      </c>
      <c r="AN516" s="17"/>
      <c r="AO516" s="17">
        <v>720</v>
      </c>
      <c r="AP516" s="17"/>
      <c r="AQ516" s="17">
        <v>1370</v>
      </c>
      <c r="AR516" s="17"/>
      <c r="AS516" s="17">
        <v>0.88</v>
      </c>
      <c r="AT516" s="17"/>
      <c r="AU516" s="17">
        <v>299</v>
      </c>
      <c r="AV516" s="17"/>
      <c r="AW516" s="17">
        <v>513</v>
      </c>
      <c r="AX516" s="17"/>
      <c r="AY516" t="s">
        <v>92</v>
      </c>
      <c r="AZ516" t="s">
        <v>92</v>
      </c>
      <c r="BA516" t="s">
        <v>92</v>
      </c>
      <c r="BB516" t="s">
        <v>92</v>
      </c>
      <c r="BC516" t="s">
        <v>92</v>
      </c>
      <c r="BD516" t="s">
        <v>92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92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92</v>
      </c>
      <c r="BS516" t="s">
        <v>92</v>
      </c>
      <c r="BT516" t="s">
        <v>92</v>
      </c>
      <c r="BU516" t="s">
        <v>92</v>
      </c>
      <c r="BV516" t="s">
        <v>92</v>
      </c>
      <c r="BW516" t="s">
        <v>92</v>
      </c>
      <c r="BX516" t="s">
        <v>92</v>
      </c>
      <c r="BY516" t="str">
        <f>IF(COUNTIF('Data Upload-prod'!E:E,F516)=0,"Missing","Exist")</f>
        <v>Missing</v>
      </c>
    </row>
    <row r="517" hidden="1" spans="1:77">
      <c r="A517" s="16">
        <v>43539</v>
      </c>
      <c r="B517" s="16">
        <v>43662</v>
      </c>
      <c r="C517" t="s">
        <v>132</v>
      </c>
      <c r="D517" t="s">
        <v>142</v>
      </c>
      <c r="E517" t="s">
        <v>988</v>
      </c>
      <c r="F517" t="s">
        <v>989</v>
      </c>
      <c r="G517" t="s">
        <v>145</v>
      </c>
      <c r="H517" t="s">
        <v>825</v>
      </c>
      <c r="I517" t="s">
        <v>147</v>
      </c>
      <c r="J517" s="17">
        <v>478</v>
      </c>
      <c r="K517" s="17">
        <v>2400</v>
      </c>
      <c r="L517" s="17">
        <v>2324</v>
      </c>
      <c r="M517" s="17">
        <v>26700000</v>
      </c>
      <c r="N517" s="17">
        <v>28200000</v>
      </c>
      <c r="O517" s="17">
        <v>41.7</v>
      </c>
      <c r="P517" s="17">
        <v>46.2</v>
      </c>
      <c r="Q517" t="s">
        <v>84</v>
      </c>
      <c r="R517" t="s">
        <v>84</v>
      </c>
      <c r="S517" t="s">
        <v>85</v>
      </c>
      <c r="T517" t="s">
        <v>84</v>
      </c>
      <c r="U517" t="s">
        <v>84</v>
      </c>
      <c r="V517" s="16">
        <v>43572</v>
      </c>
      <c r="W517" s="18">
        <v>43566.8020833333</v>
      </c>
      <c r="X517" s="18">
        <v>43607.3333333333</v>
      </c>
      <c r="Y517" s="17">
        <v>1888</v>
      </c>
      <c r="Z517" t="s">
        <v>148</v>
      </c>
      <c r="AA517" s="17">
        <v>2390</v>
      </c>
      <c r="AB517" s="17">
        <v>2311.7</v>
      </c>
      <c r="AC517" t="s">
        <v>84</v>
      </c>
      <c r="AD517" s="17">
        <v>19259122.36</v>
      </c>
      <c r="AE517" t="s">
        <v>84</v>
      </c>
      <c r="AF517" s="17">
        <v>40.53</v>
      </c>
      <c r="AG517" t="s">
        <v>84</v>
      </c>
      <c r="AH517" t="s">
        <v>84</v>
      </c>
      <c r="AI517" s="17">
        <v>28.99</v>
      </c>
      <c r="AJ517" s="17">
        <v>28.99</v>
      </c>
      <c r="AK517" t="s">
        <v>232</v>
      </c>
      <c r="AM517" s="17">
        <v>4.4</v>
      </c>
      <c r="AN517" s="17"/>
      <c r="AO517" s="17">
        <v>4200</v>
      </c>
      <c r="AP517" s="17"/>
      <c r="AQ517" s="17">
        <v>6400</v>
      </c>
      <c r="AR517" s="17"/>
      <c r="AS517" s="17">
        <v>3.84</v>
      </c>
      <c r="AT517" s="17"/>
      <c r="AU517" s="17">
        <v>2057</v>
      </c>
      <c r="AV517" s="17"/>
      <c r="AW517" s="17">
        <v>2958</v>
      </c>
      <c r="AX517" s="17"/>
      <c r="AY517" t="s">
        <v>92</v>
      </c>
      <c r="AZ517" t="s">
        <v>92</v>
      </c>
      <c r="BA517" t="s">
        <v>92</v>
      </c>
      <c r="BB517" t="s">
        <v>92</v>
      </c>
      <c r="BC517" t="s">
        <v>92</v>
      </c>
      <c r="BD517" t="s">
        <v>92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92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92</v>
      </c>
      <c r="BS517" t="s">
        <v>92</v>
      </c>
      <c r="BT517" t="s">
        <v>92</v>
      </c>
      <c r="BU517" t="s">
        <v>92</v>
      </c>
      <c r="BV517" t="s">
        <v>92</v>
      </c>
      <c r="BW517" t="s">
        <v>92</v>
      </c>
      <c r="BX517" t="s">
        <v>92</v>
      </c>
      <c r="BY517" t="str">
        <f>IF(COUNTIF('Data Upload-prod'!E:E,F517)=0,"Missing","Exist")</f>
        <v>Exist</v>
      </c>
    </row>
    <row r="518" hidden="1" spans="1:77">
      <c r="A518" s="16">
        <v>43538</v>
      </c>
      <c r="B518" s="16">
        <v>43698</v>
      </c>
      <c r="C518" t="s">
        <v>178</v>
      </c>
      <c r="D518" t="s">
        <v>120</v>
      </c>
      <c r="E518" t="s">
        <v>870</v>
      </c>
      <c r="F518" t="s">
        <v>990</v>
      </c>
      <c r="G518" t="s">
        <v>81</v>
      </c>
      <c r="H518" t="s">
        <v>202</v>
      </c>
      <c r="I518" t="s">
        <v>124</v>
      </c>
      <c r="J518" s="17">
        <v>47.24</v>
      </c>
      <c r="K518" s="17">
        <v>3734.23</v>
      </c>
      <c r="L518" s="17">
        <v>1704.05</v>
      </c>
      <c r="M518" t="s">
        <v>84</v>
      </c>
      <c r="N518" t="s">
        <v>84</v>
      </c>
      <c r="O518" t="s">
        <v>84</v>
      </c>
      <c r="P518" t="s">
        <v>84</v>
      </c>
      <c r="Q518" s="17">
        <v>14259467</v>
      </c>
      <c r="R518" s="17">
        <v>54.66</v>
      </c>
      <c r="S518" t="s">
        <v>85</v>
      </c>
      <c r="T518" t="s">
        <v>84</v>
      </c>
      <c r="U518" t="s">
        <v>84</v>
      </c>
      <c r="V518" s="16">
        <v>43610</v>
      </c>
      <c r="W518" s="18">
        <v>43595.5</v>
      </c>
      <c r="X518" s="18">
        <v>43637.75</v>
      </c>
      <c r="Y518" s="17">
        <v>3673.88</v>
      </c>
      <c r="Z518" t="s">
        <v>87</v>
      </c>
      <c r="AA518" s="17">
        <v>3761.05</v>
      </c>
      <c r="AB518" s="17">
        <v>1712.28</v>
      </c>
      <c r="AC518" t="s">
        <v>84</v>
      </c>
      <c r="AD518" t="s">
        <v>84</v>
      </c>
      <c r="AE518" t="s">
        <v>84</v>
      </c>
      <c r="AF518" t="s">
        <v>84</v>
      </c>
      <c r="AG518" s="17">
        <v>11100598</v>
      </c>
      <c r="AH518" s="17">
        <v>42.25</v>
      </c>
      <c r="AI518" s="17">
        <v>5</v>
      </c>
      <c r="AJ518" s="17">
        <v>5</v>
      </c>
      <c r="AK518" t="s">
        <v>89</v>
      </c>
      <c r="AM518" s="17">
        <v>2.4</v>
      </c>
      <c r="AN518" s="17"/>
      <c r="AO518" s="17">
        <v>795</v>
      </c>
      <c r="AP518" s="17"/>
      <c r="AQ518" s="17">
        <v>1580</v>
      </c>
      <c r="AR518" s="17"/>
      <c r="AS518" s="17">
        <v>1.65</v>
      </c>
      <c r="AT518" s="17"/>
      <c r="AU518" s="17">
        <v>586.29</v>
      </c>
      <c r="AV518" s="17"/>
      <c r="AW518" s="17">
        <v>815.79</v>
      </c>
      <c r="AX518" s="17"/>
      <c r="AY518" t="s">
        <v>92</v>
      </c>
      <c r="AZ518" t="s">
        <v>92</v>
      </c>
      <c r="BA518" t="s">
        <v>92</v>
      </c>
      <c r="BB518" t="s">
        <v>92</v>
      </c>
      <c r="BC518" t="s">
        <v>92</v>
      </c>
      <c r="BD518" t="s">
        <v>92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92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92</v>
      </c>
      <c r="BS518" t="s">
        <v>92</v>
      </c>
      <c r="BT518" t="s">
        <v>92</v>
      </c>
      <c r="BU518" t="s">
        <v>92</v>
      </c>
      <c r="BV518" t="s">
        <v>92</v>
      </c>
      <c r="BW518" t="s">
        <v>92</v>
      </c>
      <c r="BX518" t="s">
        <v>92</v>
      </c>
      <c r="BY518" t="str">
        <f>IF(COUNTIF('Data Upload-prod'!E:E,F518)=0,"Missing","Exist")</f>
        <v>Exist</v>
      </c>
    </row>
    <row r="519" hidden="1" spans="1:77">
      <c r="A519" s="16">
        <v>43535</v>
      </c>
      <c r="B519" s="16">
        <v>43643</v>
      </c>
      <c r="C519" t="s">
        <v>360</v>
      </c>
      <c r="D519" t="s">
        <v>120</v>
      </c>
      <c r="E519" t="s">
        <v>991</v>
      </c>
      <c r="F519" t="s">
        <v>992</v>
      </c>
      <c r="G519" t="s">
        <v>145</v>
      </c>
      <c r="H519" t="s">
        <v>162</v>
      </c>
      <c r="I519" t="s">
        <v>124</v>
      </c>
      <c r="J519" s="17">
        <v>27.3</v>
      </c>
      <c r="K519" s="17">
        <v>1164</v>
      </c>
      <c r="L519" s="17">
        <v>1164</v>
      </c>
      <c r="M519" s="17">
        <v>5491577</v>
      </c>
      <c r="N519" s="17">
        <v>5821577.43</v>
      </c>
      <c r="O519" s="17">
        <v>16.63</v>
      </c>
      <c r="P519" s="17">
        <v>21.02</v>
      </c>
      <c r="Q519" t="s">
        <v>84</v>
      </c>
      <c r="R519" t="s">
        <v>84</v>
      </c>
      <c r="S519" t="s">
        <v>85</v>
      </c>
      <c r="T519" t="s">
        <v>84</v>
      </c>
      <c r="U519" t="s">
        <v>84</v>
      </c>
      <c r="V519" s="16">
        <v>43561</v>
      </c>
      <c r="W519" s="18">
        <v>43561.3958333333</v>
      </c>
      <c r="X519" s="18">
        <v>43582.4166666667</v>
      </c>
      <c r="Y519" s="17">
        <v>1109.4</v>
      </c>
      <c r="Z519" t="s">
        <v>87</v>
      </c>
      <c r="AA519" s="17">
        <v>1164</v>
      </c>
      <c r="AB519" s="17">
        <v>1164</v>
      </c>
      <c r="AC519" t="s">
        <v>84</v>
      </c>
      <c r="AD519" s="17">
        <v>5328045</v>
      </c>
      <c r="AE519" t="s">
        <v>84</v>
      </c>
      <c r="AF519" s="17">
        <v>21.02</v>
      </c>
      <c r="AG519" t="s">
        <v>84</v>
      </c>
      <c r="AH519" t="s">
        <v>84</v>
      </c>
      <c r="AI519" s="17">
        <v>27.65</v>
      </c>
      <c r="AJ519" s="17">
        <v>27.65</v>
      </c>
      <c r="AK519" t="s">
        <v>300</v>
      </c>
      <c r="AM519" s="17">
        <v>2.4</v>
      </c>
      <c r="AN519" s="17"/>
      <c r="AO519" s="17">
        <v>1375</v>
      </c>
      <c r="AP519" s="17"/>
      <c r="AQ519" s="17">
        <v>3025</v>
      </c>
      <c r="AR519" s="17"/>
      <c r="AS519" s="17">
        <v>2.91</v>
      </c>
      <c r="AT519" s="17"/>
      <c r="AU519" s="17">
        <v>738</v>
      </c>
      <c r="AV519" s="17"/>
      <c r="AW519" s="17">
        <v>1468</v>
      </c>
      <c r="AX519" s="17"/>
      <c r="AY519" t="s">
        <v>92</v>
      </c>
      <c r="AZ519" t="s">
        <v>92</v>
      </c>
      <c r="BA519" t="s">
        <v>92</v>
      </c>
      <c r="BB519" t="s">
        <v>92</v>
      </c>
      <c r="BC519" t="s">
        <v>92</v>
      </c>
      <c r="BD519" t="s">
        <v>92</v>
      </c>
      <c r="BE519" t="s">
        <v>92</v>
      </c>
      <c r="BF519" t="s">
        <v>92</v>
      </c>
      <c r="BG519" t="s">
        <v>92</v>
      </c>
      <c r="BH519" t="s">
        <v>92</v>
      </c>
      <c r="BI519" t="s">
        <v>92</v>
      </c>
      <c r="BJ519" t="s">
        <v>92</v>
      </c>
      <c r="BK519" t="s">
        <v>92</v>
      </c>
      <c r="BL519" t="s">
        <v>92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92</v>
      </c>
      <c r="BS519" t="s">
        <v>92</v>
      </c>
      <c r="BT519" t="s">
        <v>92</v>
      </c>
      <c r="BU519" t="s">
        <v>92</v>
      </c>
      <c r="BV519" t="s">
        <v>92</v>
      </c>
      <c r="BW519" t="s">
        <v>92</v>
      </c>
      <c r="BX519" t="s">
        <v>92</v>
      </c>
      <c r="BY519" t="str">
        <f>IF(COUNTIF('Data Upload-prod'!E:E,F519)=0,"Missing","Exist")</f>
        <v>Exist</v>
      </c>
    </row>
    <row r="520" hidden="1" spans="1:77">
      <c r="A520" s="16">
        <v>43531</v>
      </c>
      <c r="B520" s="16">
        <v>43598</v>
      </c>
      <c r="C520" t="s">
        <v>187</v>
      </c>
      <c r="D520" t="s">
        <v>78</v>
      </c>
      <c r="E520" t="s">
        <v>708</v>
      </c>
      <c r="F520" t="s">
        <v>993</v>
      </c>
      <c r="G520" t="s">
        <v>81</v>
      </c>
      <c r="H520" t="s">
        <v>880</v>
      </c>
      <c r="I520" t="s">
        <v>124</v>
      </c>
      <c r="J520" s="17">
        <v>62.5</v>
      </c>
      <c r="K520" s="17">
        <v>1914</v>
      </c>
      <c r="L520" s="17">
        <v>1248</v>
      </c>
      <c r="M520" t="s">
        <v>84</v>
      </c>
      <c r="N520" t="s">
        <v>84</v>
      </c>
      <c r="O520" t="s">
        <v>84</v>
      </c>
      <c r="P520" t="s">
        <v>84</v>
      </c>
      <c r="Q520" s="17">
        <v>8050000</v>
      </c>
      <c r="R520" s="17">
        <v>22.17</v>
      </c>
      <c r="S520" t="s">
        <v>85</v>
      </c>
      <c r="T520" t="s">
        <v>84</v>
      </c>
      <c r="U520" t="s">
        <v>86</v>
      </c>
      <c r="V520" s="16">
        <v>43544</v>
      </c>
      <c r="W520" s="18">
        <v>43544.5</v>
      </c>
      <c r="X520" s="18">
        <v>43574.8125</v>
      </c>
      <c r="Y520" s="17">
        <v>1808.05</v>
      </c>
      <c r="Z520" t="s">
        <v>87</v>
      </c>
      <c r="AA520" s="17">
        <v>1917</v>
      </c>
      <c r="AB520" s="17">
        <v>1200.41</v>
      </c>
      <c r="AC520" t="s">
        <v>84</v>
      </c>
      <c r="AD520" t="s">
        <v>84</v>
      </c>
      <c r="AE520" t="s">
        <v>84</v>
      </c>
      <c r="AF520" t="s">
        <v>84</v>
      </c>
      <c r="AG520" s="17">
        <v>7960000</v>
      </c>
      <c r="AH520" s="17">
        <v>28.27</v>
      </c>
      <c r="AI520" s="17">
        <v>10</v>
      </c>
      <c r="AJ520" s="17">
        <v>10</v>
      </c>
      <c r="AK520" t="s">
        <v>208</v>
      </c>
      <c r="AM520" s="17">
        <v>2.1</v>
      </c>
      <c r="AN520" s="17"/>
      <c r="AO520" s="17">
        <v>700</v>
      </c>
      <c r="AP520" s="17"/>
      <c r="AQ520" s="17">
        <v>1220</v>
      </c>
      <c r="AR520" s="17"/>
      <c r="AS520" s="17">
        <v>3.29</v>
      </c>
      <c r="AT520" s="17"/>
      <c r="AU520" s="17">
        <v>817.9</v>
      </c>
      <c r="AV520" s="17"/>
      <c r="AW520" s="17">
        <v>1267</v>
      </c>
      <c r="AX520" s="17"/>
      <c r="AY520" t="s">
        <v>92</v>
      </c>
      <c r="AZ520" t="s">
        <v>92</v>
      </c>
      <c r="BA520" t="s">
        <v>92</v>
      </c>
      <c r="BB520" t="s">
        <v>92</v>
      </c>
      <c r="BC520" t="s">
        <v>92</v>
      </c>
      <c r="BD520" s="17">
        <v>6.56</v>
      </c>
      <c r="BE520" s="17">
        <v>2238233</v>
      </c>
      <c r="BF520" s="17">
        <v>1.04</v>
      </c>
      <c r="BG520" s="17">
        <v>355.88</v>
      </c>
      <c r="BH520" t="s">
        <v>93</v>
      </c>
      <c r="BI520" t="s">
        <v>278</v>
      </c>
      <c r="BJ520" t="s">
        <v>994</v>
      </c>
      <c r="BK520" t="s">
        <v>291</v>
      </c>
      <c r="BL520" t="s">
        <v>129</v>
      </c>
      <c r="BM520" t="s">
        <v>190</v>
      </c>
      <c r="BN520" t="s">
        <v>253</v>
      </c>
      <c r="BO520" t="s">
        <v>216</v>
      </c>
      <c r="BP520" t="s">
        <v>339</v>
      </c>
      <c r="BQ520" s="17">
        <v>5</v>
      </c>
      <c r="BR520" t="s">
        <v>100</v>
      </c>
      <c r="BS520" t="s">
        <v>338</v>
      </c>
      <c r="BT520" t="s">
        <v>99</v>
      </c>
      <c r="BU520" s="17">
        <v>5</v>
      </c>
      <c r="BV520" t="s">
        <v>308</v>
      </c>
      <c r="BW520" t="s">
        <v>341</v>
      </c>
      <c r="BX520" t="s">
        <v>337</v>
      </c>
      <c r="BY520" t="str">
        <f>IF(COUNTIF('Data Upload-prod'!E:E,F520)=0,"Missing","Exist")</f>
        <v>Exist</v>
      </c>
    </row>
    <row r="521" hidden="1" spans="1:77">
      <c r="A521" s="16">
        <v>43525</v>
      </c>
      <c r="B521" t="s">
        <v>84</v>
      </c>
      <c r="C521" t="s">
        <v>141</v>
      </c>
      <c r="D521" t="s">
        <v>142</v>
      </c>
      <c r="E521" t="s">
        <v>666</v>
      </c>
      <c r="F521" t="s">
        <v>995</v>
      </c>
      <c r="G521" t="s">
        <v>81</v>
      </c>
      <c r="H521" t="s">
        <v>146</v>
      </c>
      <c r="I521" t="s">
        <v>147</v>
      </c>
      <c r="J521" s="17">
        <v>1044.5</v>
      </c>
      <c r="K521" s="17">
        <v>4694.3</v>
      </c>
      <c r="L521" s="17">
        <v>2377.93</v>
      </c>
      <c r="M521" t="s">
        <v>84</v>
      </c>
      <c r="N521" t="s">
        <v>84</v>
      </c>
      <c r="O521" t="s">
        <v>84</v>
      </c>
      <c r="P521" t="s">
        <v>84</v>
      </c>
      <c r="Q521" s="17">
        <v>63400000</v>
      </c>
      <c r="R521" s="17">
        <v>71.36</v>
      </c>
      <c r="S521" t="s">
        <v>85</v>
      </c>
      <c r="T521" t="s">
        <v>84</v>
      </c>
      <c r="U521" t="s">
        <v>84</v>
      </c>
      <c r="V521" s="16">
        <v>43588</v>
      </c>
      <c r="W521" s="18">
        <v>43588.3958333333</v>
      </c>
      <c r="X521" s="18">
        <v>43591</v>
      </c>
      <c r="Y521" s="17">
        <v>3532.76</v>
      </c>
      <c r="Z521" t="s">
        <v>148</v>
      </c>
      <c r="AA521" s="17">
        <v>4602.26</v>
      </c>
      <c r="AB521" s="17">
        <v>2366.45</v>
      </c>
      <c r="AC521" t="s">
        <v>84</v>
      </c>
      <c r="AD521" t="s">
        <v>84</v>
      </c>
      <c r="AE521" t="s">
        <v>84</v>
      </c>
      <c r="AF521" t="s">
        <v>84</v>
      </c>
      <c r="AG521" s="17">
        <v>40420000</v>
      </c>
      <c r="AH521" s="17">
        <v>57.82</v>
      </c>
      <c r="AI521" s="17">
        <v>16.4</v>
      </c>
      <c r="AJ521" s="17">
        <v>16.4</v>
      </c>
      <c r="AK521" t="s">
        <v>669</v>
      </c>
      <c r="AM521" s="17">
        <v>3.6</v>
      </c>
      <c r="AN521" s="17"/>
      <c r="AO521" s="17">
        <v>2590</v>
      </c>
      <c r="AP521" s="17"/>
      <c r="AQ521" s="17">
        <v>4150</v>
      </c>
      <c r="AR521" s="17"/>
      <c r="AS521" s="17">
        <v>4</v>
      </c>
      <c r="AT521" s="17"/>
      <c r="AU521" s="17">
        <v>2345</v>
      </c>
      <c r="AV521" s="17"/>
      <c r="AW521" s="17">
        <v>3488</v>
      </c>
      <c r="AX521" s="17"/>
      <c r="AY521" t="s">
        <v>92</v>
      </c>
      <c r="AZ521" t="s">
        <v>92</v>
      </c>
      <c r="BA521" t="s">
        <v>92</v>
      </c>
      <c r="BB521" t="s">
        <v>92</v>
      </c>
      <c r="BC521" t="s">
        <v>92</v>
      </c>
      <c r="BD521" t="s">
        <v>92</v>
      </c>
      <c r="BE521" t="s">
        <v>92</v>
      </c>
      <c r="BF521" t="s">
        <v>92</v>
      </c>
      <c r="BG521" t="s">
        <v>92</v>
      </c>
      <c r="BH521" t="s">
        <v>92</v>
      </c>
      <c r="BI521" t="s">
        <v>92</v>
      </c>
      <c r="BJ521" t="s">
        <v>92</v>
      </c>
      <c r="BK521" t="s">
        <v>92</v>
      </c>
      <c r="BL521" t="s">
        <v>92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92</v>
      </c>
      <c r="BS521" t="s">
        <v>92</v>
      </c>
      <c r="BT521" t="s">
        <v>92</v>
      </c>
      <c r="BU521" t="s">
        <v>92</v>
      </c>
      <c r="BV521" t="s">
        <v>92</v>
      </c>
      <c r="BW521" t="s">
        <v>92</v>
      </c>
      <c r="BX521" t="s">
        <v>92</v>
      </c>
      <c r="BY521" t="str">
        <f>IF(COUNTIF('Data Upload-prod'!E:E,F521)=0,"Missing","Exist")</f>
        <v>Exist</v>
      </c>
    </row>
    <row r="522" hidden="1" spans="1:77">
      <c r="A522" s="16">
        <v>43518</v>
      </c>
      <c r="B522" t="s">
        <v>84</v>
      </c>
      <c r="C522" t="s">
        <v>218</v>
      </c>
      <c r="D522" t="s">
        <v>78</v>
      </c>
      <c r="E522" t="s">
        <v>219</v>
      </c>
      <c r="F522" t="s">
        <v>996</v>
      </c>
      <c r="G522" t="s">
        <v>81</v>
      </c>
      <c r="H522" t="s">
        <v>801</v>
      </c>
      <c r="I522" t="s">
        <v>124</v>
      </c>
      <c r="J522" s="17">
        <v>72.8</v>
      </c>
      <c r="K522" s="17">
        <v>3352</v>
      </c>
      <c r="L522" s="17">
        <v>1165</v>
      </c>
      <c r="M522" t="s">
        <v>84</v>
      </c>
      <c r="N522" t="s">
        <v>84</v>
      </c>
      <c r="O522" t="s">
        <v>84</v>
      </c>
      <c r="P522" t="s">
        <v>84</v>
      </c>
      <c r="Q522" s="17">
        <v>5241870</v>
      </c>
      <c r="R522" s="17">
        <v>14.41</v>
      </c>
      <c r="S522" t="s">
        <v>85</v>
      </c>
      <c r="T522" t="s">
        <v>84</v>
      </c>
      <c r="U522" t="s">
        <v>84</v>
      </c>
      <c r="V522" s="16">
        <v>43590</v>
      </c>
      <c r="W522" s="18">
        <v>43584.5</v>
      </c>
      <c r="X522" s="18">
        <v>43602</v>
      </c>
      <c r="Y522" s="17">
        <v>3141.3</v>
      </c>
      <c r="Z522" t="s">
        <v>87</v>
      </c>
      <c r="AA522" s="17">
        <v>3260</v>
      </c>
      <c r="AB522" s="17">
        <v>1167.18</v>
      </c>
      <c r="AC522" t="s">
        <v>84</v>
      </c>
      <c r="AD522" t="s">
        <v>84</v>
      </c>
      <c r="AE522" t="s">
        <v>84</v>
      </c>
      <c r="AF522" t="s">
        <v>84</v>
      </c>
      <c r="AG522" s="17">
        <v>4907501.75</v>
      </c>
      <c r="AH522" s="17">
        <v>17.5</v>
      </c>
      <c r="AI522" s="17">
        <v>8.87</v>
      </c>
      <c r="AJ522" s="17">
        <v>8.87</v>
      </c>
      <c r="AK522" t="s">
        <v>89</v>
      </c>
      <c r="AM522" s="17">
        <v>2.4</v>
      </c>
      <c r="AN522" s="17"/>
      <c r="AO522" s="17">
        <v>795</v>
      </c>
      <c r="AP522" s="17"/>
      <c r="AQ522" s="17">
        <v>1400</v>
      </c>
      <c r="AR522" s="17"/>
      <c r="AS522" s="17">
        <v>1.3</v>
      </c>
      <c r="AT522" s="17"/>
      <c r="AU522" s="17">
        <v>391.93</v>
      </c>
      <c r="AV522" s="17"/>
      <c r="AW522" s="17">
        <v>733.92</v>
      </c>
      <c r="AX522" s="17"/>
      <c r="AY522" t="s">
        <v>92</v>
      </c>
      <c r="AZ522" t="s">
        <v>92</v>
      </c>
      <c r="BA522" t="s">
        <v>92</v>
      </c>
      <c r="BB522" t="s">
        <v>92</v>
      </c>
      <c r="BC522" t="s">
        <v>92</v>
      </c>
      <c r="BD522" t="s">
        <v>92</v>
      </c>
      <c r="BE522" t="s">
        <v>92</v>
      </c>
      <c r="BF522" t="s">
        <v>92</v>
      </c>
      <c r="BG522" t="s">
        <v>92</v>
      </c>
      <c r="BH522" t="s">
        <v>92</v>
      </c>
      <c r="BI522" t="s">
        <v>92</v>
      </c>
      <c r="BJ522" t="s">
        <v>92</v>
      </c>
      <c r="BK522" t="s">
        <v>92</v>
      </c>
      <c r="BL522" t="s">
        <v>92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92</v>
      </c>
      <c r="BS522" t="s">
        <v>92</v>
      </c>
      <c r="BT522" t="s">
        <v>92</v>
      </c>
      <c r="BU522" t="s">
        <v>92</v>
      </c>
      <c r="BV522" t="s">
        <v>92</v>
      </c>
      <c r="BW522" t="s">
        <v>92</v>
      </c>
      <c r="BX522" t="s">
        <v>92</v>
      </c>
      <c r="BY522" t="str">
        <f>IF(COUNTIF('Data Upload-prod'!E:E,F522)=0,"Missing","Exist")</f>
        <v>Exist</v>
      </c>
    </row>
    <row r="523" hidden="1" spans="1:77">
      <c r="A523" s="16">
        <v>43516</v>
      </c>
      <c r="B523" s="16">
        <v>43626</v>
      </c>
      <c r="C523" t="s">
        <v>218</v>
      </c>
      <c r="D523" t="s">
        <v>78</v>
      </c>
      <c r="E523" t="s">
        <v>219</v>
      </c>
      <c r="F523" t="s">
        <v>997</v>
      </c>
      <c r="G523" t="s">
        <v>81</v>
      </c>
      <c r="H523" t="s">
        <v>801</v>
      </c>
      <c r="I523" t="s">
        <v>124</v>
      </c>
      <c r="J523" s="17">
        <v>72.8</v>
      </c>
      <c r="K523" s="17">
        <v>3195</v>
      </c>
      <c r="L523" s="17">
        <v>1164</v>
      </c>
      <c r="M523" t="s">
        <v>84</v>
      </c>
      <c r="N523" t="s">
        <v>84</v>
      </c>
      <c r="O523" t="s">
        <v>84</v>
      </c>
      <c r="P523" t="s">
        <v>84</v>
      </c>
      <c r="Q523" s="17">
        <v>4612720</v>
      </c>
      <c r="R523" s="17">
        <v>13.08</v>
      </c>
      <c r="S523" t="s">
        <v>85</v>
      </c>
      <c r="T523" t="s">
        <v>84</v>
      </c>
      <c r="U523" t="s">
        <v>84</v>
      </c>
      <c r="V523" s="16">
        <v>43555</v>
      </c>
      <c r="W523" s="18">
        <v>43551.25</v>
      </c>
      <c r="X523" s="18">
        <v>43568.5</v>
      </c>
      <c r="Y523" s="17">
        <v>3024.3</v>
      </c>
      <c r="Z523" t="s">
        <v>87</v>
      </c>
      <c r="AA523" s="17">
        <v>3143</v>
      </c>
      <c r="AB523" s="17">
        <v>1168.5</v>
      </c>
      <c r="AC523" t="s">
        <v>84</v>
      </c>
      <c r="AD523" t="s">
        <v>84</v>
      </c>
      <c r="AE523" t="s">
        <v>84</v>
      </c>
      <c r="AF523" t="s">
        <v>84</v>
      </c>
      <c r="AG523" s="17">
        <v>5069330</v>
      </c>
      <c r="AH523" s="17">
        <v>17.25</v>
      </c>
      <c r="AI523" s="17">
        <v>3.5</v>
      </c>
      <c r="AJ523" s="17">
        <v>3.5</v>
      </c>
      <c r="AK523" t="s">
        <v>89</v>
      </c>
      <c r="AM523" s="17">
        <v>2.4</v>
      </c>
      <c r="AN523" s="17"/>
      <c r="AO523" s="17">
        <v>795</v>
      </c>
      <c r="AP523" s="17"/>
      <c r="AQ523" s="17">
        <v>1400</v>
      </c>
      <c r="AR523" s="17"/>
      <c r="AS523" s="17">
        <v>1.63</v>
      </c>
      <c r="AT523" s="17"/>
      <c r="AU523" s="17">
        <v>439.59</v>
      </c>
      <c r="AV523" s="17"/>
      <c r="AW523" s="17">
        <v>838.34</v>
      </c>
      <c r="AX523" s="17"/>
      <c r="AY523" t="s">
        <v>92</v>
      </c>
      <c r="AZ523" t="s">
        <v>92</v>
      </c>
      <c r="BA523" t="s">
        <v>92</v>
      </c>
      <c r="BB523" t="s">
        <v>92</v>
      </c>
      <c r="BC523" t="s">
        <v>92</v>
      </c>
      <c r="BD523" t="s">
        <v>92</v>
      </c>
      <c r="BE523" t="s">
        <v>92</v>
      </c>
      <c r="BF523" t="s">
        <v>92</v>
      </c>
      <c r="BG523" t="s">
        <v>92</v>
      </c>
      <c r="BH523" t="s">
        <v>92</v>
      </c>
      <c r="BI523" t="s">
        <v>92</v>
      </c>
      <c r="BJ523" t="s">
        <v>92</v>
      </c>
      <c r="BK523" t="s">
        <v>92</v>
      </c>
      <c r="BL523" t="s">
        <v>92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92</v>
      </c>
      <c r="BS523" t="s">
        <v>92</v>
      </c>
      <c r="BT523" t="s">
        <v>92</v>
      </c>
      <c r="BU523" t="s">
        <v>92</v>
      </c>
      <c r="BV523" t="s">
        <v>92</v>
      </c>
      <c r="BW523" t="s">
        <v>92</v>
      </c>
      <c r="BX523" t="s">
        <v>92</v>
      </c>
      <c r="BY523" t="str">
        <f>IF(COUNTIF('Data Upload-prod'!E:E,F523)=0,"Missing","Exist")</f>
        <v>Exist</v>
      </c>
    </row>
    <row r="524" hidden="1" spans="1:77">
      <c r="A524" s="16">
        <v>43516</v>
      </c>
      <c r="B524" s="16">
        <v>43650</v>
      </c>
      <c r="C524" t="s">
        <v>218</v>
      </c>
      <c r="D524" t="s">
        <v>78</v>
      </c>
      <c r="E524" t="s">
        <v>219</v>
      </c>
      <c r="F524" t="s">
        <v>998</v>
      </c>
      <c r="G524" t="s">
        <v>81</v>
      </c>
      <c r="H524" t="s">
        <v>801</v>
      </c>
      <c r="I524" t="s">
        <v>124</v>
      </c>
      <c r="J524" s="17">
        <v>72.8</v>
      </c>
      <c r="K524" s="17">
        <v>2791</v>
      </c>
      <c r="L524" s="17">
        <v>1165</v>
      </c>
      <c r="M524" t="s">
        <v>84</v>
      </c>
      <c r="N524" t="s">
        <v>84</v>
      </c>
      <c r="O524" t="s">
        <v>84</v>
      </c>
      <c r="P524" t="s">
        <v>84</v>
      </c>
      <c r="Q524" s="17">
        <v>5244999</v>
      </c>
      <c r="R524" s="17">
        <v>14.46</v>
      </c>
      <c r="S524" t="s">
        <v>85</v>
      </c>
      <c r="T524" t="s">
        <v>84</v>
      </c>
      <c r="U524" t="s">
        <v>84</v>
      </c>
      <c r="V524" s="16">
        <v>43572</v>
      </c>
      <c r="W524" s="18">
        <v>43568.5</v>
      </c>
      <c r="X524" s="18">
        <v>43584.5</v>
      </c>
      <c r="Y524" s="17">
        <v>2667.3</v>
      </c>
      <c r="Z524" t="s">
        <v>87</v>
      </c>
      <c r="AA524" s="17">
        <v>2786</v>
      </c>
      <c r="AB524" s="17">
        <v>1164.66</v>
      </c>
      <c r="AC524" t="s">
        <v>84</v>
      </c>
      <c r="AD524" t="s">
        <v>84</v>
      </c>
      <c r="AE524" t="s">
        <v>84</v>
      </c>
      <c r="AF524" t="s">
        <v>84</v>
      </c>
      <c r="AG524" s="17">
        <v>5056125</v>
      </c>
      <c r="AH524" s="17">
        <v>16</v>
      </c>
      <c r="AI524" s="17">
        <v>7.68</v>
      </c>
      <c r="AJ524" s="17">
        <v>7.68</v>
      </c>
      <c r="AK524" t="s">
        <v>298</v>
      </c>
      <c r="AM524" s="17">
        <v>1.8</v>
      </c>
      <c r="AN524" s="17"/>
      <c r="AO524" s="17">
        <v>600</v>
      </c>
      <c r="AP524" s="17"/>
      <c r="AQ524" s="17">
        <v>1160</v>
      </c>
      <c r="AR524" s="17"/>
      <c r="AS524" s="17">
        <v>1.06</v>
      </c>
      <c r="AT524" s="17"/>
      <c r="AU524" s="17">
        <v>289.47</v>
      </c>
      <c r="AV524" s="17"/>
      <c r="AW524" s="17">
        <v>722.09</v>
      </c>
      <c r="AX524" s="17"/>
      <c r="AY524" t="s">
        <v>92</v>
      </c>
      <c r="AZ524" t="s">
        <v>92</v>
      </c>
      <c r="BA524" t="s">
        <v>92</v>
      </c>
      <c r="BB524" t="s">
        <v>92</v>
      </c>
      <c r="BC524" t="s">
        <v>92</v>
      </c>
      <c r="BD524" t="s">
        <v>92</v>
      </c>
      <c r="BE524" t="s">
        <v>92</v>
      </c>
      <c r="BF524" t="s">
        <v>92</v>
      </c>
      <c r="BG524" t="s">
        <v>92</v>
      </c>
      <c r="BH524" t="s">
        <v>92</v>
      </c>
      <c r="BI524" t="s">
        <v>92</v>
      </c>
      <c r="BJ524" t="s">
        <v>92</v>
      </c>
      <c r="BK524" t="s">
        <v>92</v>
      </c>
      <c r="BL524" t="s">
        <v>92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92</v>
      </c>
      <c r="BS524" t="s">
        <v>92</v>
      </c>
      <c r="BT524" t="s">
        <v>92</v>
      </c>
      <c r="BU524" t="s">
        <v>92</v>
      </c>
      <c r="BV524" t="s">
        <v>92</v>
      </c>
      <c r="BW524" t="s">
        <v>92</v>
      </c>
      <c r="BX524" t="s">
        <v>92</v>
      </c>
      <c r="BY524" t="str">
        <f>IF(COUNTIF('Data Upload-prod'!E:E,F524)=0,"Missing","Exist")</f>
        <v>Exist</v>
      </c>
    </row>
    <row r="525" hidden="1" spans="1:77">
      <c r="A525" s="16">
        <v>43516</v>
      </c>
      <c r="B525" s="16">
        <v>43609</v>
      </c>
      <c r="C525" t="s">
        <v>218</v>
      </c>
      <c r="D525" t="s">
        <v>78</v>
      </c>
      <c r="E525" t="s">
        <v>219</v>
      </c>
      <c r="F525" t="s">
        <v>999</v>
      </c>
      <c r="G525" t="s">
        <v>81</v>
      </c>
      <c r="H525" t="s">
        <v>801</v>
      </c>
      <c r="I525" t="s">
        <v>124</v>
      </c>
      <c r="J525" s="17">
        <v>72.8</v>
      </c>
      <c r="K525" s="17">
        <v>3362</v>
      </c>
      <c r="L525" s="17">
        <v>1164.6</v>
      </c>
      <c r="M525" t="s">
        <v>84</v>
      </c>
      <c r="N525" t="s">
        <v>84</v>
      </c>
      <c r="O525" t="s">
        <v>84</v>
      </c>
      <c r="P525" t="s">
        <v>84</v>
      </c>
      <c r="Q525" s="17">
        <v>5141654</v>
      </c>
      <c r="R525" s="17">
        <v>13.55</v>
      </c>
      <c r="S525" t="s">
        <v>85</v>
      </c>
      <c r="T525" t="s">
        <v>84</v>
      </c>
      <c r="U525" t="s">
        <v>84</v>
      </c>
      <c r="V525" s="16">
        <v>43537</v>
      </c>
      <c r="W525" s="18">
        <v>43533.9375</v>
      </c>
      <c r="X525" s="18">
        <v>43551.25</v>
      </c>
      <c r="Y525" s="17">
        <v>3175.3</v>
      </c>
      <c r="Z525" t="s">
        <v>87</v>
      </c>
      <c r="AA525" s="17">
        <v>3294</v>
      </c>
      <c r="AB525" s="17">
        <v>1163.79</v>
      </c>
      <c r="AC525" t="s">
        <v>84</v>
      </c>
      <c r="AD525" t="s">
        <v>84</v>
      </c>
      <c r="AE525" t="s">
        <v>84</v>
      </c>
      <c r="AF525" t="s">
        <v>84</v>
      </c>
      <c r="AG525" s="17">
        <v>5625477</v>
      </c>
      <c r="AH525" s="17">
        <v>17.35</v>
      </c>
      <c r="AI525" s="17">
        <v>2.76</v>
      </c>
      <c r="AJ525" s="17">
        <v>2.76</v>
      </c>
      <c r="AK525" t="s">
        <v>89</v>
      </c>
      <c r="AM525" s="17">
        <v>2.4</v>
      </c>
      <c r="AN525" s="17"/>
      <c r="AO525" s="17">
        <v>795</v>
      </c>
      <c r="AP525" s="17"/>
      <c r="AQ525" s="17">
        <v>1400</v>
      </c>
      <c r="AR525" s="17"/>
      <c r="AS525" s="17">
        <v>1.67</v>
      </c>
      <c r="AT525" s="17"/>
      <c r="AU525" s="17">
        <v>525.92</v>
      </c>
      <c r="AV525" s="17"/>
      <c r="AW525" s="17">
        <v>911.86</v>
      </c>
      <c r="AX525" s="17"/>
      <c r="AY525" t="s">
        <v>92</v>
      </c>
      <c r="AZ525" t="s">
        <v>92</v>
      </c>
      <c r="BA525" t="s">
        <v>92</v>
      </c>
      <c r="BB525" t="s">
        <v>92</v>
      </c>
      <c r="BC525" t="s">
        <v>92</v>
      </c>
      <c r="BD525" t="s">
        <v>92</v>
      </c>
      <c r="BE525" t="s">
        <v>92</v>
      </c>
      <c r="BF525" t="s">
        <v>92</v>
      </c>
      <c r="BG525" t="s">
        <v>92</v>
      </c>
      <c r="BH525" t="s">
        <v>92</v>
      </c>
      <c r="BI525" t="s">
        <v>92</v>
      </c>
      <c r="BJ525" t="s">
        <v>92</v>
      </c>
      <c r="BK525" t="s">
        <v>92</v>
      </c>
      <c r="BL525" t="s">
        <v>92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92</v>
      </c>
      <c r="BS525" t="s">
        <v>92</v>
      </c>
      <c r="BT525" t="s">
        <v>92</v>
      </c>
      <c r="BU525" t="s">
        <v>92</v>
      </c>
      <c r="BV525" t="s">
        <v>92</v>
      </c>
      <c r="BW525" t="s">
        <v>92</v>
      </c>
      <c r="BX525" t="s">
        <v>92</v>
      </c>
      <c r="BY525" t="str">
        <f>IF(COUNTIF('Data Upload-prod'!E:E,F525)=0,"Missing","Exist")</f>
        <v>Exist</v>
      </c>
    </row>
    <row r="526" hidden="1" spans="1:77">
      <c r="A526" s="16">
        <v>43516</v>
      </c>
      <c r="B526" s="16">
        <v>43728</v>
      </c>
      <c r="C526" t="s">
        <v>360</v>
      </c>
      <c r="D526" t="s">
        <v>120</v>
      </c>
      <c r="E526" t="s">
        <v>515</v>
      </c>
      <c r="F526" t="s">
        <v>1000</v>
      </c>
      <c r="G526" t="s">
        <v>145</v>
      </c>
      <c r="H526" t="s">
        <v>363</v>
      </c>
      <c r="I526" t="s">
        <v>124</v>
      </c>
      <c r="J526" s="17">
        <v>90</v>
      </c>
      <c r="K526" s="17">
        <v>4080</v>
      </c>
      <c r="L526" s="17">
        <v>4080</v>
      </c>
      <c r="M526" s="17">
        <v>27860000</v>
      </c>
      <c r="N526" s="17">
        <v>27860000</v>
      </c>
      <c r="O526" s="17">
        <v>57</v>
      </c>
      <c r="P526" s="17">
        <v>57</v>
      </c>
      <c r="Q526" t="s">
        <v>84</v>
      </c>
      <c r="R526" t="s">
        <v>84</v>
      </c>
      <c r="S526" t="s">
        <v>85</v>
      </c>
      <c r="T526" t="s">
        <v>84</v>
      </c>
      <c r="U526" t="s">
        <v>84</v>
      </c>
      <c r="V526" s="16">
        <v>43538</v>
      </c>
      <c r="W526" s="18">
        <v>43533.3333333333</v>
      </c>
      <c r="X526" s="18">
        <v>43667.2604166667</v>
      </c>
      <c r="Y526" s="17">
        <v>3676</v>
      </c>
      <c r="Z526" t="s">
        <v>87</v>
      </c>
      <c r="AA526" s="17">
        <v>3796</v>
      </c>
      <c r="AB526" s="17">
        <v>3729</v>
      </c>
      <c r="AC526" t="s">
        <v>84</v>
      </c>
      <c r="AD526" s="17">
        <v>48400000</v>
      </c>
      <c r="AE526" t="s">
        <v>84</v>
      </c>
      <c r="AF526" s="17">
        <v>133.4</v>
      </c>
      <c r="AG526" t="s">
        <v>84</v>
      </c>
      <c r="AH526" t="s">
        <v>84</v>
      </c>
      <c r="AI526" s="17">
        <v>32.3</v>
      </c>
      <c r="AJ526" s="17">
        <v>32.3</v>
      </c>
      <c r="AK526" t="s">
        <v>323</v>
      </c>
      <c r="AM526" s="17">
        <v>4.4</v>
      </c>
      <c r="AN526" s="17"/>
      <c r="AO526" s="17">
        <v>1980</v>
      </c>
      <c r="AP526" s="17"/>
      <c r="AQ526" s="17">
        <v>2760</v>
      </c>
      <c r="AR526" s="17"/>
      <c r="AS526" s="17">
        <v>5.8</v>
      </c>
      <c r="AT526" s="17"/>
      <c r="AU526" s="17">
        <v>1818</v>
      </c>
      <c r="AV526" s="17"/>
      <c r="AW526" s="17">
        <v>2595</v>
      </c>
      <c r="AX526" s="17"/>
      <c r="AY526" t="s">
        <v>92</v>
      </c>
      <c r="AZ526" t="s">
        <v>92</v>
      </c>
      <c r="BA526" t="s">
        <v>92</v>
      </c>
      <c r="BB526" t="s">
        <v>92</v>
      </c>
      <c r="BC526" t="s">
        <v>92</v>
      </c>
      <c r="BD526" t="s">
        <v>92</v>
      </c>
      <c r="BE526" t="s">
        <v>92</v>
      </c>
      <c r="BF526" t="s">
        <v>92</v>
      </c>
      <c r="BG526" t="s">
        <v>92</v>
      </c>
      <c r="BH526" t="s">
        <v>92</v>
      </c>
      <c r="BI526" t="s">
        <v>92</v>
      </c>
      <c r="BJ526" t="s">
        <v>92</v>
      </c>
      <c r="BK526" t="s">
        <v>92</v>
      </c>
      <c r="BL526" t="s">
        <v>92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92</v>
      </c>
      <c r="BS526" t="s">
        <v>92</v>
      </c>
      <c r="BT526" t="s">
        <v>92</v>
      </c>
      <c r="BU526" t="s">
        <v>92</v>
      </c>
      <c r="BV526" t="s">
        <v>92</v>
      </c>
      <c r="BW526" t="s">
        <v>92</v>
      </c>
      <c r="BX526" t="s">
        <v>92</v>
      </c>
      <c r="BY526" t="str">
        <f>IF(COUNTIF('Data Upload-prod'!E:E,F526)=0,"Missing","Exist")</f>
        <v>Exist</v>
      </c>
    </row>
    <row r="527" hidden="1" spans="1:77">
      <c r="A527" s="16">
        <v>43500</v>
      </c>
      <c r="B527" s="16">
        <v>43539</v>
      </c>
      <c r="C527" t="s">
        <v>132</v>
      </c>
      <c r="D527" t="s">
        <v>78</v>
      </c>
      <c r="E527" t="s">
        <v>1001</v>
      </c>
      <c r="F527" t="s">
        <v>1002</v>
      </c>
      <c r="G527" t="s">
        <v>81</v>
      </c>
      <c r="H527" t="s">
        <v>168</v>
      </c>
      <c r="I527" t="s">
        <v>124</v>
      </c>
      <c r="J527" s="17">
        <v>69</v>
      </c>
      <c r="K527" s="17">
        <v>1940.09</v>
      </c>
      <c r="L527" s="17">
        <v>1681.72</v>
      </c>
      <c r="M527" t="s">
        <v>84</v>
      </c>
      <c r="N527" t="s">
        <v>84</v>
      </c>
      <c r="O527" t="s">
        <v>84</v>
      </c>
      <c r="P527" t="s">
        <v>84</v>
      </c>
      <c r="Q527" s="17">
        <v>8473824.9</v>
      </c>
      <c r="R527" s="17">
        <v>24.1</v>
      </c>
      <c r="S527" t="s">
        <v>85</v>
      </c>
      <c r="T527" t="s">
        <v>84</v>
      </c>
      <c r="U527" t="s">
        <v>86</v>
      </c>
      <c r="V527" s="16">
        <v>43506</v>
      </c>
      <c r="W527" s="18">
        <v>43505.5416666667</v>
      </c>
      <c r="X527" s="18">
        <v>43524.125</v>
      </c>
      <c r="Y527" s="17">
        <v>1857</v>
      </c>
      <c r="Z527" t="s">
        <v>87</v>
      </c>
      <c r="AA527" s="17">
        <v>1963</v>
      </c>
      <c r="AB527" s="17">
        <v>1693.75</v>
      </c>
      <c r="AC527" t="s">
        <v>84</v>
      </c>
      <c r="AD527" t="s">
        <v>84</v>
      </c>
      <c r="AE527" t="s">
        <v>84</v>
      </c>
      <c r="AF527" t="s">
        <v>84</v>
      </c>
      <c r="AG527" s="17">
        <v>6283904.03</v>
      </c>
      <c r="AH527" s="17">
        <v>18.58</v>
      </c>
      <c r="AI527" s="17">
        <v>0</v>
      </c>
      <c r="AJ527" s="17">
        <v>0</v>
      </c>
      <c r="AK527" t="s">
        <v>208</v>
      </c>
      <c r="AM527" s="17">
        <v>2.1</v>
      </c>
      <c r="AN527" s="17"/>
      <c r="AO527" s="17">
        <v>700</v>
      </c>
      <c r="AP527" s="17"/>
      <c r="AQ527" s="17">
        <v>1280</v>
      </c>
      <c r="AR527" s="17"/>
      <c r="AS527" s="17">
        <v>1.36</v>
      </c>
      <c r="AT527" s="17"/>
      <c r="AU527" s="17">
        <v>590</v>
      </c>
      <c r="AV527" s="17"/>
      <c r="AW527" s="17">
        <v>904</v>
      </c>
      <c r="AX527" s="17"/>
      <c r="AY527" t="s">
        <v>92</v>
      </c>
      <c r="AZ527" t="s">
        <v>92</v>
      </c>
      <c r="BA527" t="s">
        <v>92</v>
      </c>
      <c r="BB527" t="s">
        <v>92</v>
      </c>
      <c r="BC527" t="s">
        <v>92</v>
      </c>
      <c r="BD527" s="17">
        <v>4.98</v>
      </c>
      <c r="BE527" s="17">
        <v>1407766.05</v>
      </c>
      <c r="BF527" t="s">
        <v>92</v>
      </c>
      <c r="BG527" t="s">
        <v>92</v>
      </c>
      <c r="BH527" t="s">
        <v>93</v>
      </c>
      <c r="BI527" t="s">
        <v>94</v>
      </c>
      <c r="BJ527" t="s">
        <v>128</v>
      </c>
      <c r="BK527" t="s">
        <v>85</v>
      </c>
      <c r="BL527" t="s">
        <v>85</v>
      </c>
      <c r="BM527" t="s">
        <v>96</v>
      </c>
      <c r="BN527" t="s">
        <v>97</v>
      </c>
      <c r="BO527" t="s">
        <v>98</v>
      </c>
      <c r="BP527" t="s">
        <v>103</v>
      </c>
      <c r="BQ527" s="17">
        <v>426.53</v>
      </c>
      <c r="BR527" t="s">
        <v>100</v>
      </c>
      <c r="BS527" t="s">
        <v>285</v>
      </c>
      <c r="BT527" t="s">
        <v>550</v>
      </c>
      <c r="BU527" s="17">
        <v>9.7</v>
      </c>
      <c r="BV527" t="s">
        <v>308</v>
      </c>
      <c r="BW527" t="s">
        <v>85</v>
      </c>
      <c r="BX527" t="s">
        <v>85</v>
      </c>
      <c r="BY527" t="str">
        <f>IF(COUNTIF('Data Upload-prod'!E:E,F527)=0,"Missing","Exist")</f>
        <v>Exist</v>
      </c>
    </row>
    <row r="528" hidden="1" spans="1:77">
      <c r="A528" s="16">
        <v>43496</v>
      </c>
      <c r="B528" s="16">
        <v>43615</v>
      </c>
      <c r="C528" t="s">
        <v>132</v>
      </c>
      <c r="D528" t="s">
        <v>142</v>
      </c>
      <c r="E528" t="s">
        <v>1003</v>
      </c>
      <c r="F528" t="s">
        <v>1004</v>
      </c>
      <c r="G528" t="s">
        <v>81</v>
      </c>
      <c r="H528" t="s">
        <v>82</v>
      </c>
      <c r="I528" t="s">
        <v>83</v>
      </c>
      <c r="J528" s="17">
        <v>43</v>
      </c>
      <c r="K528" s="17">
        <v>2592</v>
      </c>
      <c r="L528" s="17">
        <v>1490.4</v>
      </c>
      <c r="M528" t="s">
        <v>84</v>
      </c>
      <c r="N528" t="s">
        <v>84</v>
      </c>
      <c r="O528" t="s">
        <v>84</v>
      </c>
      <c r="P528" t="s">
        <v>84</v>
      </c>
      <c r="Q528" s="17">
        <v>9179077</v>
      </c>
      <c r="R528" s="17">
        <v>37.56</v>
      </c>
      <c r="S528" t="s">
        <v>106</v>
      </c>
      <c r="T528" t="s">
        <v>84</v>
      </c>
      <c r="U528" t="s">
        <v>86</v>
      </c>
      <c r="V528" s="16">
        <v>43536</v>
      </c>
      <c r="W528" s="18">
        <v>43504.8333333333</v>
      </c>
      <c r="X528" s="18">
        <v>43561.5833333333</v>
      </c>
      <c r="Y528" s="17">
        <v>2559.01</v>
      </c>
      <c r="Z528" t="s">
        <v>87</v>
      </c>
      <c r="AA528" s="17">
        <v>2636</v>
      </c>
      <c r="AB528" s="17">
        <v>1491.8</v>
      </c>
      <c r="AC528" t="s">
        <v>84</v>
      </c>
      <c r="AD528" t="s">
        <v>84</v>
      </c>
      <c r="AE528" t="s">
        <v>84</v>
      </c>
      <c r="AF528" t="s">
        <v>84</v>
      </c>
      <c r="AG528" s="17">
        <v>8904626</v>
      </c>
      <c r="AH528" s="17">
        <v>32.92</v>
      </c>
      <c r="AI528" s="17">
        <v>2.92</v>
      </c>
      <c r="AJ528" s="17">
        <v>2.92</v>
      </c>
      <c r="AK528" t="s">
        <v>89</v>
      </c>
      <c r="AM528" s="17">
        <v>2.4</v>
      </c>
      <c r="AN528" s="17"/>
      <c r="AO528" s="17">
        <v>795</v>
      </c>
      <c r="AP528" s="17"/>
      <c r="AQ528" s="17">
        <v>1400</v>
      </c>
      <c r="AR528" s="17"/>
      <c r="AS528" s="17">
        <v>2.87</v>
      </c>
      <c r="AT528" s="17"/>
      <c r="AU528" s="17">
        <v>762</v>
      </c>
      <c r="AV528" s="17"/>
      <c r="AW528" s="17">
        <v>1244</v>
      </c>
      <c r="AX528" s="17"/>
      <c r="AY528" t="s">
        <v>92</v>
      </c>
      <c r="AZ528" t="s">
        <v>92</v>
      </c>
      <c r="BA528" t="s">
        <v>92</v>
      </c>
      <c r="BB528" t="s">
        <v>92</v>
      </c>
      <c r="BC528" t="s">
        <v>92</v>
      </c>
      <c r="BD528" s="17">
        <v>3.75</v>
      </c>
      <c r="BE528" s="17">
        <v>1729743.2</v>
      </c>
      <c r="BF528" t="s">
        <v>92</v>
      </c>
      <c r="BG528" t="s">
        <v>92</v>
      </c>
      <c r="BH528" t="s">
        <v>93</v>
      </c>
      <c r="BI528" t="s">
        <v>94</v>
      </c>
      <c r="BJ528" t="s">
        <v>128</v>
      </c>
      <c r="BK528" t="s">
        <v>85</v>
      </c>
      <c r="BL528" t="s">
        <v>85</v>
      </c>
      <c r="BM528" t="s">
        <v>96</v>
      </c>
      <c r="BN528" t="s">
        <v>97</v>
      </c>
      <c r="BO528" t="s">
        <v>98</v>
      </c>
      <c r="BP528" t="s">
        <v>103</v>
      </c>
      <c r="BQ528" s="17">
        <v>1227.094</v>
      </c>
      <c r="BR528" t="s">
        <v>100</v>
      </c>
      <c r="BS528" t="s">
        <v>608</v>
      </c>
      <c r="BT528" t="s">
        <v>550</v>
      </c>
      <c r="BU528" s="17">
        <v>8.5</v>
      </c>
      <c r="BV528" t="s">
        <v>131</v>
      </c>
      <c r="BW528" t="s">
        <v>85</v>
      </c>
      <c r="BX528" t="s">
        <v>85</v>
      </c>
      <c r="BY528" t="str">
        <f>IF(COUNTIF('Data Upload-prod'!E:E,F528)=0,"Missing","Exist")</f>
        <v>Exist</v>
      </c>
    </row>
    <row r="529" hidden="1" spans="1:77">
      <c r="A529" s="16">
        <v>43496</v>
      </c>
      <c r="B529" s="16">
        <v>43556</v>
      </c>
      <c r="C529" t="s">
        <v>132</v>
      </c>
      <c r="D529" t="s">
        <v>142</v>
      </c>
      <c r="E529" t="s">
        <v>1003</v>
      </c>
      <c r="F529" t="s">
        <v>1005</v>
      </c>
      <c r="G529" t="s">
        <v>81</v>
      </c>
      <c r="H529" t="s">
        <v>82</v>
      </c>
      <c r="I529" t="s">
        <v>83</v>
      </c>
      <c r="J529" s="17">
        <v>43</v>
      </c>
      <c r="K529" s="17">
        <v>2688</v>
      </c>
      <c r="L529" s="17">
        <v>1511</v>
      </c>
      <c r="M529" t="s">
        <v>84</v>
      </c>
      <c r="N529" t="s">
        <v>84</v>
      </c>
      <c r="O529" t="s">
        <v>84</v>
      </c>
      <c r="P529" t="s">
        <v>84</v>
      </c>
      <c r="Q529" s="17">
        <v>8188000</v>
      </c>
      <c r="R529" s="17">
        <v>25.22</v>
      </c>
      <c r="S529" t="s">
        <v>85</v>
      </c>
      <c r="T529" t="s">
        <v>84</v>
      </c>
      <c r="U529" t="s">
        <v>86</v>
      </c>
      <c r="V529" t="s">
        <v>84</v>
      </c>
      <c r="W529" s="18">
        <v>43511.6145833333</v>
      </c>
      <c r="X529" s="18">
        <v>43535.4479166667</v>
      </c>
      <c r="Y529" s="17">
        <v>1418.99</v>
      </c>
      <c r="Z529" t="s">
        <v>87</v>
      </c>
      <c r="AA529" s="17">
        <v>1496.39</v>
      </c>
      <c r="AB529" s="17">
        <v>1496.39</v>
      </c>
      <c r="AC529" t="s">
        <v>84</v>
      </c>
      <c r="AD529" t="s">
        <v>84</v>
      </c>
      <c r="AE529" t="s">
        <v>84</v>
      </c>
      <c r="AF529" t="s">
        <v>84</v>
      </c>
      <c r="AG529" s="17">
        <v>6290783.1</v>
      </c>
      <c r="AH529" s="17">
        <v>23.83</v>
      </c>
      <c r="AI529" s="17">
        <v>1.97</v>
      </c>
      <c r="AJ529" s="17">
        <v>1.97</v>
      </c>
      <c r="AK529" t="s">
        <v>89</v>
      </c>
      <c r="AM529" s="17">
        <v>2.4</v>
      </c>
      <c r="AN529" s="17"/>
      <c r="AO529" s="17">
        <v>795</v>
      </c>
      <c r="AP529" s="17"/>
      <c r="AQ529" s="17">
        <v>1400</v>
      </c>
      <c r="AR529" s="17"/>
      <c r="AS529" s="17">
        <v>2.85</v>
      </c>
      <c r="AT529" s="17"/>
      <c r="AU529" s="17">
        <v>777</v>
      </c>
      <c r="AV529" s="17"/>
      <c r="AW529" s="17">
        <v>1306</v>
      </c>
      <c r="AX529" s="17"/>
      <c r="AY529" t="s">
        <v>92</v>
      </c>
      <c r="AZ529" t="s">
        <v>92</v>
      </c>
      <c r="BA529" t="s">
        <v>92</v>
      </c>
      <c r="BB529" t="s">
        <v>92</v>
      </c>
      <c r="BC529" t="s">
        <v>92</v>
      </c>
      <c r="BD529" s="17">
        <v>4.68</v>
      </c>
      <c r="BE529" s="17">
        <v>1327453.23</v>
      </c>
      <c r="BF529" t="s">
        <v>92</v>
      </c>
      <c r="BG529" t="s">
        <v>92</v>
      </c>
      <c r="BH529" t="s">
        <v>93</v>
      </c>
      <c r="BI529" t="s">
        <v>94</v>
      </c>
      <c r="BJ529" t="s">
        <v>128</v>
      </c>
      <c r="BK529" t="s">
        <v>85</v>
      </c>
      <c r="BL529" t="s">
        <v>85</v>
      </c>
      <c r="BM529" t="s">
        <v>96</v>
      </c>
      <c r="BN529" t="s">
        <v>97</v>
      </c>
      <c r="BO529" t="s">
        <v>98</v>
      </c>
      <c r="BP529" t="s">
        <v>103</v>
      </c>
      <c r="BQ529" s="17">
        <v>656.2</v>
      </c>
      <c r="BR529" t="s">
        <v>100</v>
      </c>
      <c r="BS529" t="s">
        <v>608</v>
      </c>
      <c r="BT529" t="s">
        <v>550</v>
      </c>
      <c r="BU529" s="17">
        <v>8.5</v>
      </c>
      <c r="BV529" t="s">
        <v>131</v>
      </c>
      <c r="BW529" t="s">
        <v>85</v>
      </c>
      <c r="BX529" t="s">
        <v>85</v>
      </c>
      <c r="BY529" t="str">
        <f>IF(COUNTIF('Data Upload-prod'!E:E,F529)=0,"Missing","Exist")</f>
        <v>Exist</v>
      </c>
    </row>
    <row r="530" hidden="1" spans="1:77">
      <c r="A530" s="16">
        <v>43481</v>
      </c>
      <c r="B530" t="s">
        <v>84</v>
      </c>
      <c r="C530" t="s">
        <v>132</v>
      </c>
      <c r="D530" t="s">
        <v>120</v>
      </c>
      <c r="E530" t="s">
        <v>700</v>
      </c>
      <c r="F530" t="s">
        <v>1006</v>
      </c>
      <c r="G530" t="s">
        <v>81</v>
      </c>
      <c r="H530" t="s">
        <v>181</v>
      </c>
      <c r="I530" t="s">
        <v>124</v>
      </c>
      <c r="J530" s="17">
        <v>75.6</v>
      </c>
      <c r="K530" s="17">
        <v>3242.3</v>
      </c>
      <c r="L530" s="17">
        <v>3055.47</v>
      </c>
      <c r="M530" t="s">
        <v>84</v>
      </c>
      <c r="N530" t="s">
        <v>84</v>
      </c>
      <c r="O530" t="s">
        <v>84</v>
      </c>
      <c r="P530" t="s">
        <v>84</v>
      </c>
      <c r="Q530" s="17">
        <v>14883903</v>
      </c>
      <c r="R530" s="17">
        <v>36.15</v>
      </c>
      <c r="S530" t="s">
        <v>381</v>
      </c>
      <c r="T530" t="s">
        <v>84</v>
      </c>
      <c r="U530" t="s">
        <v>86</v>
      </c>
      <c r="V530" s="16">
        <v>43497</v>
      </c>
      <c r="W530" s="18">
        <v>43497</v>
      </c>
      <c r="X530" s="18">
        <v>43590.75</v>
      </c>
      <c r="Y530" s="17">
        <v>2045.83</v>
      </c>
      <c r="Z530" t="s">
        <v>87</v>
      </c>
      <c r="AA530" s="17">
        <v>2170.07</v>
      </c>
      <c r="AB530" s="17">
        <v>1989</v>
      </c>
      <c r="AC530" t="s">
        <v>84</v>
      </c>
      <c r="AD530" t="s">
        <v>84</v>
      </c>
      <c r="AE530" t="s">
        <v>84</v>
      </c>
      <c r="AF530" t="s">
        <v>84</v>
      </c>
      <c r="AG530" s="17">
        <v>7592305</v>
      </c>
      <c r="AH530" s="17">
        <v>29.88</v>
      </c>
      <c r="AI530" s="17">
        <v>18.65</v>
      </c>
      <c r="AJ530" s="17">
        <v>18.55</v>
      </c>
      <c r="AK530" t="s">
        <v>276</v>
      </c>
      <c r="AM530" s="17">
        <v>3.7</v>
      </c>
      <c r="AN530" s="17"/>
      <c r="AO530" s="17">
        <v>1585</v>
      </c>
      <c r="AP530" s="17"/>
      <c r="AQ530" s="17">
        <v>3400</v>
      </c>
      <c r="AR530" s="17"/>
      <c r="AS530" s="13" t="s">
        <v>150</v>
      </c>
      <c r="AT530"/>
      <c r="AU530" s="13" t="s">
        <v>150</v>
      </c>
      <c r="AW530" s="13" t="s">
        <v>150</v>
      </c>
      <c r="AY530" t="s">
        <v>92</v>
      </c>
      <c r="AZ530" t="s">
        <v>92</v>
      </c>
      <c r="BA530" t="s">
        <v>92</v>
      </c>
      <c r="BB530" t="s">
        <v>92</v>
      </c>
      <c r="BC530" t="s">
        <v>92</v>
      </c>
      <c r="BD530" s="17">
        <v>16</v>
      </c>
      <c r="BE530" s="17">
        <v>3544100</v>
      </c>
      <c r="BF530" t="s">
        <v>92</v>
      </c>
      <c r="BG530" t="s">
        <v>92</v>
      </c>
      <c r="BH530" t="s">
        <v>93</v>
      </c>
      <c r="BI530" t="s">
        <v>94</v>
      </c>
      <c r="BJ530" t="s">
        <v>173</v>
      </c>
      <c r="BK530" t="s">
        <v>85</v>
      </c>
      <c r="BL530" t="s">
        <v>85</v>
      </c>
      <c r="BM530" t="s">
        <v>273</v>
      </c>
      <c r="BN530" t="s">
        <v>253</v>
      </c>
      <c r="BO530" t="s">
        <v>98</v>
      </c>
      <c r="BP530" t="s">
        <v>99</v>
      </c>
      <c r="BQ530" s="17">
        <v>75.1</v>
      </c>
      <c r="BR530" t="s">
        <v>100</v>
      </c>
      <c r="BS530" t="s">
        <v>92</v>
      </c>
      <c r="BT530" t="s">
        <v>175</v>
      </c>
      <c r="BU530" s="17">
        <v>12</v>
      </c>
      <c r="BV530" t="s">
        <v>794</v>
      </c>
      <c r="BW530" t="s">
        <v>85</v>
      </c>
      <c r="BX530" t="s">
        <v>85</v>
      </c>
      <c r="BY530" t="str">
        <f>IF(COUNTIF('Data Upload-prod'!E:E,F530)=0,"Missing","Exist")</f>
        <v>Exist</v>
      </c>
    </row>
    <row r="531" hidden="1" spans="1:77">
      <c r="A531" s="16">
        <v>43466</v>
      </c>
      <c r="B531" s="16">
        <v>43942</v>
      </c>
      <c r="C531" t="s">
        <v>151</v>
      </c>
      <c r="D531" t="s">
        <v>142</v>
      </c>
      <c r="E531" t="s">
        <v>166</v>
      </c>
      <c r="F531" t="s">
        <v>1007</v>
      </c>
      <c r="G531" t="s">
        <v>81</v>
      </c>
      <c r="H531" t="s">
        <v>154</v>
      </c>
      <c r="I531" t="s">
        <v>124</v>
      </c>
      <c r="J531" s="17">
        <v>54.25</v>
      </c>
      <c r="K531" s="17">
        <v>4099.51</v>
      </c>
      <c r="L531" s="17">
        <v>2695.95</v>
      </c>
      <c r="M531" t="s">
        <v>84</v>
      </c>
      <c r="N531" t="s">
        <v>84</v>
      </c>
      <c r="O531" t="s">
        <v>84</v>
      </c>
      <c r="P531" t="s">
        <v>84</v>
      </c>
      <c r="Q531" s="17">
        <v>14574743</v>
      </c>
      <c r="R531" s="17">
        <v>45.05</v>
      </c>
      <c r="S531" t="s">
        <v>85</v>
      </c>
      <c r="T531" t="s">
        <v>84</v>
      </c>
      <c r="U531" t="s">
        <v>86</v>
      </c>
      <c r="V531" s="16">
        <v>43861</v>
      </c>
      <c r="W531" s="18">
        <v>43860.2083333333</v>
      </c>
      <c r="X531" s="18">
        <v>43885.375</v>
      </c>
      <c r="Y531" s="17">
        <v>4002.32</v>
      </c>
      <c r="Z531" t="s">
        <v>87</v>
      </c>
      <c r="AA531" s="17">
        <v>4099.36</v>
      </c>
      <c r="AB531" s="17">
        <v>2703.51</v>
      </c>
      <c r="AC531" t="s">
        <v>84</v>
      </c>
      <c r="AD531" t="s">
        <v>84</v>
      </c>
      <c r="AE531" t="s">
        <v>84</v>
      </c>
      <c r="AF531" t="s">
        <v>84</v>
      </c>
      <c r="AG531" s="17">
        <v>9553842</v>
      </c>
      <c r="AH531" s="17">
        <v>25.17</v>
      </c>
      <c r="AI531" s="17">
        <v>2.94</v>
      </c>
      <c r="AJ531" s="17">
        <v>2.94</v>
      </c>
      <c r="AK531" t="s">
        <v>298</v>
      </c>
      <c r="AM531" s="17">
        <v>1.8</v>
      </c>
      <c r="AN531" s="17"/>
      <c r="AO531" s="17">
        <v>600</v>
      </c>
      <c r="AP531" s="17"/>
      <c r="AQ531" s="17">
        <v>1670</v>
      </c>
      <c r="AR531" s="17"/>
      <c r="AS531" s="17">
        <v>0.99</v>
      </c>
      <c r="AT531" s="17"/>
      <c r="AU531" s="17">
        <v>352</v>
      </c>
      <c r="AV531" s="17"/>
      <c r="AW531" s="17">
        <v>710</v>
      </c>
      <c r="AX531" s="17"/>
      <c r="AY531" t="s">
        <v>92</v>
      </c>
      <c r="AZ531" t="s">
        <v>92</v>
      </c>
      <c r="BA531" t="s">
        <v>92</v>
      </c>
      <c r="BB531" t="s">
        <v>92</v>
      </c>
      <c r="BC531" t="s">
        <v>92</v>
      </c>
      <c r="BD531" s="17">
        <v>10.86</v>
      </c>
      <c r="BE531" s="17">
        <v>4586073</v>
      </c>
      <c r="BF531" t="s">
        <v>92</v>
      </c>
      <c r="BG531" t="s">
        <v>92</v>
      </c>
      <c r="BH531" t="s">
        <v>93</v>
      </c>
      <c r="BI531" t="s">
        <v>94</v>
      </c>
      <c r="BJ531" t="s">
        <v>109</v>
      </c>
      <c r="BK531" t="s">
        <v>85</v>
      </c>
      <c r="BL531" t="s">
        <v>85</v>
      </c>
      <c r="BM531" t="s">
        <v>96</v>
      </c>
      <c r="BN531" t="s">
        <v>569</v>
      </c>
      <c r="BO531" t="s">
        <v>216</v>
      </c>
      <c r="BP531" t="s">
        <v>99</v>
      </c>
      <c r="BQ531" s="17">
        <v>1789</v>
      </c>
      <c r="BR531" t="s">
        <v>138</v>
      </c>
      <c r="BS531" t="s">
        <v>156</v>
      </c>
      <c r="BT531" t="s">
        <v>99</v>
      </c>
      <c r="BU531" s="17">
        <v>8.6</v>
      </c>
      <c r="BV531" t="s">
        <v>110</v>
      </c>
      <c r="BW531" t="s">
        <v>85</v>
      </c>
      <c r="BX531" t="s">
        <v>85</v>
      </c>
      <c r="BY531" t="str">
        <f>IF(COUNTIF('Data Upload-prod'!E:E,F531)=0,"Missing","Exist")</f>
        <v>Exist</v>
      </c>
    </row>
    <row r="532" hidden="1" spans="1:77">
      <c r="A532" s="16">
        <v>43466</v>
      </c>
      <c r="B532" s="16">
        <v>43721</v>
      </c>
      <c r="C532" t="s">
        <v>151</v>
      </c>
      <c r="D532" t="s">
        <v>78</v>
      </c>
      <c r="E532" t="s">
        <v>1008</v>
      </c>
      <c r="F532" t="s">
        <v>1009</v>
      </c>
      <c r="G532" t="s">
        <v>81</v>
      </c>
      <c r="H532" t="s">
        <v>154</v>
      </c>
      <c r="I532" t="s">
        <v>124</v>
      </c>
      <c r="J532" s="17">
        <v>54</v>
      </c>
      <c r="K532" s="17">
        <v>4007</v>
      </c>
      <c r="L532" s="17">
        <v>2451.46</v>
      </c>
      <c r="M532" t="s">
        <v>84</v>
      </c>
      <c r="N532" t="s">
        <v>84</v>
      </c>
      <c r="O532" t="s">
        <v>84</v>
      </c>
      <c r="P532" t="s">
        <v>84</v>
      </c>
      <c r="Q532" s="17">
        <v>16289140</v>
      </c>
      <c r="R532" s="17">
        <v>35.75</v>
      </c>
      <c r="S532" t="s">
        <v>106</v>
      </c>
      <c r="T532" t="s">
        <v>84</v>
      </c>
      <c r="U532" t="s">
        <v>86</v>
      </c>
      <c r="V532" s="16">
        <v>43514</v>
      </c>
      <c r="W532" s="18">
        <v>43514.0833333333</v>
      </c>
      <c r="X532" s="18">
        <v>43540.25</v>
      </c>
      <c r="Y532" s="17">
        <v>3756.4</v>
      </c>
      <c r="Z532" t="s">
        <v>87</v>
      </c>
      <c r="AA532" s="17">
        <v>3854</v>
      </c>
      <c r="AB532" s="17">
        <v>2317.89</v>
      </c>
      <c r="AC532" t="s">
        <v>84</v>
      </c>
      <c r="AD532" t="s">
        <v>84</v>
      </c>
      <c r="AE532" t="s">
        <v>84</v>
      </c>
      <c r="AF532" t="s">
        <v>84</v>
      </c>
      <c r="AG532" s="17">
        <v>10158724</v>
      </c>
      <c r="AH532" s="17">
        <v>26.17</v>
      </c>
      <c r="AI532" s="17">
        <v>0.84</v>
      </c>
      <c r="AJ532" s="17">
        <v>0.84</v>
      </c>
      <c r="AK532" t="s">
        <v>89</v>
      </c>
      <c r="AM532" s="17">
        <v>2.4</v>
      </c>
      <c r="AN532" s="17"/>
      <c r="AO532" s="17">
        <v>795</v>
      </c>
      <c r="AP532" s="17"/>
      <c r="AQ532" s="17">
        <v>1580</v>
      </c>
      <c r="AR532" s="17"/>
      <c r="AS532" s="17">
        <v>1.55</v>
      </c>
      <c r="AT532" s="17"/>
      <c r="AU532" s="17">
        <v>513</v>
      </c>
      <c r="AV532" s="17"/>
      <c r="AW532" s="17">
        <v>698</v>
      </c>
      <c r="AX532" s="17"/>
      <c r="AY532" t="s">
        <v>92</v>
      </c>
      <c r="AZ532" t="s">
        <v>92</v>
      </c>
      <c r="BA532" t="s">
        <v>92</v>
      </c>
      <c r="BB532" t="s">
        <v>92</v>
      </c>
      <c r="BC532" t="s">
        <v>92</v>
      </c>
      <c r="BD532" s="17">
        <v>5.85</v>
      </c>
      <c r="BE532" s="17">
        <v>2155692</v>
      </c>
      <c r="BF532" t="s">
        <v>92</v>
      </c>
      <c r="BG532" t="s">
        <v>92</v>
      </c>
      <c r="BH532" t="s">
        <v>93</v>
      </c>
      <c r="BI532" t="s">
        <v>94</v>
      </c>
      <c r="BJ532" t="s">
        <v>173</v>
      </c>
      <c r="BK532" t="s">
        <v>85</v>
      </c>
      <c r="BL532" t="s">
        <v>85</v>
      </c>
      <c r="BM532" t="s">
        <v>96</v>
      </c>
      <c r="BN532" t="s">
        <v>97</v>
      </c>
      <c r="BO532" t="s">
        <v>98</v>
      </c>
      <c r="BP532" t="s">
        <v>99</v>
      </c>
      <c r="BQ532" s="17">
        <v>52.49343832</v>
      </c>
      <c r="BR532" t="s">
        <v>138</v>
      </c>
      <c r="BS532" t="s">
        <v>156</v>
      </c>
      <c r="BT532" t="s">
        <v>99</v>
      </c>
      <c r="BU532" s="17">
        <v>8.6</v>
      </c>
      <c r="BV532" t="s">
        <v>110</v>
      </c>
      <c r="BW532" t="s">
        <v>85</v>
      </c>
      <c r="BX532" t="s">
        <v>85</v>
      </c>
      <c r="BY532" t="str">
        <f>IF(COUNTIF('Data Upload-prod'!E:E,F532)=0,"Missing","Exist")</f>
        <v>Exist</v>
      </c>
    </row>
    <row r="533" hidden="1" spans="1:77">
      <c r="A533" s="16">
        <v>43461</v>
      </c>
      <c r="B533" s="16">
        <v>43545</v>
      </c>
      <c r="C533" t="s">
        <v>132</v>
      </c>
      <c r="D533" t="s">
        <v>142</v>
      </c>
      <c r="E533" t="s">
        <v>1003</v>
      </c>
      <c r="F533" t="s">
        <v>1010</v>
      </c>
      <c r="G533" t="s">
        <v>81</v>
      </c>
      <c r="H533" t="s">
        <v>82</v>
      </c>
      <c r="I533" t="s">
        <v>83</v>
      </c>
      <c r="J533" s="17">
        <v>43</v>
      </c>
      <c r="K533" s="17">
        <v>2151.01</v>
      </c>
      <c r="L533" s="17">
        <v>1456.51</v>
      </c>
      <c r="M533" t="s">
        <v>84</v>
      </c>
      <c r="N533" t="s">
        <v>84</v>
      </c>
      <c r="O533" t="s">
        <v>84</v>
      </c>
      <c r="P533" t="s">
        <v>84</v>
      </c>
      <c r="Q533" s="17">
        <v>8600867</v>
      </c>
      <c r="R533" s="17">
        <v>27.5</v>
      </c>
      <c r="S533" t="s">
        <v>106</v>
      </c>
      <c r="T533" t="s">
        <v>84</v>
      </c>
      <c r="U533" t="s">
        <v>86</v>
      </c>
      <c r="V533" s="16">
        <v>43486</v>
      </c>
      <c r="W533" s="18">
        <v>43474.6458333333</v>
      </c>
      <c r="X533" s="18">
        <v>43504.8333333333</v>
      </c>
      <c r="Y533" s="17">
        <v>2210.6</v>
      </c>
      <c r="Z533" t="s">
        <v>87</v>
      </c>
      <c r="AA533" s="17">
        <v>2288</v>
      </c>
      <c r="AB533" s="17">
        <v>1494.79</v>
      </c>
      <c r="AC533" t="s">
        <v>84</v>
      </c>
      <c r="AD533" t="s">
        <v>84</v>
      </c>
      <c r="AE533" t="s">
        <v>84</v>
      </c>
      <c r="AF533" t="s">
        <v>84</v>
      </c>
      <c r="AG533" s="17">
        <v>7549919</v>
      </c>
      <c r="AH533" s="17">
        <v>30.19</v>
      </c>
      <c r="AI533" s="17">
        <v>12.75</v>
      </c>
      <c r="AJ533" s="17">
        <v>12.75</v>
      </c>
      <c r="AK533" t="s">
        <v>89</v>
      </c>
      <c r="AM533" s="17">
        <v>2.4</v>
      </c>
      <c r="AN533" s="17"/>
      <c r="AO533" s="17">
        <v>795</v>
      </c>
      <c r="AP533" s="17"/>
      <c r="AQ533" s="17">
        <v>1400</v>
      </c>
      <c r="AR533" s="17"/>
      <c r="AS533" s="17">
        <v>3.1</v>
      </c>
      <c r="AT533" s="17"/>
      <c r="AU533" s="17">
        <v>823</v>
      </c>
      <c r="AV533" s="17"/>
      <c r="AW533" s="17">
        <v>1523</v>
      </c>
      <c r="AX533" s="17"/>
      <c r="AY533" t="s">
        <v>92</v>
      </c>
      <c r="AZ533" t="s">
        <v>92</v>
      </c>
      <c r="BA533" t="s">
        <v>92</v>
      </c>
      <c r="BB533" t="s">
        <v>92</v>
      </c>
      <c r="BC533" t="s">
        <v>92</v>
      </c>
      <c r="BD533" s="17">
        <v>4.66</v>
      </c>
      <c r="BE533" s="17">
        <v>1516399.46</v>
      </c>
      <c r="BF533" t="s">
        <v>92</v>
      </c>
      <c r="BG533" t="s">
        <v>92</v>
      </c>
      <c r="BH533" t="s">
        <v>93</v>
      </c>
      <c r="BI533" t="s">
        <v>94</v>
      </c>
      <c r="BJ533" t="s">
        <v>128</v>
      </c>
      <c r="BK533" t="s">
        <v>85</v>
      </c>
      <c r="BL533" t="s">
        <v>85</v>
      </c>
      <c r="BM533" t="s">
        <v>96</v>
      </c>
      <c r="BN533" t="s">
        <v>97</v>
      </c>
      <c r="BO533" t="s">
        <v>98</v>
      </c>
      <c r="BP533" t="s">
        <v>103</v>
      </c>
      <c r="BQ533" s="17">
        <v>974.457</v>
      </c>
      <c r="BR533" t="s">
        <v>100</v>
      </c>
      <c r="BS533" t="s">
        <v>608</v>
      </c>
      <c r="BT533" t="s">
        <v>550</v>
      </c>
      <c r="BU533" s="17">
        <v>8.5</v>
      </c>
      <c r="BV533" t="s">
        <v>131</v>
      </c>
      <c r="BW533" t="s">
        <v>85</v>
      </c>
      <c r="BX533" t="s">
        <v>85</v>
      </c>
      <c r="BY533" t="str">
        <f>IF(COUNTIF('Data Upload-prod'!E:E,F533)=0,"Missing","Exist")</f>
        <v>Exist</v>
      </c>
    </row>
    <row r="534" hidden="1" spans="1:77">
      <c r="A534" s="16">
        <v>43448</v>
      </c>
      <c r="B534" s="16">
        <v>43529</v>
      </c>
      <c r="C534" t="s">
        <v>132</v>
      </c>
      <c r="D534" t="s">
        <v>142</v>
      </c>
      <c r="E534" t="s">
        <v>1003</v>
      </c>
      <c r="F534" t="s">
        <v>1011</v>
      </c>
      <c r="G534" t="s">
        <v>81</v>
      </c>
      <c r="H534" t="s">
        <v>82</v>
      </c>
      <c r="I534" t="s">
        <v>83</v>
      </c>
      <c r="J534" s="17">
        <v>42.8</v>
      </c>
      <c r="K534" s="17">
        <v>2130.9</v>
      </c>
      <c r="L534" s="17">
        <v>1490</v>
      </c>
      <c r="M534" t="s">
        <v>84</v>
      </c>
      <c r="N534" t="s">
        <v>84</v>
      </c>
      <c r="O534" t="s">
        <v>84</v>
      </c>
      <c r="P534" t="s">
        <v>84</v>
      </c>
      <c r="Q534" s="17">
        <v>9368410</v>
      </c>
      <c r="R534" s="17">
        <v>31.23</v>
      </c>
      <c r="S534" t="s">
        <v>85</v>
      </c>
      <c r="T534" t="s">
        <v>84</v>
      </c>
      <c r="U534" t="s">
        <v>86</v>
      </c>
      <c r="V534" s="16">
        <v>43452</v>
      </c>
      <c r="W534" s="18">
        <v>43452</v>
      </c>
      <c r="X534" s="18">
        <v>43474.6458333333</v>
      </c>
      <c r="Y534" s="17">
        <v>2154.2</v>
      </c>
      <c r="Z534" t="s">
        <v>87</v>
      </c>
      <c r="AA534" s="17">
        <v>2231.4</v>
      </c>
      <c r="AB534" s="17">
        <v>1485.92</v>
      </c>
      <c r="AC534" t="s">
        <v>84</v>
      </c>
      <c r="AD534" t="s">
        <v>84</v>
      </c>
      <c r="AE534" t="s">
        <v>84</v>
      </c>
      <c r="AF534" t="s">
        <v>84</v>
      </c>
      <c r="AG534" s="17">
        <v>6016456.77</v>
      </c>
      <c r="AH534" s="17">
        <v>22.59</v>
      </c>
      <c r="AI534" s="17">
        <v>6.87</v>
      </c>
      <c r="AJ534" s="17">
        <v>6.87</v>
      </c>
      <c r="AK534" t="s">
        <v>89</v>
      </c>
      <c r="AM534" s="17">
        <v>2.4</v>
      </c>
      <c r="AN534" s="17"/>
      <c r="AO534" s="17">
        <v>795</v>
      </c>
      <c r="AP534" s="17"/>
      <c r="AQ534" s="17">
        <v>1400</v>
      </c>
      <c r="AR534" s="17"/>
      <c r="AS534" s="17">
        <v>1.8</v>
      </c>
      <c r="AT534" s="17"/>
      <c r="AU534" s="17">
        <v>523</v>
      </c>
      <c r="AV534" s="17"/>
      <c r="AW534" s="17">
        <v>1012</v>
      </c>
      <c r="AX534" s="17"/>
      <c r="AY534" t="s">
        <v>92</v>
      </c>
      <c r="AZ534" t="s">
        <v>92</v>
      </c>
      <c r="BA534" t="s">
        <v>92</v>
      </c>
      <c r="BB534" t="s">
        <v>92</v>
      </c>
      <c r="BC534" t="s">
        <v>92</v>
      </c>
      <c r="BD534" s="17">
        <v>6.79</v>
      </c>
      <c r="BE534" s="17">
        <v>1566741.81</v>
      </c>
      <c r="BF534" t="s">
        <v>92</v>
      </c>
      <c r="BG534" t="s">
        <v>92</v>
      </c>
      <c r="BH534" t="s">
        <v>93</v>
      </c>
      <c r="BI534" t="s">
        <v>94</v>
      </c>
      <c r="BJ534" t="s">
        <v>128</v>
      </c>
      <c r="BK534" t="s">
        <v>85</v>
      </c>
      <c r="BL534" t="s">
        <v>85</v>
      </c>
      <c r="BM534" t="s">
        <v>96</v>
      </c>
      <c r="BN534" t="s">
        <v>97</v>
      </c>
      <c r="BO534" t="s">
        <v>98</v>
      </c>
      <c r="BP534" t="s">
        <v>103</v>
      </c>
      <c r="BQ534" s="17">
        <v>1371.458</v>
      </c>
      <c r="BR534" t="s">
        <v>100</v>
      </c>
      <c r="BS534" t="s">
        <v>608</v>
      </c>
      <c r="BT534" t="s">
        <v>550</v>
      </c>
      <c r="BU534" s="17">
        <v>8.5</v>
      </c>
      <c r="BV534" t="s">
        <v>131</v>
      </c>
      <c r="BW534" t="s">
        <v>85</v>
      </c>
      <c r="BX534" t="s">
        <v>85</v>
      </c>
      <c r="BY534" t="str">
        <f>IF(COUNTIF('Data Upload-prod'!E:E,F534)=0,"Missing","Exist")</f>
        <v>Exist</v>
      </c>
    </row>
    <row r="535" hidden="1" spans="1:77">
      <c r="A535" s="16">
        <v>43448</v>
      </c>
      <c r="B535" s="16">
        <v>43616</v>
      </c>
      <c r="C535" t="s">
        <v>132</v>
      </c>
      <c r="D535" t="s">
        <v>142</v>
      </c>
      <c r="E535" t="s">
        <v>1012</v>
      </c>
      <c r="F535" t="s">
        <v>1013</v>
      </c>
      <c r="G535" t="s">
        <v>145</v>
      </c>
      <c r="H535" t="s">
        <v>825</v>
      </c>
      <c r="I535" t="s">
        <v>147</v>
      </c>
      <c r="J535" s="17">
        <v>378.85</v>
      </c>
      <c r="K535" s="17">
        <v>1379.15</v>
      </c>
      <c r="L535" s="17">
        <v>1379.15</v>
      </c>
      <c r="M535" s="17">
        <v>35900000</v>
      </c>
      <c r="N535" s="17">
        <v>40000000</v>
      </c>
      <c r="O535" s="17">
        <v>56.6</v>
      </c>
      <c r="P535" s="17">
        <v>64.6</v>
      </c>
      <c r="Q535" t="s">
        <v>84</v>
      </c>
      <c r="R535" t="s">
        <v>84</v>
      </c>
      <c r="S535" t="s">
        <v>85</v>
      </c>
      <c r="T535" t="s">
        <v>84</v>
      </c>
      <c r="U535" t="s">
        <v>84</v>
      </c>
      <c r="V535" s="16">
        <v>43485</v>
      </c>
      <c r="W535" s="18">
        <v>43484.4791666667</v>
      </c>
      <c r="X535" s="18">
        <v>43566.8229166667</v>
      </c>
      <c r="Y535" s="17">
        <v>937.21</v>
      </c>
      <c r="Z535" t="s">
        <v>148</v>
      </c>
      <c r="AA535" s="17">
        <v>1323.38</v>
      </c>
      <c r="AB535" s="17">
        <v>1323.32</v>
      </c>
      <c r="AC535" t="s">
        <v>84</v>
      </c>
      <c r="AD535" s="17">
        <v>44381711.58</v>
      </c>
      <c r="AE535" t="s">
        <v>84</v>
      </c>
      <c r="AF535" s="17">
        <v>82.32</v>
      </c>
      <c r="AG535" t="s">
        <v>84</v>
      </c>
      <c r="AH535" t="s">
        <v>84</v>
      </c>
      <c r="AI535" s="17">
        <v>15.88</v>
      </c>
      <c r="AJ535" s="17">
        <v>15.88</v>
      </c>
      <c r="AK535" t="s">
        <v>232</v>
      </c>
      <c r="AM535" s="17">
        <v>4.4</v>
      </c>
      <c r="AN535" s="17"/>
      <c r="AO535" s="17">
        <v>4200</v>
      </c>
      <c r="AP535" s="17"/>
      <c r="AQ535" s="17">
        <v>6400</v>
      </c>
      <c r="AR535" s="17"/>
      <c r="AS535" s="17">
        <v>5.93</v>
      </c>
      <c r="AT535" s="17"/>
      <c r="AU535" s="17">
        <v>3407.65</v>
      </c>
      <c r="AV535" s="17"/>
      <c r="AW535" s="17">
        <v>4386.13</v>
      </c>
      <c r="AX535" s="17"/>
      <c r="AY535" t="s">
        <v>92</v>
      </c>
      <c r="AZ535" t="s">
        <v>92</v>
      </c>
      <c r="BA535" t="s">
        <v>92</v>
      </c>
      <c r="BB535" t="s">
        <v>92</v>
      </c>
      <c r="BC535" t="s">
        <v>92</v>
      </c>
      <c r="BD535" t="s">
        <v>92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92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92</v>
      </c>
      <c r="BS535" t="s">
        <v>92</v>
      </c>
      <c r="BT535" t="s">
        <v>92</v>
      </c>
      <c r="BU535" t="s">
        <v>92</v>
      </c>
      <c r="BV535" t="s">
        <v>92</v>
      </c>
      <c r="BW535" t="s">
        <v>92</v>
      </c>
      <c r="BX535" t="s">
        <v>92</v>
      </c>
      <c r="BY535" t="str">
        <f>IF(COUNTIF('Data Upload-prod'!E:E,F535)=0,"Missing","Exist")</f>
        <v>Exist</v>
      </c>
    </row>
    <row r="536" hidden="1" spans="1:77">
      <c r="A536" s="16">
        <v>43448</v>
      </c>
      <c r="B536" s="16">
        <v>43556</v>
      </c>
      <c r="C536" t="s">
        <v>187</v>
      </c>
      <c r="D536" t="s">
        <v>78</v>
      </c>
      <c r="E536" t="s">
        <v>708</v>
      </c>
      <c r="F536" t="s">
        <v>1014</v>
      </c>
      <c r="G536" t="s">
        <v>81</v>
      </c>
      <c r="H536" t="s">
        <v>880</v>
      </c>
      <c r="I536" t="s">
        <v>124</v>
      </c>
      <c r="J536" s="17">
        <v>62.5</v>
      </c>
      <c r="K536" s="17">
        <v>3435</v>
      </c>
      <c r="L536" s="17">
        <v>1519</v>
      </c>
      <c r="M536" t="s">
        <v>84</v>
      </c>
      <c r="N536" t="s">
        <v>84</v>
      </c>
      <c r="O536" t="s">
        <v>84</v>
      </c>
      <c r="P536" t="s">
        <v>84</v>
      </c>
      <c r="Q536" s="17">
        <v>12900000</v>
      </c>
      <c r="R536" s="17">
        <v>34</v>
      </c>
      <c r="S536" t="s">
        <v>85</v>
      </c>
      <c r="T536" t="s">
        <v>84</v>
      </c>
      <c r="U536" t="s">
        <v>86</v>
      </c>
      <c r="V536" s="16">
        <v>43454</v>
      </c>
      <c r="W536" s="18">
        <v>43453</v>
      </c>
      <c r="X536" s="18">
        <v>43506</v>
      </c>
      <c r="Y536" s="17">
        <v>3340.35</v>
      </c>
      <c r="Z536" t="s">
        <v>87</v>
      </c>
      <c r="AA536" s="17">
        <v>3450</v>
      </c>
      <c r="AB536" s="17">
        <v>1520</v>
      </c>
      <c r="AC536" t="s">
        <v>84</v>
      </c>
      <c r="AD536" t="s">
        <v>84</v>
      </c>
      <c r="AE536" t="s">
        <v>84</v>
      </c>
      <c r="AF536" t="s">
        <v>84</v>
      </c>
      <c r="AG536" s="17">
        <v>12250803</v>
      </c>
      <c r="AH536" s="17">
        <v>53</v>
      </c>
      <c r="AI536" s="17">
        <v>22</v>
      </c>
      <c r="AJ536" s="17">
        <v>22</v>
      </c>
      <c r="AK536" t="s">
        <v>208</v>
      </c>
      <c r="AM536" s="17">
        <v>2.1</v>
      </c>
      <c r="AN536" s="17"/>
      <c r="AO536" s="17">
        <v>700</v>
      </c>
      <c r="AP536" s="17"/>
      <c r="AQ536" s="17">
        <v>1220</v>
      </c>
      <c r="AR536" s="17"/>
      <c r="AS536" s="17">
        <v>2.62</v>
      </c>
      <c r="AT536" s="17"/>
      <c r="AU536" s="17">
        <v>590</v>
      </c>
      <c r="AV536" s="17"/>
      <c r="AW536" s="17">
        <v>1085</v>
      </c>
      <c r="AX536" s="17"/>
      <c r="AY536" t="s">
        <v>92</v>
      </c>
      <c r="AZ536" t="s">
        <v>92</v>
      </c>
      <c r="BA536" t="s">
        <v>92</v>
      </c>
      <c r="BB536" t="s">
        <v>92</v>
      </c>
      <c r="BC536" t="s">
        <v>92</v>
      </c>
      <c r="BD536" s="17">
        <v>21.1</v>
      </c>
      <c r="BE536" s="17">
        <v>4499460</v>
      </c>
      <c r="BF536" t="s">
        <v>92</v>
      </c>
      <c r="BG536" t="s">
        <v>92</v>
      </c>
      <c r="BH536" t="s">
        <v>93</v>
      </c>
      <c r="BI536" t="s">
        <v>94</v>
      </c>
      <c r="BJ536" t="s">
        <v>173</v>
      </c>
      <c r="BK536" t="s">
        <v>85</v>
      </c>
      <c r="BL536" t="s">
        <v>85</v>
      </c>
      <c r="BM536" t="s">
        <v>190</v>
      </c>
      <c r="BN536" t="s">
        <v>569</v>
      </c>
      <c r="BO536" t="s">
        <v>216</v>
      </c>
      <c r="BP536" t="s">
        <v>99</v>
      </c>
      <c r="BQ536" s="17">
        <v>0</v>
      </c>
      <c r="BR536" t="s">
        <v>100</v>
      </c>
      <c r="BS536" t="s">
        <v>92</v>
      </c>
      <c r="BT536" t="s">
        <v>99</v>
      </c>
      <c r="BU536" s="17">
        <v>10.5</v>
      </c>
      <c r="BV536" t="s">
        <v>794</v>
      </c>
      <c r="BW536" t="s">
        <v>85</v>
      </c>
      <c r="BX536" t="s">
        <v>85</v>
      </c>
      <c r="BY536" t="str">
        <f>IF(COUNTIF('Data Upload-prod'!E:E,F536)=0,"Missing","Exist")</f>
        <v>Exist</v>
      </c>
    </row>
    <row r="537" hidden="1" spans="1:77">
      <c r="A537" s="16">
        <v>43445</v>
      </c>
      <c r="B537" s="16">
        <v>43669</v>
      </c>
      <c r="C537" t="s">
        <v>151</v>
      </c>
      <c r="D537" t="s">
        <v>78</v>
      </c>
      <c r="E537" t="s">
        <v>1008</v>
      </c>
      <c r="F537" t="s">
        <v>1015</v>
      </c>
      <c r="G537" t="s">
        <v>81</v>
      </c>
      <c r="H537" t="s">
        <v>154</v>
      </c>
      <c r="I537" t="s">
        <v>124</v>
      </c>
      <c r="J537" s="17">
        <v>54</v>
      </c>
      <c r="K537" s="17">
        <v>4885</v>
      </c>
      <c r="L537" s="17">
        <v>3155</v>
      </c>
      <c r="M537" t="s">
        <v>84</v>
      </c>
      <c r="N537" t="s">
        <v>84</v>
      </c>
      <c r="O537" t="s">
        <v>84</v>
      </c>
      <c r="P537" t="s">
        <v>84</v>
      </c>
      <c r="Q537" s="17">
        <v>21170000</v>
      </c>
      <c r="R537" s="17">
        <v>50.8</v>
      </c>
      <c r="S537" t="s">
        <v>106</v>
      </c>
      <c r="T537" t="s">
        <v>84</v>
      </c>
      <c r="U537" t="s">
        <v>84</v>
      </c>
      <c r="V537" s="16">
        <v>43453</v>
      </c>
      <c r="W537" s="18">
        <v>43451</v>
      </c>
      <c r="X537" s="18">
        <v>43504</v>
      </c>
      <c r="Y537" s="17">
        <v>4357.4</v>
      </c>
      <c r="Z537" t="s">
        <v>87</v>
      </c>
      <c r="AA537" s="17">
        <v>4455</v>
      </c>
      <c r="AB537" s="17">
        <v>2915.94</v>
      </c>
      <c r="AC537" t="s">
        <v>84</v>
      </c>
      <c r="AD537" t="s">
        <v>84</v>
      </c>
      <c r="AE537" t="s">
        <v>84</v>
      </c>
      <c r="AF537" t="s">
        <v>84</v>
      </c>
      <c r="AG537" s="17">
        <v>17930000</v>
      </c>
      <c r="AH537" s="17">
        <v>52.42</v>
      </c>
      <c r="AI537" s="17">
        <v>17.81</v>
      </c>
      <c r="AJ537" s="17">
        <v>17.81</v>
      </c>
      <c r="AK537" t="s">
        <v>89</v>
      </c>
      <c r="AM537" s="17">
        <v>2.4</v>
      </c>
      <c r="AN537" s="17"/>
      <c r="AO537" s="17">
        <v>795</v>
      </c>
      <c r="AP537" s="17"/>
      <c r="AQ537" s="17">
        <v>1580</v>
      </c>
      <c r="AR537" s="17"/>
      <c r="AS537" s="13" t="s">
        <v>150</v>
      </c>
      <c r="AT537"/>
      <c r="AU537" s="13" t="s">
        <v>150</v>
      </c>
      <c r="AW537" s="13" t="s">
        <v>150</v>
      </c>
      <c r="AY537" t="s">
        <v>92</v>
      </c>
      <c r="AZ537" t="s">
        <v>92</v>
      </c>
      <c r="BA537" t="s">
        <v>92</v>
      </c>
      <c r="BB537" t="s">
        <v>92</v>
      </c>
      <c r="BC537" t="s">
        <v>92</v>
      </c>
      <c r="BD537" t="s">
        <v>92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92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92</v>
      </c>
      <c r="BS537" t="s">
        <v>92</v>
      </c>
      <c r="BT537" t="s">
        <v>92</v>
      </c>
      <c r="BU537" t="s">
        <v>92</v>
      </c>
      <c r="BV537" t="s">
        <v>92</v>
      </c>
      <c r="BW537" t="s">
        <v>92</v>
      </c>
      <c r="BX537" t="s">
        <v>92</v>
      </c>
      <c r="BY537" t="str">
        <f>IF(COUNTIF('Data Upload-prod'!E:E,F537)=0,"Missing","Exist")</f>
        <v>Exist</v>
      </c>
    </row>
    <row r="538" hidden="1" spans="1:77">
      <c r="A538" s="16">
        <v>43434</v>
      </c>
      <c r="B538" t="s">
        <v>84</v>
      </c>
      <c r="C538" t="s">
        <v>141</v>
      </c>
      <c r="D538" t="s">
        <v>142</v>
      </c>
      <c r="E538" t="s">
        <v>1016</v>
      </c>
      <c r="F538" t="s">
        <v>1017</v>
      </c>
      <c r="G538" t="s">
        <v>81</v>
      </c>
      <c r="H538" t="s">
        <v>146</v>
      </c>
      <c r="I538" t="s">
        <v>147</v>
      </c>
      <c r="J538" s="17">
        <v>1062.18</v>
      </c>
      <c r="K538" s="17">
        <v>2771.72</v>
      </c>
      <c r="L538" s="17">
        <v>2746.72</v>
      </c>
      <c r="M538" t="s">
        <v>84</v>
      </c>
      <c r="N538" t="s">
        <v>84</v>
      </c>
      <c r="O538" t="s">
        <v>84</v>
      </c>
      <c r="P538" t="s">
        <v>84</v>
      </c>
      <c r="Q538" s="17">
        <v>49800000</v>
      </c>
      <c r="R538" s="17">
        <v>56.12</v>
      </c>
      <c r="S538" t="s">
        <v>85</v>
      </c>
      <c r="T538" t="s">
        <v>84</v>
      </c>
      <c r="U538" t="s">
        <v>84</v>
      </c>
      <c r="V538" s="16">
        <v>43462</v>
      </c>
      <c r="W538" s="18">
        <v>43461.8333333333</v>
      </c>
      <c r="X538" s="18">
        <v>43574.875</v>
      </c>
      <c r="Y538" s="17">
        <v>2687.6</v>
      </c>
      <c r="Z538" t="s">
        <v>148</v>
      </c>
      <c r="AA538" s="17">
        <v>3774.76</v>
      </c>
      <c r="AB538" s="17">
        <v>2733.52</v>
      </c>
      <c r="AC538" t="s">
        <v>84</v>
      </c>
      <c r="AD538" t="s">
        <v>84</v>
      </c>
      <c r="AE538" t="s">
        <v>84</v>
      </c>
      <c r="AF538" t="s">
        <v>84</v>
      </c>
      <c r="AG538" s="17">
        <v>27970000</v>
      </c>
      <c r="AH538" s="17">
        <v>39.66</v>
      </c>
      <c r="AI538" s="17">
        <v>10.27</v>
      </c>
      <c r="AJ538" s="17">
        <v>10.27</v>
      </c>
      <c r="AK538" t="s">
        <v>764</v>
      </c>
      <c r="AM538" s="17">
        <v>5.1</v>
      </c>
      <c r="AN538" s="17"/>
      <c r="AO538" s="17">
        <v>1525</v>
      </c>
      <c r="AP538" s="17"/>
      <c r="AQ538" s="17">
        <v>3370</v>
      </c>
      <c r="AR538" s="17"/>
      <c r="AS538" s="17">
        <v>3.6</v>
      </c>
      <c r="AT538" s="17"/>
      <c r="AU538" s="17">
        <v>2234</v>
      </c>
      <c r="AV538" s="17"/>
      <c r="AW538" s="17">
        <v>3172</v>
      </c>
      <c r="AX538" s="17"/>
      <c r="AY538" t="s">
        <v>92</v>
      </c>
      <c r="AZ538" t="s">
        <v>92</v>
      </c>
      <c r="BA538" t="s">
        <v>92</v>
      </c>
      <c r="BB538" t="s">
        <v>92</v>
      </c>
      <c r="BC538" t="s">
        <v>92</v>
      </c>
      <c r="BD538" t="s">
        <v>92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92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92</v>
      </c>
      <c r="BS538" t="s">
        <v>92</v>
      </c>
      <c r="BT538" t="s">
        <v>92</v>
      </c>
      <c r="BU538" t="s">
        <v>92</v>
      </c>
      <c r="BV538" t="s">
        <v>92</v>
      </c>
      <c r="BW538" t="s">
        <v>92</v>
      </c>
      <c r="BX538" t="s">
        <v>92</v>
      </c>
      <c r="BY538" t="str">
        <f>IF(COUNTIF('Data Upload-prod'!E:E,F538)=0,"Missing","Exist")</f>
        <v>Exist</v>
      </c>
    </row>
    <row r="539" hidden="1" spans="1:77">
      <c r="A539" s="16">
        <v>43433</v>
      </c>
      <c r="B539" t="s">
        <v>84</v>
      </c>
      <c r="C539" t="s">
        <v>141</v>
      </c>
      <c r="D539" t="s">
        <v>142</v>
      </c>
      <c r="E539" t="s">
        <v>666</v>
      </c>
      <c r="F539" t="s">
        <v>1018</v>
      </c>
      <c r="G539" t="s">
        <v>81</v>
      </c>
      <c r="H539" t="s">
        <v>146</v>
      </c>
      <c r="I539" t="s">
        <v>147</v>
      </c>
      <c r="J539" s="17">
        <v>1114.6</v>
      </c>
      <c r="K539" s="17">
        <v>3302.65</v>
      </c>
      <c r="L539" s="17">
        <v>2622.68</v>
      </c>
      <c r="M539" t="s">
        <v>84</v>
      </c>
      <c r="N539" t="s">
        <v>84</v>
      </c>
      <c r="O539" t="s">
        <v>84</v>
      </c>
      <c r="P539" t="s">
        <v>84</v>
      </c>
      <c r="Q539" s="17">
        <v>40200000</v>
      </c>
      <c r="R539" s="17">
        <v>45.26</v>
      </c>
      <c r="S539" t="s">
        <v>85</v>
      </c>
      <c r="T539" t="s">
        <v>84</v>
      </c>
      <c r="U539" t="s">
        <v>84</v>
      </c>
      <c r="V539" s="16">
        <v>43466</v>
      </c>
      <c r="W539" s="18">
        <v>43465.7916666667</v>
      </c>
      <c r="X539" s="18">
        <v>43602</v>
      </c>
      <c r="Y539" s="17">
        <v>1978.36</v>
      </c>
      <c r="Z539" t="s">
        <v>148</v>
      </c>
      <c r="AA539" s="17">
        <v>3117.95</v>
      </c>
      <c r="AB539" s="17">
        <v>2611.7</v>
      </c>
      <c r="AC539" t="s">
        <v>84</v>
      </c>
      <c r="AD539" t="s">
        <v>84</v>
      </c>
      <c r="AE539" t="s">
        <v>84</v>
      </c>
      <c r="AF539" t="s">
        <v>84</v>
      </c>
      <c r="AG539" s="17">
        <v>23320000</v>
      </c>
      <c r="AH539" s="17">
        <v>34.31</v>
      </c>
      <c r="AI539" s="17">
        <v>5.4</v>
      </c>
      <c r="AJ539" s="17">
        <v>5.4</v>
      </c>
      <c r="AK539" s="13" t="s">
        <v>149</v>
      </c>
      <c r="AL539" s="13"/>
      <c r="AM539" t="s">
        <v>92</v>
      </c>
      <c r="AO539" t="s">
        <v>92</v>
      </c>
      <c r="AQ539" t="s">
        <v>92</v>
      </c>
      <c r="AS539" s="17">
        <v>4.3</v>
      </c>
      <c r="AT539" s="17"/>
      <c r="AU539" s="17">
        <v>2626</v>
      </c>
      <c r="AV539" s="17"/>
      <c r="AW539" s="17">
        <v>3592</v>
      </c>
      <c r="AX539" s="17"/>
      <c r="AY539" t="s">
        <v>92</v>
      </c>
      <c r="AZ539" t="s">
        <v>92</v>
      </c>
      <c r="BA539" t="s">
        <v>92</v>
      </c>
      <c r="BB539" t="s">
        <v>92</v>
      </c>
      <c r="BC539" t="s">
        <v>92</v>
      </c>
      <c r="BD539" t="s">
        <v>92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92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92</v>
      </c>
      <c r="BS539" t="s">
        <v>92</v>
      </c>
      <c r="BT539" t="s">
        <v>92</v>
      </c>
      <c r="BU539" t="s">
        <v>92</v>
      </c>
      <c r="BV539" t="s">
        <v>92</v>
      </c>
      <c r="BW539" t="s">
        <v>92</v>
      </c>
      <c r="BX539" t="s">
        <v>92</v>
      </c>
      <c r="BY539" t="str">
        <f>IF(COUNTIF('Data Upload-prod'!E:E,F539)=0,"Missing","Exist")</f>
        <v>Exist</v>
      </c>
    </row>
    <row r="540" hidden="1" spans="1:77">
      <c r="A540" s="16">
        <v>43406</v>
      </c>
      <c r="B540" s="16">
        <v>43509</v>
      </c>
      <c r="C540" t="s">
        <v>132</v>
      </c>
      <c r="D540" t="s">
        <v>120</v>
      </c>
      <c r="E540" t="s">
        <v>1019</v>
      </c>
      <c r="F540" t="s">
        <v>1020</v>
      </c>
      <c r="G540" t="s">
        <v>81</v>
      </c>
      <c r="H540" t="s">
        <v>172</v>
      </c>
      <c r="I540" t="s">
        <v>124</v>
      </c>
      <c r="J540" s="17">
        <v>72</v>
      </c>
      <c r="K540" s="17">
        <v>2591</v>
      </c>
      <c r="L540" s="17">
        <v>1247</v>
      </c>
      <c r="M540" t="s">
        <v>84</v>
      </c>
      <c r="N540" t="s">
        <v>84</v>
      </c>
      <c r="O540" t="s">
        <v>84</v>
      </c>
      <c r="P540" t="s">
        <v>84</v>
      </c>
      <c r="Q540" s="17">
        <v>11923696</v>
      </c>
      <c r="R540" s="17">
        <v>33.5</v>
      </c>
      <c r="S540" t="s">
        <v>85</v>
      </c>
      <c r="T540" t="s">
        <v>84</v>
      </c>
      <c r="U540" t="s">
        <v>86</v>
      </c>
      <c r="V540" s="16">
        <v>43453</v>
      </c>
      <c r="W540" s="18">
        <v>43451.625</v>
      </c>
      <c r="X540" s="18">
        <v>43488</v>
      </c>
      <c r="Y540" s="17">
        <v>2410</v>
      </c>
      <c r="Z540" t="s">
        <v>87</v>
      </c>
      <c r="AA540" s="17">
        <v>2515</v>
      </c>
      <c r="AB540" s="17">
        <v>1271.13</v>
      </c>
      <c r="AC540" t="s">
        <v>84</v>
      </c>
      <c r="AD540" t="s">
        <v>84</v>
      </c>
      <c r="AE540" t="s">
        <v>84</v>
      </c>
      <c r="AF540" t="s">
        <v>84</v>
      </c>
      <c r="AG540" s="17">
        <v>11644925.61</v>
      </c>
      <c r="AH540" s="17">
        <v>37.33</v>
      </c>
      <c r="AI540" s="17">
        <v>0.7</v>
      </c>
      <c r="AJ540" s="17">
        <v>0.7</v>
      </c>
      <c r="AK540" t="s">
        <v>114</v>
      </c>
      <c r="AM540" s="17">
        <v>2.2</v>
      </c>
      <c r="AN540" s="17"/>
      <c r="AO540" s="17">
        <v>915</v>
      </c>
      <c r="AP540" s="17"/>
      <c r="AQ540" s="17">
        <v>1450</v>
      </c>
      <c r="AR540" s="17"/>
      <c r="AS540" s="17">
        <v>1.94</v>
      </c>
      <c r="AT540" s="17"/>
      <c r="AU540" s="17">
        <v>502</v>
      </c>
      <c r="AV540" s="17"/>
      <c r="AW540" s="17">
        <v>994</v>
      </c>
      <c r="AX540" s="17"/>
      <c r="AY540" t="s">
        <v>92</v>
      </c>
      <c r="AZ540" t="s">
        <v>92</v>
      </c>
      <c r="BA540" t="s">
        <v>92</v>
      </c>
      <c r="BB540" t="s">
        <v>92</v>
      </c>
      <c r="BC540" t="s">
        <v>92</v>
      </c>
      <c r="BD540" s="17">
        <v>6.74</v>
      </c>
      <c r="BE540" s="17">
        <v>3086141.41</v>
      </c>
      <c r="BF540" t="s">
        <v>92</v>
      </c>
      <c r="BG540" t="s">
        <v>92</v>
      </c>
      <c r="BH540" t="s">
        <v>93</v>
      </c>
      <c r="BI540" t="s">
        <v>94</v>
      </c>
      <c r="BJ540" t="s">
        <v>128</v>
      </c>
      <c r="BK540" t="s">
        <v>85</v>
      </c>
      <c r="BL540" t="s">
        <v>85</v>
      </c>
      <c r="BM540" t="s">
        <v>273</v>
      </c>
      <c r="BN540" t="s">
        <v>97</v>
      </c>
      <c r="BO540" t="s">
        <v>98</v>
      </c>
      <c r="BP540" t="s">
        <v>99</v>
      </c>
      <c r="BQ540" s="17">
        <v>1703</v>
      </c>
      <c r="BR540" t="s">
        <v>138</v>
      </c>
      <c r="BS540" t="s">
        <v>156</v>
      </c>
      <c r="BT540" t="s">
        <v>99</v>
      </c>
      <c r="BU540" s="17">
        <v>9.9</v>
      </c>
      <c r="BV540" t="s">
        <v>191</v>
      </c>
      <c r="BW540" t="s">
        <v>85</v>
      </c>
      <c r="BX540" t="s">
        <v>85</v>
      </c>
      <c r="BY540" t="str">
        <f>IF(COUNTIF('Data Upload-prod'!E:E,F540)=0,"Missing","Exist")</f>
        <v>Exist</v>
      </c>
    </row>
    <row r="541" hidden="1" spans="1:77">
      <c r="A541" s="16">
        <v>43406</v>
      </c>
      <c r="B541" s="16">
        <v>43496</v>
      </c>
      <c r="C541" t="s">
        <v>187</v>
      </c>
      <c r="D541" t="s">
        <v>78</v>
      </c>
      <c r="E541" t="s">
        <v>708</v>
      </c>
      <c r="F541" t="s">
        <v>1021</v>
      </c>
      <c r="G541" t="s">
        <v>81</v>
      </c>
      <c r="H541" t="s">
        <v>880</v>
      </c>
      <c r="I541" t="s">
        <v>124</v>
      </c>
      <c r="J541" s="17">
        <v>62.5</v>
      </c>
      <c r="K541" s="17">
        <v>2591</v>
      </c>
      <c r="L541" s="17">
        <v>1476.15</v>
      </c>
      <c r="M541" t="s">
        <v>84</v>
      </c>
      <c r="N541" t="s">
        <v>84</v>
      </c>
      <c r="O541" t="s">
        <v>84</v>
      </c>
      <c r="P541" t="s">
        <v>84</v>
      </c>
      <c r="Q541" s="17">
        <v>10500000</v>
      </c>
      <c r="R541" s="17">
        <v>37</v>
      </c>
      <c r="S541" t="s">
        <v>85</v>
      </c>
      <c r="T541" t="s">
        <v>84</v>
      </c>
      <c r="U541" t="s">
        <v>86</v>
      </c>
      <c r="V541" s="16">
        <v>43412</v>
      </c>
      <c r="W541" s="18">
        <v>43411</v>
      </c>
      <c r="X541" s="18">
        <v>43452</v>
      </c>
      <c r="Y541" s="17">
        <v>2486.35</v>
      </c>
      <c r="Z541" t="s">
        <v>87</v>
      </c>
      <c r="AA541" s="17">
        <v>2596</v>
      </c>
      <c r="AB541" s="17">
        <v>1479</v>
      </c>
      <c r="AC541" t="s">
        <v>84</v>
      </c>
      <c r="AD541" t="s">
        <v>84</v>
      </c>
      <c r="AE541" t="s">
        <v>84</v>
      </c>
      <c r="AF541" t="s">
        <v>84</v>
      </c>
      <c r="AG541" s="17">
        <v>9050003</v>
      </c>
      <c r="AH541" s="17">
        <v>38.9</v>
      </c>
      <c r="AI541" s="17">
        <v>10.6</v>
      </c>
      <c r="AJ541" s="17">
        <v>10.6</v>
      </c>
      <c r="AK541" t="s">
        <v>208</v>
      </c>
      <c r="AM541" s="17">
        <v>2.1</v>
      </c>
      <c r="AN541" s="17"/>
      <c r="AO541" s="17">
        <v>700</v>
      </c>
      <c r="AP541" s="17"/>
      <c r="AQ541" s="17">
        <v>1220</v>
      </c>
      <c r="AR541" s="17"/>
      <c r="AS541" s="17">
        <v>2.81</v>
      </c>
      <c r="AT541" s="17"/>
      <c r="AU541" s="17">
        <v>631</v>
      </c>
      <c r="AV541" s="17"/>
      <c r="AW541" s="17">
        <v>1150</v>
      </c>
      <c r="AX541" s="17"/>
      <c r="AY541" t="s">
        <v>92</v>
      </c>
      <c r="AZ541" t="s">
        <v>92</v>
      </c>
      <c r="BA541" t="s">
        <v>92</v>
      </c>
      <c r="BB541" t="s">
        <v>92</v>
      </c>
      <c r="BC541" t="s">
        <v>92</v>
      </c>
      <c r="BD541" s="17">
        <v>12.3</v>
      </c>
      <c r="BE541" s="17">
        <v>3106052</v>
      </c>
      <c r="BF541" t="s">
        <v>92</v>
      </c>
      <c r="BG541" t="s">
        <v>92</v>
      </c>
      <c r="BH541" t="s">
        <v>93</v>
      </c>
      <c r="BI541" t="s">
        <v>94</v>
      </c>
      <c r="BJ541" t="s">
        <v>173</v>
      </c>
      <c r="BK541" t="s">
        <v>85</v>
      </c>
      <c r="BL541" t="s">
        <v>85</v>
      </c>
      <c r="BM541" t="s">
        <v>96</v>
      </c>
      <c r="BN541" t="s">
        <v>569</v>
      </c>
      <c r="BO541" t="s">
        <v>98</v>
      </c>
      <c r="BP541" t="s">
        <v>99</v>
      </c>
      <c r="BQ541" s="17">
        <v>0</v>
      </c>
      <c r="BR541" t="s">
        <v>138</v>
      </c>
      <c r="BS541" t="s">
        <v>92</v>
      </c>
      <c r="BT541" t="s">
        <v>99</v>
      </c>
      <c r="BU541" s="17">
        <v>9.9</v>
      </c>
      <c r="BV541" t="s">
        <v>794</v>
      </c>
      <c r="BW541" t="s">
        <v>129</v>
      </c>
      <c r="BX541" t="s">
        <v>85</v>
      </c>
      <c r="BY541" t="str">
        <f>IF(COUNTIF('Data Upload-prod'!E:E,F541)=0,"Missing","Exist")</f>
        <v>Exist</v>
      </c>
    </row>
    <row r="542" hidden="1" spans="1:77">
      <c r="A542" s="16">
        <v>43403</v>
      </c>
      <c r="B542" s="16">
        <v>43581</v>
      </c>
      <c r="C542" t="s">
        <v>132</v>
      </c>
      <c r="D542" t="s">
        <v>120</v>
      </c>
      <c r="E542" t="s">
        <v>700</v>
      </c>
      <c r="F542" t="s">
        <v>1022</v>
      </c>
      <c r="G542" t="s">
        <v>81</v>
      </c>
      <c r="H542" t="s">
        <v>181</v>
      </c>
      <c r="I542" t="s">
        <v>124</v>
      </c>
      <c r="J542" s="17">
        <v>75.59</v>
      </c>
      <c r="K542" s="17">
        <v>4014.01</v>
      </c>
      <c r="L542" s="17">
        <v>2411.45</v>
      </c>
      <c r="M542" t="s">
        <v>84</v>
      </c>
      <c r="N542" t="s">
        <v>84</v>
      </c>
      <c r="O542" t="s">
        <v>84</v>
      </c>
      <c r="P542" t="s">
        <v>84</v>
      </c>
      <c r="Q542" s="17">
        <v>14890697.26</v>
      </c>
      <c r="R542" s="17">
        <v>34.52</v>
      </c>
      <c r="S542" t="s">
        <v>85</v>
      </c>
      <c r="T542" t="s">
        <v>84</v>
      </c>
      <c r="U542" t="s">
        <v>86</v>
      </c>
      <c r="V542" s="16">
        <v>43418</v>
      </c>
      <c r="W542" s="18">
        <v>43418.1666666667</v>
      </c>
      <c r="X542" s="18">
        <v>43452.8958333333</v>
      </c>
      <c r="Y542" s="17">
        <v>3856.26</v>
      </c>
      <c r="Z542" t="s">
        <v>87</v>
      </c>
      <c r="AA542" s="17">
        <v>3980.49</v>
      </c>
      <c r="AB542" s="17">
        <v>2386.71</v>
      </c>
      <c r="AC542" t="s">
        <v>84</v>
      </c>
      <c r="AD542" t="s">
        <v>84</v>
      </c>
      <c r="AE542" t="s">
        <v>84</v>
      </c>
      <c r="AF542" t="s">
        <v>84</v>
      </c>
      <c r="AG542" s="17">
        <v>11066922.72</v>
      </c>
      <c r="AH542" s="17">
        <v>32.3</v>
      </c>
      <c r="AI542" s="17">
        <v>6.06</v>
      </c>
      <c r="AJ542" s="17">
        <v>4.9</v>
      </c>
      <c r="AK542" t="s">
        <v>208</v>
      </c>
      <c r="AM542" s="17">
        <v>2.2</v>
      </c>
      <c r="AN542" s="17"/>
      <c r="AO542" s="17">
        <v>830</v>
      </c>
      <c r="AP542" s="17"/>
      <c r="AQ542" s="17">
        <v>1395</v>
      </c>
      <c r="AR542" s="17"/>
      <c r="AS542" s="17">
        <v>1.22</v>
      </c>
      <c r="AT542" s="17"/>
      <c r="AU542" s="17">
        <v>379</v>
      </c>
      <c r="AV542" s="17"/>
      <c r="AW542" s="17">
        <v>838</v>
      </c>
      <c r="AX542" s="17"/>
      <c r="AY542" t="s">
        <v>92</v>
      </c>
      <c r="AZ542" t="s">
        <v>92</v>
      </c>
      <c r="BA542" t="s">
        <v>92</v>
      </c>
      <c r="BB542" t="s">
        <v>92</v>
      </c>
      <c r="BC542" t="s">
        <v>92</v>
      </c>
      <c r="BD542" s="17">
        <v>11.64</v>
      </c>
      <c r="BE542" s="17">
        <v>3170765.98</v>
      </c>
      <c r="BF542" t="s">
        <v>92</v>
      </c>
      <c r="BG542" t="s">
        <v>92</v>
      </c>
      <c r="BH542" t="s">
        <v>93</v>
      </c>
      <c r="BI542" t="s">
        <v>94</v>
      </c>
      <c r="BJ542" t="s">
        <v>173</v>
      </c>
      <c r="BK542" t="s">
        <v>924</v>
      </c>
      <c r="BL542" t="s">
        <v>85</v>
      </c>
      <c r="BM542" t="s">
        <v>273</v>
      </c>
      <c r="BN542" t="s">
        <v>253</v>
      </c>
      <c r="BO542" t="s">
        <v>98</v>
      </c>
      <c r="BP542" t="s">
        <v>339</v>
      </c>
      <c r="BQ542" s="17">
        <v>372</v>
      </c>
      <c r="BR542" t="s">
        <v>138</v>
      </c>
      <c r="BS542" t="s">
        <v>806</v>
      </c>
      <c r="BT542" t="s">
        <v>255</v>
      </c>
      <c r="BU542" s="17">
        <v>8.5</v>
      </c>
      <c r="BV542" t="s">
        <v>110</v>
      </c>
      <c r="BW542" t="s">
        <v>85</v>
      </c>
      <c r="BX542" t="s">
        <v>85</v>
      </c>
      <c r="BY542" t="str">
        <f>IF(COUNTIF('Data Upload-prod'!E:E,F542)=0,"Missing","Exist")</f>
        <v>Exist</v>
      </c>
    </row>
    <row r="543" hidden="1" spans="1:77">
      <c r="A543" s="16">
        <v>43397</v>
      </c>
      <c r="B543" s="16">
        <v>43612</v>
      </c>
      <c r="C543" t="s">
        <v>178</v>
      </c>
      <c r="D543" t="s">
        <v>120</v>
      </c>
      <c r="E543" t="s">
        <v>870</v>
      </c>
      <c r="F543" t="s">
        <v>1023</v>
      </c>
      <c r="G543" t="s">
        <v>81</v>
      </c>
      <c r="H543" t="s">
        <v>202</v>
      </c>
      <c r="I543" t="s">
        <v>124</v>
      </c>
      <c r="J543" s="17">
        <v>50.29</v>
      </c>
      <c r="K543" s="17">
        <v>3162.76</v>
      </c>
      <c r="L543" s="17">
        <v>1642.49</v>
      </c>
      <c r="M543" t="s">
        <v>84</v>
      </c>
      <c r="N543" t="s">
        <v>84</v>
      </c>
      <c r="O543" t="s">
        <v>84</v>
      </c>
      <c r="P543" t="s">
        <v>84</v>
      </c>
      <c r="Q543" s="17">
        <v>10946921</v>
      </c>
      <c r="R543" s="17">
        <v>37.24</v>
      </c>
      <c r="S543" t="s">
        <v>85</v>
      </c>
      <c r="T543" t="s">
        <v>84</v>
      </c>
      <c r="U543" t="s">
        <v>84</v>
      </c>
      <c r="V543" s="16">
        <v>43491</v>
      </c>
      <c r="W543" s="18">
        <v>43436.75</v>
      </c>
      <c r="X543" s="18">
        <v>43553</v>
      </c>
      <c r="Y543" s="17">
        <v>3067.66</v>
      </c>
      <c r="Z543" t="s">
        <v>87</v>
      </c>
      <c r="AA543" s="17">
        <v>3154.53</v>
      </c>
      <c r="AB543" s="17">
        <v>1642.54</v>
      </c>
      <c r="AC543" t="s">
        <v>84</v>
      </c>
      <c r="AD543" t="s">
        <v>84</v>
      </c>
      <c r="AE543" t="s">
        <v>84</v>
      </c>
      <c r="AF543" t="s">
        <v>84</v>
      </c>
      <c r="AG543" s="17">
        <v>11368695</v>
      </c>
      <c r="AH543" s="17">
        <v>38.8</v>
      </c>
      <c r="AI543" s="17">
        <v>10.5</v>
      </c>
      <c r="AJ543" s="17">
        <v>10.5</v>
      </c>
      <c r="AK543" t="s">
        <v>89</v>
      </c>
      <c r="AM543" s="17">
        <v>2.4</v>
      </c>
      <c r="AN543" s="17"/>
      <c r="AO543" s="17">
        <v>795</v>
      </c>
      <c r="AP543" s="17"/>
      <c r="AQ543" s="17">
        <v>1580</v>
      </c>
      <c r="AR543" s="17"/>
      <c r="AS543" s="17">
        <v>2.93</v>
      </c>
      <c r="AT543" s="17"/>
      <c r="AU543" s="17">
        <v>776</v>
      </c>
      <c r="AV543" s="17"/>
      <c r="AW543" s="17">
        <v>2278</v>
      </c>
      <c r="AX543" s="17"/>
      <c r="AY543" t="s">
        <v>92</v>
      </c>
      <c r="AZ543" t="s">
        <v>92</v>
      </c>
      <c r="BA543" t="s">
        <v>92</v>
      </c>
      <c r="BB543" t="s">
        <v>92</v>
      </c>
      <c r="BC543" t="s">
        <v>92</v>
      </c>
      <c r="BD543" t="s">
        <v>92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92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92</v>
      </c>
      <c r="BS543" t="s">
        <v>92</v>
      </c>
      <c r="BT543" t="s">
        <v>92</v>
      </c>
      <c r="BU543" t="s">
        <v>92</v>
      </c>
      <c r="BV543" t="s">
        <v>92</v>
      </c>
      <c r="BW543" t="s">
        <v>92</v>
      </c>
      <c r="BX543" t="s">
        <v>92</v>
      </c>
      <c r="BY543" t="str">
        <f>IF(COUNTIF('Data Upload-prod'!E:E,F543)=0,"Missing","Exist")</f>
        <v>Exist</v>
      </c>
    </row>
    <row r="544" hidden="1" spans="1:77">
      <c r="A544" s="16">
        <v>43397</v>
      </c>
      <c r="B544" s="16">
        <v>43568</v>
      </c>
      <c r="C544" t="s">
        <v>178</v>
      </c>
      <c r="D544" t="s">
        <v>120</v>
      </c>
      <c r="E544" t="s">
        <v>870</v>
      </c>
      <c r="F544" t="s">
        <v>1024</v>
      </c>
      <c r="G544" t="s">
        <v>81</v>
      </c>
      <c r="H544" t="s">
        <v>202</v>
      </c>
      <c r="I544" t="s">
        <v>124</v>
      </c>
      <c r="J544" s="17">
        <v>50.29</v>
      </c>
      <c r="K544" s="17">
        <v>2547.04</v>
      </c>
      <c r="L544" s="17">
        <v>1508.69</v>
      </c>
      <c r="M544" t="s">
        <v>84</v>
      </c>
      <c r="N544" t="s">
        <v>84</v>
      </c>
      <c r="O544" t="s">
        <v>84</v>
      </c>
      <c r="P544" t="s">
        <v>84</v>
      </c>
      <c r="Q544" s="17">
        <v>13452755</v>
      </c>
      <c r="R544" s="17">
        <v>46.5</v>
      </c>
      <c r="S544" t="s">
        <v>85</v>
      </c>
      <c r="T544" t="s">
        <v>84</v>
      </c>
      <c r="U544" t="s">
        <v>84</v>
      </c>
      <c r="V544" s="16">
        <v>43482</v>
      </c>
      <c r="W544" s="18">
        <v>43431</v>
      </c>
      <c r="X544" s="18">
        <v>43538</v>
      </c>
      <c r="Y544" s="17">
        <v>2549.53</v>
      </c>
      <c r="Z544" t="s">
        <v>87</v>
      </c>
      <c r="AA544" s="17">
        <v>2636.39</v>
      </c>
      <c r="AB544" s="17">
        <v>1592.43</v>
      </c>
      <c r="AC544" t="s">
        <v>84</v>
      </c>
      <c r="AD544" t="s">
        <v>84</v>
      </c>
      <c r="AE544" t="s">
        <v>84</v>
      </c>
      <c r="AF544" t="s">
        <v>84</v>
      </c>
      <c r="AG544" s="17">
        <v>14051450</v>
      </c>
      <c r="AH544" s="17">
        <v>49.7</v>
      </c>
      <c r="AI544" s="17">
        <v>6.87</v>
      </c>
      <c r="AJ544" s="17">
        <v>6.45</v>
      </c>
      <c r="AK544" t="s">
        <v>89</v>
      </c>
      <c r="AM544" s="17">
        <v>2.4</v>
      </c>
      <c r="AN544" s="17"/>
      <c r="AO544" s="17">
        <v>795</v>
      </c>
      <c r="AP544" s="17"/>
      <c r="AQ544" s="17">
        <v>1580</v>
      </c>
      <c r="AR544" s="17"/>
      <c r="AS544" s="17">
        <v>2.15</v>
      </c>
      <c r="AT544" s="17"/>
      <c r="AU544" s="17">
        <v>599</v>
      </c>
      <c r="AV544" s="17"/>
      <c r="AW544" s="17">
        <v>1568</v>
      </c>
      <c r="AX544" s="17"/>
      <c r="AY544" t="s">
        <v>92</v>
      </c>
      <c r="AZ544" t="s">
        <v>92</v>
      </c>
      <c r="BA544" t="s">
        <v>92</v>
      </c>
      <c r="BB544" t="s">
        <v>92</v>
      </c>
      <c r="BC544" t="s">
        <v>92</v>
      </c>
      <c r="BD544" t="s">
        <v>92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92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92</v>
      </c>
      <c r="BS544" t="s">
        <v>92</v>
      </c>
      <c r="BT544" t="s">
        <v>92</v>
      </c>
      <c r="BU544" t="s">
        <v>92</v>
      </c>
      <c r="BV544" t="s">
        <v>92</v>
      </c>
      <c r="BW544" t="s">
        <v>92</v>
      </c>
      <c r="BX544" t="s">
        <v>92</v>
      </c>
      <c r="BY544" t="str">
        <f>IF(COUNTIF('Data Upload-prod'!E:E,F544)=0,"Missing","Exist")</f>
        <v>Exist</v>
      </c>
    </row>
    <row r="545" hidden="1" spans="1:77">
      <c r="A545" s="16">
        <v>43397</v>
      </c>
      <c r="B545" s="16">
        <v>43600</v>
      </c>
      <c r="C545" t="s">
        <v>178</v>
      </c>
      <c r="D545" t="s">
        <v>120</v>
      </c>
      <c r="E545" t="s">
        <v>870</v>
      </c>
      <c r="F545" t="s">
        <v>1025</v>
      </c>
      <c r="G545" t="s">
        <v>81</v>
      </c>
      <c r="H545" t="s">
        <v>202</v>
      </c>
      <c r="I545" t="s">
        <v>124</v>
      </c>
      <c r="J545" s="17">
        <v>50.29</v>
      </c>
      <c r="K545" s="17">
        <v>2392.56</v>
      </c>
      <c r="L545" s="17">
        <v>1723.26</v>
      </c>
      <c r="M545" t="s">
        <v>84</v>
      </c>
      <c r="N545" t="s">
        <v>84</v>
      </c>
      <c r="O545" t="s">
        <v>84</v>
      </c>
      <c r="P545" t="s">
        <v>84</v>
      </c>
      <c r="Q545" s="17">
        <v>12232581.86</v>
      </c>
      <c r="R545" s="17">
        <v>41.7</v>
      </c>
      <c r="S545" t="s">
        <v>85</v>
      </c>
      <c r="T545" t="s">
        <v>84</v>
      </c>
      <c r="U545" t="s">
        <v>84</v>
      </c>
      <c r="V545" s="16">
        <v>43476</v>
      </c>
      <c r="W545" s="18">
        <v>43437</v>
      </c>
      <c r="X545" s="18">
        <v>43543</v>
      </c>
      <c r="Y545" s="17">
        <v>2200.55</v>
      </c>
      <c r="Z545" t="s">
        <v>87</v>
      </c>
      <c r="AA545" s="17">
        <v>2287.41</v>
      </c>
      <c r="AB545" s="17">
        <v>1665.65</v>
      </c>
      <c r="AC545" t="s">
        <v>84</v>
      </c>
      <c r="AD545" t="s">
        <v>84</v>
      </c>
      <c r="AE545" t="s">
        <v>84</v>
      </c>
      <c r="AF545" t="s">
        <v>84</v>
      </c>
      <c r="AG545" s="17">
        <v>9573451.65</v>
      </c>
      <c r="AH545" s="17">
        <v>33.4</v>
      </c>
      <c r="AI545" s="17">
        <v>1.55</v>
      </c>
      <c r="AJ545" s="17">
        <v>1.25</v>
      </c>
      <c r="AK545" t="s">
        <v>89</v>
      </c>
      <c r="AM545" s="17">
        <v>2.4</v>
      </c>
      <c r="AN545" s="17"/>
      <c r="AO545" s="17">
        <v>795</v>
      </c>
      <c r="AP545" s="17"/>
      <c r="AQ545" s="17">
        <v>1200</v>
      </c>
      <c r="AR545" s="17"/>
      <c r="AS545" s="17">
        <v>2.3</v>
      </c>
      <c r="AT545" s="17"/>
      <c r="AU545" s="17">
        <v>636</v>
      </c>
      <c r="AV545" s="17"/>
      <c r="AW545" s="17">
        <v>1466</v>
      </c>
      <c r="AX545" s="17"/>
      <c r="AY545" t="s">
        <v>92</v>
      </c>
      <c r="AZ545" t="s">
        <v>92</v>
      </c>
      <c r="BA545" t="s">
        <v>92</v>
      </c>
      <c r="BB545" t="s">
        <v>92</v>
      </c>
      <c r="BC545" t="s">
        <v>92</v>
      </c>
      <c r="BD545" t="s">
        <v>92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92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92</v>
      </c>
      <c r="BS545" t="s">
        <v>92</v>
      </c>
      <c r="BT545" t="s">
        <v>92</v>
      </c>
      <c r="BU545" t="s">
        <v>92</v>
      </c>
      <c r="BV545" t="s">
        <v>92</v>
      </c>
      <c r="BW545" t="s">
        <v>92</v>
      </c>
      <c r="BX545" t="s">
        <v>92</v>
      </c>
      <c r="BY545" t="str">
        <f>IF(COUNTIF('Data Upload-prod'!E:E,F545)=0,"Missing","Exist")</f>
        <v>Exist</v>
      </c>
    </row>
    <row r="546" hidden="1" spans="1:77">
      <c r="A546" s="16">
        <v>43397</v>
      </c>
      <c r="B546" s="16">
        <v>43482</v>
      </c>
      <c r="C546" t="s">
        <v>132</v>
      </c>
      <c r="D546" t="s">
        <v>142</v>
      </c>
      <c r="E546" t="s">
        <v>1003</v>
      </c>
      <c r="F546" t="s">
        <v>1026</v>
      </c>
      <c r="G546" t="s">
        <v>81</v>
      </c>
      <c r="H546" t="s">
        <v>82</v>
      </c>
      <c r="I546" t="s">
        <v>83</v>
      </c>
      <c r="J546" s="17">
        <v>42.8</v>
      </c>
      <c r="K546" s="17">
        <v>1971.1</v>
      </c>
      <c r="L546" s="17">
        <v>1487.4</v>
      </c>
      <c r="M546" t="s">
        <v>84</v>
      </c>
      <c r="N546" t="s">
        <v>84</v>
      </c>
      <c r="O546" t="s">
        <v>84</v>
      </c>
      <c r="P546" t="s">
        <v>84</v>
      </c>
      <c r="Q546" s="17">
        <v>9123537.25</v>
      </c>
      <c r="R546" s="17">
        <v>24.41</v>
      </c>
      <c r="S546" t="s">
        <v>85</v>
      </c>
      <c r="T546" t="s">
        <v>84</v>
      </c>
      <c r="U546" t="s">
        <v>86</v>
      </c>
      <c r="V546" s="16">
        <v>43416</v>
      </c>
      <c r="W546" s="18">
        <v>43416.1875</v>
      </c>
      <c r="X546" s="18">
        <v>43442</v>
      </c>
      <c r="Y546" s="17">
        <v>1980.8</v>
      </c>
      <c r="Z546" t="s">
        <v>87</v>
      </c>
      <c r="AA546" s="17">
        <v>2058</v>
      </c>
      <c r="AB546" s="17">
        <v>1511.4</v>
      </c>
      <c r="AC546" t="s">
        <v>84</v>
      </c>
      <c r="AD546" t="s">
        <v>84</v>
      </c>
      <c r="AE546" t="s">
        <v>84</v>
      </c>
      <c r="AF546" t="s">
        <v>84</v>
      </c>
      <c r="AG546" s="17">
        <v>6929796.72</v>
      </c>
      <c r="AH546" s="17">
        <v>25.81</v>
      </c>
      <c r="AI546" s="17">
        <v>10.4</v>
      </c>
      <c r="AJ546" s="17">
        <v>10.1</v>
      </c>
      <c r="AK546" t="s">
        <v>208</v>
      </c>
      <c r="AM546" s="17">
        <v>1.7</v>
      </c>
      <c r="AN546" s="17"/>
      <c r="AO546" s="17">
        <v>720</v>
      </c>
      <c r="AP546" s="17"/>
      <c r="AQ546" s="17">
        <v>1270</v>
      </c>
      <c r="AR546" s="17"/>
      <c r="AS546" s="17">
        <v>2.26</v>
      </c>
      <c r="AT546" s="17"/>
      <c r="AU546" s="17">
        <v>569</v>
      </c>
      <c r="AV546" s="17"/>
      <c r="AW546" s="17">
        <v>815</v>
      </c>
      <c r="AX546" s="17"/>
      <c r="AY546" t="s">
        <v>92</v>
      </c>
      <c r="AZ546" t="s">
        <v>92</v>
      </c>
      <c r="BA546" t="s">
        <v>92</v>
      </c>
      <c r="BB546" t="s">
        <v>92</v>
      </c>
      <c r="BC546" t="s">
        <v>92</v>
      </c>
      <c r="BD546" s="17">
        <v>3.31</v>
      </c>
      <c r="BE546" s="17">
        <v>1296441.22</v>
      </c>
      <c r="BF546" t="s">
        <v>92</v>
      </c>
      <c r="BG546" t="s">
        <v>92</v>
      </c>
      <c r="BH546" t="s">
        <v>93</v>
      </c>
      <c r="BI546" t="s">
        <v>94</v>
      </c>
      <c r="BJ546" t="s">
        <v>128</v>
      </c>
      <c r="BK546" t="s">
        <v>85</v>
      </c>
      <c r="BL546" t="s">
        <v>85</v>
      </c>
      <c r="BM546" t="s">
        <v>96</v>
      </c>
      <c r="BN546" t="s">
        <v>97</v>
      </c>
      <c r="BO546" t="s">
        <v>98</v>
      </c>
      <c r="BP546" t="s">
        <v>103</v>
      </c>
      <c r="BQ546" s="17">
        <v>1046.639</v>
      </c>
      <c r="BR546" t="s">
        <v>100</v>
      </c>
      <c r="BS546" t="s">
        <v>608</v>
      </c>
      <c r="BT546" t="s">
        <v>550</v>
      </c>
      <c r="BU546" s="17">
        <v>8.5</v>
      </c>
      <c r="BV546" t="s">
        <v>131</v>
      </c>
      <c r="BW546" t="s">
        <v>85</v>
      </c>
      <c r="BX546" t="s">
        <v>85</v>
      </c>
      <c r="BY546" t="str">
        <f>IF(COUNTIF('Data Upload-prod'!E:E,F546)=0,"Missing","Exist")</f>
        <v>Exist</v>
      </c>
    </row>
    <row r="547" hidden="1" spans="1:77">
      <c r="A547" s="16">
        <v>43388</v>
      </c>
      <c r="B547" s="16">
        <v>43512</v>
      </c>
      <c r="C547" t="s">
        <v>132</v>
      </c>
      <c r="D547" t="s">
        <v>78</v>
      </c>
      <c r="E547" t="s">
        <v>1001</v>
      </c>
      <c r="F547" t="s">
        <v>1027</v>
      </c>
      <c r="G547" t="s">
        <v>81</v>
      </c>
      <c r="H547" t="s">
        <v>168</v>
      </c>
      <c r="I547" t="s">
        <v>124</v>
      </c>
      <c r="J547" s="17">
        <v>69</v>
      </c>
      <c r="K547" s="17">
        <v>2004</v>
      </c>
      <c r="L547" s="17">
        <v>1695.6</v>
      </c>
      <c r="M547" t="s">
        <v>84</v>
      </c>
      <c r="N547" t="s">
        <v>84</v>
      </c>
      <c r="O547" t="s">
        <v>84</v>
      </c>
      <c r="P547" t="s">
        <v>84</v>
      </c>
      <c r="Q547" s="17">
        <v>7880044.34</v>
      </c>
      <c r="R547" s="17">
        <v>23.1</v>
      </c>
      <c r="S547" t="s">
        <v>85</v>
      </c>
      <c r="T547" t="s">
        <v>84</v>
      </c>
      <c r="U547" t="s">
        <v>86</v>
      </c>
      <c r="V547" s="16">
        <v>43449</v>
      </c>
      <c r="W547" s="18">
        <v>43448.4791666667</v>
      </c>
      <c r="X547" s="18">
        <v>43470.2083333333</v>
      </c>
      <c r="Y547" s="17">
        <v>1898</v>
      </c>
      <c r="Z547" t="s">
        <v>87</v>
      </c>
      <c r="AA547" s="17">
        <v>2004</v>
      </c>
      <c r="AB547" s="17">
        <v>1656.12</v>
      </c>
      <c r="AC547" t="s">
        <v>84</v>
      </c>
      <c r="AD547" t="s">
        <v>84</v>
      </c>
      <c r="AE547" t="s">
        <v>84</v>
      </c>
      <c r="AF547" t="s">
        <v>84</v>
      </c>
      <c r="AG547" s="17">
        <v>6513802.82</v>
      </c>
      <c r="AH547" s="17">
        <v>21.73</v>
      </c>
      <c r="AI547" s="17">
        <v>11.56</v>
      </c>
      <c r="AJ547" s="17">
        <v>3.31</v>
      </c>
      <c r="AK547" t="s">
        <v>208</v>
      </c>
      <c r="AM547" s="17">
        <v>2.1</v>
      </c>
      <c r="AN547" s="17"/>
      <c r="AO547" s="17">
        <v>700</v>
      </c>
      <c r="AP547" s="17"/>
      <c r="AQ547" s="17">
        <v>1225</v>
      </c>
      <c r="AR547" s="17"/>
      <c r="AS547" s="17">
        <v>1.87</v>
      </c>
      <c r="AT547" s="17"/>
      <c r="AU547" s="17">
        <v>616</v>
      </c>
      <c r="AV547" s="17"/>
      <c r="AW547" s="17">
        <v>972</v>
      </c>
      <c r="AX547" s="17"/>
      <c r="AY547" t="s">
        <v>92</v>
      </c>
      <c r="AZ547" t="s">
        <v>92</v>
      </c>
      <c r="BA547" t="s">
        <v>92</v>
      </c>
      <c r="BB547" t="s">
        <v>92</v>
      </c>
      <c r="BC547" t="s">
        <v>92</v>
      </c>
      <c r="BD547" s="17">
        <v>9.58</v>
      </c>
      <c r="BE547" s="17">
        <v>1992829.11</v>
      </c>
      <c r="BF547" t="s">
        <v>92</v>
      </c>
      <c r="BG547" t="s">
        <v>92</v>
      </c>
      <c r="BH547" t="s">
        <v>93</v>
      </c>
      <c r="BI547" t="s">
        <v>94</v>
      </c>
      <c r="BJ547" t="s">
        <v>128</v>
      </c>
      <c r="BK547" t="s">
        <v>85</v>
      </c>
      <c r="BL547" t="s">
        <v>85</v>
      </c>
      <c r="BM547" t="s">
        <v>96</v>
      </c>
      <c r="BN547" t="s">
        <v>569</v>
      </c>
      <c r="BO547" t="s">
        <v>98</v>
      </c>
      <c r="BP547" t="s">
        <v>103</v>
      </c>
      <c r="BQ547" s="17">
        <v>442.935</v>
      </c>
      <c r="BR547" t="s">
        <v>100</v>
      </c>
      <c r="BS547" t="s">
        <v>285</v>
      </c>
      <c r="BT547" t="s">
        <v>550</v>
      </c>
      <c r="BU547" s="17">
        <v>8.5</v>
      </c>
      <c r="BV547" t="s">
        <v>110</v>
      </c>
      <c r="BW547" t="s">
        <v>85</v>
      </c>
      <c r="BX547" t="s">
        <v>85</v>
      </c>
      <c r="BY547" t="str">
        <f>IF(COUNTIF('Data Upload-prod'!E:E,F547)=0,"Missing","Exist")</f>
        <v>Exist</v>
      </c>
    </row>
    <row r="548" hidden="1" spans="1:77">
      <c r="A548" s="16">
        <v>43381</v>
      </c>
      <c r="B548" s="16">
        <v>43713</v>
      </c>
      <c r="C548" t="s">
        <v>151</v>
      </c>
      <c r="D548" t="s">
        <v>78</v>
      </c>
      <c r="E548" t="s">
        <v>1008</v>
      </c>
      <c r="F548" t="s">
        <v>1028</v>
      </c>
      <c r="G548" t="s">
        <v>81</v>
      </c>
      <c r="H548" t="s">
        <v>154</v>
      </c>
      <c r="I548" t="s">
        <v>124</v>
      </c>
      <c r="J548" s="17">
        <v>54</v>
      </c>
      <c r="K548" s="17">
        <v>4518</v>
      </c>
      <c r="L548" s="17">
        <v>2095</v>
      </c>
      <c r="M548" t="s">
        <v>84</v>
      </c>
      <c r="N548" t="s">
        <v>84</v>
      </c>
      <c r="O548" t="s">
        <v>84</v>
      </c>
      <c r="P548" t="s">
        <v>84</v>
      </c>
      <c r="Q548" s="17">
        <v>16887482</v>
      </c>
      <c r="R548" s="17">
        <v>36.35</v>
      </c>
      <c r="S548" t="s">
        <v>106</v>
      </c>
      <c r="T548" t="s">
        <v>84</v>
      </c>
      <c r="U548" t="s">
        <v>84</v>
      </c>
      <c r="V548" s="16">
        <v>43427</v>
      </c>
      <c r="W548" s="18">
        <v>43425.7708333333</v>
      </c>
      <c r="X548" s="18">
        <v>43514.0833333333</v>
      </c>
      <c r="Y548" s="17">
        <v>3931.4</v>
      </c>
      <c r="Z548" t="s">
        <v>87</v>
      </c>
      <c r="AA548" s="17">
        <v>4029</v>
      </c>
      <c r="AB548" s="17">
        <v>2095</v>
      </c>
      <c r="AC548" t="s">
        <v>84</v>
      </c>
      <c r="AD548" t="s">
        <v>84</v>
      </c>
      <c r="AE548" t="s">
        <v>84</v>
      </c>
      <c r="AF548" t="s">
        <v>84</v>
      </c>
      <c r="AG548" s="17">
        <v>14973061</v>
      </c>
      <c r="AH548" s="17">
        <v>35.9</v>
      </c>
      <c r="AI548" s="17">
        <v>16.34</v>
      </c>
      <c r="AJ548" s="17">
        <v>16.34</v>
      </c>
      <c r="AK548" t="s">
        <v>89</v>
      </c>
      <c r="AM548" s="17">
        <v>2.4</v>
      </c>
      <c r="AN548" s="17"/>
      <c r="AO548" s="17">
        <v>795</v>
      </c>
      <c r="AP548" s="17"/>
      <c r="AQ548" s="17">
        <v>1580</v>
      </c>
      <c r="AR548" s="17"/>
      <c r="AS548" s="17">
        <v>2.1</v>
      </c>
      <c r="AT548" s="17"/>
      <c r="AU548" s="17">
        <v>643</v>
      </c>
      <c r="AV548" s="17"/>
      <c r="AW548" s="17">
        <v>1209</v>
      </c>
      <c r="AX548" s="17"/>
      <c r="AY548" t="s">
        <v>92</v>
      </c>
      <c r="AZ548" t="s">
        <v>92</v>
      </c>
      <c r="BA548" t="s">
        <v>92</v>
      </c>
      <c r="BB548" t="s">
        <v>92</v>
      </c>
      <c r="BC548" t="s">
        <v>92</v>
      </c>
      <c r="BD548" t="s">
        <v>92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92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92</v>
      </c>
      <c r="BS548" t="s">
        <v>92</v>
      </c>
      <c r="BT548" t="s">
        <v>92</v>
      </c>
      <c r="BU548" t="s">
        <v>92</v>
      </c>
      <c r="BV548" t="s">
        <v>92</v>
      </c>
      <c r="BW548" t="s">
        <v>92</v>
      </c>
      <c r="BX548" t="s">
        <v>92</v>
      </c>
      <c r="BY548" t="str">
        <f>IF(COUNTIF('Data Upload-prod'!E:E,F548)=0,"Missing","Exist")</f>
        <v>Exist</v>
      </c>
    </row>
    <row r="549" hidden="1" spans="1:77">
      <c r="A549" s="16">
        <v>43376</v>
      </c>
      <c r="B549" s="16">
        <v>43439</v>
      </c>
      <c r="C549" t="s">
        <v>132</v>
      </c>
      <c r="D549" t="s">
        <v>120</v>
      </c>
      <c r="E549" t="s">
        <v>700</v>
      </c>
      <c r="F549" t="s">
        <v>1029</v>
      </c>
      <c r="G549" t="s">
        <v>81</v>
      </c>
      <c r="H549" t="s">
        <v>181</v>
      </c>
      <c r="I549" t="s">
        <v>124</v>
      </c>
      <c r="J549" s="17">
        <v>75.59</v>
      </c>
      <c r="K549" s="17">
        <v>2745.2</v>
      </c>
      <c r="L549" s="17">
        <v>2518.13</v>
      </c>
      <c r="M549" t="s">
        <v>84</v>
      </c>
      <c r="N549" t="s">
        <v>84</v>
      </c>
      <c r="O549" t="s">
        <v>84</v>
      </c>
      <c r="P549" t="s">
        <v>84</v>
      </c>
      <c r="Q549" s="17">
        <v>8457309.94</v>
      </c>
      <c r="R549" s="17">
        <v>15.38</v>
      </c>
      <c r="S549" t="s">
        <v>85</v>
      </c>
      <c r="T549" t="s">
        <v>84</v>
      </c>
      <c r="U549" t="s">
        <v>84</v>
      </c>
      <c r="V549" t="s">
        <v>84</v>
      </c>
      <c r="W549" s="18">
        <v>43385.0416666667</v>
      </c>
      <c r="X549" s="18">
        <v>43412.7916666667</v>
      </c>
      <c r="Y549" s="17">
        <v>2630.42</v>
      </c>
      <c r="Z549" t="s">
        <v>87</v>
      </c>
      <c r="AA549" s="17">
        <v>2754.65</v>
      </c>
      <c r="AB549" s="17">
        <v>2517.98</v>
      </c>
      <c r="AC549" t="s">
        <v>84</v>
      </c>
      <c r="AD549" t="s">
        <v>84</v>
      </c>
      <c r="AE549" t="s">
        <v>84</v>
      </c>
      <c r="AF549" t="s">
        <v>84</v>
      </c>
      <c r="AG549" s="17">
        <v>6458303.64</v>
      </c>
      <c r="AH549" s="17">
        <v>27.15</v>
      </c>
      <c r="AI549" s="17">
        <v>7.64</v>
      </c>
      <c r="AJ549" s="17">
        <v>7.37</v>
      </c>
      <c r="AK549" t="s">
        <v>208</v>
      </c>
      <c r="AM549" s="17">
        <v>2.2</v>
      </c>
      <c r="AN549" s="17"/>
      <c r="AO549" s="17">
        <v>830</v>
      </c>
      <c r="AP549" s="17"/>
      <c r="AQ549" s="17">
        <v>1395</v>
      </c>
      <c r="AR549" s="17"/>
      <c r="AS549" s="17">
        <v>1.19</v>
      </c>
      <c r="AT549" s="17"/>
      <c r="AU549" s="17">
        <v>345.97</v>
      </c>
      <c r="AV549" s="17"/>
      <c r="AW549" s="17">
        <v>639.88</v>
      </c>
      <c r="AX549" s="17"/>
      <c r="AY549" t="s">
        <v>92</v>
      </c>
      <c r="AZ549" t="s">
        <v>92</v>
      </c>
      <c r="BA549" t="s">
        <v>92</v>
      </c>
      <c r="BB549" t="s">
        <v>92</v>
      </c>
      <c r="BC549" t="s">
        <v>92</v>
      </c>
      <c r="BD549" t="s">
        <v>92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92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92</v>
      </c>
      <c r="BS549" t="s">
        <v>92</v>
      </c>
      <c r="BT549" t="s">
        <v>92</v>
      </c>
      <c r="BU549" t="s">
        <v>92</v>
      </c>
      <c r="BV549" t="s">
        <v>92</v>
      </c>
      <c r="BW549" t="s">
        <v>92</v>
      </c>
      <c r="BX549" t="s">
        <v>92</v>
      </c>
      <c r="BY549" t="str">
        <f>IF(COUNTIF('Data Upload-prod'!E:E,F549)=0,"Missing","Exist")</f>
        <v>Exist</v>
      </c>
    </row>
    <row r="550" hidden="1" spans="1:77">
      <c r="A550" s="16">
        <v>43370</v>
      </c>
      <c r="B550" s="16">
        <v>43747</v>
      </c>
      <c r="C550" t="s">
        <v>151</v>
      </c>
      <c r="D550" t="s">
        <v>78</v>
      </c>
      <c r="E550" t="s">
        <v>1008</v>
      </c>
      <c r="F550" t="s">
        <v>1030</v>
      </c>
      <c r="G550" t="s">
        <v>81</v>
      </c>
      <c r="H550" t="s">
        <v>154</v>
      </c>
      <c r="I550" t="s">
        <v>124</v>
      </c>
      <c r="J550" s="17">
        <v>54</v>
      </c>
      <c r="K550" s="17">
        <v>3966</v>
      </c>
      <c r="L550" s="17">
        <v>2860</v>
      </c>
      <c r="M550" t="s">
        <v>84</v>
      </c>
      <c r="N550" t="s">
        <v>84</v>
      </c>
      <c r="O550" t="s">
        <v>84</v>
      </c>
      <c r="P550" t="s">
        <v>84</v>
      </c>
      <c r="Q550" s="17">
        <v>18767604</v>
      </c>
      <c r="R550" s="17">
        <v>49.1</v>
      </c>
      <c r="S550" t="s">
        <v>85</v>
      </c>
      <c r="T550" t="s">
        <v>84</v>
      </c>
      <c r="U550" t="s">
        <v>86</v>
      </c>
      <c r="V550" s="16">
        <v>43419.1458333333</v>
      </c>
      <c r="W550" s="18">
        <v>43419.1458333333</v>
      </c>
      <c r="X550" s="18">
        <v>43573</v>
      </c>
      <c r="Y550" s="17">
        <v>3828.4</v>
      </c>
      <c r="Z550" t="s">
        <v>87</v>
      </c>
      <c r="AA550" s="17">
        <v>3926</v>
      </c>
      <c r="AB550" s="17">
        <v>2816.46</v>
      </c>
      <c r="AC550" t="s">
        <v>84</v>
      </c>
      <c r="AD550" t="s">
        <v>84</v>
      </c>
      <c r="AE550" t="s">
        <v>84</v>
      </c>
      <c r="AF550" t="s">
        <v>84</v>
      </c>
      <c r="AG550" s="17">
        <v>13087997</v>
      </c>
      <c r="AH550" s="17">
        <v>39.38</v>
      </c>
      <c r="AI550" s="17">
        <v>12.57</v>
      </c>
      <c r="AJ550" s="17">
        <v>12.57</v>
      </c>
      <c r="AK550" t="s">
        <v>89</v>
      </c>
      <c r="AM550" s="17">
        <v>2.4</v>
      </c>
      <c r="AN550" s="17"/>
      <c r="AO550" s="17">
        <v>795</v>
      </c>
      <c r="AP550" s="17"/>
      <c r="AQ550" s="17">
        <v>1580</v>
      </c>
      <c r="AR550" s="17"/>
      <c r="AS550" s="17">
        <v>1.25</v>
      </c>
      <c r="AT550" s="17"/>
      <c r="AU550" s="17">
        <v>453</v>
      </c>
      <c r="AV550" s="17"/>
      <c r="AW550" s="17">
        <v>1019</v>
      </c>
      <c r="AX550" s="17"/>
      <c r="AY550" t="s">
        <v>92</v>
      </c>
      <c r="AZ550" t="s">
        <v>92</v>
      </c>
      <c r="BA550" t="s">
        <v>92</v>
      </c>
      <c r="BB550" t="s">
        <v>92</v>
      </c>
      <c r="BC550" t="s">
        <v>92</v>
      </c>
      <c r="BD550" s="17">
        <v>14.46</v>
      </c>
      <c r="BE550" s="17">
        <v>3159436</v>
      </c>
      <c r="BF550" t="s">
        <v>92</v>
      </c>
      <c r="BG550" t="s">
        <v>92</v>
      </c>
      <c r="BH550" t="s">
        <v>93</v>
      </c>
      <c r="BI550" t="s">
        <v>94</v>
      </c>
      <c r="BJ550" t="s">
        <v>173</v>
      </c>
      <c r="BK550" t="s">
        <v>85</v>
      </c>
      <c r="BL550" t="s">
        <v>85</v>
      </c>
      <c r="BM550" t="s">
        <v>96</v>
      </c>
      <c r="BN550" t="s">
        <v>253</v>
      </c>
      <c r="BO550" t="s">
        <v>216</v>
      </c>
      <c r="BP550" t="s">
        <v>99</v>
      </c>
      <c r="BQ550" s="17">
        <v>164.0419948</v>
      </c>
      <c r="BR550" t="s">
        <v>138</v>
      </c>
      <c r="BS550" t="s">
        <v>156</v>
      </c>
      <c r="BT550" t="s">
        <v>99</v>
      </c>
      <c r="BU550" s="17">
        <v>8.6</v>
      </c>
      <c r="BV550" t="s">
        <v>110</v>
      </c>
      <c r="BW550" t="s">
        <v>85</v>
      </c>
      <c r="BX550" t="s">
        <v>85</v>
      </c>
      <c r="BY550" t="str">
        <f>IF(COUNTIF('Data Upload-prod'!E:E,F550)=0,"Missing","Exist")</f>
        <v>Exist</v>
      </c>
    </row>
    <row r="551" hidden="1" spans="1:77">
      <c r="A551" s="16">
        <v>43357</v>
      </c>
      <c r="B551" s="16">
        <v>43556</v>
      </c>
      <c r="C551" t="s">
        <v>132</v>
      </c>
      <c r="D551" t="s">
        <v>120</v>
      </c>
      <c r="E551" t="s">
        <v>548</v>
      </c>
      <c r="F551" t="s">
        <v>1031</v>
      </c>
      <c r="G551" t="s">
        <v>145</v>
      </c>
      <c r="H551" t="s">
        <v>363</v>
      </c>
      <c r="I551" t="s">
        <v>124</v>
      </c>
      <c r="J551" s="17">
        <v>55.4</v>
      </c>
      <c r="K551" s="17">
        <v>3990</v>
      </c>
      <c r="L551" s="17">
        <v>3990</v>
      </c>
      <c r="M551" s="17">
        <v>20550000</v>
      </c>
      <c r="N551" s="17">
        <v>34707153.55</v>
      </c>
      <c r="O551" s="17">
        <v>58.97</v>
      </c>
      <c r="P551" s="17">
        <v>91.97</v>
      </c>
      <c r="Q551" t="s">
        <v>84</v>
      </c>
      <c r="R551" t="s">
        <v>84</v>
      </c>
      <c r="S551" t="s">
        <v>85</v>
      </c>
      <c r="T551" t="s">
        <v>84</v>
      </c>
      <c r="U551" t="s">
        <v>84</v>
      </c>
      <c r="V551" s="16">
        <v>43428</v>
      </c>
      <c r="W551" s="18">
        <v>43423.3333333333</v>
      </c>
      <c r="X551" s="18">
        <v>43498.3958333333</v>
      </c>
      <c r="Y551" s="17">
        <v>3630.5</v>
      </c>
      <c r="Z551" t="s">
        <v>87</v>
      </c>
      <c r="AA551" s="17">
        <v>3716.5</v>
      </c>
      <c r="AB551" s="17">
        <v>3715.78</v>
      </c>
      <c r="AC551" t="s">
        <v>84</v>
      </c>
      <c r="AD551" s="17">
        <v>27029847.69</v>
      </c>
      <c r="AE551" t="s">
        <v>84</v>
      </c>
      <c r="AF551" s="17">
        <v>75.06</v>
      </c>
      <c r="AG551" t="s">
        <v>84</v>
      </c>
      <c r="AH551" t="s">
        <v>84</v>
      </c>
      <c r="AI551" s="17">
        <v>14.24</v>
      </c>
      <c r="AJ551" s="17">
        <v>8.91</v>
      </c>
      <c r="AK551" t="s">
        <v>374</v>
      </c>
      <c r="AM551" s="17">
        <v>5</v>
      </c>
      <c r="AN551" s="17"/>
      <c r="AO551" s="17">
        <v>2360</v>
      </c>
      <c r="AP551" s="17"/>
      <c r="AQ551" s="17">
        <v>4280</v>
      </c>
      <c r="AR551" s="17"/>
      <c r="AS551" s="17">
        <v>3.77</v>
      </c>
      <c r="AT551" s="17"/>
      <c r="AU551" s="17">
        <v>1474</v>
      </c>
      <c r="AV551" s="17"/>
      <c r="AW551" s="17">
        <v>1861</v>
      </c>
      <c r="AX551" s="17"/>
      <c r="AY551" t="s">
        <v>92</v>
      </c>
      <c r="AZ551" t="s">
        <v>92</v>
      </c>
      <c r="BA551" t="s">
        <v>92</v>
      </c>
      <c r="BB551" t="s">
        <v>92</v>
      </c>
      <c r="BC551" t="s">
        <v>92</v>
      </c>
      <c r="BD551" t="s">
        <v>92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92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92</v>
      </c>
      <c r="BS551" t="s">
        <v>92</v>
      </c>
      <c r="BT551" t="s">
        <v>92</v>
      </c>
      <c r="BU551" t="s">
        <v>92</v>
      </c>
      <c r="BV551" t="s">
        <v>92</v>
      </c>
      <c r="BW551" t="s">
        <v>92</v>
      </c>
      <c r="BX551" t="s">
        <v>92</v>
      </c>
      <c r="BY551" t="str">
        <f>IF(COUNTIF('Data Upload-prod'!E:E,F551)=0,"Missing","Exist")</f>
        <v>Exist</v>
      </c>
    </row>
    <row r="552" hidden="1" spans="1:77">
      <c r="A552" s="16">
        <v>43349</v>
      </c>
      <c r="B552" s="16">
        <v>43453</v>
      </c>
      <c r="C552" t="s">
        <v>77</v>
      </c>
      <c r="D552" t="s">
        <v>78</v>
      </c>
      <c r="E552" t="s">
        <v>475</v>
      </c>
      <c r="F552" t="s">
        <v>1032</v>
      </c>
      <c r="G552" t="s">
        <v>145</v>
      </c>
      <c r="H552" t="s">
        <v>135</v>
      </c>
      <c r="I552" t="s">
        <v>124</v>
      </c>
      <c r="J552" s="17">
        <v>66.7</v>
      </c>
      <c r="K552" s="17">
        <v>2536</v>
      </c>
      <c r="L552" s="17">
        <v>1968</v>
      </c>
      <c r="M552" s="17">
        <v>6908238.68</v>
      </c>
      <c r="N552" s="17">
        <v>6908238.68</v>
      </c>
      <c r="O552" s="17">
        <v>22</v>
      </c>
      <c r="P552" s="17">
        <v>22</v>
      </c>
      <c r="Q552" t="s">
        <v>84</v>
      </c>
      <c r="R552" t="s">
        <v>84</v>
      </c>
      <c r="S552" t="s">
        <v>85</v>
      </c>
      <c r="T552" t="s">
        <v>84</v>
      </c>
      <c r="U552" t="s">
        <v>84</v>
      </c>
      <c r="V552" s="16">
        <v>43411</v>
      </c>
      <c r="W552" s="18">
        <v>43401.8333333333</v>
      </c>
      <c r="X552" s="18">
        <v>43426.8541666667</v>
      </c>
      <c r="Y552" s="17">
        <v>2403.5</v>
      </c>
      <c r="Z552" t="s">
        <v>87</v>
      </c>
      <c r="AA552" s="17">
        <v>2501</v>
      </c>
      <c r="AB552" s="17">
        <v>1948</v>
      </c>
      <c r="AC552" t="s">
        <v>84</v>
      </c>
      <c r="AD552" s="17">
        <v>4724355</v>
      </c>
      <c r="AE552" t="s">
        <v>84</v>
      </c>
      <c r="AF552" s="17">
        <v>19.1</v>
      </c>
      <c r="AG552" t="s">
        <v>84</v>
      </c>
      <c r="AH552" t="s">
        <v>84</v>
      </c>
      <c r="AI552" s="17">
        <v>26.01</v>
      </c>
      <c r="AJ552" s="17">
        <v>1.53</v>
      </c>
      <c r="AK552" t="s">
        <v>300</v>
      </c>
      <c r="AM552" s="17">
        <v>1.9</v>
      </c>
      <c r="AN552" s="17"/>
      <c r="AO552" s="17">
        <v>720</v>
      </c>
      <c r="AP552" s="17"/>
      <c r="AQ552" s="17">
        <v>1370</v>
      </c>
      <c r="AR552" s="17"/>
      <c r="AS552" s="17">
        <v>0.57</v>
      </c>
      <c r="AT552" s="17"/>
      <c r="AU552" s="17">
        <v>191</v>
      </c>
      <c r="AV552" s="17"/>
      <c r="AW552" s="17">
        <v>446</v>
      </c>
      <c r="AX552" s="17"/>
      <c r="AY552" t="s">
        <v>92</v>
      </c>
      <c r="AZ552" t="s">
        <v>92</v>
      </c>
      <c r="BA552" t="s">
        <v>92</v>
      </c>
      <c r="BB552" t="s">
        <v>92</v>
      </c>
      <c r="BC552" t="s">
        <v>92</v>
      </c>
      <c r="BD552" t="s">
        <v>92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92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92</v>
      </c>
      <c r="BS552" t="s">
        <v>92</v>
      </c>
      <c r="BT552" t="s">
        <v>92</v>
      </c>
      <c r="BU552" t="s">
        <v>92</v>
      </c>
      <c r="BV552" t="s">
        <v>92</v>
      </c>
      <c r="BW552" t="s">
        <v>92</v>
      </c>
      <c r="BX552" t="s">
        <v>92</v>
      </c>
      <c r="BY552" t="str">
        <f>IF(COUNTIF('Data Upload-prod'!E:E,F552)=0,"Missing","Exist")</f>
        <v>Exist</v>
      </c>
    </row>
    <row r="553" hidden="1" spans="1:77">
      <c r="A553" s="16">
        <v>43349</v>
      </c>
      <c r="B553" t="s">
        <v>84</v>
      </c>
      <c r="C553" t="s">
        <v>141</v>
      </c>
      <c r="D553" t="s">
        <v>120</v>
      </c>
      <c r="E553" t="s">
        <v>808</v>
      </c>
      <c r="F553" t="s">
        <v>1033</v>
      </c>
      <c r="G553" t="s">
        <v>81</v>
      </c>
      <c r="H553" t="s">
        <v>162</v>
      </c>
      <c r="I553" t="s">
        <v>124</v>
      </c>
      <c r="J553" s="17">
        <v>70.04</v>
      </c>
      <c r="K553" s="17">
        <v>4348.98</v>
      </c>
      <c r="L553" s="17">
        <v>1831.76</v>
      </c>
      <c r="M553" t="s">
        <v>84</v>
      </c>
      <c r="N553" t="s">
        <v>84</v>
      </c>
      <c r="O553" t="s">
        <v>84</v>
      </c>
      <c r="P553" t="s">
        <v>84</v>
      </c>
      <c r="Q553" s="17">
        <v>39442928</v>
      </c>
      <c r="R553" s="17">
        <v>69.4</v>
      </c>
      <c r="S553" t="s">
        <v>85</v>
      </c>
      <c r="T553" t="s">
        <v>84</v>
      </c>
      <c r="U553" t="s">
        <v>84</v>
      </c>
      <c r="V553" s="16">
        <v>43389</v>
      </c>
      <c r="W553" s="18">
        <v>43389</v>
      </c>
      <c r="X553" s="18">
        <v>43545</v>
      </c>
      <c r="Y553" s="17">
        <v>4221.33</v>
      </c>
      <c r="Z553" t="s">
        <v>87</v>
      </c>
      <c r="AA553" s="17">
        <v>4337.09</v>
      </c>
      <c r="AB553" s="17">
        <v>1831.28</v>
      </c>
      <c r="AC553" t="s">
        <v>84</v>
      </c>
      <c r="AD553" t="s">
        <v>84</v>
      </c>
      <c r="AE553" t="s">
        <v>84</v>
      </c>
      <c r="AF553" t="s">
        <v>84</v>
      </c>
      <c r="AG553" s="17">
        <v>23187970</v>
      </c>
      <c r="AH553" s="17">
        <v>62.3</v>
      </c>
      <c r="AI553" s="17">
        <v>6.98</v>
      </c>
      <c r="AJ553" s="17">
        <v>6.43</v>
      </c>
      <c r="AK553" t="s">
        <v>126</v>
      </c>
      <c r="AM553" s="17">
        <v>2.5</v>
      </c>
      <c r="AN553" s="17"/>
      <c r="AO553" s="17">
        <v>1010</v>
      </c>
      <c r="AP553" s="17"/>
      <c r="AQ553" s="17">
        <v>1870</v>
      </c>
      <c r="AR553" s="17"/>
      <c r="AS553" s="17">
        <v>2.3</v>
      </c>
      <c r="AT553" s="17"/>
      <c r="AU553" s="17">
        <v>1036</v>
      </c>
      <c r="AV553" s="17"/>
      <c r="AW553" s="17">
        <v>1792</v>
      </c>
      <c r="AX553" s="17"/>
      <c r="AY553" t="s">
        <v>92</v>
      </c>
      <c r="AZ553" t="s">
        <v>92</v>
      </c>
      <c r="BA553" t="s">
        <v>92</v>
      </c>
      <c r="BB553" t="s">
        <v>92</v>
      </c>
      <c r="BC553" t="s">
        <v>92</v>
      </c>
      <c r="BD553" t="s">
        <v>92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92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92</v>
      </c>
      <c r="BS553" t="s">
        <v>92</v>
      </c>
      <c r="BT553" t="s">
        <v>92</v>
      </c>
      <c r="BU553" t="s">
        <v>92</v>
      </c>
      <c r="BV553" t="s">
        <v>92</v>
      </c>
      <c r="BW553" t="s">
        <v>92</v>
      </c>
      <c r="BX553" t="s">
        <v>92</v>
      </c>
      <c r="BY553" t="str">
        <f>IF(COUNTIF('Data Upload-prod'!E:E,F553)=0,"Missing","Exist")</f>
        <v>Exist</v>
      </c>
    </row>
    <row r="554" hidden="1" spans="1:77">
      <c r="A554" s="16">
        <v>43349</v>
      </c>
      <c r="B554" s="16">
        <v>43453</v>
      </c>
      <c r="C554" t="s">
        <v>77</v>
      </c>
      <c r="D554" t="s">
        <v>78</v>
      </c>
      <c r="E554" t="s">
        <v>475</v>
      </c>
      <c r="F554" t="s">
        <v>1034</v>
      </c>
      <c r="G554" t="s">
        <v>145</v>
      </c>
      <c r="H554" t="s">
        <v>135</v>
      </c>
      <c r="I554" t="s">
        <v>124</v>
      </c>
      <c r="J554" s="17">
        <v>66.4</v>
      </c>
      <c r="K554" s="17">
        <v>2224</v>
      </c>
      <c r="L554" s="17">
        <v>1985</v>
      </c>
      <c r="M554" s="17">
        <v>7250731</v>
      </c>
      <c r="N554" s="17">
        <v>7250731</v>
      </c>
      <c r="O554" s="17">
        <v>23</v>
      </c>
      <c r="P554" s="17">
        <v>23</v>
      </c>
      <c r="Q554" t="s">
        <v>84</v>
      </c>
      <c r="R554" t="s">
        <v>84</v>
      </c>
      <c r="S554" t="s">
        <v>85</v>
      </c>
      <c r="T554" t="s">
        <v>84</v>
      </c>
      <c r="U554" t="s">
        <v>84</v>
      </c>
      <c r="V554" s="16">
        <v>43391</v>
      </c>
      <c r="W554" s="18">
        <v>43377.8958333333</v>
      </c>
      <c r="X554" s="18">
        <v>43401.6666666667</v>
      </c>
      <c r="Y554" s="17">
        <v>2090.8</v>
      </c>
      <c r="Z554" t="s">
        <v>87</v>
      </c>
      <c r="AA554" s="17">
        <v>2188</v>
      </c>
      <c r="AB554" s="17">
        <v>1958</v>
      </c>
      <c r="AC554" t="s">
        <v>84</v>
      </c>
      <c r="AD554" s="17">
        <v>4942641</v>
      </c>
      <c r="AE554" t="s">
        <v>84</v>
      </c>
      <c r="AF554" s="17">
        <v>23.8</v>
      </c>
      <c r="AG554" t="s">
        <v>84</v>
      </c>
      <c r="AH554" t="s">
        <v>84</v>
      </c>
      <c r="AI554" s="17">
        <v>0</v>
      </c>
      <c r="AJ554" s="17">
        <v>0</v>
      </c>
      <c r="AK554" t="s">
        <v>300</v>
      </c>
      <c r="AM554" s="17">
        <v>1.9</v>
      </c>
      <c r="AN554" s="17"/>
      <c r="AO554" s="17">
        <v>720</v>
      </c>
      <c r="AP554" s="17"/>
      <c r="AQ554" s="17">
        <v>1370</v>
      </c>
      <c r="AR554" s="17"/>
      <c r="AS554" s="17">
        <v>0.71</v>
      </c>
      <c r="AT554" s="17"/>
      <c r="AU554" s="17">
        <v>219</v>
      </c>
      <c r="AV554" s="17"/>
      <c r="AW554" s="17">
        <v>475</v>
      </c>
      <c r="AX554" s="17"/>
      <c r="AY554" t="s">
        <v>92</v>
      </c>
      <c r="AZ554" t="s">
        <v>92</v>
      </c>
      <c r="BA554" t="s">
        <v>92</v>
      </c>
      <c r="BB554" t="s">
        <v>92</v>
      </c>
      <c r="BC554" t="s">
        <v>92</v>
      </c>
      <c r="BD554" t="s">
        <v>92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92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92</v>
      </c>
      <c r="BS554" t="s">
        <v>92</v>
      </c>
      <c r="BT554" t="s">
        <v>92</v>
      </c>
      <c r="BU554" t="s">
        <v>92</v>
      </c>
      <c r="BV554" t="s">
        <v>92</v>
      </c>
      <c r="BW554" t="s">
        <v>92</v>
      </c>
      <c r="BX554" t="s">
        <v>92</v>
      </c>
      <c r="BY554" t="str">
        <f>IF(COUNTIF('Data Upload-prod'!E:E,F554)=0,"Missing","Exist")</f>
        <v>Exist</v>
      </c>
    </row>
    <row r="555" hidden="1" spans="1:77">
      <c r="A555" s="16">
        <v>43340</v>
      </c>
      <c r="B555" s="16">
        <v>43419</v>
      </c>
      <c r="C555" t="s">
        <v>132</v>
      </c>
      <c r="D555" t="s">
        <v>120</v>
      </c>
      <c r="E555" t="s">
        <v>1035</v>
      </c>
      <c r="F555" t="s">
        <v>1036</v>
      </c>
      <c r="G555" t="s">
        <v>81</v>
      </c>
      <c r="H555" t="s">
        <v>168</v>
      </c>
      <c r="I555" t="s">
        <v>124</v>
      </c>
      <c r="J555" s="17">
        <v>34</v>
      </c>
      <c r="K555" s="17">
        <v>1285</v>
      </c>
      <c r="L555" s="17">
        <v>1089</v>
      </c>
      <c r="M555" t="s">
        <v>84</v>
      </c>
      <c r="N555" t="s">
        <v>84</v>
      </c>
      <c r="O555" t="s">
        <v>84</v>
      </c>
      <c r="P555" t="s">
        <v>84</v>
      </c>
      <c r="Q555" s="17">
        <v>6370795</v>
      </c>
      <c r="R555" s="17">
        <v>14.48</v>
      </c>
      <c r="S555" t="s">
        <v>85</v>
      </c>
      <c r="T555" t="s">
        <v>84</v>
      </c>
      <c r="U555" t="s">
        <v>84</v>
      </c>
      <c r="V555" s="16">
        <v>43358</v>
      </c>
      <c r="W555" s="18">
        <v>43358.125</v>
      </c>
      <c r="X555" s="18">
        <v>43387.875</v>
      </c>
      <c r="Y555" s="17">
        <v>1199.69</v>
      </c>
      <c r="Z555" t="s">
        <v>87</v>
      </c>
      <c r="AA555" s="17">
        <v>1266.5</v>
      </c>
      <c r="AB555" s="17">
        <v>1075.06</v>
      </c>
      <c r="AC555" t="s">
        <v>84</v>
      </c>
      <c r="AD555" t="s">
        <v>84</v>
      </c>
      <c r="AE555" t="s">
        <v>84</v>
      </c>
      <c r="AF555" t="s">
        <v>84</v>
      </c>
      <c r="AG555" s="17">
        <v>5403058</v>
      </c>
      <c r="AH555" s="17">
        <v>15.96</v>
      </c>
      <c r="AI555" s="17">
        <v>0</v>
      </c>
      <c r="AJ555" s="17">
        <v>0</v>
      </c>
      <c r="AK555" t="s">
        <v>208</v>
      </c>
      <c r="AM555" s="17">
        <v>2.2</v>
      </c>
      <c r="AN555" s="17"/>
      <c r="AO555" s="17">
        <v>830</v>
      </c>
      <c r="AP555" s="17"/>
      <c r="AQ555" s="17">
        <v>1395</v>
      </c>
      <c r="AR555" s="17"/>
      <c r="AS555" s="17">
        <v>1.67</v>
      </c>
      <c r="AT555" s="17"/>
      <c r="AU555" s="17">
        <v>519</v>
      </c>
      <c r="AV555" s="17"/>
      <c r="AW555" s="17">
        <v>1220</v>
      </c>
      <c r="AX555" s="17"/>
      <c r="AY555" t="s">
        <v>92</v>
      </c>
      <c r="AZ555" t="s">
        <v>92</v>
      </c>
      <c r="BA555" t="s">
        <v>92</v>
      </c>
      <c r="BB555" t="s">
        <v>92</v>
      </c>
      <c r="BC555" t="s">
        <v>92</v>
      </c>
      <c r="BD555" t="s">
        <v>92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92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92</v>
      </c>
      <c r="BS555" t="s">
        <v>92</v>
      </c>
      <c r="BT555" t="s">
        <v>92</v>
      </c>
      <c r="BU555" t="s">
        <v>92</v>
      </c>
      <c r="BV555" t="s">
        <v>92</v>
      </c>
      <c r="BW555" t="s">
        <v>92</v>
      </c>
      <c r="BX555" t="s">
        <v>92</v>
      </c>
      <c r="BY555" t="str">
        <f>IF(COUNTIF('Data Upload-prod'!E:E,F555)=0,"Missing","Exist")</f>
        <v>Missing</v>
      </c>
    </row>
    <row r="556" hidden="1" spans="1:77">
      <c r="A556" s="16">
        <v>43336</v>
      </c>
      <c r="B556" s="16">
        <v>43406</v>
      </c>
      <c r="C556" t="s">
        <v>132</v>
      </c>
      <c r="D556" t="s">
        <v>120</v>
      </c>
      <c r="E556" t="s">
        <v>1035</v>
      </c>
      <c r="F556" t="s">
        <v>1037</v>
      </c>
      <c r="G556" t="s">
        <v>81</v>
      </c>
      <c r="H556" t="s">
        <v>168</v>
      </c>
      <c r="I556" t="s">
        <v>124</v>
      </c>
      <c r="J556" s="17">
        <v>34</v>
      </c>
      <c r="K556" s="17">
        <v>1069</v>
      </c>
      <c r="L556" s="17">
        <v>1047</v>
      </c>
      <c r="M556" t="s">
        <v>84</v>
      </c>
      <c r="N556" t="s">
        <v>84</v>
      </c>
      <c r="O556" t="s">
        <v>84</v>
      </c>
      <c r="P556" t="s">
        <v>84</v>
      </c>
      <c r="Q556" s="17">
        <v>6633543.23</v>
      </c>
      <c r="R556" s="17">
        <v>14.28</v>
      </c>
      <c r="S556" t="s">
        <v>85</v>
      </c>
      <c r="T556" t="s">
        <v>84</v>
      </c>
      <c r="U556" t="s">
        <v>86</v>
      </c>
      <c r="V556" s="16">
        <v>43355</v>
      </c>
      <c r="W556" s="18">
        <v>43355</v>
      </c>
      <c r="X556" s="18">
        <v>43379.6041666667</v>
      </c>
      <c r="Y556" s="17">
        <v>1047.19</v>
      </c>
      <c r="Z556" t="s">
        <v>87</v>
      </c>
      <c r="AA556" s="17">
        <v>1114</v>
      </c>
      <c r="AB556" s="17">
        <v>1082.02</v>
      </c>
      <c r="AC556" t="s">
        <v>84</v>
      </c>
      <c r="AD556" t="s">
        <v>84</v>
      </c>
      <c r="AE556" t="s">
        <v>84</v>
      </c>
      <c r="AF556" t="s">
        <v>84</v>
      </c>
      <c r="AG556" s="17">
        <v>5505344.92</v>
      </c>
      <c r="AH556" s="17">
        <v>16.92</v>
      </c>
      <c r="AI556" s="17">
        <v>0.76</v>
      </c>
      <c r="AJ556" s="17">
        <v>0.76</v>
      </c>
      <c r="AK556" t="s">
        <v>208</v>
      </c>
      <c r="AM556" s="17">
        <v>2.2</v>
      </c>
      <c r="AN556" s="17"/>
      <c r="AO556" s="17">
        <v>830</v>
      </c>
      <c r="AP556" s="17"/>
      <c r="AQ556" s="17">
        <v>1395</v>
      </c>
      <c r="AR556" s="17"/>
      <c r="AS556" s="17">
        <v>1.76</v>
      </c>
      <c r="AT556" s="17"/>
      <c r="AU556" s="17">
        <v>526</v>
      </c>
      <c r="AV556" s="17"/>
      <c r="AW556" s="17">
        <v>1133</v>
      </c>
      <c r="AX556" s="17"/>
      <c r="AY556" t="s">
        <v>92</v>
      </c>
      <c r="AZ556" t="s">
        <v>92</v>
      </c>
      <c r="BA556" t="s">
        <v>92</v>
      </c>
      <c r="BB556" t="s">
        <v>92</v>
      </c>
      <c r="BC556" t="s">
        <v>92</v>
      </c>
      <c r="BD556" s="17">
        <v>5.77</v>
      </c>
      <c r="BE556" s="17">
        <v>1418268.46</v>
      </c>
      <c r="BF556" t="s">
        <v>92</v>
      </c>
      <c r="BG556" t="s">
        <v>92</v>
      </c>
      <c r="BH556" t="s">
        <v>93</v>
      </c>
      <c r="BI556" t="s">
        <v>94</v>
      </c>
      <c r="BJ556" t="s">
        <v>173</v>
      </c>
      <c r="BK556" t="s">
        <v>85</v>
      </c>
      <c r="BL556" t="s">
        <v>85</v>
      </c>
      <c r="BM556" t="s">
        <v>96</v>
      </c>
      <c r="BN556" t="s">
        <v>569</v>
      </c>
      <c r="BO556" t="s">
        <v>98</v>
      </c>
      <c r="BP556" t="s">
        <v>99</v>
      </c>
      <c r="BQ556" t="s">
        <v>92</v>
      </c>
      <c r="BR556" t="s">
        <v>138</v>
      </c>
      <c r="BS556" t="s">
        <v>156</v>
      </c>
      <c r="BT556" t="s">
        <v>175</v>
      </c>
      <c r="BU556" s="17">
        <v>9.9</v>
      </c>
      <c r="BV556" t="s">
        <v>191</v>
      </c>
      <c r="BW556" t="s">
        <v>85</v>
      </c>
      <c r="BX556" t="s">
        <v>85</v>
      </c>
      <c r="BY556" t="str">
        <f>IF(COUNTIF('Data Upload-prod'!E:E,F556)=0,"Missing","Exist")</f>
        <v>Exist</v>
      </c>
    </row>
    <row r="557" hidden="1" spans="1:77">
      <c r="A557" s="16">
        <v>43336</v>
      </c>
      <c r="B557" s="16">
        <v>43494</v>
      </c>
      <c r="C557" t="s">
        <v>132</v>
      </c>
      <c r="D557" t="s">
        <v>120</v>
      </c>
      <c r="E557" t="s">
        <v>700</v>
      </c>
      <c r="F557" t="s">
        <v>1038</v>
      </c>
      <c r="G557" t="s">
        <v>81</v>
      </c>
      <c r="H557" t="s">
        <v>181</v>
      </c>
      <c r="I557" t="s">
        <v>124</v>
      </c>
      <c r="J557" s="17">
        <v>75.59</v>
      </c>
      <c r="K557" s="17">
        <v>2352.64</v>
      </c>
      <c r="L557" s="17">
        <v>2142.94</v>
      </c>
      <c r="M557" t="s">
        <v>84</v>
      </c>
      <c r="N557" t="s">
        <v>84</v>
      </c>
      <c r="O557" t="s">
        <v>84</v>
      </c>
      <c r="P557" t="s">
        <v>84</v>
      </c>
      <c r="Q557" s="17">
        <v>8586030.4</v>
      </c>
      <c r="R557" s="17">
        <v>26.23</v>
      </c>
      <c r="S557" t="s">
        <v>85</v>
      </c>
      <c r="T557" t="s">
        <v>84</v>
      </c>
      <c r="U557" t="s">
        <v>86</v>
      </c>
      <c r="V557" s="16">
        <v>43382</v>
      </c>
      <c r="W557" s="18">
        <v>43352.6041666667</v>
      </c>
      <c r="X557" s="18">
        <v>43443.625</v>
      </c>
      <c r="Y557" s="17">
        <v>2481.68</v>
      </c>
      <c r="Z557" t="s">
        <v>87</v>
      </c>
      <c r="AA557" s="17">
        <v>2605.91</v>
      </c>
      <c r="AB557" s="17">
        <v>2318.35</v>
      </c>
      <c r="AC557" t="s">
        <v>84</v>
      </c>
      <c r="AD557" t="s">
        <v>84</v>
      </c>
      <c r="AE557" t="s">
        <v>84</v>
      </c>
      <c r="AF557" t="s">
        <v>84</v>
      </c>
      <c r="AG557" s="17">
        <v>8997581.05</v>
      </c>
      <c r="AH557" s="17">
        <v>34.61</v>
      </c>
      <c r="AI557" s="17">
        <v>9.26</v>
      </c>
      <c r="AJ557" s="17">
        <v>9.23</v>
      </c>
      <c r="AK557" t="s">
        <v>208</v>
      </c>
      <c r="AM557" s="17">
        <v>2.2</v>
      </c>
      <c r="AN557" s="17"/>
      <c r="AO557" s="17">
        <v>830</v>
      </c>
      <c r="AP557" s="17"/>
      <c r="AQ557" s="17">
        <v>1395</v>
      </c>
      <c r="AR557" s="17"/>
      <c r="AS557" s="17">
        <v>1.62</v>
      </c>
      <c r="AT557" s="17"/>
      <c r="AU557" s="17">
        <v>491</v>
      </c>
      <c r="AV557" s="17"/>
      <c r="AW557" s="17">
        <v>1049</v>
      </c>
      <c r="AX557" s="17"/>
      <c r="AY557" t="s">
        <v>92</v>
      </c>
      <c r="AZ557" t="s">
        <v>92</v>
      </c>
      <c r="BA557" t="s">
        <v>92</v>
      </c>
      <c r="BB557" t="s">
        <v>92</v>
      </c>
      <c r="BC557" t="s">
        <v>92</v>
      </c>
      <c r="BD557" s="17">
        <v>12.57</v>
      </c>
      <c r="BE557" s="17">
        <v>3103657.16</v>
      </c>
      <c r="BF557" t="s">
        <v>92</v>
      </c>
      <c r="BG557" t="s">
        <v>92</v>
      </c>
      <c r="BH557" t="s">
        <v>93</v>
      </c>
      <c r="BI557" t="s">
        <v>94</v>
      </c>
      <c r="BJ557" t="s">
        <v>173</v>
      </c>
      <c r="BK557" t="s">
        <v>85</v>
      </c>
      <c r="BL557" t="s">
        <v>85</v>
      </c>
      <c r="BM557" t="s">
        <v>96</v>
      </c>
      <c r="BN557" t="s">
        <v>253</v>
      </c>
      <c r="BO557" t="s">
        <v>216</v>
      </c>
      <c r="BP557" t="s">
        <v>99</v>
      </c>
      <c r="BQ557" s="17">
        <v>307</v>
      </c>
      <c r="BR557" t="s">
        <v>100</v>
      </c>
      <c r="BS557" t="s">
        <v>285</v>
      </c>
      <c r="BT557" t="s">
        <v>175</v>
      </c>
      <c r="BU557" s="17">
        <v>8.5</v>
      </c>
      <c r="BV557" t="s">
        <v>131</v>
      </c>
      <c r="BW557" t="s">
        <v>85</v>
      </c>
      <c r="BX557" t="s">
        <v>85</v>
      </c>
      <c r="BY557" t="str">
        <f>IF(COUNTIF('Data Upload-prod'!E:E,F557)=0,"Missing","Exist")</f>
        <v>Exist</v>
      </c>
    </row>
    <row r="558" hidden="1" spans="1:77">
      <c r="A558" s="16">
        <v>43327</v>
      </c>
      <c r="B558" s="16">
        <v>43535</v>
      </c>
      <c r="C558" t="s">
        <v>132</v>
      </c>
      <c r="D558" t="s">
        <v>78</v>
      </c>
      <c r="E558" t="s">
        <v>1001</v>
      </c>
      <c r="F558" t="s">
        <v>1039</v>
      </c>
      <c r="G558" t="s">
        <v>81</v>
      </c>
      <c r="H558" t="s">
        <v>168</v>
      </c>
      <c r="I558" t="s">
        <v>124</v>
      </c>
      <c r="J558" s="17">
        <v>69</v>
      </c>
      <c r="K558" s="17">
        <v>2393</v>
      </c>
      <c r="L558" s="17">
        <v>1706</v>
      </c>
      <c r="M558" t="s">
        <v>84</v>
      </c>
      <c r="N558" t="s">
        <v>84</v>
      </c>
      <c r="O558" t="s">
        <v>84</v>
      </c>
      <c r="P558" t="s">
        <v>84</v>
      </c>
      <c r="Q558" s="17">
        <v>8993906.2</v>
      </c>
      <c r="R558" s="17">
        <v>27</v>
      </c>
      <c r="S558" t="s">
        <v>85</v>
      </c>
      <c r="T558" t="s">
        <v>84</v>
      </c>
      <c r="U558" t="s">
        <v>86</v>
      </c>
      <c r="V558" s="16">
        <v>43416</v>
      </c>
      <c r="W558" s="18">
        <v>43416</v>
      </c>
      <c r="X558" s="18">
        <v>43489.8333333333</v>
      </c>
      <c r="Y558" s="17">
        <v>2185</v>
      </c>
      <c r="Z558" t="s">
        <v>87</v>
      </c>
      <c r="AA558" s="17">
        <v>2291</v>
      </c>
      <c r="AB558" s="17">
        <v>1707</v>
      </c>
      <c r="AC558" t="s">
        <v>84</v>
      </c>
      <c r="AD558" t="s">
        <v>84</v>
      </c>
      <c r="AE558" t="s">
        <v>84</v>
      </c>
      <c r="AF558" t="s">
        <v>84</v>
      </c>
      <c r="AG558" s="17">
        <v>7583625.47</v>
      </c>
      <c r="AH558" s="17">
        <v>24.48</v>
      </c>
      <c r="AI558" s="17">
        <v>1.48</v>
      </c>
      <c r="AJ558" s="17">
        <v>1.29</v>
      </c>
      <c r="AK558" t="s">
        <v>114</v>
      </c>
      <c r="AM558" s="17">
        <v>2.2</v>
      </c>
      <c r="AN558" s="17"/>
      <c r="AO558" s="17">
        <v>915</v>
      </c>
      <c r="AP558" s="17"/>
      <c r="AQ558" s="17">
        <v>1580</v>
      </c>
      <c r="AR558" s="17"/>
      <c r="AS558" s="17">
        <v>1.33</v>
      </c>
      <c r="AT558" s="17"/>
      <c r="AU558" s="17">
        <v>533</v>
      </c>
      <c r="AV558" s="17"/>
      <c r="AW558" s="17">
        <v>892</v>
      </c>
      <c r="AX558" s="17"/>
      <c r="AY558" t="s">
        <v>92</v>
      </c>
      <c r="AZ558" t="s">
        <v>92</v>
      </c>
      <c r="BA558" t="s">
        <v>92</v>
      </c>
      <c r="BB558" t="s">
        <v>92</v>
      </c>
      <c r="BC558" t="s">
        <v>92</v>
      </c>
      <c r="BD558" s="17">
        <v>7.06</v>
      </c>
      <c r="BE558" s="17">
        <v>2088913.43</v>
      </c>
      <c r="BF558" t="s">
        <v>92</v>
      </c>
      <c r="BG558" t="s">
        <v>92</v>
      </c>
      <c r="BH558" t="s">
        <v>93</v>
      </c>
      <c r="BI558" t="s">
        <v>94</v>
      </c>
      <c r="BJ558" t="s">
        <v>128</v>
      </c>
      <c r="BK558" t="s">
        <v>85</v>
      </c>
      <c r="BL558" t="s">
        <v>85</v>
      </c>
      <c r="BM558" t="s">
        <v>96</v>
      </c>
      <c r="BN558" t="s">
        <v>569</v>
      </c>
      <c r="BO558" t="s">
        <v>98</v>
      </c>
      <c r="BP558" t="s">
        <v>103</v>
      </c>
      <c r="BQ558" s="17">
        <v>424.8895</v>
      </c>
      <c r="BR558" t="s">
        <v>138</v>
      </c>
      <c r="BS558" t="s">
        <v>285</v>
      </c>
      <c r="BT558" t="s">
        <v>550</v>
      </c>
      <c r="BU558" s="17">
        <v>9.7</v>
      </c>
      <c r="BV558" t="s">
        <v>308</v>
      </c>
      <c r="BW558" t="s">
        <v>85</v>
      </c>
      <c r="BX558" t="s">
        <v>85</v>
      </c>
      <c r="BY558" t="str">
        <f>IF(COUNTIF('Data Upload-prod'!E:E,F558)=0,"Missing","Exist")</f>
        <v>Exist</v>
      </c>
    </row>
    <row r="559" hidden="1" spans="1:77">
      <c r="A559" s="16">
        <v>43312</v>
      </c>
      <c r="B559" s="16">
        <v>43424</v>
      </c>
      <c r="C559" t="s">
        <v>132</v>
      </c>
      <c r="D559" t="s">
        <v>142</v>
      </c>
      <c r="E559" t="s">
        <v>1003</v>
      </c>
      <c r="F559" t="s">
        <v>1040</v>
      </c>
      <c r="G559" t="s">
        <v>81</v>
      </c>
      <c r="H559" t="s">
        <v>82</v>
      </c>
      <c r="I559" t="s">
        <v>83</v>
      </c>
      <c r="J559" s="17">
        <v>43</v>
      </c>
      <c r="K559" s="17">
        <v>2083</v>
      </c>
      <c r="L559" s="17">
        <v>1506.4</v>
      </c>
      <c r="M559" t="s">
        <v>84</v>
      </c>
      <c r="N559" t="s">
        <v>84</v>
      </c>
      <c r="O559" t="s">
        <v>84</v>
      </c>
      <c r="P559" t="s">
        <v>84</v>
      </c>
      <c r="Q559" s="17">
        <v>11297905.16</v>
      </c>
      <c r="R559" s="17">
        <v>29.6</v>
      </c>
      <c r="S559" t="s">
        <v>85</v>
      </c>
      <c r="T559" t="s">
        <v>84</v>
      </c>
      <c r="U559" t="s">
        <v>86</v>
      </c>
      <c r="V559" t="s">
        <v>84</v>
      </c>
      <c r="W559" s="18">
        <v>43357.7083333333</v>
      </c>
      <c r="X559" s="18">
        <v>43391.8333333333</v>
      </c>
      <c r="Y559" s="17">
        <v>2097.6</v>
      </c>
      <c r="Z559" t="s">
        <v>87</v>
      </c>
      <c r="AA559" s="17">
        <v>2175</v>
      </c>
      <c r="AB559" s="17">
        <v>1490.7</v>
      </c>
      <c r="AC559" t="s">
        <v>84</v>
      </c>
      <c r="AD559" t="s">
        <v>84</v>
      </c>
      <c r="AE559" t="s">
        <v>84</v>
      </c>
      <c r="AF559" t="s">
        <v>84</v>
      </c>
      <c r="AG559" s="17">
        <v>10823812.77</v>
      </c>
      <c r="AH559" s="17">
        <v>34.12</v>
      </c>
      <c r="AI559" s="17">
        <v>10.47</v>
      </c>
      <c r="AJ559" s="17">
        <v>10.47</v>
      </c>
      <c r="AK559" t="s">
        <v>89</v>
      </c>
      <c r="AM559" s="17">
        <v>2.4</v>
      </c>
      <c r="AN559" s="17"/>
      <c r="AO559" s="17">
        <v>795</v>
      </c>
      <c r="AP559" s="17"/>
      <c r="AQ559" s="17">
        <v>1400</v>
      </c>
      <c r="AR559" s="17"/>
      <c r="AS559" s="17">
        <v>2.52</v>
      </c>
      <c r="AT559" s="17"/>
      <c r="AU559" s="17">
        <v>785</v>
      </c>
      <c r="AV559" s="17"/>
      <c r="AW559" s="17">
        <v>1503</v>
      </c>
      <c r="AX559" s="17"/>
      <c r="AY559" t="s">
        <v>92</v>
      </c>
      <c r="AZ559" t="s">
        <v>92</v>
      </c>
      <c r="BA559" t="s">
        <v>92</v>
      </c>
      <c r="BB559" t="s">
        <v>92</v>
      </c>
      <c r="BC559" t="s">
        <v>92</v>
      </c>
      <c r="BD559" s="17">
        <v>4.54</v>
      </c>
      <c r="BE559" s="17">
        <v>1796175.25</v>
      </c>
      <c r="BF559" t="s">
        <v>92</v>
      </c>
      <c r="BG559" t="s">
        <v>92</v>
      </c>
      <c r="BH559" t="s">
        <v>93</v>
      </c>
      <c r="BI559" t="s">
        <v>94</v>
      </c>
      <c r="BJ559" t="s">
        <v>128</v>
      </c>
      <c r="BK559" t="s">
        <v>85</v>
      </c>
      <c r="BL559" t="s">
        <v>85</v>
      </c>
      <c r="BM559" t="s">
        <v>96</v>
      </c>
      <c r="BN559" t="s">
        <v>97</v>
      </c>
      <c r="BO559" t="s">
        <v>98</v>
      </c>
      <c r="BP559" t="s">
        <v>103</v>
      </c>
      <c r="BQ559" s="17">
        <v>1076.168</v>
      </c>
      <c r="BR559" t="s">
        <v>100</v>
      </c>
      <c r="BS559" t="s">
        <v>608</v>
      </c>
      <c r="BT559" t="s">
        <v>550</v>
      </c>
      <c r="BU559" s="17">
        <v>8.5</v>
      </c>
      <c r="BV559" t="s">
        <v>131</v>
      </c>
      <c r="BW559" t="s">
        <v>85</v>
      </c>
      <c r="BX559" t="s">
        <v>85</v>
      </c>
      <c r="BY559" t="str">
        <f>IF(COUNTIF('Data Upload-prod'!E:E,F559)=0,"Missing","Exist")</f>
        <v>Exist</v>
      </c>
    </row>
    <row r="560" hidden="1" spans="1:77">
      <c r="A560" s="16">
        <v>43312</v>
      </c>
      <c r="B560" s="16">
        <v>43514</v>
      </c>
      <c r="C560" t="s">
        <v>132</v>
      </c>
      <c r="D560" t="s">
        <v>142</v>
      </c>
      <c r="E560" t="s">
        <v>1003</v>
      </c>
      <c r="F560" t="s">
        <v>1041</v>
      </c>
      <c r="G560" t="s">
        <v>81</v>
      </c>
      <c r="H560" t="s">
        <v>82</v>
      </c>
      <c r="I560" t="s">
        <v>83</v>
      </c>
      <c r="J560" s="17">
        <v>43</v>
      </c>
      <c r="K560" s="17">
        <v>2488.18</v>
      </c>
      <c r="L560" s="17">
        <v>1504.4</v>
      </c>
      <c r="M560" t="s">
        <v>84</v>
      </c>
      <c r="N560" t="s">
        <v>84</v>
      </c>
      <c r="O560" t="s">
        <v>84</v>
      </c>
      <c r="P560" t="s">
        <v>84</v>
      </c>
      <c r="Q560" s="17">
        <v>14959583.45</v>
      </c>
      <c r="R560" s="17">
        <v>43.34</v>
      </c>
      <c r="S560" t="s">
        <v>106</v>
      </c>
      <c r="T560" t="s">
        <v>84</v>
      </c>
      <c r="U560" t="s">
        <v>86</v>
      </c>
      <c r="V560" s="16">
        <v>43348</v>
      </c>
      <c r="W560" s="18">
        <v>43348.5833333333</v>
      </c>
      <c r="X560" s="18">
        <v>43452</v>
      </c>
      <c r="Y560" s="17">
        <v>2268.6</v>
      </c>
      <c r="Z560" t="s">
        <v>87</v>
      </c>
      <c r="AA560" s="17">
        <v>2346</v>
      </c>
      <c r="AB560" s="17">
        <v>1495.53</v>
      </c>
      <c r="AC560" t="s">
        <v>84</v>
      </c>
      <c r="AD560" t="s">
        <v>84</v>
      </c>
      <c r="AE560" t="s">
        <v>84</v>
      </c>
      <c r="AF560" t="s">
        <v>84</v>
      </c>
      <c r="AG560" s="17">
        <v>12974317.17</v>
      </c>
      <c r="AH560" s="17">
        <v>43.48</v>
      </c>
      <c r="AI560" s="17">
        <v>13.03</v>
      </c>
      <c r="AJ560" s="17">
        <v>13.03</v>
      </c>
      <c r="AK560" t="s">
        <v>89</v>
      </c>
      <c r="AM560" s="17">
        <v>2.4</v>
      </c>
      <c r="AN560" s="17"/>
      <c r="AO560" s="17">
        <v>795</v>
      </c>
      <c r="AP560" s="17"/>
      <c r="AQ560" s="17">
        <v>1400</v>
      </c>
      <c r="AR560" s="17"/>
      <c r="AS560" s="17">
        <v>2.73</v>
      </c>
      <c r="AT560" s="17"/>
      <c r="AU560" s="17">
        <v>779</v>
      </c>
      <c r="AV560" s="17"/>
      <c r="AW560" s="17">
        <v>1251</v>
      </c>
      <c r="AX560" s="17"/>
      <c r="AY560" t="s">
        <v>92</v>
      </c>
      <c r="AZ560" t="s">
        <v>92</v>
      </c>
      <c r="BA560" t="s">
        <v>92</v>
      </c>
      <c r="BB560" t="s">
        <v>92</v>
      </c>
      <c r="BC560" t="s">
        <v>92</v>
      </c>
      <c r="BD560" s="17">
        <v>3.3</v>
      </c>
      <c r="BE560" s="17">
        <v>1539907.03</v>
      </c>
      <c r="BF560" t="s">
        <v>92</v>
      </c>
      <c r="BG560" t="s">
        <v>92</v>
      </c>
      <c r="BH560" t="s">
        <v>93</v>
      </c>
      <c r="BI560" t="s">
        <v>94</v>
      </c>
      <c r="BJ560" t="s">
        <v>128</v>
      </c>
      <c r="BK560" t="s">
        <v>85</v>
      </c>
      <c r="BL560" t="s">
        <v>85</v>
      </c>
      <c r="BM560" t="s">
        <v>96</v>
      </c>
      <c r="BN560" t="s">
        <v>97</v>
      </c>
      <c r="BO560" t="s">
        <v>98</v>
      </c>
      <c r="BP560" t="s">
        <v>103</v>
      </c>
      <c r="BQ560" s="17">
        <v>1469.888</v>
      </c>
      <c r="BR560" t="s">
        <v>138</v>
      </c>
      <c r="BS560" t="s">
        <v>608</v>
      </c>
      <c r="BT560" t="s">
        <v>550</v>
      </c>
      <c r="BU560" s="17">
        <v>8.5</v>
      </c>
      <c r="BV560" t="s">
        <v>131</v>
      </c>
      <c r="BW560" t="s">
        <v>85</v>
      </c>
      <c r="BX560" t="s">
        <v>85</v>
      </c>
      <c r="BY560" t="str">
        <f>IF(COUNTIF('Data Upload-prod'!E:E,F560)=0,"Missing","Exist")</f>
        <v>Exist</v>
      </c>
    </row>
    <row r="561" hidden="1" spans="1:77">
      <c r="A561" s="16">
        <v>43308</v>
      </c>
      <c r="B561" s="16">
        <v>43448</v>
      </c>
      <c r="C561" t="s">
        <v>187</v>
      </c>
      <c r="D561" t="s">
        <v>78</v>
      </c>
      <c r="E561" t="s">
        <v>708</v>
      </c>
      <c r="F561" t="s">
        <v>1042</v>
      </c>
      <c r="G561" t="s">
        <v>81</v>
      </c>
      <c r="H561" t="s">
        <v>880</v>
      </c>
      <c r="I561" t="s">
        <v>124</v>
      </c>
      <c r="J561" s="17">
        <v>62.5</v>
      </c>
      <c r="K561" s="17">
        <v>3247</v>
      </c>
      <c r="L561" s="17">
        <v>1468</v>
      </c>
      <c r="M561" t="s">
        <v>84</v>
      </c>
      <c r="N561" t="s">
        <v>84</v>
      </c>
      <c r="O561" t="s">
        <v>84</v>
      </c>
      <c r="P561" t="s">
        <v>84</v>
      </c>
      <c r="Q561" s="17">
        <v>15800000</v>
      </c>
      <c r="R561" s="17">
        <v>66</v>
      </c>
      <c r="S561" t="s">
        <v>85</v>
      </c>
      <c r="T561" t="s">
        <v>84</v>
      </c>
      <c r="U561" t="s">
        <v>86</v>
      </c>
      <c r="V561" s="16">
        <v>43337</v>
      </c>
      <c r="W561" s="18">
        <v>43334</v>
      </c>
      <c r="X561" s="18">
        <v>43411</v>
      </c>
      <c r="Y561" s="17">
        <v>3137.35</v>
      </c>
      <c r="Z561" t="s">
        <v>87</v>
      </c>
      <c r="AA561" s="17">
        <v>3247</v>
      </c>
      <c r="AB561" s="17">
        <v>1465</v>
      </c>
      <c r="AC561" t="s">
        <v>84</v>
      </c>
      <c r="AD561" t="s">
        <v>84</v>
      </c>
      <c r="AE561" t="s">
        <v>84</v>
      </c>
      <c r="AF561" t="s">
        <v>84</v>
      </c>
      <c r="AG561" s="17">
        <v>16980000</v>
      </c>
      <c r="AH561" s="17">
        <v>85.4</v>
      </c>
      <c r="AI561" s="17">
        <v>27.14</v>
      </c>
      <c r="AJ561" s="17">
        <v>27.14</v>
      </c>
      <c r="AK561" t="s">
        <v>298</v>
      </c>
      <c r="AM561" s="17">
        <v>1.8</v>
      </c>
      <c r="AN561" s="17"/>
      <c r="AO561" s="17">
        <v>600</v>
      </c>
      <c r="AP561" s="17"/>
      <c r="AQ561" s="17">
        <v>1670</v>
      </c>
      <c r="AR561" s="17"/>
      <c r="AS561" s="17">
        <v>3.7</v>
      </c>
      <c r="AT561" s="17"/>
      <c r="AU561" s="17">
        <v>721</v>
      </c>
      <c r="AV561" s="17"/>
      <c r="AW561" s="17">
        <v>1072</v>
      </c>
      <c r="AX561" s="17"/>
      <c r="AY561" t="s">
        <v>92</v>
      </c>
      <c r="AZ561" t="s">
        <v>92</v>
      </c>
      <c r="BA561" t="s">
        <v>92</v>
      </c>
      <c r="BB561" t="s">
        <v>92</v>
      </c>
      <c r="BC561" t="s">
        <v>92</v>
      </c>
      <c r="BD561" s="17">
        <v>15.1</v>
      </c>
      <c r="BE561" s="17">
        <v>3634124</v>
      </c>
      <c r="BF561" t="s">
        <v>92</v>
      </c>
      <c r="BG561" t="s">
        <v>92</v>
      </c>
      <c r="BH561" t="s">
        <v>93</v>
      </c>
      <c r="BI561" t="s">
        <v>94</v>
      </c>
      <c r="BJ561" t="s">
        <v>173</v>
      </c>
      <c r="BK561" t="s">
        <v>85</v>
      </c>
      <c r="BL561" t="s">
        <v>85</v>
      </c>
      <c r="BM561" t="s">
        <v>96</v>
      </c>
      <c r="BN561" t="s">
        <v>97</v>
      </c>
      <c r="BO561" t="s">
        <v>98</v>
      </c>
      <c r="BP561" t="s">
        <v>99</v>
      </c>
      <c r="BQ561" s="17">
        <v>0</v>
      </c>
      <c r="BR561" t="s">
        <v>138</v>
      </c>
      <c r="BS561" t="s">
        <v>92</v>
      </c>
      <c r="BT561" t="s">
        <v>99</v>
      </c>
      <c r="BU561" s="17">
        <v>11.7</v>
      </c>
      <c r="BV561" t="s">
        <v>340</v>
      </c>
      <c r="BW561" t="s">
        <v>129</v>
      </c>
      <c r="BX561" t="s">
        <v>85</v>
      </c>
      <c r="BY561" t="str">
        <f>IF(COUNTIF('Data Upload-prod'!E:E,F561)=0,"Missing","Exist")</f>
        <v>Exist</v>
      </c>
    </row>
    <row r="562" hidden="1" spans="1:77">
      <c r="A562" s="16">
        <v>43308</v>
      </c>
      <c r="B562" s="16">
        <v>43423</v>
      </c>
      <c r="C562" t="s">
        <v>132</v>
      </c>
      <c r="D562" t="s">
        <v>120</v>
      </c>
      <c r="E562" t="s">
        <v>908</v>
      </c>
      <c r="F562" t="s">
        <v>1043</v>
      </c>
      <c r="G562" t="s">
        <v>81</v>
      </c>
      <c r="H562" t="s">
        <v>172</v>
      </c>
      <c r="I562" t="s">
        <v>124</v>
      </c>
      <c r="J562" s="17">
        <v>22.4</v>
      </c>
      <c r="K562" s="17">
        <v>1700</v>
      </c>
      <c r="L562" s="17">
        <v>1240</v>
      </c>
      <c r="M562" t="s">
        <v>84</v>
      </c>
      <c r="N562" t="s">
        <v>84</v>
      </c>
      <c r="O562" t="s">
        <v>84</v>
      </c>
      <c r="P562" t="s">
        <v>84</v>
      </c>
      <c r="Q562" s="17">
        <v>9271338.83</v>
      </c>
      <c r="R562" s="17">
        <v>27.83</v>
      </c>
      <c r="S562" t="s">
        <v>106</v>
      </c>
      <c r="T562" t="s">
        <v>84</v>
      </c>
      <c r="U562" t="s">
        <v>86</v>
      </c>
      <c r="V562" s="16">
        <v>43331</v>
      </c>
      <c r="W562" s="18">
        <v>43326.7916666667</v>
      </c>
      <c r="X562" s="18">
        <v>43393.0833333333</v>
      </c>
      <c r="Y562" s="17">
        <v>1836.24</v>
      </c>
      <c r="Z562" t="s">
        <v>87</v>
      </c>
      <c r="AA562" s="17">
        <v>1893</v>
      </c>
      <c r="AB562" s="17">
        <v>1666.31</v>
      </c>
      <c r="AC562" t="s">
        <v>84</v>
      </c>
      <c r="AD562" t="s">
        <v>84</v>
      </c>
      <c r="AE562" t="s">
        <v>84</v>
      </c>
      <c r="AF562" t="s">
        <v>84</v>
      </c>
      <c r="AG562" s="17">
        <v>15550515.07</v>
      </c>
      <c r="AH562" s="17">
        <v>66.21</v>
      </c>
      <c r="AI562" s="17">
        <v>17.98</v>
      </c>
      <c r="AJ562" s="17">
        <v>17.5</v>
      </c>
      <c r="AK562" t="s">
        <v>208</v>
      </c>
      <c r="AM562" s="17">
        <v>2.2</v>
      </c>
      <c r="AN562" s="17"/>
      <c r="AO562" s="17">
        <v>830</v>
      </c>
      <c r="AP562" s="17"/>
      <c r="AQ562" s="17">
        <v>1790</v>
      </c>
      <c r="AR562" s="17"/>
      <c r="AS562" s="17">
        <v>2.54</v>
      </c>
      <c r="AT562" s="17"/>
      <c r="AU562" s="17">
        <v>536</v>
      </c>
      <c r="AV562" s="17"/>
      <c r="AW562" s="17">
        <v>1310</v>
      </c>
      <c r="AX562" s="17"/>
      <c r="AY562" t="s">
        <v>92</v>
      </c>
      <c r="AZ562" t="s">
        <v>92</v>
      </c>
      <c r="BA562" t="s">
        <v>92</v>
      </c>
      <c r="BB562" t="s">
        <v>92</v>
      </c>
      <c r="BC562" t="s">
        <v>92</v>
      </c>
      <c r="BD562" s="17">
        <v>19.35</v>
      </c>
      <c r="BE562" s="17">
        <v>6223230.65</v>
      </c>
      <c r="BF562" t="s">
        <v>92</v>
      </c>
      <c r="BG562" t="s">
        <v>92</v>
      </c>
      <c r="BH562" t="s">
        <v>93</v>
      </c>
      <c r="BI562" t="s">
        <v>94</v>
      </c>
      <c r="BJ562" t="s">
        <v>215</v>
      </c>
      <c r="BK562" t="s">
        <v>85</v>
      </c>
      <c r="BL562" t="s">
        <v>85</v>
      </c>
      <c r="BM562" t="s">
        <v>96</v>
      </c>
      <c r="BN562" t="s">
        <v>253</v>
      </c>
      <c r="BO562" t="s">
        <v>216</v>
      </c>
      <c r="BP562" t="s">
        <v>103</v>
      </c>
      <c r="BQ562" s="17">
        <v>1801</v>
      </c>
      <c r="BR562" t="s">
        <v>100</v>
      </c>
      <c r="BS562" t="s">
        <v>92</v>
      </c>
      <c r="BT562" t="s">
        <v>550</v>
      </c>
      <c r="BU562" s="17">
        <v>9.9</v>
      </c>
      <c r="BV562" t="s">
        <v>191</v>
      </c>
      <c r="BW562" t="s">
        <v>85</v>
      </c>
      <c r="BX562" t="s">
        <v>85</v>
      </c>
      <c r="BY562" t="str">
        <f>IF(COUNTIF('Data Upload-prod'!E:E,F562)=0,"Missing","Exist")</f>
        <v>Exist</v>
      </c>
    </row>
    <row r="563" hidden="1" spans="1:77">
      <c r="A563" s="16">
        <v>43305</v>
      </c>
      <c r="B563" s="16">
        <v>43458</v>
      </c>
      <c r="C563" t="s">
        <v>132</v>
      </c>
      <c r="D563" t="s">
        <v>120</v>
      </c>
      <c r="E563" t="s">
        <v>1044</v>
      </c>
      <c r="F563" t="s">
        <v>1045</v>
      </c>
      <c r="G563" t="s">
        <v>145</v>
      </c>
      <c r="H563" t="s">
        <v>363</v>
      </c>
      <c r="I563" t="s">
        <v>124</v>
      </c>
      <c r="J563" s="17">
        <v>94</v>
      </c>
      <c r="K563" s="17">
        <v>3660</v>
      </c>
      <c r="L563" s="17">
        <v>3660</v>
      </c>
      <c r="M563" s="17">
        <v>12900000</v>
      </c>
      <c r="N563" s="17">
        <v>18700000</v>
      </c>
      <c r="O563" s="17">
        <v>33.3</v>
      </c>
      <c r="P563" s="17">
        <v>50.7</v>
      </c>
      <c r="Q563" t="s">
        <v>84</v>
      </c>
      <c r="R563" t="s">
        <v>84</v>
      </c>
      <c r="S563" t="s">
        <v>85</v>
      </c>
      <c r="T563" t="s">
        <v>84</v>
      </c>
      <c r="U563" t="s">
        <v>84</v>
      </c>
      <c r="V563" s="16">
        <v>43328</v>
      </c>
      <c r="W563" s="18">
        <v>43322.5</v>
      </c>
      <c r="X563" s="18">
        <v>43400.3333333333</v>
      </c>
      <c r="Y563" s="17">
        <v>3463.6</v>
      </c>
      <c r="Z563" t="s">
        <v>87</v>
      </c>
      <c r="AA563" s="17">
        <v>3590</v>
      </c>
      <c r="AB563" s="17">
        <v>3589.34</v>
      </c>
      <c r="AC563" t="s">
        <v>84</v>
      </c>
      <c r="AD563" s="17">
        <v>20941969.79</v>
      </c>
      <c r="AE563" t="s">
        <v>84</v>
      </c>
      <c r="AF563" s="17">
        <v>77.83</v>
      </c>
      <c r="AG563" t="s">
        <v>84</v>
      </c>
      <c r="AH563" t="s">
        <v>84</v>
      </c>
      <c r="AI563" s="17">
        <v>7.9</v>
      </c>
      <c r="AJ563" s="17">
        <v>7.71</v>
      </c>
      <c r="AK563" t="s">
        <v>323</v>
      </c>
      <c r="AM563" s="17">
        <v>4.4</v>
      </c>
      <c r="AN563" s="17"/>
      <c r="AO563" s="17">
        <v>1980</v>
      </c>
      <c r="AP563" s="17"/>
      <c r="AQ563" s="17">
        <v>2760</v>
      </c>
      <c r="AR563" s="17"/>
      <c r="AS563" s="17">
        <v>2.76</v>
      </c>
      <c r="AT563" s="17"/>
      <c r="AU563" s="17">
        <v>875</v>
      </c>
      <c r="AV563" s="17"/>
      <c r="AW563" s="17">
        <v>1591</v>
      </c>
      <c r="AX563" s="17"/>
      <c r="AY563" t="s">
        <v>92</v>
      </c>
      <c r="AZ563" t="s">
        <v>92</v>
      </c>
      <c r="BA563" t="s">
        <v>92</v>
      </c>
      <c r="BB563" t="s">
        <v>92</v>
      </c>
      <c r="BC563" t="s">
        <v>92</v>
      </c>
      <c r="BD563" t="s">
        <v>92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92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92</v>
      </c>
      <c r="BS563" t="s">
        <v>92</v>
      </c>
      <c r="BT563" t="s">
        <v>92</v>
      </c>
      <c r="BU563" t="s">
        <v>92</v>
      </c>
      <c r="BV563" t="s">
        <v>92</v>
      </c>
      <c r="BW563" t="s">
        <v>92</v>
      </c>
      <c r="BX563" t="s">
        <v>92</v>
      </c>
      <c r="BY563" t="str">
        <f>IF(COUNTIF('Data Upload-prod'!E:E,F563)=0,"Missing","Exist")</f>
        <v>Exist</v>
      </c>
    </row>
    <row r="564" hidden="1" spans="1:77">
      <c r="A564" s="16">
        <v>43300</v>
      </c>
      <c r="B564" s="16">
        <v>43453</v>
      </c>
      <c r="C564" t="s">
        <v>141</v>
      </c>
      <c r="D564" t="s">
        <v>120</v>
      </c>
      <c r="E564" t="s">
        <v>535</v>
      </c>
      <c r="F564" t="s">
        <v>1046</v>
      </c>
      <c r="G564" t="s">
        <v>81</v>
      </c>
      <c r="H564" t="s">
        <v>247</v>
      </c>
      <c r="I564" t="s">
        <v>231</v>
      </c>
      <c r="J564" s="17">
        <v>105.03</v>
      </c>
      <c r="K564" s="17">
        <v>3758.91</v>
      </c>
      <c r="L564" s="17">
        <v>1367.88</v>
      </c>
      <c r="M564" t="s">
        <v>84</v>
      </c>
      <c r="N564" t="s">
        <v>84</v>
      </c>
      <c r="O564" t="s">
        <v>84</v>
      </c>
      <c r="P564" t="s">
        <v>84</v>
      </c>
      <c r="Q564" s="17">
        <v>35680000</v>
      </c>
      <c r="R564" s="17">
        <v>89.13</v>
      </c>
      <c r="S564" t="s">
        <v>85</v>
      </c>
      <c r="T564" t="s">
        <v>84</v>
      </c>
      <c r="U564" t="s">
        <v>84</v>
      </c>
      <c r="V564" s="16">
        <v>43330</v>
      </c>
      <c r="W564" s="18">
        <v>43330.6666666667</v>
      </c>
      <c r="X564" s="18">
        <v>43390.9166666667</v>
      </c>
      <c r="Y564" s="17">
        <v>3689.85</v>
      </c>
      <c r="Z564" t="s">
        <v>87</v>
      </c>
      <c r="AA564" s="17">
        <v>3829.63</v>
      </c>
      <c r="AB564" s="17">
        <v>1372.78</v>
      </c>
      <c r="AC564" t="s">
        <v>84</v>
      </c>
      <c r="AD564" t="s">
        <v>84</v>
      </c>
      <c r="AE564" t="s">
        <v>84</v>
      </c>
      <c r="AF564" t="s">
        <v>84</v>
      </c>
      <c r="AG564" s="17">
        <v>23385023</v>
      </c>
      <c r="AH564" s="17">
        <v>79.42</v>
      </c>
      <c r="AI564" s="17">
        <v>13.61</v>
      </c>
      <c r="AJ564" s="17">
        <v>5.25</v>
      </c>
      <c r="AK564" t="s">
        <v>126</v>
      </c>
      <c r="AM564" s="17">
        <v>2.5</v>
      </c>
      <c r="AN564" s="17"/>
      <c r="AO564" s="17">
        <v>1010</v>
      </c>
      <c r="AP564" s="17"/>
      <c r="AQ564" s="17">
        <v>1705</v>
      </c>
      <c r="AR564" s="17"/>
      <c r="AS564" s="17">
        <v>2.7</v>
      </c>
      <c r="AT564" s="17"/>
      <c r="AU564" s="17">
        <v>836</v>
      </c>
      <c r="AV564" s="17"/>
      <c r="AW564" s="17">
        <v>1380</v>
      </c>
      <c r="AX564" s="17"/>
      <c r="AY564" t="s">
        <v>92</v>
      </c>
      <c r="AZ564" t="s">
        <v>92</v>
      </c>
      <c r="BA564" t="s">
        <v>92</v>
      </c>
      <c r="BB564" t="s">
        <v>92</v>
      </c>
      <c r="BC564" t="s">
        <v>92</v>
      </c>
      <c r="BD564" t="s">
        <v>92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92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92</v>
      </c>
      <c r="BS564" t="s">
        <v>92</v>
      </c>
      <c r="BT564" t="s">
        <v>92</v>
      </c>
      <c r="BU564" t="s">
        <v>92</v>
      </c>
      <c r="BV564" t="s">
        <v>92</v>
      </c>
      <c r="BW564" t="s">
        <v>92</v>
      </c>
      <c r="BX564" t="s">
        <v>92</v>
      </c>
      <c r="BY564" t="str">
        <f>IF(COUNTIF('Data Upload-prod'!E:E,F564)=0,"Missing","Exist")</f>
        <v>Exist</v>
      </c>
    </row>
    <row r="565" hidden="1" spans="1:77">
      <c r="A565" s="16">
        <v>43298</v>
      </c>
      <c r="B565" s="16">
        <v>43480</v>
      </c>
      <c r="C565" t="s">
        <v>178</v>
      </c>
      <c r="D565" t="s">
        <v>120</v>
      </c>
      <c r="E565" t="s">
        <v>870</v>
      </c>
      <c r="F565" t="s">
        <v>1047</v>
      </c>
      <c r="G565" t="s">
        <v>81</v>
      </c>
      <c r="H565" t="s">
        <v>202</v>
      </c>
      <c r="I565" t="s">
        <v>124</v>
      </c>
      <c r="J565" s="17">
        <v>45.11</v>
      </c>
      <c r="K565" s="17">
        <v>2239.56</v>
      </c>
      <c r="L565" s="17">
        <v>1913.75</v>
      </c>
      <c r="M565" t="s">
        <v>84</v>
      </c>
      <c r="N565" t="s">
        <v>84</v>
      </c>
      <c r="O565" t="s">
        <v>84</v>
      </c>
      <c r="P565" t="s">
        <v>84</v>
      </c>
      <c r="Q565" s="17">
        <v>11190000</v>
      </c>
      <c r="R565" s="17">
        <v>35.4</v>
      </c>
      <c r="S565" t="s">
        <v>85</v>
      </c>
      <c r="T565" t="s">
        <v>84</v>
      </c>
      <c r="U565" t="s">
        <v>84</v>
      </c>
      <c r="V565" s="16">
        <v>43332</v>
      </c>
      <c r="W565" s="18">
        <v>43332.375</v>
      </c>
      <c r="X565" s="18">
        <v>43415.9479166667</v>
      </c>
      <c r="Y565" s="17">
        <v>2179.82</v>
      </c>
      <c r="Z565" t="s">
        <v>87</v>
      </c>
      <c r="AA565" s="17">
        <v>2267.3</v>
      </c>
      <c r="AB565" s="17">
        <v>1943.61</v>
      </c>
      <c r="AC565" t="s">
        <v>84</v>
      </c>
      <c r="AD565" t="s">
        <v>84</v>
      </c>
      <c r="AE565" t="s">
        <v>84</v>
      </c>
      <c r="AF565" t="s">
        <v>84</v>
      </c>
      <c r="AG565" s="17">
        <v>10114164.54</v>
      </c>
      <c r="AH565" s="17">
        <v>28.61</v>
      </c>
      <c r="AI565" s="17">
        <v>1.64</v>
      </c>
      <c r="AJ565" s="17">
        <v>1.64</v>
      </c>
      <c r="AK565" t="s">
        <v>89</v>
      </c>
      <c r="AM565" s="17">
        <v>2.4</v>
      </c>
      <c r="AN565" s="17"/>
      <c r="AO565" s="17">
        <v>795</v>
      </c>
      <c r="AP565" s="17"/>
      <c r="AQ565" s="17">
        <v>1580</v>
      </c>
      <c r="AR565" s="17"/>
      <c r="AS565" s="17">
        <v>1.74</v>
      </c>
      <c r="AT565" s="17"/>
      <c r="AU565" s="17">
        <v>638</v>
      </c>
      <c r="AV565" s="17"/>
      <c r="AW565" s="17">
        <v>1143</v>
      </c>
      <c r="AX565" s="17"/>
      <c r="AY565" t="s">
        <v>92</v>
      </c>
      <c r="AZ565" t="s">
        <v>92</v>
      </c>
      <c r="BA565" t="s">
        <v>92</v>
      </c>
      <c r="BB565" t="s">
        <v>92</v>
      </c>
      <c r="BC565" t="s">
        <v>92</v>
      </c>
      <c r="BD565" t="s">
        <v>92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92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92</v>
      </c>
      <c r="BS565" t="s">
        <v>92</v>
      </c>
      <c r="BT565" t="s">
        <v>92</v>
      </c>
      <c r="BU565" t="s">
        <v>92</v>
      </c>
      <c r="BV565" t="s">
        <v>92</v>
      </c>
      <c r="BW565" t="s">
        <v>92</v>
      </c>
      <c r="BX565" t="s">
        <v>92</v>
      </c>
      <c r="BY565" t="str">
        <f>IF(COUNTIF('Data Upload-prod'!E:E,F565)=0,"Missing","Exist")</f>
        <v>Exist</v>
      </c>
    </row>
    <row r="566" hidden="1" spans="1:77">
      <c r="A566" s="16">
        <v>43298</v>
      </c>
      <c r="B566" s="16">
        <v>43448</v>
      </c>
      <c r="C566" t="s">
        <v>178</v>
      </c>
      <c r="D566" t="s">
        <v>120</v>
      </c>
      <c r="E566" t="s">
        <v>1048</v>
      </c>
      <c r="F566" t="s">
        <v>1049</v>
      </c>
      <c r="G566" t="s">
        <v>81</v>
      </c>
      <c r="H566" t="s">
        <v>202</v>
      </c>
      <c r="I566" t="s">
        <v>124</v>
      </c>
      <c r="J566" s="17">
        <v>45.11</v>
      </c>
      <c r="K566" s="17">
        <v>2056.69</v>
      </c>
      <c r="L566" s="17">
        <v>1831.45</v>
      </c>
      <c r="M566" t="s">
        <v>84</v>
      </c>
      <c r="N566" t="s">
        <v>84</v>
      </c>
      <c r="O566" t="s">
        <v>84</v>
      </c>
      <c r="P566" t="s">
        <v>84</v>
      </c>
      <c r="Q566" s="17">
        <v>8858652.53</v>
      </c>
      <c r="R566" s="17">
        <v>37.32</v>
      </c>
      <c r="S566" t="s">
        <v>85</v>
      </c>
      <c r="T566" t="s">
        <v>84</v>
      </c>
      <c r="U566" t="s">
        <v>84</v>
      </c>
      <c r="V566" s="16">
        <v>43335</v>
      </c>
      <c r="W566" s="18">
        <v>43335</v>
      </c>
      <c r="X566" s="18">
        <v>43420</v>
      </c>
      <c r="Y566" s="17">
        <v>1981.71</v>
      </c>
      <c r="Z566" t="s">
        <v>87</v>
      </c>
      <c r="AA566" s="17">
        <v>2069.19</v>
      </c>
      <c r="AB566" s="17">
        <v>1842.43</v>
      </c>
      <c r="AC566" t="s">
        <v>84</v>
      </c>
      <c r="AD566" t="s">
        <v>84</v>
      </c>
      <c r="AE566" t="s">
        <v>84</v>
      </c>
      <c r="AF566" t="s">
        <v>84</v>
      </c>
      <c r="AG566" s="17">
        <v>9675173.04</v>
      </c>
      <c r="AH566" s="17">
        <v>37.41</v>
      </c>
      <c r="AI566" s="17">
        <v>6.23</v>
      </c>
      <c r="AJ566" s="17">
        <v>6.23</v>
      </c>
      <c r="AK566" t="s">
        <v>298</v>
      </c>
      <c r="AM566" s="17">
        <v>1.8</v>
      </c>
      <c r="AN566" s="17"/>
      <c r="AO566" s="17">
        <v>600</v>
      </c>
      <c r="AP566" s="17"/>
      <c r="AQ566" s="17">
        <v>1670</v>
      </c>
      <c r="AR566" s="17"/>
      <c r="AS566" s="17">
        <v>1.62</v>
      </c>
      <c r="AT566" s="17"/>
      <c r="AU566" s="17">
        <v>806</v>
      </c>
      <c r="AV566" s="17"/>
      <c r="AW566" s="17">
        <v>2000</v>
      </c>
      <c r="AX566" s="17"/>
      <c r="AY566" t="s">
        <v>92</v>
      </c>
      <c r="AZ566" t="s">
        <v>92</v>
      </c>
      <c r="BA566" t="s">
        <v>92</v>
      </c>
      <c r="BB566" t="s">
        <v>92</v>
      </c>
      <c r="BC566" t="s">
        <v>92</v>
      </c>
      <c r="BD566" t="s">
        <v>92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92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92</v>
      </c>
      <c r="BS566" t="s">
        <v>92</v>
      </c>
      <c r="BT566" t="s">
        <v>92</v>
      </c>
      <c r="BU566" t="s">
        <v>92</v>
      </c>
      <c r="BV566" t="s">
        <v>92</v>
      </c>
      <c r="BW566" t="s">
        <v>92</v>
      </c>
      <c r="BX566" t="s">
        <v>92</v>
      </c>
      <c r="BY566" t="str">
        <f>IF(COUNTIF('Data Upload-prod'!E:E,F566)=0,"Missing","Exist")</f>
        <v>Exist</v>
      </c>
    </row>
    <row r="567" hidden="1" spans="1:77">
      <c r="A567" s="16">
        <v>43298</v>
      </c>
      <c r="B567" s="16">
        <v>43656</v>
      </c>
      <c r="C567" t="s">
        <v>178</v>
      </c>
      <c r="D567" t="s">
        <v>120</v>
      </c>
      <c r="E567" t="s">
        <v>870</v>
      </c>
      <c r="F567" t="s">
        <v>1050</v>
      </c>
      <c r="G567" t="s">
        <v>81</v>
      </c>
      <c r="H567" t="s">
        <v>202</v>
      </c>
      <c r="I567" t="s">
        <v>124</v>
      </c>
      <c r="J567" s="17">
        <v>47.24</v>
      </c>
      <c r="K567" s="17">
        <v>2398.35</v>
      </c>
      <c r="L567" s="17">
        <v>1888.14</v>
      </c>
      <c r="M567" t="s">
        <v>84</v>
      </c>
      <c r="N567" t="s">
        <v>84</v>
      </c>
      <c r="O567" t="s">
        <v>84</v>
      </c>
      <c r="P567" t="s">
        <v>84</v>
      </c>
      <c r="Q567" s="17">
        <v>12096264</v>
      </c>
      <c r="R567" s="17">
        <v>45.32</v>
      </c>
      <c r="S567" t="s">
        <v>85</v>
      </c>
      <c r="T567" t="s">
        <v>84</v>
      </c>
      <c r="U567" t="s">
        <v>84</v>
      </c>
      <c r="V567" s="16">
        <v>43577</v>
      </c>
      <c r="W567" s="18">
        <v>43560.75</v>
      </c>
      <c r="X567" s="18">
        <v>43595.5</v>
      </c>
      <c r="Y567" s="17">
        <v>2272.48</v>
      </c>
      <c r="Z567" t="s">
        <v>87</v>
      </c>
      <c r="AA567" s="17">
        <v>2359.65</v>
      </c>
      <c r="AB567" s="17">
        <v>1860.41</v>
      </c>
      <c r="AC567" t="s">
        <v>84</v>
      </c>
      <c r="AD567" t="s">
        <v>84</v>
      </c>
      <c r="AE567" t="s">
        <v>84</v>
      </c>
      <c r="AF567" t="s">
        <v>84</v>
      </c>
      <c r="AG567" s="17">
        <v>8770307.8</v>
      </c>
      <c r="AH567" s="17">
        <v>34.75</v>
      </c>
      <c r="AI567" s="17">
        <v>2.43</v>
      </c>
      <c r="AJ567" s="17">
        <v>2.43</v>
      </c>
      <c r="AK567" t="s">
        <v>89</v>
      </c>
      <c r="AM567" s="17">
        <v>2.4</v>
      </c>
      <c r="AN567" s="17"/>
      <c r="AO567" s="17">
        <v>795</v>
      </c>
      <c r="AP567" s="17"/>
      <c r="AQ567" s="17">
        <v>1400</v>
      </c>
      <c r="AR567" s="17"/>
      <c r="AS567" s="17">
        <v>1.45</v>
      </c>
      <c r="AT567" s="17"/>
      <c r="AU567" s="17">
        <v>523</v>
      </c>
      <c r="AV567" s="17"/>
      <c r="AW567" s="17">
        <v>922</v>
      </c>
      <c r="AX567" s="17"/>
      <c r="AY567" t="s">
        <v>92</v>
      </c>
      <c r="AZ567" t="s">
        <v>92</v>
      </c>
      <c r="BA567" t="s">
        <v>92</v>
      </c>
      <c r="BB567" t="s">
        <v>92</v>
      </c>
      <c r="BC567" t="s">
        <v>92</v>
      </c>
      <c r="BD567" t="s">
        <v>92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92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92</v>
      </c>
      <c r="BS567" t="s">
        <v>92</v>
      </c>
      <c r="BT567" t="s">
        <v>92</v>
      </c>
      <c r="BU567" t="s">
        <v>92</v>
      </c>
      <c r="BV567" t="s">
        <v>92</v>
      </c>
      <c r="BW567" t="s">
        <v>92</v>
      </c>
      <c r="BX567" t="s">
        <v>92</v>
      </c>
      <c r="BY567" t="str">
        <f>IF(COUNTIF('Data Upload-prod'!E:E,F567)=0,"Missing","Exist")</f>
        <v>Exist</v>
      </c>
    </row>
    <row r="568" hidden="1" spans="1:77">
      <c r="A568" s="16">
        <v>43297</v>
      </c>
      <c r="B568" s="16">
        <v>43476</v>
      </c>
      <c r="C568" t="s">
        <v>178</v>
      </c>
      <c r="D568" t="s">
        <v>120</v>
      </c>
      <c r="E568" t="s">
        <v>870</v>
      </c>
      <c r="F568" t="s">
        <v>1051</v>
      </c>
      <c r="G568" t="s">
        <v>81</v>
      </c>
      <c r="H568" t="s">
        <v>202</v>
      </c>
      <c r="I568" t="s">
        <v>124</v>
      </c>
      <c r="J568" s="17">
        <v>45.11</v>
      </c>
      <c r="K568" s="17">
        <v>3378.24</v>
      </c>
      <c r="L568" s="17">
        <v>2014.63</v>
      </c>
      <c r="M568" t="s">
        <v>84</v>
      </c>
      <c r="N568" t="s">
        <v>84</v>
      </c>
      <c r="O568" t="s">
        <v>84</v>
      </c>
      <c r="P568" t="s">
        <v>84</v>
      </c>
      <c r="Q568" s="17">
        <v>5522916</v>
      </c>
      <c r="R568" s="17">
        <v>17.62</v>
      </c>
      <c r="S568" t="s">
        <v>85</v>
      </c>
      <c r="T568" t="s">
        <v>84</v>
      </c>
      <c r="U568" t="s">
        <v>84</v>
      </c>
      <c r="V568" s="16">
        <v>43396</v>
      </c>
      <c r="W568" s="18">
        <v>43390</v>
      </c>
      <c r="X568" s="18">
        <v>43416.75</v>
      </c>
      <c r="Y568" s="17">
        <v>3290.46</v>
      </c>
      <c r="Z568" t="s">
        <v>87</v>
      </c>
      <c r="AA568" s="17">
        <v>3377.93</v>
      </c>
      <c r="AB568" s="17">
        <v>2010.67</v>
      </c>
      <c r="AC568" t="s">
        <v>84</v>
      </c>
      <c r="AD568" t="s">
        <v>84</v>
      </c>
      <c r="AE568" t="s">
        <v>84</v>
      </c>
      <c r="AF568" t="s">
        <v>84</v>
      </c>
      <c r="AG568" s="17">
        <v>5347169</v>
      </c>
      <c r="AH568" s="17">
        <v>18.73</v>
      </c>
      <c r="AI568" s="17">
        <v>5.12</v>
      </c>
      <c r="AJ568" s="17">
        <v>5.12</v>
      </c>
      <c r="AK568" t="s">
        <v>298</v>
      </c>
      <c r="AM568" s="17">
        <v>1.8</v>
      </c>
      <c r="AN568" s="17"/>
      <c r="AO568" s="17">
        <v>600</v>
      </c>
      <c r="AP568" s="17"/>
      <c r="AQ568" s="17">
        <v>1670</v>
      </c>
      <c r="AR568" s="17"/>
      <c r="AS568" s="17">
        <v>2.06</v>
      </c>
      <c r="AT568" s="17"/>
      <c r="AU568" s="17">
        <v>881</v>
      </c>
      <c r="AV568" s="17"/>
      <c r="AW568" s="17">
        <v>1528</v>
      </c>
      <c r="AX568" s="17"/>
      <c r="AY568" t="s">
        <v>92</v>
      </c>
      <c r="AZ568" t="s">
        <v>92</v>
      </c>
      <c r="BA568" t="s">
        <v>92</v>
      </c>
      <c r="BB568" t="s">
        <v>92</v>
      </c>
      <c r="BC568" t="s">
        <v>92</v>
      </c>
      <c r="BD568" t="s">
        <v>92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92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92</v>
      </c>
      <c r="BS568" t="s">
        <v>92</v>
      </c>
      <c r="BT568" t="s">
        <v>92</v>
      </c>
      <c r="BU568" t="s">
        <v>92</v>
      </c>
      <c r="BV568" t="s">
        <v>92</v>
      </c>
      <c r="BW568" t="s">
        <v>92</v>
      </c>
      <c r="BX568" t="s">
        <v>92</v>
      </c>
      <c r="BY568" t="str">
        <f>IF(COUNTIF('Data Upload-prod'!E:E,F568)=0,"Missing","Exist")</f>
        <v>Exist</v>
      </c>
    </row>
    <row r="569" hidden="1" spans="1:77">
      <c r="A569" s="16">
        <v>43293</v>
      </c>
      <c r="B569" s="16">
        <v>43494</v>
      </c>
      <c r="C569" t="s">
        <v>132</v>
      </c>
      <c r="D569" t="s">
        <v>120</v>
      </c>
      <c r="E569" t="s">
        <v>700</v>
      </c>
      <c r="F569" t="s">
        <v>1052</v>
      </c>
      <c r="G569" t="s">
        <v>81</v>
      </c>
      <c r="H569" t="s">
        <v>181</v>
      </c>
      <c r="I569" t="s">
        <v>124</v>
      </c>
      <c r="J569" s="17">
        <v>75.6</v>
      </c>
      <c r="K569" s="17">
        <v>2625.91</v>
      </c>
      <c r="L569" s="17">
        <v>2517.1</v>
      </c>
      <c r="M569" t="s">
        <v>84</v>
      </c>
      <c r="N569" t="s">
        <v>84</v>
      </c>
      <c r="O569" t="s">
        <v>84</v>
      </c>
      <c r="P569" t="s">
        <v>84</v>
      </c>
      <c r="Q569" s="17">
        <v>9877406.44</v>
      </c>
      <c r="R569" s="17">
        <v>35.11</v>
      </c>
      <c r="S569" t="s">
        <v>85</v>
      </c>
      <c r="T569" t="s">
        <v>84</v>
      </c>
      <c r="U569" t="s">
        <v>86</v>
      </c>
      <c r="V569" s="16">
        <v>43301</v>
      </c>
      <c r="W569" s="18">
        <v>43299.2083333333</v>
      </c>
      <c r="X569" s="18">
        <v>43417.625</v>
      </c>
      <c r="Y569" s="17">
        <v>2501.79</v>
      </c>
      <c r="Z569" t="s">
        <v>87</v>
      </c>
      <c r="AA569" s="17">
        <v>2626.03</v>
      </c>
      <c r="AB569" s="17">
        <v>2518.13</v>
      </c>
      <c r="AC569" t="s">
        <v>84</v>
      </c>
      <c r="AD569" t="s">
        <v>84</v>
      </c>
      <c r="AE569" t="s">
        <v>84</v>
      </c>
      <c r="AF569" t="s">
        <v>84</v>
      </c>
      <c r="AG569" s="17">
        <v>8493653.84</v>
      </c>
      <c r="AH569" s="17">
        <v>34.08</v>
      </c>
      <c r="AI569" s="17">
        <v>0.88</v>
      </c>
      <c r="AJ569" s="17">
        <v>0.82</v>
      </c>
      <c r="AK569" t="s">
        <v>208</v>
      </c>
      <c r="AM569" s="17">
        <v>2.2</v>
      </c>
      <c r="AN569" s="17"/>
      <c r="AO569" s="17">
        <v>830</v>
      </c>
      <c r="AP569" s="17"/>
      <c r="AQ569" s="17">
        <v>1395</v>
      </c>
      <c r="AR569" s="17"/>
      <c r="AS569" s="17">
        <v>1.3</v>
      </c>
      <c r="AT569" s="17"/>
      <c r="AU569" s="17">
        <v>404</v>
      </c>
      <c r="AV569" s="17"/>
      <c r="AW569" s="17">
        <v>998</v>
      </c>
      <c r="AX569" s="17"/>
      <c r="AY569" t="s">
        <v>92</v>
      </c>
      <c r="AZ569" t="s">
        <v>92</v>
      </c>
      <c r="BA569" t="s">
        <v>92</v>
      </c>
      <c r="BB569" t="s">
        <v>92</v>
      </c>
      <c r="BC569" t="s">
        <v>92</v>
      </c>
      <c r="BD569" s="17">
        <v>5.26</v>
      </c>
      <c r="BE569" s="17">
        <v>1740435.98</v>
      </c>
      <c r="BF569" t="s">
        <v>92</v>
      </c>
      <c r="BG569" t="s">
        <v>92</v>
      </c>
      <c r="BH569" t="s">
        <v>93</v>
      </c>
      <c r="BI569" t="s">
        <v>94</v>
      </c>
      <c r="BJ569" t="s">
        <v>173</v>
      </c>
      <c r="BK569" t="s">
        <v>85</v>
      </c>
      <c r="BL569" t="s">
        <v>85</v>
      </c>
      <c r="BM569" t="s">
        <v>273</v>
      </c>
      <c r="BN569" t="s">
        <v>569</v>
      </c>
      <c r="BO569" t="s">
        <v>98</v>
      </c>
      <c r="BP569" t="s">
        <v>103</v>
      </c>
      <c r="BQ569" s="17">
        <v>73</v>
      </c>
      <c r="BR569" t="s">
        <v>138</v>
      </c>
      <c r="BS569" t="s">
        <v>92</v>
      </c>
      <c r="BT569" t="s">
        <v>550</v>
      </c>
      <c r="BU569" s="17">
        <v>8.5</v>
      </c>
      <c r="BV569" t="s">
        <v>110</v>
      </c>
      <c r="BW569" t="s">
        <v>85</v>
      </c>
      <c r="BX569" t="s">
        <v>85</v>
      </c>
      <c r="BY569" t="str">
        <f>IF(COUNTIF('Data Upload-prod'!E:E,F569)=0,"Missing","Exist")</f>
        <v>Exist</v>
      </c>
    </row>
    <row r="570" hidden="1" spans="1:77">
      <c r="A570" s="16">
        <v>43293</v>
      </c>
      <c r="B570" s="16">
        <v>43403</v>
      </c>
      <c r="C570" t="s">
        <v>132</v>
      </c>
      <c r="D570" t="s">
        <v>120</v>
      </c>
      <c r="E570" t="s">
        <v>700</v>
      </c>
      <c r="F570" t="s">
        <v>1053</v>
      </c>
      <c r="G570" t="s">
        <v>81</v>
      </c>
      <c r="H570" t="s">
        <v>181</v>
      </c>
      <c r="I570" t="s">
        <v>124</v>
      </c>
      <c r="J570" s="17">
        <v>75.6</v>
      </c>
      <c r="K570" s="17">
        <v>2481.87</v>
      </c>
      <c r="L570" s="17">
        <v>1732.4</v>
      </c>
      <c r="M570" t="s">
        <v>84</v>
      </c>
      <c r="N570" t="s">
        <v>84</v>
      </c>
      <c r="O570" t="s">
        <v>84</v>
      </c>
      <c r="P570" t="s">
        <v>84</v>
      </c>
      <c r="Q570" s="17">
        <v>9884575.55</v>
      </c>
      <c r="R570" s="17">
        <v>29.99</v>
      </c>
      <c r="S570" t="s">
        <v>85</v>
      </c>
      <c r="T570" t="s">
        <v>84</v>
      </c>
      <c r="U570" t="s">
        <v>86</v>
      </c>
      <c r="V570" s="16">
        <v>43306</v>
      </c>
      <c r="W570" s="18">
        <v>43305.5</v>
      </c>
      <c r="X570" s="18">
        <v>43352.6041666667</v>
      </c>
      <c r="Y570" s="17">
        <v>2496.91</v>
      </c>
      <c r="Z570" t="s">
        <v>87</v>
      </c>
      <c r="AA570" s="17">
        <v>2621.15</v>
      </c>
      <c r="AB570" s="17">
        <v>1736.24</v>
      </c>
      <c r="AC570" t="s">
        <v>84</v>
      </c>
      <c r="AD570" t="s">
        <v>84</v>
      </c>
      <c r="AE570" t="s">
        <v>84</v>
      </c>
      <c r="AF570" t="s">
        <v>84</v>
      </c>
      <c r="AG570" s="17">
        <v>6453919.87</v>
      </c>
      <c r="AH570" s="17">
        <v>24.15</v>
      </c>
      <c r="AI570" s="17">
        <v>0.82</v>
      </c>
      <c r="AJ570" s="17">
        <v>0</v>
      </c>
      <c r="AK570" t="s">
        <v>208</v>
      </c>
      <c r="AM570" s="17">
        <v>2.2</v>
      </c>
      <c r="AN570" s="17"/>
      <c r="AO570" s="17">
        <v>830</v>
      </c>
      <c r="AP570" s="17"/>
      <c r="AQ570" s="17">
        <v>1380</v>
      </c>
      <c r="AR570" s="17"/>
      <c r="AS570" s="17">
        <v>1.99</v>
      </c>
      <c r="AT570" s="17"/>
      <c r="AU570" s="17">
        <v>508.96</v>
      </c>
      <c r="AV570" s="17"/>
      <c r="AW570" s="17">
        <v>757.61</v>
      </c>
      <c r="AX570" s="17"/>
      <c r="AY570" t="s">
        <v>92</v>
      </c>
      <c r="AZ570" t="s">
        <v>92</v>
      </c>
      <c r="BA570" t="s">
        <v>92</v>
      </c>
      <c r="BB570" t="s">
        <v>92</v>
      </c>
      <c r="BC570" t="s">
        <v>92</v>
      </c>
      <c r="BD570" s="17">
        <v>5.07</v>
      </c>
      <c r="BE570" s="17">
        <v>1449533.32</v>
      </c>
      <c r="BF570" t="s">
        <v>92</v>
      </c>
      <c r="BG570" t="s">
        <v>92</v>
      </c>
      <c r="BH570" t="s">
        <v>93</v>
      </c>
      <c r="BI570" t="s">
        <v>94</v>
      </c>
      <c r="BJ570" t="s">
        <v>128</v>
      </c>
      <c r="BK570" t="s">
        <v>85</v>
      </c>
      <c r="BL570" t="s">
        <v>85</v>
      </c>
      <c r="BM570" t="s">
        <v>96</v>
      </c>
      <c r="BN570" t="s">
        <v>97</v>
      </c>
      <c r="BO570" t="s">
        <v>98</v>
      </c>
      <c r="BP570" t="s">
        <v>103</v>
      </c>
      <c r="BQ570" s="17">
        <v>2161.1</v>
      </c>
      <c r="BR570" t="s">
        <v>100</v>
      </c>
      <c r="BS570" t="s">
        <v>608</v>
      </c>
      <c r="BT570" t="s">
        <v>175</v>
      </c>
      <c r="BU570" s="17">
        <v>8.5</v>
      </c>
      <c r="BV570" t="s">
        <v>131</v>
      </c>
      <c r="BW570" t="s">
        <v>85</v>
      </c>
      <c r="BX570" t="s">
        <v>85</v>
      </c>
      <c r="BY570" t="str">
        <f>IF(COUNTIF('Data Upload-prod'!E:E,F570)=0,"Missing","Exist")</f>
        <v>Exist</v>
      </c>
    </row>
    <row r="571" hidden="1" spans="1:77">
      <c r="A571" s="16">
        <v>43292</v>
      </c>
      <c r="B571" t="s">
        <v>84</v>
      </c>
      <c r="C571" t="s">
        <v>151</v>
      </c>
      <c r="D571" t="s">
        <v>78</v>
      </c>
      <c r="E571" t="s">
        <v>157</v>
      </c>
      <c r="F571" t="s">
        <v>1054</v>
      </c>
      <c r="G571" t="s">
        <v>81</v>
      </c>
      <c r="H571" t="s">
        <v>154</v>
      </c>
      <c r="I571" t="s">
        <v>124</v>
      </c>
      <c r="J571" s="17">
        <v>58</v>
      </c>
      <c r="K571" s="17">
        <v>4445</v>
      </c>
      <c r="L571" s="17">
        <v>3310</v>
      </c>
      <c r="M571" t="s">
        <v>84</v>
      </c>
      <c r="N571" t="s">
        <v>84</v>
      </c>
      <c r="O571" t="s">
        <v>84</v>
      </c>
      <c r="P571" t="s">
        <v>84</v>
      </c>
      <c r="Q571" s="17">
        <v>9420000</v>
      </c>
      <c r="R571" s="17">
        <v>22</v>
      </c>
      <c r="S571" t="s">
        <v>85</v>
      </c>
      <c r="T571" t="s">
        <v>84</v>
      </c>
      <c r="U571" t="s">
        <v>86</v>
      </c>
      <c r="V571" s="16">
        <v>43301.6770833333</v>
      </c>
      <c r="W571" s="18">
        <v>43300.1041666667</v>
      </c>
      <c r="X571" s="18">
        <v>43412.7291666667</v>
      </c>
      <c r="Y571" s="17">
        <v>4557.13</v>
      </c>
      <c r="Z571" t="s">
        <v>87</v>
      </c>
      <c r="AA571" s="17">
        <v>4658</v>
      </c>
      <c r="AB571" s="17">
        <v>3483</v>
      </c>
      <c r="AC571" t="s">
        <v>84</v>
      </c>
      <c r="AD571" t="s">
        <v>84</v>
      </c>
      <c r="AE571" t="s">
        <v>84</v>
      </c>
      <c r="AF571" t="s">
        <v>84</v>
      </c>
      <c r="AG571" s="17">
        <v>8250000</v>
      </c>
      <c r="AH571" s="17">
        <v>23.63</v>
      </c>
      <c r="AI571" s="17">
        <v>14.6</v>
      </c>
      <c r="AJ571" s="17">
        <v>13.8</v>
      </c>
      <c r="AK571" t="s">
        <v>165</v>
      </c>
      <c r="AM571" s="17">
        <v>3.2</v>
      </c>
      <c r="AN571" s="17"/>
      <c r="AO571" s="17">
        <v>1300</v>
      </c>
      <c r="AP571" s="17"/>
      <c r="AQ571" s="17">
        <v>1830</v>
      </c>
      <c r="AR571" s="17"/>
      <c r="AS571" s="17">
        <v>1.56</v>
      </c>
      <c r="AT571" s="17"/>
      <c r="AU571" s="17">
        <v>490</v>
      </c>
      <c r="AV571" s="17"/>
      <c r="AW571" s="17">
        <v>600</v>
      </c>
      <c r="AX571" s="17"/>
      <c r="AY571" t="s">
        <v>92</v>
      </c>
      <c r="AZ571" t="s">
        <v>92</v>
      </c>
      <c r="BA571" t="s">
        <v>92</v>
      </c>
      <c r="BB571" t="s">
        <v>92</v>
      </c>
      <c r="BC571" t="s">
        <v>92</v>
      </c>
      <c r="BD571" s="17">
        <v>4.43</v>
      </c>
      <c r="BE571" s="17">
        <v>2716248</v>
      </c>
      <c r="BF571" t="s">
        <v>92</v>
      </c>
      <c r="BG571" t="s">
        <v>92</v>
      </c>
      <c r="BH571" t="s">
        <v>93</v>
      </c>
      <c r="BI571" t="s">
        <v>94</v>
      </c>
      <c r="BJ571" t="s">
        <v>95</v>
      </c>
      <c r="BK571" t="s">
        <v>85</v>
      </c>
      <c r="BL571" t="s">
        <v>85</v>
      </c>
      <c r="BM571" t="s">
        <v>159</v>
      </c>
      <c r="BN571" t="s">
        <v>97</v>
      </c>
      <c r="BO571" t="s">
        <v>98</v>
      </c>
      <c r="BP571" t="s">
        <v>99</v>
      </c>
      <c r="BQ571" s="17">
        <v>63.97637795</v>
      </c>
      <c r="BR571" t="s">
        <v>138</v>
      </c>
      <c r="BS571" t="s">
        <v>156</v>
      </c>
      <c r="BT571" t="s">
        <v>99</v>
      </c>
      <c r="BU571" s="17">
        <v>6.84</v>
      </c>
      <c r="BV571" t="s">
        <v>101</v>
      </c>
      <c r="BW571" t="s">
        <v>85</v>
      </c>
      <c r="BX571" t="s">
        <v>85</v>
      </c>
      <c r="BY571" t="str">
        <f>IF(COUNTIF('Data Upload-prod'!E:E,F571)=0,"Missing","Exist")</f>
        <v>Exist</v>
      </c>
    </row>
    <row r="572" hidden="1" spans="1:77">
      <c r="A572" s="16">
        <v>43287</v>
      </c>
      <c r="B572" s="16">
        <v>43567</v>
      </c>
      <c r="C572" t="s">
        <v>187</v>
      </c>
      <c r="D572" t="s">
        <v>78</v>
      </c>
      <c r="E572" t="s">
        <v>708</v>
      </c>
      <c r="F572" t="s">
        <v>1055</v>
      </c>
      <c r="G572" t="s">
        <v>81</v>
      </c>
      <c r="H572" t="s">
        <v>880</v>
      </c>
      <c r="I572" t="s">
        <v>124</v>
      </c>
      <c r="J572" s="17">
        <v>62.5</v>
      </c>
      <c r="K572" s="17">
        <v>1839</v>
      </c>
      <c r="L572" s="17">
        <v>1600</v>
      </c>
      <c r="M572" t="s">
        <v>84</v>
      </c>
      <c r="N572" t="s">
        <v>84</v>
      </c>
      <c r="O572" t="s">
        <v>84</v>
      </c>
      <c r="P572" t="s">
        <v>84</v>
      </c>
      <c r="Q572" s="17">
        <v>6500000</v>
      </c>
      <c r="R572" s="17">
        <v>23.7</v>
      </c>
      <c r="S572" t="s">
        <v>85</v>
      </c>
      <c r="T572" t="s">
        <v>84</v>
      </c>
      <c r="U572" t="s">
        <v>86</v>
      </c>
      <c r="V572" s="16">
        <v>43518</v>
      </c>
      <c r="W572" s="18">
        <v>43516.625</v>
      </c>
      <c r="X572" s="18">
        <v>43556.625</v>
      </c>
      <c r="Y572" s="17">
        <v>1611.05</v>
      </c>
      <c r="Z572" t="s">
        <v>87</v>
      </c>
      <c r="AA572" s="17">
        <v>1720</v>
      </c>
      <c r="AB572" s="17">
        <v>1533.45</v>
      </c>
      <c r="AC572" t="s">
        <v>84</v>
      </c>
      <c r="AD572" t="s">
        <v>84</v>
      </c>
      <c r="AE572" t="s">
        <v>84</v>
      </c>
      <c r="AF572" t="s">
        <v>84</v>
      </c>
      <c r="AG572" s="17">
        <v>6659223</v>
      </c>
      <c r="AH572" s="17">
        <v>29.9</v>
      </c>
      <c r="AI572" s="17">
        <v>3.76</v>
      </c>
      <c r="AJ572" s="17">
        <v>3.76</v>
      </c>
      <c r="AK572" t="s">
        <v>208</v>
      </c>
      <c r="AM572" s="17">
        <v>2.1</v>
      </c>
      <c r="AN572" s="17"/>
      <c r="AO572" s="17">
        <v>700</v>
      </c>
      <c r="AP572" s="17"/>
      <c r="AQ572" s="17">
        <v>1220</v>
      </c>
      <c r="AR572" s="17"/>
      <c r="AS572" s="17">
        <v>3.28</v>
      </c>
      <c r="AT572" s="17"/>
      <c r="AU572" s="17">
        <v>723</v>
      </c>
      <c r="AV572" s="17"/>
      <c r="AW572" s="17">
        <v>1111</v>
      </c>
      <c r="AX572" s="17"/>
      <c r="AY572" t="s">
        <v>92</v>
      </c>
      <c r="AZ572" t="s">
        <v>92</v>
      </c>
      <c r="BA572" t="s">
        <v>92</v>
      </c>
      <c r="BB572" t="s">
        <v>92</v>
      </c>
      <c r="BC572" t="s">
        <v>92</v>
      </c>
      <c r="BD572" s="17">
        <v>8.5</v>
      </c>
      <c r="BE572" s="17">
        <v>1654065</v>
      </c>
      <c r="BF572" t="s">
        <v>92</v>
      </c>
      <c r="BG572" t="s">
        <v>92</v>
      </c>
      <c r="BH572" t="s">
        <v>93</v>
      </c>
      <c r="BI572" t="s">
        <v>94</v>
      </c>
      <c r="BJ572" t="s">
        <v>173</v>
      </c>
      <c r="BK572" t="s">
        <v>85</v>
      </c>
      <c r="BL572" t="s">
        <v>85</v>
      </c>
      <c r="BM572" t="s">
        <v>273</v>
      </c>
      <c r="BN572" t="s">
        <v>97</v>
      </c>
      <c r="BO572" t="s">
        <v>98</v>
      </c>
      <c r="BP572" t="s">
        <v>99</v>
      </c>
      <c r="BQ572" s="17">
        <v>0</v>
      </c>
      <c r="BR572" t="s">
        <v>138</v>
      </c>
      <c r="BS572" t="s">
        <v>92</v>
      </c>
      <c r="BT572" t="s">
        <v>99</v>
      </c>
      <c r="BU572" s="17">
        <v>9.5</v>
      </c>
      <c r="BV572" t="s">
        <v>191</v>
      </c>
      <c r="BW572" t="s">
        <v>85</v>
      </c>
      <c r="BX572" t="s">
        <v>85</v>
      </c>
      <c r="BY572" t="str">
        <f>IF(COUNTIF('Data Upload-prod'!E:E,F572)=0,"Missing","Exist")</f>
        <v>Exist</v>
      </c>
    </row>
    <row r="573" hidden="1" spans="1:77">
      <c r="A573" s="16">
        <v>43285</v>
      </c>
      <c r="B573" t="s">
        <v>84</v>
      </c>
      <c r="C573" t="s">
        <v>269</v>
      </c>
      <c r="D573" t="s">
        <v>78</v>
      </c>
      <c r="E573" t="s">
        <v>440</v>
      </c>
      <c r="F573" t="s">
        <v>1056</v>
      </c>
      <c r="G573" t="s">
        <v>81</v>
      </c>
      <c r="H573" t="s">
        <v>790</v>
      </c>
      <c r="I573" t="s">
        <v>124</v>
      </c>
      <c r="J573" s="17">
        <v>55.78</v>
      </c>
      <c r="K573" s="17">
        <v>4236.51</v>
      </c>
      <c r="L573" s="17">
        <v>3194.15</v>
      </c>
      <c r="M573" t="s">
        <v>84</v>
      </c>
      <c r="N573" t="s">
        <v>84</v>
      </c>
      <c r="O573" t="s">
        <v>84</v>
      </c>
      <c r="P573" t="s">
        <v>84</v>
      </c>
      <c r="Q573" s="17">
        <v>43800000</v>
      </c>
      <c r="R573" s="17">
        <v>89.8</v>
      </c>
      <c r="S573" t="s">
        <v>85</v>
      </c>
      <c r="T573" t="s">
        <v>84</v>
      </c>
      <c r="U573" t="s">
        <v>86</v>
      </c>
      <c r="V573" s="16">
        <v>43330</v>
      </c>
      <c r="W573" s="18">
        <v>43329.7083333333</v>
      </c>
      <c r="X573" s="18">
        <v>43745.1458333333</v>
      </c>
      <c r="Y573" s="17">
        <v>4184.12</v>
      </c>
      <c r="Z573" t="s">
        <v>87</v>
      </c>
      <c r="AA573" s="17">
        <v>4283.15</v>
      </c>
      <c r="AB573" s="17">
        <v>3155.51</v>
      </c>
      <c r="AC573" t="s">
        <v>84</v>
      </c>
      <c r="AD573" t="s">
        <v>84</v>
      </c>
      <c r="AE573" t="s">
        <v>84</v>
      </c>
      <c r="AF573" t="s">
        <v>84</v>
      </c>
      <c r="AG573" s="17">
        <v>47370000</v>
      </c>
      <c r="AH573" s="17">
        <v>121.94</v>
      </c>
      <c r="AI573" s="17">
        <v>5.1</v>
      </c>
      <c r="AJ573" s="17">
        <v>5.1</v>
      </c>
      <c r="AK573" t="s">
        <v>276</v>
      </c>
      <c r="AM573" s="17">
        <v>3.7</v>
      </c>
      <c r="AN573" s="17"/>
      <c r="AO573" s="17">
        <v>1585</v>
      </c>
      <c r="AP573" s="17"/>
      <c r="AQ573" s="17">
        <v>3040</v>
      </c>
      <c r="AR573" s="17"/>
      <c r="AS573" s="17">
        <v>5.8</v>
      </c>
      <c r="AT573" s="17"/>
      <c r="AU573" s="17">
        <v>2160</v>
      </c>
      <c r="AV573" s="17"/>
      <c r="AW573" s="17">
        <v>3451</v>
      </c>
      <c r="AX573" s="17"/>
      <c r="AY573" t="s">
        <v>92</v>
      </c>
      <c r="AZ573" t="s">
        <v>92</v>
      </c>
      <c r="BA573" t="s">
        <v>92</v>
      </c>
      <c r="BB573" t="s">
        <v>92</v>
      </c>
      <c r="BC573" t="s">
        <v>92</v>
      </c>
      <c r="BD573" s="17">
        <v>15.44</v>
      </c>
      <c r="BE573" s="17">
        <v>9260000</v>
      </c>
      <c r="BF573" t="s">
        <v>92</v>
      </c>
      <c r="BG573" t="s">
        <v>92</v>
      </c>
      <c r="BH573" t="s">
        <v>93</v>
      </c>
      <c r="BI573" t="s">
        <v>278</v>
      </c>
      <c r="BJ573" t="s">
        <v>173</v>
      </c>
      <c r="BK573" t="s">
        <v>85</v>
      </c>
      <c r="BL573" t="s">
        <v>85</v>
      </c>
      <c r="BM573" t="s">
        <v>273</v>
      </c>
      <c r="BN573" t="s">
        <v>97</v>
      </c>
      <c r="BO573" t="s">
        <v>98</v>
      </c>
      <c r="BP573" t="s">
        <v>630</v>
      </c>
      <c r="BQ573" s="17">
        <v>0</v>
      </c>
      <c r="BR573" t="s">
        <v>138</v>
      </c>
      <c r="BS573" t="s">
        <v>92</v>
      </c>
      <c r="BT573" t="s">
        <v>642</v>
      </c>
      <c r="BU573" s="17">
        <v>8.5</v>
      </c>
      <c r="BV573" t="s">
        <v>131</v>
      </c>
      <c r="BW573" t="s">
        <v>85</v>
      </c>
      <c r="BX573" t="s">
        <v>85</v>
      </c>
      <c r="BY573" t="str">
        <f>IF(COUNTIF('Data Upload-prod'!E:E,F573)=0,"Missing","Exist")</f>
        <v>Exist</v>
      </c>
    </row>
    <row r="574" hidden="1" spans="1:77">
      <c r="A574" s="16">
        <v>43285</v>
      </c>
      <c r="B574" s="16">
        <v>43472</v>
      </c>
      <c r="C574" t="s">
        <v>269</v>
      </c>
      <c r="D574" t="s">
        <v>78</v>
      </c>
      <c r="E574" t="s">
        <v>440</v>
      </c>
      <c r="F574" t="s">
        <v>1057</v>
      </c>
      <c r="G574" t="s">
        <v>81</v>
      </c>
      <c r="H574" t="s">
        <v>790</v>
      </c>
      <c r="I574" t="s">
        <v>124</v>
      </c>
      <c r="J574" s="17">
        <v>55.81</v>
      </c>
      <c r="K574" s="17">
        <v>3748.86</v>
      </c>
      <c r="L574" s="17">
        <v>2754.57</v>
      </c>
      <c r="M574" t="s">
        <v>84</v>
      </c>
      <c r="N574" t="s">
        <v>84</v>
      </c>
      <c r="O574" t="s">
        <v>84</v>
      </c>
      <c r="P574" t="s">
        <v>84</v>
      </c>
      <c r="Q574" s="17">
        <v>30800000</v>
      </c>
      <c r="R574" s="17">
        <v>54.6</v>
      </c>
      <c r="S574" t="s">
        <v>85</v>
      </c>
      <c r="T574" t="s">
        <v>84</v>
      </c>
      <c r="U574" t="s">
        <v>86</v>
      </c>
      <c r="V574" s="16">
        <v>43351</v>
      </c>
      <c r="W574" s="18">
        <v>43321.6666666667</v>
      </c>
      <c r="X574" s="18">
        <v>43411.1041666667</v>
      </c>
      <c r="Y574" s="17">
        <v>3580.92</v>
      </c>
      <c r="Z574" t="s">
        <v>87</v>
      </c>
      <c r="AA574" s="17">
        <v>3679.98</v>
      </c>
      <c r="AB574" s="17">
        <v>2710.2</v>
      </c>
      <c r="AC574" t="s">
        <v>84</v>
      </c>
      <c r="AD574" t="s">
        <v>84</v>
      </c>
      <c r="AE574" t="s">
        <v>84</v>
      </c>
      <c r="AF574" t="s">
        <v>84</v>
      </c>
      <c r="AG574" s="17">
        <v>31110000</v>
      </c>
      <c r="AH574" s="17">
        <v>79.48</v>
      </c>
      <c r="AI574" s="17">
        <v>15.78</v>
      </c>
      <c r="AJ574" s="17">
        <v>15.78</v>
      </c>
      <c r="AK574" t="s">
        <v>276</v>
      </c>
      <c r="AM574" s="17">
        <v>3.7</v>
      </c>
      <c r="AN574" s="17"/>
      <c r="AO574" s="17">
        <v>1585</v>
      </c>
      <c r="AP574" s="17"/>
      <c r="AQ574" s="17">
        <v>3400</v>
      </c>
      <c r="AR574" s="17"/>
      <c r="AS574" s="17">
        <v>3.4</v>
      </c>
      <c r="AT574" s="17"/>
      <c r="AU574" s="17">
        <v>1413</v>
      </c>
      <c r="AV574" s="17"/>
      <c r="AW574" s="17">
        <v>2648</v>
      </c>
      <c r="AX574" s="17"/>
      <c r="AY574" t="s">
        <v>92</v>
      </c>
      <c r="AZ574" t="s">
        <v>92</v>
      </c>
      <c r="BA574" t="s">
        <v>92</v>
      </c>
      <c r="BB574" t="s">
        <v>92</v>
      </c>
      <c r="BC574" t="s">
        <v>92</v>
      </c>
      <c r="BD574" s="17">
        <v>12.79</v>
      </c>
      <c r="BE574" s="17">
        <v>4640000</v>
      </c>
      <c r="BF574" t="s">
        <v>92</v>
      </c>
      <c r="BG574" t="s">
        <v>92</v>
      </c>
      <c r="BH574" t="s">
        <v>93</v>
      </c>
      <c r="BI574" t="s">
        <v>278</v>
      </c>
      <c r="BJ574" t="s">
        <v>173</v>
      </c>
      <c r="BK574" t="s">
        <v>85</v>
      </c>
      <c r="BL574" t="s">
        <v>85</v>
      </c>
      <c r="BM574" t="s">
        <v>273</v>
      </c>
      <c r="BN574" t="s">
        <v>97</v>
      </c>
      <c r="BO574" t="s">
        <v>98</v>
      </c>
      <c r="BP574" t="s">
        <v>641</v>
      </c>
      <c r="BQ574" s="17">
        <v>0</v>
      </c>
      <c r="BR574" t="s">
        <v>138</v>
      </c>
      <c r="BS574" t="s">
        <v>92</v>
      </c>
      <c r="BT574" t="s">
        <v>642</v>
      </c>
      <c r="BU574" s="17">
        <v>8.5</v>
      </c>
      <c r="BV574" t="s">
        <v>131</v>
      </c>
      <c r="BW574" t="s">
        <v>85</v>
      </c>
      <c r="BX574" t="s">
        <v>85</v>
      </c>
      <c r="BY574" t="str">
        <f>IF(COUNTIF('Data Upload-prod'!E:E,F574)=0,"Missing","Exist")</f>
        <v>Exist</v>
      </c>
    </row>
    <row r="575" hidden="1" spans="1:77">
      <c r="A575" s="16">
        <v>43285</v>
      </c>
      <c r="B575" s="16">
        <v>43663</v>
      </c>
      <c r="C575" t="s">
        <v>269</v>
      </c>
      <c r="D575" t="s">
        <v>78</v>
      </c>
      <c r="E575" t="s">
        <v>440</v>
      </c>
      <c r="F575" t="s">
        <v>1058</v>
      </c>
      <c r="G575" t="s">
        <v>81</v>
      </c>
      <c r="H575" t="s">
        <v>790</v>
      </c>
      <c r="I575" t="s">
        <v>124</v>
      </c>
      <c r="J575" s="17">
        <v>55.81</v>
      </c>
      <c r="K575" s="17">
        <v>4532.15</v>
      </c>
      <c r="L575" s="17">
        <v>2706.24</v>
      </c>
      <c r="M575" t="s">
        <v>84</v>
      </c>
      <c r="N575" t="s">
        <v>84</v>
      </c>
      <c r="O575" t="s">
        <v>84</v>
      </c>
      <c r="P575" t="s">
        <v>84</v>
      </c>
      <c r="Q575" s="17">
        <v>34470000</v>
      </c>
      <c r="R575" s="17">
        <v>69.48</v>
      </c>
      <c r="S575" t="s">
        <v>106</v>
      </c>
      <c r="T575" t="s">
        <v>84</v>
      </c>
      <c r="U575" t="s">
        <v>86</v>
      </c>
      <c r="V575" s="16">
        <v>43325</v>
      </c>
      <c r="W575" s="18">
        <v>43324.8333333333</v>
      </c>
      <c r="X575" s="18">
        <v>43603.5104166667</v>
      </c>
      <c r="Y575" s="17">
        <v>4321.85</v>
      </c>
      <c r="Z575" t="s">
        <v>87</v>
      </c>
      <c r="AA575" s="17">
        <v>4420.91</v>
      </c>
      <c r="AB575" s="17">
        <v>2646.08</v>
      </c>
      <c r="AC575" t="s">
        <v>84</v>
      </c>
      <c r="AD575" t="s">
        <v>84</v>
      </c>
      <c r="AE575" t="s">
        <v>84</v>
      </c>
      <c r="AF575" t="s">
        <v>84</v>
      </c>
      <c r="AG575" s="17">
        <v>32620000</v>
      </c>
      <c r="AH575" s="17">
        <v>85.83</v>
      </c>
      <c r="AI575" s="17">
        <v>19.1</v>
      </c>
      <c r="AJ575" s="17">
        <v>19.1</v>
      </c>
      <c r="AK575" t="s">
        <v>276</v>
      </c>
      <c r="AM575" s="17">
        <v>3.7</v>
      </c>
      <c r="AN575" s="17"/>
      <c r="AO575" s="17">
        <v>1585</v>
      </c>
      <c r="AP575" s="17"/>
      <c r="AQ575" s="17">
        <v>3400</v>
      </c>
      <c r="AR575" s="17"/>
      <c r="AS575" s="17">
        <v>4</v>
      </c>
      <c r="AT575" s="17"/>
      <c r="AU575" s="17">
        <v>2301</v>
      </c>
      <c r="AV575" s="17"/>
      <c r="AW575" s="17">
        <v>1562</v>
      </c>
      <c r="AX575" s="17"/>
      <c r="AY575" t="s">
        <v>92</v>
      </c>
      <c r="AZ575" t="s">
        <v>92</v>
      </c>
      <c r="BA575" t="s">
        <v>92</v>
      </c>
      <c r="BB575" t="s">
        <v>92</v>
      </c>
      <c r="BC575" t="s">
        <v>92</v>
      </c>
      <c r="BD575" s="17">
        <v>7.18</v>
      </c>
      <c r="BE575" s="17">
        <v>4510000</v>
      </c>
      <c r="BF575" t="s">
        <v>92</v>
      </c>
      <c r="BG575" t="s">
        <v>92</v>
      </c>
      <c r="BH575" t="s">
        <v>93</v>
      </c>
      <c r="BI575" t="s">
        <v>278</v>
      </c>
      <c r="BJ575" t="s">
        <v>173</v>
      </c>
      <c r="BK575" t="s">
        <v>85</v>
      </c>
      <c r="BL575" t="s">
        <v>85</v>
      </c>
      <c r="BM575" t="s">
        <v>273</v>
      </c>
      <c r="BN575" t="s">
        <v>97</v>
      </c>
      <c r="BO575" t="s">
        <v>98</v>
      </c>
      <c r="BP575" t="s">
        <v>641</v>
      </c>
      <c r="BQ575" s="17">
        <v>0</v>
      </c>
      <c r="BR575" t="s">
        <v>138</v>
      </c>
      <c r="BS575" t="s">
        <v>92</v>
      </c>
      <c r="BT575" t="s">
        <v>642</v>
      </c>
      <c r="BU575" s="17">
        <v>8.5</v>
      </c>
      <c r="BV575" t="s">
        <v>131</v>
      </c>
      <c r="BW575" t="s">
        <v>85</v>
      </c>
      <c r="BX575" t="s">
        <v>85</v>
      </c>
      <c r="BY575" t="str">
        <f>IF(COUNTIF('Data Upload-prod'!E:E,F575)=0,"Missing","Exist")</f>
        <v>Exist</v>
      </c>
    </row>
    <row r="576" hidden="1" spans="1:77">
      <c r="A576" s="16">
        <v>43277</v>
      </c>
      <c r="B576" s="16">
        <v>43356</v>
      </c>
      <c r="C576" t="s">
        <v>132</v>
      </c>
      <c r="D576" t="s">
        <v>142</v>
      </c>
      <c r="E576" t="s">
        <v>1059</v>
      </c>
      <c r="F576" t="s">
        <v>1060</v>
      </c>
      <c r="G576" t="s">
        <v>145</v>
      </c>
      <c r="H576" t="s">
        <v>363</v>
      </c>
      <c r="I576" t="s">
        <v>124</v>
      </c>
      <c r="J576" s="17">
        <v>38</v>
      </c>
      <c r="K576" s="17">
        <v>1466</v>
      </c>
      <c r="L576" s="17">
        <v>1466</v>
      </c>
      <c r="M576" s="17">
        <v>9150000</v>
      </c>
      <c r="N576" s="17">
        <v>13380000</v>
      </c>
      <c r="O576" s="17">
        <v>17.63</v>
      </c>
      <c r="P576" s="17">
        <v>35.19</v>
      </c>
      <c r="Q576" t="s">
        <v>84</v>
      </c>
      <c r="R576" t="s">
        <v>84</v>
      </c>
      <c r="S576" t="s">
        <v>85</v>
      </c>
      <c r="T576" t="s">
        <v>84</v>
      </c>
      <c r="U576" t="s">
        <v>84</v>
      </c>
      <c r="V576" s="16">
        <v>43303</v>
      </c>
      <c r="W576" s="18">
        <v>43299.375</v>
      </c>
      <c r="X576" s="18">
        <v>43322.5</v>
      </c>
      <c r="Y576" s="17">
        <v>1423</v>
      </c>
      <c r="Z576" t="s">
        <v>87</v>
      </c>
      <c r="AA576" s="17">
        <v>1496</v>
      </c>
      <c r="AB576" s="17">
        <v>1495.29</v>
      </c>
      <c r="AC576" s="17">
        <v>7622612.96</v>
      </c>
      <c r="AD576" t="s">
        <v>84</v>
      </c>
      <c r="AE576" s="17">
        <v>23.13</v>
      </c>
      <c r="AF576" t="s">
        <v>84</v>
      </c>
      <c r="AG576" t="s">
        <v>84</v>
      </c>
      <c r="AH576" t="s">
        <v>84</v>
      </c>
      <c r="AI576" s="17">
        <v>24</v>
      </c>
      <c r="AJ576" s="17">
        <v>15</v>
      </c>
      <c r="AK576" t="s">
        <v>300</v>
      </c>
      <c r="AM576" s="17">
        <v>2.6</v>
      </c>
      <c r="AN576" s="17"/>
      <c r="AO576" s="17">
        <v>1010</v>
      </c>
      <c r="AP576" s="17"/>
      <c r="AQ576" s="17">
        <v>2090</v>
      </c>
      <c r="AR576" s="17"/>
      <c r="AS576" s="17">
        <v>2</v>
      </c>
      <c r="AT576" s="17"/>
      <c r="AU576" s="17">
        <v>629</v>
      </c>
      <c r="AV576" s="17"/>
      <c r="AW576" s="17">
        <v>1064</v>
      </c>
      <c r="AX576" s="17"/>
      <c r="AY576" t="s">
        <v>92</v>
      </c>
      <c r="AZ576" t="s">
        <v>92</v>
      </c>
      <c r="BA576" t="s">
        <v>92</v>
      </c>
      <c r="BB576" t="s">
        <v>92</v>
      </c>
      <c r="BC576" t="s">
        <v>92</v>
      </c>
      <c r="BD576" t="s">
        <v>92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92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92</v>
      </c>
      <c r="BS576" t="s">
        <v>92</v>
      </c>
      <c r="BT576" t="s">
        <v>92</v>
      </c>
      <c r="BU576" t="s">
        <v>92</v>
      </c>
      <c r="BV576" t="s">
        <v>92</v>
      </c>
      <c r="BW576" t="s">
        <v>92</v>
      </c>
      <c r="BX576" t="s">
        <v>92</v>
      </c>
      <c r="BY576" t="str">
        <f>IF(COUNTIF('Data Upload-prod'!E:E,F576)=0,"Missing","Exist")</f>
        <v>Exist</v>
      </c>
    </row>
    <row r="577" hidden="1" spans="1:77">
      <c r="A577" s="16">
        <v>43259</v>
      </c>
      <c r="B577" s="16">
        <v>43439</v>
      </c>
      <c r="C577" t="s">
        <v>750</v>
      </c>
      <c r="D577" t="s">
        <v>120</v>
      </c>
      <c r="E577" t="s">
        <v>1061</v>
      </c>
      <c r="F577" t="s">
        <v>1062</v>
      </c>
      <c r="G577" t="s">
        <v>81</v>
      </c>
      <c r="H577" t="s">
        <v>198</v>
      </c>
      <c r="I577" t="s">
        <v>83</v>
      </c>
      <c r="J577" s="17">
        <v>92</v>
      </c>
      <c r="K577" s="17">
        <v>3768</v>
      </c>
      <c r="L577" s="17">
        <v>1361</v>
      </c>
      <c r="M577" t="s">
        <v>84</v>
      </c>
      <c r="N577" t="s">
        <v>84</v>
      </c>
      <c r="O577" t="s">
        <v>84</v>
      </c>
      <c r="P577" t="s">
        <v>84</v>
      </c>
      <c r="Q577" s="17">
        <v>16072778</v>
      </c>
      <c r="R577" s="17">
        <v>36.66</v>
      </c>
      <c r="S577" t="s">
        <v>85</v>
      </c>
      <c r="T577" t="s">
        <v>84</v>
      </c>
      <c r="U577" t="s">
        <v>84</v>
      </c>
      <c r="V577" s="16">
        <v>43278</v>
      </c>
      <c r="W577" s="18">
        <v>43278.6666666667</v>
      </c>
      <c r="X577" s="18">
        <v>43376.5</v>
      </c>
      <c r="Y577" s="17">
        <v>3622.82</v>
      </c>
      <c r="Z577" t="s">
        <v>87</v>
      </c>
      <c r="AA577" s="17">
        <v>3749</v>
      </c>
      <c r="AB577" s="17">
        <v>1331</v>
      </c>
      <c r="AC577" t="s">
        <v>84</v>
      </c>
      <c r="AD577" t="s">
        <v>84</v>
      </c>
      <c r="AE577" t="s">
        <v>84</v>
      </c>
      <c r="AF577" t="s">
        <v>84</v>
      </c>
      <c r="AG577" s="17">
        <v>10878190</v>
      </c>
      <c r="AH577" s="17">
        <v>34.67</v>
      </c>
      <c r="AI577" s="17">
        <v>4.99</v>
      </c>
      <c r="AJ577" s="17">
        <v>4.99</v>
      </c>
      <c r="AK577" t="s">
        <v>114</v>
      </c>
      <c r="AM577" s="17">
        <v>2.2</v>
      </c>
      <c r="AN577" s="17"/>
      <c r="AO577" s="17">
        <v>915</v>
      </c>
      <c r="AP577" s="17"/>
      <c r="AQ577" s="17">
        <v>1580</v>
      </c>
      <c r="AR577" s="17"/>
      <c r="AS577" s="17">
        <v>1.95</v>
      </c>
      <c r="AT577" s="17"/>
      <c r="AU577" s="17">
        <v>556</v>
      </c>
      <c r="AV577" s="17"/>
      <c r="AW577" s="17">
        <v>910</v>
      </c>
      <c r="AX577" s="17"/>
      <c r="AY577" t="s">
        <v>92</v>
      </c>
      <c r="AZ577" t="s">
        <v>92</v>
      </c>
      <c r="BA577" t="s">
        <v>92</v>
      </c>
      <c r="BB577" t="s">
        <v>92</v>
      </c>
      <c r="BC577" t="s">
        <v>92</v>
      </c>
      <c r="BD577" t="s">
        <v>92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92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92</v>
      </c>
      <c r="BS577" t="s">
        <v>92</v>
      </c>
      <c r="BT577" t="s">
        <v>92</v>
      </c>
      <c r="BU577" t="s">
        <v>92</v>
      </c>
      <c r="BV577" t="s">
        <v>92</v>
      </c>
      <c r="BW577" t="s">
        <v>92</v>
      </c>
      <c r="BX577" t="s">
        <v>92</v>
      </c>
      <c r="BY577" t="str">
        <f>IF(COUNTIF('Data Upload-prod'!E:E,F577)=0,"Missing","Exist")</f>
        <v>Exist</v>
      </c>
    </row>
    <row r="578" hidden="1" spans="1:77">
      <c r="A578" s="16">
        <v>43252</v>
      </c>
      <c r="B578" s="16">
        <v>43328</v>
      </c>
      <c r="C578" t="s">
        <v>151</v>
      </c>
      <c r="D578" t="s">
        <v>142</v>
      </c>
      <c r="E578" t="s">
        <v>1063</v>
      </c>
      <c r="F578" t="s">
        <v>1064</v>
      </c>
      <c r="G578" t="s">
        <v>145</v>
      </c>
      <c r="H578" t="s">
        <v>168</v>
      </c>
      <c r="I578" t="s">
        <v>124</v>
      </c>
      <c r="J578" s="17">
        <v>52.4</v>
      </c>
      <c r="K578" s="17">
        <v>1530</v>
      </c>
      <c r="L578" s="17">
        <v>1530</v>
      </c>
      <c r="M578" s="17">
        <v>10730000</v>
      </c>
      <c r="N578" s="17">
        <v>10730000</v>
      </c>
      <c r="O578" s="17">
        <v>27</v>
      </c>
      <c r="P578" s="17">
        <v>27</v>
      </c>
      <c r="Q578" t="s">
        <v>84</v>
      </c>
      <c r="R578" t="s">
        <v>84</v>
      </c>
      <c r="S578" t="s">
        <v>85</v>
      </c>
      <c r="T578" t="s">
        <v>84</v>
      </c>
      <c r="U578" t="s">
        <v>84</v>
      </c>
      <c r="V578" s="16">
        <v>43268</v>
      </c>
      <c r="W578" s="18">
        <v>43265.3923611111</v>
      </c>
      <c r="X578" s="18">
        <v>43297.0416666667</v>
      </c>
      <c r="Y578" s="17">
        <v>1448.66</v>
      </c>
      <c r="Z578" t="s">
        <v>87</v>
      </c>
      <c r="AA578" s="17">
        <v>1531</v>
      </c>
      <c r="AB578" s="17">
        <v>1530.92</v>
      </c>
      <c r="AC578" s="17">
        <v>7941530.77</v>
      </c>
      <c r="AD578" t="s">
        <v>84</v>
      </c>
      <c r="AE578" s="17">
        <v>31.78</v>
      </c>
      <c r="AF578" t="s">
        <v>84</v>
      </c>
      <c r="AG578" t="s">
        <v>84</v>
      </c>
      <c r="AH578" t="s">
        <v>84</v>
      </c>
      <c r="AI578" s="17">
        <v>28.84</v>
      </c>
      <c r="AJ578" s="17">
        <v>3.05</v>
      </c>
      <c r="AK578" t="s">
        <v>300</v>
      </c>
      <c r="AM578" s="17">
        <v>2.6</v>
      </c>
      <c r="AN578" s="17"/>
      <c r="AO578" s="17">
        <v>1010</v>
      </c>
      <c r="AP578" s="17"/>
      <c r="AQ578" s="17">
        <v>2090</v>
      </c>
      <c r="AR578" s="17"/>
      <c r="AS578" s="17">
        <v>2.77</v>
      </c>
      <c r="AT578" s="17"/>
      <c r="AU578" s="17">
        <v>756.6</v>
      </c>
      <c r="AV578" s="17"/>
      <c r="AW578" s="17">
        <v>1426.66</v>
      </c>
      <c r="AX578" s="17"/>
      <c r="AY578" t="s">
        <v>92</v>
      </c>
      <c r="AZ578" t="s">
        <v>92</v>
      </c>
      <c r="BA578" t="s">
        <v>92</v>
      </c>
      <c r="BB578" t="s">
        <v>92</v>
      </c>
      <c r="BC578" t="s">
        <v>92</v>
      </c>
      <c r="BD578" t="s">
        <v>92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92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92</v>
      </c>
      <c r="BS578" t="s">
        <v>92</v>
      </c>
      <c r="BT578" t="s">
        <v>92</v>
      </c>
      <c r="BU578" t="s">
        <v>92</v>
      </c>
      <c r="BV578" t="s">
        <v>92</v>
      </c>
      <c r="BW578" t="s">
        <v>92</v>
      </c>
      <c r="BX578" t="s">
        <v>92</v>
      </c>
      <c r="BY578" t="str">
        <f>IF(COUNTIF('Data Upload-prod'!E:E,F578)=0,"Missing","Exist")</f>
        <v>Exist</v>
      </c>
    </row>
    <row r="579" hidden="1" spans="1:77">
      <c r="A579" s="16">
        <v>43243</v>
      </c>
      <c r="B579" s="16">
        <v>43432</v>
      </c>
      <c r="C579" t="s">
        <v>360</v>
      </c>
      <c r="D579" t="s">
        <v>120</v>
      </c>
      <c r="E579" t="s">
        <v>715</v>
      </c>
      <c r="F579" t="s">
        <v>1065</v>
      </c>
      <c r="G579" t="s">
        <v>81</v>
      </c>
      <c r="H579" t="s">
        <v>135</v>
      </c>
      <c r="I579" t="s">
        <v>124</v>
      </c>
      <c r="J579" s="17">
        <v>34.8</v>
      </c>
      <c r="K579" s="17">
        <v>2466</v>
      </c>
      <c r="L579" s="17">
        <v>1482</v>
      </c>
      <c r="M579" t="s">
        <v>84</v>
      </c>
      <c r="N579" t="s">
        <v>84</v>
      </c>
      <c r="O579" t="s">
        <v>84</v>
      </c>
      <c r="P579" t="s">
        <v>84</v>
      </c>
      <c r="Q579" s="17">
        <v>10144453</v>
      </c>
      <c r="R579" s="17">
        <v>27.72</v>
      </c>
      <c r="S579" t="s">
        <v>85</v>
      </c>
      <c r="T579" t="s">
        <v>84</v>
      </c>
      <c r="U579" t="s">
        <v>84</v>
      </c>
      <c r="V579" s="16">
        <v>43338</v>
      </c>
      <c r="W579" s="18">
        <v>43268.2083333333</v>
      </c>
      <c r="X579" s="18">
        <v>43359.5</v>
      </c>
      <c r="Y579" s="17">
        <v>2399</v>
      </c>
      <c r="Z579" t="s">
        <v>87</v>
      </c>
      <c r="AA579" s="17">
        <v>2484</v>
      </c>
      <c r="AB579" s="17">
        <v>1504.2</v>
      </c>
      <c r="AC579" t="s">
        <v>84</v>
      </c>
      <c r="AD579" t="s">
        <v>84</v>
      </c>
      <c r="AE579" t="s">
        <v>84</v>
      </c>
      <c r="AF579" t="s">
        <v>84</v>
      </c>
      <c r="AG579" s="17">
        <v>9245456</v>
      </c>
      <c r="AH579" s="17">
        <v>39.65</v>
      </c>
      <c r="AI579" s="17">
        <v>8.56</v>
      </c>
      <c r="AJ579" s="17">
        <v>2.84</v>
      </c>
      <c r="AK579" t="s">
        <v>89</v>
      </c>
      <c r="AM579" s="17">
        <v>2.4</v>
      </c>
      <c r="AN579" s="17"/>
      <c r="AO579" s="17">
        <v>795</v>
      </c>
      <c r="AP579" s="17"/>
      <c r="AQ579" s="17">
        <v>1400</v>
      </c>
      <c r="AR579" s="17"/>
      <c r="AS579" s="17">
        <v>1.67</v>
      </c>
      <c r="AT579" s="17"/>
      <c r="AU579" s="17">
        <v>473</v>
      </c>
      <c r="AV579" s="17"/>
      <c r="AW579" s="17">
        <v>1415</v>
      </c>
      <c r="AX579" s="17"/>
      <c r="AY579" t="s">
        <v>92</v>
      </c>
      <c r="AZ579" t="s">
        <v>92</v>
      </c>
      <c r="BA579" t="s">
        <v>92</v>
      </c>
      <c r="BB579" t="s">
        <v>92</v>
      </c>
      <c r="BC579" t="s">
        <v>92</v>
      </c>
      <c r="BD579" t="s">
        <v>92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92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92</v>
      </c>
      <c r="BS579" t="s">
        <v>92</v>
      </c>
      <c r="BT579" t="s">
        <v>92</v>
      </c>
      <c r="BU579" t="s">
        <v>92</v>
      </c>
      <c r="BV579" t="s">
        <v>92</v>
      </c>
      <c r="BW579" t="s">
        <v>92</v>
      </c>
      <c r="BX579" t="s">
        <v>92</v>
      </c>
      <c r="BY579" t="str">
        <f>IF(COUNTIF('Data Upload-prod'!E:E,F579)=0,"Missing","Exist")</f>
        <v>Exist</v>
      </c>
    </row>
    <row r="580" hidden="1" spans="1:77">
      <c r="A580" s="16">
        <v>43243</v>
      </c>
      <c r="B580" s="16">
        <v>43432</v>
      </c>
      <c r="C580" t="s">
        <v>360</v>
      </c>
      <c r="D580" t="s">
        <v>120</v>
      </c>
      <c r="E580" t="s">
        <v>715</v>
      </c>
      <c r="F580" t="s">
        <v>1066</v>
      </c>
      <c r="G580" t="s">
        <v>81</v>
      </c>
      <c r="H580" t="s">
        <v>135</v>
      </c>
      <c r="I580" t="s">
        <v>124</v>
      </c>
      <c r="J580" s="17">
        <v>34.8</v>
      </c>
      <c r="K580" s="17">
        <v>2295</v>
      </c>
      <c r="L580" s="17">
        <v>1386</v>
      </c>
      <c r="M580" t="s">
        <v>84</v>
      </c>
      <c r="N580" t="s">
        <v>84</v>
      </c>
      <c r="O580" t="s">
        <v>84</v>
      </c>
      <c r="P580" t="s">
        <v>84</v>
      </c>
      <c r="Q580" s="17">
        <v>9395998</v>
      </c>
      <c r="R580" s="17">
        <v>25.61</v>
      </c>
      <c r="S580" t="s">
        <v>85</v>
      </c>
      <c r="T580" t="s">
        <v>84</v>
      </c>
      <c r="U580" t="s">
        <v>84</v>
      </c>
      <c r="V580" s="16">
        <v>43330</v>
      </c>
      <c r="W580" s="18">
        <v>43279</v>
      </c>
      <c r="X580" s="18">
        <v>43377.8958333333</v>
      </c>
      <c r="Y580" s="17">
        <v>2194</v>
      </c>
      <c r="Z580" t="s">
        <v>87</v>
      </c>
      <c r="AA580" s="17">
        <v>2279</v>
      </c>
      <c r="AB580" s="17">
        <v>1385</v>
      </c>
      <c r="AC580" t="s">
        <v>84</v>
      </c>
      <c r="AD580" t="s">
        <v>84</v>
      </c>
      <c r="AE580" t="s">
        <v>84</v>
      </c>
      <c r="AF580" t="s">
        <v>84</v>
      </c>
      <c r="AG580" s="17">
        <v>9003088</v>
      </c>
      <c r="AH580" s="17">
        <v>32.35</v>
      </c>
      <c r="AI580" s="17">
        <v>6.05</v>
      </c>
      <c r="AJ580" s="17">
        <v>6.05</v>
      </c>
      <c r="AK580" t="s">
        <v>89</v>
      </c>
      <c r="AM580" s="17">
        <v>2.4</v>
      </c>
      <c r="AN580" s="17"/>
      <c r="AO580" s="17">
        <v>795</v>
      </c>
      <c r="AP580" s="17"/>
      <c r="AQ580" s="17">
        <v>1400</v>
      </c>
      <c r="AR580" s="17"/>
      <c r="AS580" s="17">
        <v>2.22</v>
      </c>
      <c r="AT580" s="17"/>
      <c r="AU580" s="17">
        <v>676</v>
      </c>
      <c r="AV580" s="17"/>
      <c r="AW580" s="17">
        <v>1347</v>
      </c>
      <c r="AX580" s="17"/>
      <c r="AY580" t="s">
        <v>92</v>
      </c>
      <c r="AZ580" t="s">
        <v>92</v>
      </c>
      <c r="BA580" t="s">
        <v>92</v>
      </c>
      <c r="BB580" t="s">
        <v>92</v>
      </c>
      <c r="BC580" t="s">
        <v>92</v>
      </c>
      <c r="BD580" t="s">
        <v>92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92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92</v>
      </c>
      <c r="BS580" t="s">
        <v>92</v>
      </c>
      <c r="BT580" t="s">
        <v>92</v>
      </c>
      <c r="BU580" t="s">
        <v>92</v>
      </c>
      <c r="BV580" t="s">
        <v>92</v>
      </c>
      <c r="BW580" t="s">
        <v>92</v>
      </c>
      <c r="BX580" t="s">
        <v>92</v>
      </c>
      <c r="BY580" t="str">
        <f>IF(COUNTIF('Data Upload-prod'!E:E,F580)=0,"Missing","Exist")</f>
        <v>Exist</v>
      </c>
    </row>
    <row r="581" hidden="1" spans="1:77">
      <c r="A581" s="16">
        <v>43243</v>
      </c>
      <c r="B581" s="16">
        <v>43433</v>
      </c>
      <c r="C581" t="s">
        <v>360</v>
      </c>
      <c r="D581" t="s">
        <v>120</v>
      </c>
      <c r="E581" t="s">
        <v>715</v>
      </c>
      <c r="F581" t="s">
        <v>1067</v>
      </c>
      <c r="G581" t="s">
        <v>81</v>
      </c>
      <c r="H581" t="s">
        <v>135</v>
      </c>
      <c r="I581" t="s">
        <v>124</v>
      </c>
      <c r="J581" s="17">
        <v>34.8</v>
      </c>
      <c r="K581" s="17">
        <v>1790</v>
      </c>
      <c r="L581" s="17">
        <v>1362</v>
      </c>
      <c r="M581" t="s">
        <v>84</v>
      </c>
      <c r="N581" t="s">
        <v>84</v>
      </c>
      <c r="O581" t="s">
        <v>84</v>
      </c>
      <c r="P581" t="s">
        <v>84</v>
      </c>
      <c r="Q581" s="17">
        <v>8088331</v>
      </c>
      <c r="R581" s="17">
        <v>18.92</v>
      </c>
      <c r="S581" t="s">
        <v>106</v>
      </c>
      <c r="T581" t="s">
        <v>84</v>
      </c>
      <c r="U581" t="s">
        <v>84</v>
      </c>
      <c r="V581" s="16">
        <v>43320</v>
      </c>
      <c r="W581" s="18">
        <v>43279</v>
      </c>
      <c r="X581" s="18">
        <v>43366</v>
      </c>
      <c r="Y581" s="17">
        <v>1686</v>
      </c>
      <c r="Z581" t="s">
        <v>87</v>
      </c>
      <c r="AA581" s="17">
        <v>1771</v>
      </c>
      <c r="AB581" s="17">
        <v>1364</v>
      </c>
      <c r="AC581" t="s">
        <v>84</v>
      </c>
      <c r="AD581" t="s">
        <v>84</v>
      </c>
      <c r="AE581" t="s">
        <v>84</v>
      </c>
      <c r="AF581" t="s">
        <v>84</v>
      </c>
      <c r="AG581" s="17">
        <v>8743457</v>
      </c>
      <c r="AH581" s="17">
        <v>37.69</v>
      </c>
      <c r="AI581" s="17">
        <v>6.19</v>
      </c>
      <c r="AJ581" s="17">
        <v>6.19</v>
      </c>
      <c r="AK581" t="s">
        <v>89</v>
      </c>
      <c r="AM581" s="17">
        <v>2.4</v>
      </c>
      <c r="AN581" s="17"/>
      <c r="AO581" s="17">
        <v>795</v>
      </c>
      <c r="AP581" s="17"/>
      <c r="AQ581" s="17">
        <v>1400</v>
      </c>
      <c r="AR581" s="17"/>
      <c r="AS581" s="17">
        <v>2.99</v>
      </c>
      <c r="AT581" s="17"/>
      <c r="AU581" s="17">
        <v>656</v>
      </c>
      <c r="AV581" s="17"/>
      <c r="AW581" s="17">
        <v>1942</v>
      </c>
      <c r="AX581" s="17"/>
      <c r="AY581" t="s">
        <v>92</v>
      </c>
      <c r="AZ581" t="s">
        <v>92</v>
      </c>
      <c r="BA581" t="s">
        <v>92</v>
      </c>
      <c r="BB581" t="s">
        <v>92</v>
      </c>
      <c r="BC581" t="s">
        <v>92</v>
      </c>
      <c r="BD581" t="s">
        <v>92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92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92</v>
      </c>
      <c r="BS581" t="s">
        <v>92</v>
      </c>
      <c r="BT581" t="s">
        <v>92</v>
      </c>
      <c r="BU581" t="s">
        <v>92</v>
      </c>
      <c r="BV581" t="s">
        <v>92</v>
      </c>
      <c r="BW581" t="s">
        <v>92</v>
      </c>
      <c r="BX581" t="s">
        <v>92</v>
      </c>
      <c r="BY581" t="str">
        <f>IF(COUNTIF('Data Upload-prod'!E:E,F581)=0,"Missing","Exist")</f>
        <v>Exist</v>
      </c>
    </row>
    <row r="582" hidden="1" spans="1:77">
      <c r="A582" s="16">
        <v>43242</v>
      </c>
      <c r="B582" s="16">
        <v>43368</v>
      </c>
      <c r="C582" t="s">
        <v>269</v>
      </c>
      <c r="D582" t="s">
        <v>78</v>
      </c>
      <c r="E582" t="s">
        <v>1068</v>
      </c>
      <c r="F582" t="s">
        <v>1069</v>
      </c>
      <c r="G582" t="s">
        <v>145</v>
      </c>
      <c r="H582" t="s">
        <v>790</v>
      </c>
      <c r="I582" t="s">
        <v>124</v>
      </c>
      <c r="J582" s="17">
        <v>62.39</v>
      </c>
      <c r="K582" s="17">
        <v>2310.88</v>
      </c>
      <c r="L582" s="17">
        <v>2276.74</v>
      </c>
      <c r="M582" s="17">
        <v>12903519</v>
      </c>
      <c r="N582" s="17">
        <v>12903519</v>
      </c>
      <c r="O582" s="17">
        <v>33.29</v>
      </c>
      <c r="P582" s="17">
        <v>33.29</v>
      </c>
      <c r="Q582" t="s">
        <v>84</v>
      </c>
      <c r="R582" t="s">
        <v>84</v>
      </c>
      <c r="S582" t="s">
        <v>106</v>
      </c>
      <c r="T582" t="s">
        <v>84</v>
      </c>
      <c r="U582" t="s">
        <v>84</v>
      </c>
      <c r="V582" s="16">
        <v>43272</v>
      </c>
      <c r="W582" s="18">
        <v>43271</v>
      </c>
      <c r="X582" s="18">
        <v>43312.2083333333</v>
      </c>
      <c r="Y582" s="17">
        <v>2952.68</v>
      </c>
      <c r="Z582" t="s">
        <v>87</v>
      </c>
      <c r="AA582" s="17">
        <v>3044.8</v>
      </c>
      <c r="AB582" s="17">
        <v>2188.49</v>
      </c>
      <c r="AC582" t="s">
        <v>84</v>
      </c>
      <c r="AD582" s="17">
        <v>12556499.99</v>
      </c>
      <c r="AE582" t="s">
        <v>84</v>
      </c>
      <c r="AF582" s="17">
        <v>41.21</v>
      </c>
      <c r="AG582" t="s">
        <v>84</v>
      </c>
      <c r="AH582" t="s">
        <v>84</v>
      </c>
      <c r="AI582" s="17">
        <v>7.53</v>
      </c>
      <c r="AJ582" s="17">
        <v>6.27</v>
      </c>
      <c r="AK582" t="s">
        <v>295</v>
      </c>
      <c r="AM582" s="17">
        <v>2.7</v>
      </c>
      <c r="AN582" s="17"/>
      <c r="AO582" s="17">
        <v>1490</v>
      </c>
      <c r="AP582" s="17"/>
      <c r="AQ582" s="17">
        <v>2760</v>
      </c>
      <c r="AR582" s="17"/>
      <c r="AS582" s="17">
        <v>1.36</v>
      </c>
      <c r="AT582" s="17"/>
      <c r="AU582" s="17">
        <v>466.51</v>
      </c>
      <c r="AV582" s="17"/>
      <c r="AW582" s="17">
        <v>833.88</v>
      </c>
      <c r="AX582" s="17"/>
      <c r="AY582" t="s">
        <v>92</v>
      </c>
      <c r="AZ582" t="s">
        <v>92</v>
      </c>
      <c r="BA582" t="s">
        <v>92</v>
      </c>
      <c r="BB582" t="s">
        <v>92</v>
      </c>
      <c r="BC582" t="s">
        <v>92</v>
      </c>
      <c r="BD582" t="s">
        <v>92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92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92</v>
      </c>
      <c r="BS582" t="s">
        <v>92</v>
      </c>
      <c r="BT582" t="s">
        <v>92</v>
      </c>
      <c r="BU582" t="s">
        <v>92</v>
      </c>
      <c r="BV582" t="s">
        <v>92</v>
      </c>
      <c r="BW582" t="s">
        <v>92</v>
      </c>
      <c r="BX582" t="s">
        <v>92</v>
      </c>
      <c r="BY582" t="str">
        <f>IF(COUNTIF('Data Upload-prod'!E:E,F582)=0,"Missing","Exist")</f>
        <v>Exist</v>
      </c>
    </row>
    <row r="583" hidden="1" spans="1:77">
      <c r="A583" s="16">
        <v>43241</v>
      </c>
      <c r="B583" s="16">
        <v>43581</v>
      </c>
      <c r="C583" t="s">
        <v>132</v>
      </c>
      <c r="D583" t="s">
        <v>120</v>
      </c>
      <c r="E583" t="s">
        <v>700</v>
      </c>
      <c r="F583" t="s">
        <v>1070</v>
      </c>
      <c r="G583" t="s">
        <v>81</v>
      </c>
      <c r="H583" t="s">
        <v>181</v>
      </c>
      <c r="I583" t="s">
        <v>124</v>
      </c>
      <c r="J583" s="17">
        <v>75.59</v>
      </c>
      <c r="K583" s="17">
        <v>4218.23</v>
      </c>
      <c r="L583" s="17">
        <v>2416.61</v>
      </c>
      <c r="M583" t="s">
        <v>84</v>
      </c>
      <c r="N583" t="s">
        <v>84</v>
      </c>
      <c r="O583" t="s">
        <v>84</v>
      </c>
      <c r="P583" t="s">
        <v>84</v>
      </c>
      <c r="Q583" s="17">
        <v>15931129.95</v>
      </c>
      <c r="R583" s="17">
        <v>44.7</v>
      </c>
      <c r="S583" t="s">
        <v>85</v>
      </c>
      <c r="T583" t="s">
        <v>84</v>
      </c>
      <c r="U583" t="s">
        <v>86</v>
      </c>
      <c r="V583" s="16">
        <v>43379</v>
      </c>
      <c r="W583" s="18">
        <v>43318</v>
      </c>
      <c r="X583" s="18">
        <v>43522.5</v>
      </c>
      <c r="Y583" s="17">
        <v>4094</v>
      </c>
      <c r="Z583" t="s">
        <v>87</v>
      </c>
      <c r="AA583" s="17">
        <v>4218.23</v>
      </c>
      <c r="AB583" s="17">
        <v>2416.61</v>
      </c>
      <c r="AC583" t="s">
        <v>84</v>
      </c>
      <c r="AD583" t="s">
        <v>84</v>
      </c>
      <c r="AE583" t="s">
        <v>84</v>
      </c>
      <c r="AF583" t="s">
        <v>84</v>
      </c>
      <c r="AG583" s="17">
        <v>14836205.21</v>
      </c>
      <c r="AH583" s="17">
        <v>54.31</v>
      </c>
      <c r="AI583" s="17">
        <v>13.7</v>
      </c>
      <c r="AJ583" s="17">
        <v>12.47</v>
      </c>
      <c r="AK583" t="s">
        <v>208</v>
      </c>
      <c r="AM583" s="17">
        <v>2.2</v>
      </c>
      <c r="AN583" s="17"/>
      <c r="AO583" s="17">
        <v>830</v>
      </c>
      <c r="AP583" s="17"/>
      <c r="AQ583" s="17">
        <v>1395</v>
      </c>
      <c r="AR583" s="17"/>
      <c r="AS583" s="17">
        <v>2.51</v>
      </c>
      <c r="AT583" s="17"/>
      <c r="AU583" s="17">
        <v>581.37</v>
      </c>
      <c r="AV583" s="17"/>
      <c r="AW583" s="17">
        <v>1096.66</v>
      </c>
      <c r="AX583" s="17"/>
      <c r="AY583" t="s">
        <v>92</v>
      </c>
      <c r="AZ583" t="s">
        <v>92</v>
      </c>
      <c r="BA583" t="s">
        <v>92</v>
      </c>
      <c r="BB583" t="s">
        <v>92</v>
      </c>
      <c r="BC583" t="s">
        <v>92</v>
      </c>
      <c r="BD583" s="17">
        <v>11.35</v>
      </c>
      <c r="BE583" s="17">
        <v>5398568.69</v>
      </c>
      <c r="BF583" t="s">
        <v>92</v>
      </c>
      <c r="BG583" t="s">
        <v>92</v>
      </c>
      <c r="BH583" t="s">
        <v>93</v>
      </c>
      <c r="BI583" t="s">
        <v>94</v>
      </c>
      <c r="BJ583" t="s">
        <v>173</v>
      </c>
      <c r="BK583" t="s">
        <v>627</v>
      </c>
      <c r="BL583" t="s">
        <v>85</v>
      </c>
      <c r="BM583" t="s">
        <v>273</v>
      </c>
      <c r="BN583" t="s">
        <v>569</v>
      </c>
      <c r="BO583" t="s">
        <v>98</v>
      </c>
      <c r="BP583" t="s">
        <v>339</v>
      </c>
      <c r="BQ583" s="17">
        <v>574</v>
      </c>
      <c r="BR583" t="s">
        <v>138</v>
      </c>
      <c r="BS583" t="s">
        <v>806</v>
      </c>
      <c r="BT583" t="s">
        <v>255</v>
      </c>
      <c r="BU583" s="17">
        <v>8.5</v>
      </c>
      <c r="BV583" t="s">
        <v>110</v>
      </c>
      <c r="BW583" t="s">
        <v>85</v>
      </c>
      <c r="BX583" t="s">
        <v>85</v>
      </c>
      <c r="BY583" t="str">
        <f>IF(COUNTIF('Data Upload-prod'!E:E,F583)=0,"Missing","Exist")</f>
        <v>Exist</v>
      </c>
    </row>
    <row r="584" hidden="1" spans="1:77">
      <c r="A584" s="16">
        <v>43238</v>
      </c>
      <c r="B584" s="16">
        <v>43297</v>
      </c>
      <c r="C584" t="s">
        <v>151</v>
      </c>
      <c r="D584" t="s">
        <v>78</v>
      </c>
      <c r="E584" t="s">
        <v>157</v>
      </c>
      <c r="F584" t="s">
        <v>1071</v>
      </c>
      <c r="G584" t="s">
        <v>81</v>
      </c>
      <c r="H584" t="s">
        <v>154</v>
      </c>
      <c r="I584" t="s">
        <v>124</v>
      </c>
      <c r="J584" s="17">
        <v>58</v>
      </c>
      <c r="K584" s="17">
        <v>3700</v>
      </c>
      <c r="L584" s="17">
        <v>2899</v>
      </c>
      <c r="M584" t="s">
        <v>84</v>
      </c>
      <c r="N584" t="s">
        <v>84</v>
      </c>
      <c r="O584" t="s">
        <v>84</v>
      </c>
      <c r="P584" t="s">
        <v>84</v>
      </c>
      <c r="Q584" s="17">
        <v>11997055</v>
      </c>
      <c r="R584" s="17">
        <v>29.5</v>
      </c>
      <c r="S584" t="s">
        <v>85</v>
      </c>
      <c r="T584" t="s">
        <v>84</v>
      </c>
      <c r="U584" t="s">
        <v>86</v>
      </c>
      <c r="V584" s="16">
        <v>43248</v>
      </c>
      <c r="W584" s="18">
        <v>43247.2291666667</v>
      </c>
      <c r="X584" s="18">
        <v>43269.3958333333</v>
      </c>
      <c r="Y584" s="17">
        <v>3941.13</v>
      </c>
      <c r="Z584" t="s">
        <v>87</v>
      </c>
      <c r="AA584" s="17">
        <v>4042</v>
      </c>
      <c r="AB584" s="17">
        <v>3189</v>
      </c>
      <c r="AC584" t="s">
        <v>84</v>
      </c>
      <c r="AD584" t="s">
        <v>84</v>
      </c>
      <c r="AE584" t="s">
        <v>84</v>
      </c>
      <c r="AF584" t="s">
        <v>84</v>
      </c>
      <c r="AG584" s="17">
        <v>7540000</v>
      </c>
      <c r="AH584" s="17">
        <v>22.17</v>
      </c>
      <c r="AI584" s="17">
        <v>0.52</v>
      </c>
      <c r="AJ584" s="17">
        <v>0.29</v>
      </c>
      <c r="AK584" t="s">
        <v>165</v>
      </c>
      <c r="AM584" s="17">
        <v>3.2</v>
      </c>
      <c r="AN584" s="17"/>
      <c r="AO584" s="17">
        <v>1300</v>
      </c>
      <c r="AP584" s="17"/>
      <c r="AQ584" s="17">
        <v>1600</v>
      </c>
      <c r="AR584" s="17"/>
      <c r="AS584" s="17">
        <v>1.83</v>
      </c>
      <c r="AT584" s="17"/>
      <c r="AU584" s="17">
        <v>587</v>
      </c>
      <c r="AV584" s="17"/>
      <c r="AW584" s="17">
        <v>661</v>
      </c>
      <c r="AX584" s="17"/>
      <c r="AY584" t="s">
        <v>92</v>
      </c>
      <c r="AZ584" t="s">
        <v>92</v>
      </c>
      <c r="BA584" t="s">
        <v>92</v>
      </c>
      <c r="BB584" t="s">
        <v>92</v>
      </c>
      <c r="BC584" t="s">
        <v>92</v>
      </c>
      <c r="BD584" s="17">
        <v>3.69</v>
      </c>
      <c r="BE584" s="17">
        <v>2304306</v>
      </c>
      <c r="BF584" t="s">
        <v>92</v>
      </c>
      <c r="BG584" t="s">
        <v>92</v>
      </c>
      <c r="BH584" t="s">
        <v>93</v>
      </c>
      <c r="BI584" t="s">
        <v>94</v>
      </c>
      <c r="BJ584" t="s">
        <v>95</v>
      </c>
      <c r="BK584" t="s">
        <v>85</v>
      </c>
      <c r="BL584" t="s">
        <v>85</v>
      </c>
      <c r="BM584" t="s">
        <v>159</v>
      </c>
      <c r="BN584" t="s">
        <v>97</v>
      </c>
      <c r="BO584" t="s">
        <v>98</v>
      </c>
      <c r="BP584" t="s">
        <v>99</v>
      </c>
      <c r="BQ584" s="17">
        <v>63.97637795</v>
      </c>
      <c r="BR584" t="s">
        <v>138</v>
      </c>
      <c r="BS584" t="s">
        <v>156</v>
      </c>
      <c r="BT584" t="s">
        <v>99</v>
      </c>
      <c r="BU584" s="17">
        <v>6.84</v>
      </c>
      <c r="BV584" t="s">
        <v>101</v>
      </c>
      <c r="BW584" t="s">
        <v>85</v>
      </c>
      <c r="BX584" t="s">
        <v>85</v>
      </c>
      <c r="BY584" t="str">
        <f>IF(COUNTIF('Data Upload-prod'!E:E,F584)=0,"Missing","Exist")</f>
        <v>Exist</v>
      </c>
    </row>
    <row r="585" hidden="1" spans="1:77">
      <c r="A585" s="16">
        <v>43223</v>
      </c>
      <c r="B585" s="16">
        <v>43263</v>
      </c>
      <c r="C585" t="s">
        <v>151</v>
      </c>
      <c r="D585" t="s">
        <v>78</v>
      </c>
      <c r="E585" t="s">
        <v>157</v>
      </c>
      <c r="F585" t="s">
        <v>1072</v>
      </c>
      <c r="G585" t="s">
        <v>81</v>
      </c>
      <c r="H585" t="s">
        <v>154</v>
      </c>
      <c r="I585" t="s">
        <v>124</v>
      </c>
      <c r="J585" s="17">
        <v>58</v>
      </c>
      <c r="K585" s="17">
        <v>4338</v>
      </c>
      <c r="L585" s="17">
        <v>2938</v>
      </c>
      <c r="M585" t="s">
        <v>84</v>
      </c>
      <c r="N585" t="s">
        <v>84</v>
      </c>
      <c r="O585" t="s">
        <v>84</v>
      </c>
      <c r="P585" t="s">
        <v>84</v>
      </c>
      <c r="Q585" s="17">
        <v>11238287</v>
      </c>
      <c r="R585" s="17">
        <v>30.5</v>
      </c>
      <c r="S585" t="s">
        <v>85</v>
      </c>
      <c r="T585" t="s">
        <v>84</v>
      </c>
      <c r="U585" t="s">
        <v>86</v>
      </c>
      <c r="V585" s="16">
        <v>43227</v>
      </c>
      <c r="W585" s="18">
        <v>43226</v>
      </c>
      <c r="X585" s="18">
        <v>43247.2083333333</v>
      </c>
      <c r="Y585" s="17">
        <v>4227.13</v>
      </c>
      <c r="Z585" t="s">
        <v>87</v>
      </c>
      <c r="AA585" s="17">
        <v>4328</v>
      </c>
      <c r="AB585" s="17">
        <v>2937</v>
      </c>
      <c r="AC585" t="s">
        <v>84</v>
      </c>
      <c r="AD585" t="s">
        <v>84</v>
      </c>
      <c r="AE585" t="s">
        <v>84</v>
      </c>
      <c r="AF585" t="s">
        <v>84</v>
      </c>
      <c r="AG585" s="17">
        <v>7940000</v>
      </c>
      <c r="AH585" s="17">
        <v>21.23</v>
      </c>
      <c r="AI585" s="17">
        <v>14</v>
      </c>
      <c r="AJ585" s="17">
        <v>14</v>
      </c>
      <c r="AK585" t="s">
        <v>497</v>
      </c>
      <c r="AM585" s="17">
        <v>1.4</v>
      </c>
      <c r="AN585" s="17"/>
      <c r="AO585" s="17">
        <v>550</v>
      </c>
      <c r="AP585" s="17"/>
      <c r="AQ585" s="17">
        <v>770</v>
      </c>
      <c r="AR585" s="17"/>
      <c r="AS585" s="13" t="s">
        <v>150</v>
      </c>
      <c r="AT585"/>
      <c r="AU585" s="13" t="s">
        <v>150</v>
      </c>
      <c r="AW585" s="13" t="s">
        <v>150</v>
      </c>
      <c r="AY585" t="s">
        <v>92</v>
      </c>
      <c r="AZ585" t="s">
        <v>92</v>
      </c>
      <c r="BA585" t="s">
        <v>92</v>
      </c>
      <c r="BB585" t="s">
        <v>92</v>
      </c>
      <c r="BC585" t="s">
        <v>92</v>
      </c>
      <c r="BD585" s="17">
        <v>6.44</v>
      </c>
      <c r="BE585" s="17">
        <v>2678892</v>
      </c>
      <c r="BF585" t="s">
        <v>92</v>
      </c>
      <c r="BG585" t="s">
        <v>92</v>
      </c>
      <c r="BH585" t="s">
        <v>93</v>
      </c>
      <c r="BI585" t="s">
        <v>94</v>
      </c>
      <c r="BJ585" t="s">
        <v>95</v>
      </c>
      <c r="BK585" t="s">
        <v>85</v>
      </c>
      <c r="BL585" t="s">
        <v>85</v>
      </c>
      <c r="BM585" t="s">
        <v>159</v>
      </c>
      <c r="BN585" t="s">
        <v>97</v>
      </c>
      <c r="BO585" t="s">
        <v>98</v>
      </c>
      <c r="BP585" t="s">
        <v>99</v>
      </c>
      <c r="BQ585" s="17">
        <v>63.97637795</v>
      </c>
      <c r="BR585" t="s">
        <v>138</v>
      </c>
      <c r="BS585" t="s">
        <v>156</v>
      </c>
      <c r="BT585" t="s">
        <v>99</v>
      </c>
      <c r="BU585" s="17">
        <v>6.84</v>
      </c>
      <c r="BV585" t="s">
        <v>101</v>
      </c>
      <c r="BW585" t="s">
        <v>85</v>
      </c>
      <c r="BX585" t="s">
        <v>85</v>
      </c>
      <c r="BY585" t="str">
        <f>IF(COUNTIF('Data Upload-prod'!E:E,F585)=0,"Missing","Exist")</f>
        <v>Exist</v>
      </c>
    </row>
    <row r="586" hidden="1" spans="1:77">
      <c r="A586" s="16">
        <v>43223</v>
      </c>
      <c r="B586" s="16">
        <v>43467</v>
      </c>
      <c r="C586" t="s">
        <v>281</v>
      </c>
      <c r="D586" t="s">
        <v>78</v>
      </c>
      <c r="E586" t="s">
        <v>282</v>
      </c>
      <c r="F586" t="s">
        <v>1073</v>
      </c>
      <c r="G586" t="s">
        <v>81</v>
      </c>
      <c r="H586" t="s">
        <v>247</v>
      </c>
      <c r="I586" t="s">
        <v>231</v>
      </c>
      <c r="J586" s="17">
        <v>72.1</v>
      </c>
      <c r="K586" s="17">
        <v>2170</v>
      </c>
      <c r="L586" s="17">
        <v>1921.5</v>
      </c>
      <c r="M586" t="s">
        <v>84</v>
      </c>
      <c r="N586" t="s">
        <v>84</v>
      </c>
      <c r="O586" t="s">
        <v>84</v>
      </c>
      <c r="P586" t="s">
        <v>84</v>
      </c>
      <c r="Q586" s="17">
        <v>11113236</v>
      </c>
      <c r="R586" s="17">
        <v>36.34</v>
      </c>
      <c r="S586" t="s">
        <v>85</v>
      </c>
      <c r="T586" t="s">
        <v>84</v>
      </c>
      <c r="U586" t="s">
        <v>86</v>
      </c>
      <c r="V586" s="16">
        <v>43246.25</v>
      </c>
      <c r="W586" s="18">
        <v>43245.5</v>
      </c>
      <c r="X586" s="18">
        <v>43301.25</v>
      </c>
      <c r="Y586" s="17">
        <v>2068.4</v>
      </c>
      <c r="Z586" t="s">
        <v>87</v>
      </c>
      <c r="AA586" s="17">
        <v>2174</v>
      </c>
      <c r="AB586" s="17">
        <v>1923.49</v>
      </c>
      <c r="AC586" t="s">
        <v>84</v>
      </c>
      <c r="AD586" t="s">
        <v>84</v>
      </c>
      <c r="AE586" t="s">
        <v>84</v>
      </c>
      <c r="AF586" t="s">
        <v>84</v>
      </c>
      <c r="AG586" s="17">
        <v>8094991</v>
      </c>
      <c r="AH586" s="17">
        <v>31.44</v>
      </c>
      <c r="AI586" s="17">
        <v>1</v>
      </c>
      <c r="AJ586" s="17">
        <v>1</v>
      </c>
      <c r="AK586" t="s">
        <v>208</v>
      </c>
      <c r="AM586" s="17">
        <v>2.1</v>
      </c>
      <c r="AN586" s="17"/>
      <c r="AO586" s="17">
        <v>700</v>
      </c>
      <c r="AP586" s="17"/>
      <c r="AQ586" s="17">
        <v>1220</v>
      </c>
      <c r="AR586" s="17"/>
      <c r="AS586" s="17">
        <v>2.1</v>
      </c>
      <c r="AT586" s="17"/>
      <c r="AU586" s="17">
        <v>440</v>
      </c>
      <c r="AV586" s="17"/>
      <c r="AW586" s="17">
        <v>1208</v>
      </c>
      <c r="AX586" s="17"/>
      <c r="AY586" t="s">
        <v>92</v>
      </c>
      <c r="AZ586" t="s">
        <v>92</v>
      </c>
      <c r="BA586" t="s">
        <v>92</v>
      </c>
      <c r="BB586" t="s">
        <v>92</v>
      </c>
      <c r="BC586" t="s">
        <v>92</v>
      </c>
      <c r="BD586" s="17">
        <v>8.17</v>
      </c>
      <c r="BE586" s="17">
        <v>2245062</v>
      </c>
      <c r="BF586" t="s">
        <v>92</v>
      </c>
      <c r="BG586" t="s">
        <v>92</v>
      </c>
      <c r="BH586" t="s">
        <v>93</v>
      </c>
      <c r="BI586" t="s">
        <v>94</v>
      </c>
      <c r="BJ586" t="s">
        <v>173</v>
      </c>
      <c r="BK586" t="s">
        <v>85</v>
      </c>
      <c r="BL586" t="s">
        <v>85</v>
      </c>
      <c r="BM586" t="s">
        <v>96</v>
      </c>
      <c r="BN586" t="s">
        <v>490</v>
      </c>
      <c r="BO586" t="s">
        <v>216</v>
      </c>
      <c r="BP586" t="s">
        <v>99</v>
      </c>
      <c r="BQ586" s="17">
        <v>223.108</v>
      </c>
      <c r="BR586" t="s">
        <v>100</v>
      </c>
      <c r="BS586" t="s">
        <v>156</v>
      </c>
      <c r="BT586" t="s">
        <v>99</v>
      </c>
      <c r="BU586" s="17">
        <v>9.9</v>
      </c>
      <c r="BV586" t="s">
        <v>191</v>
      </c>
      <c r="BW586" t="s">
        <v>85</v>
      </c>
      <c r="BX586" t="s">
        <v>85</v>
      </c>
      <c r="BY586" t="str">
        <f>IF(COUNTIF('Data Upload-prod'!E:E,F586)=0,"Missing","Exist")</f>
        <v>Exist</v>
      </c>
    </row>
    <row r="587" hidden="1" spans="1:77">
      <c r="A587" s="16">
        <v>43221</v>
      </c>
      <c r="B587" s="16">
        <v>43308</v>
      </c>
      <c r="C587" t="s">
        <v>151</v>
      </c>
      <c r="D587" t="s">
        <v>142</v>
      </c>
      <c r="E587" t="s">
        <v>1074</v>
      </c>
      <c r="F587" t="s">
        <v>1075</v>
      </c>
      <c r="G587" t="s">
        <v>145</v>
      </c>
      <c r="H587" t="s">
        <v>168</v>
      </c>
      <c r="I587" t="s">
        <v>124</v>
      </c>
      <c r="J587" s="17">
        <v>61.3</v>
      </c>
      <c r="K587" s="17">
        <v>1730</v>
      </c>
      <c r="L587" s="17">
        <v>1730</v>
      </c>
      <c r="M587" s="17">
        <v>10766130</v>
      </c>
      <c r="N587" s="17">
        <v>10766130</v>
      </c>
      <c r="O587" s="17">
        <v>27.93</v>
      </c>
      <c r="P587" s="17">
        <v>27.93</v>
      </c>
      <c r="Q587" t="s">
        <v>84</v>
      </c>
      <c r="R587" t="s">
        <v>84</v>
      </c>
      <c r="S587" t="s">
        <v>85</v>
      </c>
      <c r="T587" t="s">
        <v>84</v>
      </c>
      <c r="U587" t="s">
        <v>84</v>
      </c>
      <c r="V587" s="16">
        <v>43243</v>
      </c>
      <c r="W587" s="18">
        <v>43240.8506944444</v>
      </c>
      <c r="X587" s="18">
        <v>43262.2083333333</v>
      </c>
      <c r="Y587" s="17">
        <v>1648.96</v>
      </c>
      <c r="Z587" t="s">
        <v>87</v>
      </c>
      <c r="AA587" s="17">
        <v>1740</v>
      </c>
      <c r="AB587" s="17">
        <v>1737.69</v>
      </c>
      <c r="AC587" s="17">
        <v>7506525.94</v>
      </c>
      <c r="AD587" t="s">
        <v>84</v>
      </c>
      <c r="AE587" s="17">
        <v>22.51</v>
      </c>
      <c r="AF587" t="s">
        <v>84</v>
      </c>
      <c r="AG587" t="s">
        <v>84</v>
      </c>
      <c r="AH587" t="s">
        <v>84</v>
      </c>
      <c r="AI587" s="17">
        <v>9.4</v>
      </c>
      <c r="AJ587" s="17">
        <v>9.4</v>
      </c>
      <c r="AK587" t="s">
        <v>300</v>
      </c>
      <c r="AM587" s="17">
        <v>2.6</v>
      </c>
      <c r="AN587" s="17"/>
      <c r="AO587" s="17">
        <v>1010</v>
      </c>
      <c r="AP587" s="17"/>
      <c r="AQ587" s="17">
        <v>2090</v>
      </c>
      <c r="AR587" s="17"/>
      <c r="AS587" s="17">
        <v>2.58</v>
      </c>
      <c r="AT587" s="17"/>
      <c r="AU587" s="17">
        <v>791.96</v>
      </c>
      <c r="AV587" s="17"/>
      <c r="AW587" s="17">
        <v>1244.7</v>
      </c>
      <c r="AX587" s="17"/>
      <c r="AY587" t="s">
        <v>92</v>
      </c>
      <c r="AZ587" t="s">
        <v>92</v>
      </c>
      <c r="BA587" t="s">
        <v>92</v>
      </c>
      <c r="BB587" t="s">
        <v>92</v>
      </c>
      <c r="BC587" t="s">
        <v>92</v>
      </c>
      <c r="BD587" t="s">
        <v>92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92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92</v>
      </c>
      <c r="BS587" t="s">
        <v>92</v>
      </c>
      <c r="BT587" t="s">
        <v>92</v>
      </c>
      <c r="BU587" t="s">
        <v>92</v>
      </c>
      <c r="BV587" t="s">
        <v>92</v>
      </c>
      <c r="BW587" t="s">
        <v>92</v>
      </c>
      <c r="BX587" t="s">
        <v>92</v>
      </c>
      <c r="BY587" t="str">
        <f>IF(COUNTIF('Data Upload-prod'!E:E,F587)=0,"Missing","Exist")</f>
        <v>Exist</v>
      </c>
    </row>
    <row r="588" hidden="1" spans="1:77">
      <c r="A588" s="16">
        <v>43214</v>
      </c>
      <c r="B588" s="16">
        <v>43322</v>
      </c>
      <c r="C588" t="s">
        <v>269</v>
      </c>
      <c r="D588" t="s">
        <v>78</v>
      </c>
      <c r="E588" t="s">
        <v>1076</v>
      </c>
      <c r="F588" t="s">
        <v>1077</v>
      </c>
      <c r="G588" t="s">
        <v>145</v>
      </c>
      <c r="H588" t="s">
        <v>790</v>
      </c>
      <c r="I588" t="s">
        <v>124</v>
      </c>
      <c r="J588" s="17">
        <v>64.89</v>
      </c>
      <c r="K588" s="17">
        <v>2243.52</v>
      </c>
      <c r="L588" s="17">
        <v>2192.01</v>
      </c>
      <c r="M588" s="17">
        <v>12838483</v>
      </c>
      <c r="N588" s="17">
        <v>12838483</v>
      </c>
      <c r="O588" s="17">
        <v>33.04</v>
      </c>
      <c r="P588" s="17">
        <v>33.04</v>
      </c>
      <c r="Q588" t="s">
        <v>84</v>
      </c>
      <c r="R588" t="s">
        <v>84</v>
      </c>
      <c r="S588" t="s">
        <v>85</v>
      </c>
      <c r="T588" t="s">
        <v>84</v>
      </c>
      <c r="U588" t="s">
        <v>84</v>
      </c>
      <c r="V588" s="16">
        <v>43252</v>
      </c>
      <c r="W588" s="18">
        <v>43250.4166666667</v>
      </c>
      <c r="X588" s="18">
        <v>43271</v>
      </c>
      <c r="Y588" s="17">
        <v>2066.31</v>
      </c>
      <c r="Z588" t="s">
        <v>87</v>
      </c>
      <c r="AA588" s="17">
        <v>2160.93</v>
      </c>
      <c r="AB588" s="17">
        <v>2113.96</v>
      </c>
      <c r="AC588" t="s">
        <v>84</v>
      </c>
      <c r="AD588" s="17">
        <v>6667760.8</v>
      </c>
      <c r="AE588" t="s">
        <v>84</v>
      </c>
      <c r="AF588" s="17">
        <v>20.58</v>
      </c>
      <c r="AG588" t="s">
        <v>84</v>
      </c>
      <c r="AH588" t="s">
        <v>84</v>
      </c>
      <c r="AI588" s="17">
        <v>3.74</v>
      </c>
      <c r="AJ588" s="17">
        <v>3.74</v>
      </c>
      <c r="AK588" t="s">
        <v>295</v>
      </c>
      <c r="AM588" s="17">
        <v>2.7</v>
      </c>
      <c r="AN588" s="17"/>
      <c r="AO588" s="17">
        <v>1490</v>
      </c>
      <c r="AP588" s="17"/>
      <c r="AQ588" s="17">
        <v>2760</v>
      </c>
      <c r="AR588" s="17"/>
      <c r="AS588" s="17">
        <v>1.55</v>
      </c>
      <c r="AT588" s="17"/>
      <c r="AU588" s="17">
        <v>498.88</v>
      </c>
      <c r="AV588" s="17"/>
      <c r="AW588" s="17">
        <v>983.45</v>
      </c>
      <c r="AX588" s="17"/>
      <c r="AY588" t="s">
        <v>92</v>
      </c>
      <c r="AZ588" t="s">
        <v>92</v>
      </c>
      <c r="BA588" t="s">
        <v>92</v>
      </c>
      <c r="BB588" t="s">
        <v>92</v>
      </c>
      <c r="BC588" t="s">
        <v>92</v>
      </c>
      <c r="BD588" t="s">
        <v>92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92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92</v>
      </c>
      <c r="BS588" t="s">
        <v>92</v>
      </c>
      <c r="BT588" t="s">
        <v>92</v>
      </c>
      <c r="BU588" t="s">
        <v>92</v>
      </c>
      <c r="BV588" t="s">
        <v>92</v>
      </c>
      <c r="BW588" t="s">
        <v>92</v>
      </c>
      <c r="BX588" t="s">
        <v>92</v>
      </c>
      <c r="BY588" t="str">
        <f>IF(COUNTIF('Data Upload-prod'!E:E,F588)=0,"Missing","Exist")</f>
        <v>Exist</v>
      </c>
    </row>
    <row r="589" hidden="1" spans="1:77">
      <c r="A589" s="16">
        <v>43208</v>
      </c>
      <c r="B589" s="16">
        <v>43443</v>
      </c>
      <c r="C589" t="s">
        <v>633</v>
      </c>
      <c r="D589" t="s">
        <v>120</v>
      </c>
      <c r="E589" t="s">
        <v>929</v>
      </c>
      <c r="F589" t="s">
        <v>1078</v>
      </c>
      <c r="G589" t="s">
        <v>145</v>
      </c>
      <c r="H589" t="s">
        <v>202</v>
      </c>
      <c r="I589" t="s">
        <v>124</v>
      </c>
      <c r="J589" s="17">
        <v>90.1</v>
      </c>
      <c r="K589" s="17">
        <v>1651</v>
      </c>
      <c r="L589" s="17">
        <v>1632</v>
      </c>
      <c r="M589" s="17">
        <v>13726000</v>
      </c>
      <c r="N589" s="17">
        <v>18447000</v>
      </c>
      <c r="O589" s="17">
        <v>26.4</v>
      </c>
      <c r="P589" s="17">
        <v>43.2</v>
      </c>
      <c r="Q589" t="s">
        <v>84</v>
      </c>
      <c r="R589" t="s">
        <v>84</v>
      </c>
      <c r="S589" t="s">
        <v>85</v>
      </c>
      <c r="T589" t="s">
        <v>84</v>
      </c>
      <c r="U589" t="s">
        <v>84</v>
      </c>
      <c r="V589" s="16">
        <v>43282</v>
      </c>
      <c r="W589" s="18">
        <v>43279.1041666667</v>
      </c>
      <c r="X589" s="18">
        <v>43301.5625</v>
      </c>
      <c r="Y589" s="17">
        <v>1529.5</v>
      </c>
      <c r="Z589" t="s">
        <v>87</v>
      </c>
      <c r="AA589" s="17">
        <v>1651</v>
      </c>
      <c r="AB589" s="17">
        <v>1629.14</v>
      </c>
      <c r="AC589" s="17">
        <v>12200000</v>
      </c>
      <c r="AD589" t="s">
        <v>84</v>
      </c>
      <c r="AE589" s="17">
        <v>27.2</v>
      </c>
      <c r="AF589" t="s">
        <v>84</v>
      </c>
      <c r="AG589" t="s">
        <v>84</v>
      </c>
      <c r="AH589" t="s">
        <v>84</v>
      </c>
      <c r="AI589" s="17">
        <v>3.9</v>
      </c>
      <c r="AJ589" s="17">
        <v>2.76</v>
      </c>
      <c r="AK589" t="s">
        <v>300</v>
      </c>
      <c r="AM589" s="17">
        <v>2.4</v>
      </c>
      <c r="AN589" s="17"/>
      <c r="AO589" s="17">
        <v>1375</v>
      </c>
      <c r="AP589" s="17"/>
      <c r="AQ589" s="17">
        <v>3025</v>
      </c>
      <c r="AR589" s="17"/>
      <c r="AS589" s="17">
        <v>1.85</v>
      </c>
      <c r="AT589" s="17"/>
      <c r="AU589" s="17">
        <v>831</v>
      </c>
      <c r="AV589" s="17"/>
      <c r="AW589" s="17">
        <v>2009</v>
      </c>
      <c r="AX589" s="17"/>
      <c r="AY589" t="s">
        <v>92</v>
      </c>
      <c r="AZ589" t="s">
        <v>92</v>
      </c>
      <c r="BA589" t="s">
        <v>92</v>
      </c>
      <c r="BB589" t="s">
        <v>92</v>
      </c>
      <c r="BC589" t="s">
        <v>92</v>
      </c>
      <c r="BD589" t="s">
        <v>92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92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92</v>
      </c>
      <c r="BS589" t="s">
        <v>92</v>
      </c>
      <c r="BT589" t="s">
        <v>92</v>
      </c>
      <c r="BU589" t="s">
        <v>92</v>
      </c>
      <c r="BV589" t="s">
        <v>92</v>
      </c>
      <c r="BW589" t="s">
        <v>92</v>
      </c>
      <c r="BX589" t="s">
        <v>92</v>
      </c>
      <c r="BY589" t="str">
        <f>IF(COUNTIF('Data Upload-prod'!E:E,F589)=0,"Missing","Exist")</f>
        <v>Exist</v>
      </c>
    </row>
    <row r="590" hidden="1" spans="1:77">
      <c r="A590" s="16">
        <v>43187</v>
      </c>
      <c r="B590" s="16">
        <v>43333</v>
      </c>
      <c r="C590" t="s">
        <v>633</v>
      </c>
      <c r="D590" t="s">
        <v>120</v>
      </c>
      <c r="E590" t="s">
        <v>638</v>
      </c>
      <c r="F590" t="s">
        <v>1079</v>
      </c>
      <c r="G590" t="s">
        <v>145</v>
      </c>
      <c r="H590" t="s">
        <v>202</v>
      </c>
      <c r="I590" t="s">
        <v>124</v>
      </c>
      <c r="J590" s="17">
        <v>92.2</v>
      </c>
      <c r="K590" s="17">
        <v>1652</v>
      </c>
      <c r="L590" s="17">
        <v>1652</v>
      </c>
      <c r="M590" s="17">
        <v>16978000</v>
      </c>
      <c r="N590" s="17">
        <v>20430000</v>
      </c>
      <c r="O590" s="17">
        <v>32.5</v>
      </c>
      <c r="P590" s="17">
        <v>46.9</v>
      </c>
      <c r="Q590" t="s">
        <v>84</v>
      </c>
      <c r="R590" t="s">
        <v>84</v>
      </c>
      <c r="S590" t="s">
        <v>85</v>
      </c>
      <c r="T590" t="s">
        <v>84</v>
      </c>
      <c r="U590" t="s">
        <v>84</v>
      </c>
      <c r="V590" s="16">
        <v>43232</v>
      </c>
      <c r="W590" s="18">
        <v>43230.2708333333</v>
      </c>
      <c r="X590" s="18">
        <v>43278.9583333333</v>
      </c>
      <c r="Y590" s="17">
        <v>1422.6</v>
      </c>
      <c r="Z590" t="s">
        <v>87</v>
      </c>
      <c r="AA590" s="17">
        <v>1607</v>
      </c>
      <c r="AB590" s="17">
        <v>1607</v>
      </c>
      <c r="AC590" t="s">
        <v>84</v>
      </c>
      <c r="AD590" s="17">
        <v>19400000</v>
      </c>
      <c r="AE590" t="s">
        <v>84</v>
      </c>
      <c r="AF590" s="17">
        <v>56.6</v>
      </c>
      <c r="AG590" t="s">
        <v>84</v>
      </c>
      <c r="AH590" t="s">
        <v>84</v>
      </c>
      <c r="AI590" s="17">
        <v>17.8</v>
      </c>
      <c r="AJ590" s="17">
        <v>17.8</v>
      </c>
      <c r="AK590" t="s">
        <v>300</v>
      </c>
      <c r="AM590" s="17">
        <v>2.4</v>
      </c>
      <c r="AN590" s="17"/>
      <c r="AO590" s="17">
        <v>1375</v>
      </c>
      <c r="AP590" s="17"/>
      <c r="AQ590" s="17">
        <v>3025</v>
      </c>
      <c r="AR590" s="17"/>
      <c r="AS590" s="17">
        <v>2.42</v>
      </c>
      <c r="AT590" s="17"/>
      <c r="AU590" s="17">
        <v>1148</v>
      </c>
      <c r="AV590" s="17"/>
      <c r="AW590" s="17">
        <v>2045</v>
      </c>
      <c r="AX590" s="17"/>
      <c r="AY590" t="s">
        <v>92</v>
      </c>
      <c r="AZ590" t="s">
        <v>92</v>
      </c>
      <c r="BA590" t="s">
        <v>92</v>
      </c>
      <c r="BB590" t="s">
        <v>92</v>
      </c>
      <c r="BC590" t="s">
        <v>92</v>
      </c>
      <c r="BD590" t="s">
        <v>92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92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92</v>
      </c>
      <c r="BS590" t="s">
        <v>92</v>
      </c>
      <c r="BT590" t="s">
        <v>92</v>
      </c>
      <c r="BU590" t="s">
        <v>92</v>
      </c>
      <c r="BV590" t="s">
        <v>92</v>
      </c>
      <c r="BW590" t="s">
        <v>92</v>
      </c>
      <c r="BX590" t="s">
        <v>92</v>
      </c>
      <c r="BY590" t="str">
        <f>IF(COUNTIF('Data Upload-prod'!E:E,F590)=0,"Missing","Exist")</f>
        <v>Exist</v>
      </c>
    </row>
    <row r="591" hidden="1" spans="1:77">
      <c r="A591" s="16">
        <v>43181</v>
      </c>
      <c r="B591" s="16">
        <v>43474</v>
      </c>
      <c r="C591" t="s">
        <v>750</v>
      </c>
      <c r="D591" t="s">
        <v>120</v>
      </c>
      <c r="E591" t="s">
        <v>1061</v>
      </c>
      <c r="F591" t="s">
        <v>1080</v>
      </c>
      <c r="G591" t="s">
        <v>81</v>
      </c>
      <c r="H591" t="s">
        <v>198</v>
      </c>
      <c r="I591" t="s">
        <v>83</v>
      </c>
      <c r="J591" s="17">
        <v>92</v>
      </c>
      <c r="K591" s="17">
        <v>2979</v>
      </c>
      <c r="L591" s="17">
        <v>1638</v>
      </c>
      <c r="M591" t="s">
        <v>84</v>
      </c>
      <c r="N591" t="s">
        <v>84</v>
      </c>
      <c r="O591" t="s">
        <v>84</v>
      </c>
      <c r="P591" t="s">
        <v>84</v>
      </c>
      <c r="Q591" s="17">
        <v>17777537</v>
      </c>
      <c r="R591" s="17">
        <v>44.3</v>
      </c>
      <c r="S591" t="s">
        <v>106</v>
      </c>
      <c r="T591" t="s">
        <v>84</v>
      </c>
      <c r="U591" t="s">
        <v>84</v>
      </c>
      <c r="V591" s="16">
        <v>43241</v>
      </c>
      <c r="W591" s="18">
        <v>43240</v>
      </c>
      <c r="X591" s="18">
        <v>43292.0416666667</v>
      </c>
      <c r="Y591" s="17">
        <v>2911.82</v>
      </c>
      <c r="Z591" t="s">
        <v>87</v>
      </c>
      <c r="AA591" s="17">
        <v>3038</v>
      </c>
      <c r="AB591" s="17">
        <v>1617</v>
      </c>
      <c r="AC591" t="s">
        <v>84</v>
      </c>
      <c r="AD591" t="s">
        <v>84</v>
      </c>
      <c r="AE591" t="s">
        <v>84</v>
      </c>
      <c r="AF591" t="s">
        <v>84</v>
      </c>
      <c r="AG591" s="17">
        <v>19857346</v>
      </c>
      <c r="AH591" s="17">
        <v>75.08</v>
      </c>
      <c r="AI591" s="17">
        <v>33.69</v>
      </c>
      <c r="AJ591" s="17">
        <v>33.69</v>
      </c>
      <c r="AK591" t="s">
        <v>89</v>
      </c>
      <c r="AM591" s="17">
        <v>2.4</v>
      </c>
      <c r="AN591" s="17"/>
      <c r="AO591" s="17">
        <v>795</v>
      </c>
      <c r="AP591" s="17"/>
      <c r="AQ591" s="17">
        <v>2160</v>
      </c>
      <c r="AR591" s="17"/>
      <c r="AS591" s="17">
        <v>2.74</v>
      </c>
      <c r="AT591" s="17"/>
      <c r="AU591" s="17">
        <v>686</v>
      </c>
      <c r="AV591" s="17"/>
      <c r="AW591" s="17">
        <v>1159</v>
      </c>
      <c r="AX591" s="17"/>
      <c r="AY591" t="s">
        <v>92</v>
      </c>
      <c r="AZ591" t="s">
        <v>92</v>
      </c>
      <c r="BA591" t="s">
        <v>92</v>
      </c>
      <c r="BB591" t="s">
        <v>92</v>
      </c>
      <c r="BC591" t="s">
        <v>92</v>
      </c>
      <c r="BD591" t="s">
        <v>92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92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92</v>
      </c>
      <c r="BS591" t="s">
        <v>92</v>
      </c>
      <c r="BT591" t="s">
        <v>92</v>
      </c>
      <c r="BU591" t="s">
        <v>92</v>
      </c>
      <c r="BV591" t="s">
        <v>92</v>
      </c>
      <c r="BW591" t="s">
        <v>92</v>
      </c>
      <c r="BX591" t="s">
        <v>92</v>
      </c>
      <c r="BY591" t="str">
        <f>IF(COUNTIF('Data Upload-prod'!E:E,F591)=0,"Missing","Exist")</f>
        <v>Exist</v>
      </c>
    </row>
    <row r="592" hidden="1" spans="1:77">
      <c r="A592" s="16">
        <v>43171</v>
      </c>
      <c r="B592" s="16">
        <v>43312</v>
      </c>
      <c r="C592" t="s">
        <v>269</v>
      </c>
      <c r="D592" t="s">
        <v>78</v>
      </c>
      <c r="E592" t="s">
        <v>1081</v>
      </c>
      <c r="F592" t="s">
        <v>1082</v>
      </c>
      <c r="G592" t="s">
        <v>145</v>
      </c>
      <c r="H592" t="s">
        <v>790</v>
      </c>
      <c r="I592" t="s">
        <v>124</v>
      </c>
      <c r="J592" s="17">
        <v>62.71</v>
      </c>
      <c r="K592" s="17">
        <v>2523.32</v>
      </c>
      <c r="L592" s="17">
        <v>2465.71</v>
      </c>
      <c r="M592" s="17">
        <v>16321322</v>
      </c>
      <c r="N592" s="17">
        <v>16321322</v>
      </c>
      <c r="O592" s="17">
        <v>36.48</v>
      </c>
      <c r="P592" s="17">
        <v>36.48</v>
      </c>
      <c r="Q592" t="s">
        <v>84</v>
      </c>
      <c r="R592" t="s">
        <v>84</v>
      </c>
      <c r="S592" t="s">
        <v>85</v>
      </c>
      <c r="T592" t="s">
        <v>84</v>
      </c>
      <c r="U592" t="s">
        <v>84</v>
      </c>
      <c r="V592" s="16">
        <v>43204</v>
      </c>
      <c r="W592" s="18">
        <v>43202.6666666667</v>
      </c>
      <c r="X592" s="18">
        <v>43250.4166666667</v>
      </c>
      <c r="Y592" s="17">
        <v>2352.54</v>
      </c>
      <c r="Z592" t="s">
        <v>87</v>
      </c>
      <c r="AA592" s="17">
        <v>2444.99</v>
      </c>
      <c r="AB592" s="17">
        <v>2389.31</v>
      </c>
      <c r="AC592" t="s">
        <v>84</v>
      </c>
      <c r="AD592" s="17">
        <v>15500000</v>
      </c>
      <c r="AE592" t="s">
        <v>84</v>
      </c>
      <c r="AF592" s="17">
        <v>47.75</v>
      </c>
      <c r="AG592" t="s">
        <v>84</v>
      </c>
      <c r="AH592" t="s">
        <v>84</v>
      </c>
      <c r="AI592" s="17">
        <v>1.4</v>
      </c>
      <c r="AJ592" s="17">
        <v>1.4</v>
      </c>
      <c r="AK592" t="s">
        <v>295</v>
      </c>
      <c r="AM592" s="17">
        <v>2.7</v>
      </c>
      <c r="AN592" s="17"/>
      <c r="AO592" s="17">
        <v>1490</v>
      </c>
      <c r="AP592" s="17"/>
      <c r="AQ592" s="17">
        <v>2760</v>
      </c>
      <c r="AR592" s="17"/>
      <c r="AS592" s="17">
        <v>3.1</v>
      </c>
      <c r="AT592" s="17"/>
      <c r="AU592" s="17">
        <v>1138</v>
      </c>
      <c r="AV592" s="17"/>
      <c r="AW592" s="17">
        <v>1648</v>
      </c>
      <c r="AX592" s="17"/>
      <c r="AY592" t="s">
        <v>92</v>
      </c>
      <c r="AZ592" t="s">
        <v>92</v>
      </c>
      <c r="BA592" t="s">
        <v>92</v>
      </c>
      <c r="BB592" t="s">
        <v>92</v>
      </c>
      <c r="BC592" t="s">
        <v>92</v>
      </c>
      <c r="BD592" t="s">
        <v>92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92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92</v>
      </c>
      <c r="BS592" t="s">
        <v>92</v>
      </c>
      <c r="BT592" t="s">
        <v>92</v>
      </c>
      <c r="BU592" t="s">
        <v>92</v>
      </c>
      <c r="BV592" t="s">
        <v>92</v>
      </c>
      <c r="BW592" t="s">
        <v>92</v>
      </c>
      <c r="BX592" t="s">
        <v>92</v>
      </c>
      <c r="BY592" t="str">
        <f>IF(COUNTIF('Data Upload-prod'!E:E,F592)=0,"Missing","Exist")</f>
        <v>Exist</v>
      </c>
    </row>
    <row r="593" hidden="1" spans="1:77">
      <c r="A593" s="16">
        <v>43167</v>
      </c>
      <c r="B593" s="16">
        <v>43419</v>
      </c>
      <c r="C593" t="s">
        <v>750</v>
      </c>
      <c r="D593" t="s">
        <v>120</v>
      </c>
      <c r="E593" t="s">
        <v>1061</v>
      </c>
      <c r="F593" t="s">
        <v>1083</v>
      </c>
      <c r="G593" t="s">
        <v>81</v>
      </c>
      <c r="H593" t="s">
        <v>198</v>
      </c>
      <c r="I593" t="s">
        <v>83</v>
      </c>
      <c r="J593" s="17">
        <v>92</v>
      </c>
      <c r="K593" s="17">
        <v>2861</v>
      </c>
      <c r="L593" s="17">
        <v>1360</v>
      </c>
      <c r="M593" t="s">
        <v>84</v>
      </c>
      <c r="N593" t="s">
        <v>84</v>
      </c>
      <c r="O593" t="s">
        <v>84</v>
      </c>
      <c r="P593" t="s">
        <v>84</v>
      </c>
      <c r="Q593" s="17">
        <v>14393635</v>
      </c>
      <c r="R593" s="17">
        <v>29.9</v>
      </c>
      <c r="S593" t="s">
        <v>85</v>
      </c>
      <c r="T593" t="s">
        <v>84</v>
      </c>
      <c r="U593" t="s">
        <v>84</v>
      </c>
      <c r="V593" s="16">
        <v>43285</v>
      </c>
      <c r="W593" s="18">
        <v>43197.375</v>
      </c>
      <c r="X593" s="18">
        <v>43413.375</v>
      </c>
      <c r="Y593" s="17">
        <v>2731.82</v>
      </c>
      <c r="Z593" t="s">
        <v>87</v>
      </c>
      <c r="AA593" s="17">
        <v>2858</v>
      </c>
      <c r="AB593" s="17">
        <v>1360.54</v>
      </c>
      <c r="AC593" t="s">
        <v>84</v>
      </c>
      <c r="AD593" t="s">
        <v>84</v>
      </c>
      <c r="AE593" t="s">
        <v>84</v>
      </c>
      <c r="AF593" t="s">
        <v>84</v>
      </c>
      <c r="AG593" s="17">
        <v>8554231</v>
      </c>
      <c r="AH593" s="17">
        <v>25.05</v>
      </c>
      <c r="AI593" s="17">
        <v>3.87</v>
      </c>
      <c r="AJ593" s="17">
        <v>3.74</v>
      </c>
      <c r="AK593" t="s">
        <v>114</v>
      </c>
      <c r="AM593" s="17">
        <v>2.2</v>
      </c>
      <c r="AN593" s="17"/>
      <c r="AO593" s="17">
        <v>915</v>
      </c>
      <c r="AP593" s="17"/>
      <c r="AQ593" s="17">
        <v>1580</v>
      </c>
      <c r="AR593" s="17"/>
      <c r="AS593" s="17">
        <v>1.8</v>
      </c>
      <c r="AT593" s="17"/>
      <c r="AU593" s="17">
        <v>529</v>
      </c>
      <c r="AV593" s="17"/>
      <c r="AW593" s="17">
        <v>956</v>
      </c>
      <c r="AX593" s="17"/>
      <c r="AY593" t="s">
        <v>92</v>
      </c>
      <c r="AZ593" t="s">
        <v>92</v>
      </c>
      <c r="BA593" t="s">
        <v>92</v>
      </c>
      <c r="BB593" t="s">
        <v>92</v>
      </c>
      <c r="BC593" t="s">
        <v>92</v>
      </c>
      <c r="BD593" t="s">
        <v>92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92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92</v>
      </c>
      <c r="BS593" t="s">
        <v>92</v>
      </c>
      <c r="BT593" t="s">
        <v>92</v>
      </c>
      <c r="BU593" t="s">
        <v>92</v>
      </c>
      <c r="BV593" t="s">
        <v>92</v>
      </c>
      <c r="BW593" t="s">
        <v>92</v>
      </c>
      <c r="BX593" t="s">
        <v>92</v>
      </c>
      <c r="BY593" t="str">
        <f>IF(COUNTIF('Data Upload-prod'!E:E,F593)=0,"Missing","Exist")</f>
        <v>Exist</v>
      </c>
    </row>
    <row r="594" hidden="1" spans="1:77">
      <c r="A594" s="16">
        <v>43151</v>
      </c>
      <c r="B594" s="16">
        <v>43263</v>
      </c>
      <c r="C594" t="s">
        <v>269</v>
      </c>
      <c r="D594" t="s">
        <v>78</v>
      </c>
      <c r="E594" t="s">
        <v>270</v>
      </c>
      <c r="F594" t="s">
        <v>1084</v>
      </c>
      <c r="G594" t="s">
        <v>145</v>
      </c>
      <c r="H594" t="s">
        <v>790</v>
      </c>
      <c r="I594" t="s">
        <v>124</v>
      </c>
      <c r="J594" s="17">
        <v>70.1</v>
      </c>
      <c r="K594" s="17">
        <v>2374.28</v>
      </c>
      <c r="L594" s="17">
        <v>2132.89</v>
      </c>
      <c r="M594" s="17">
        <v>24992000</v>
      </c>
      <c r="N594" s="17">
        <v>24992000</v>
      </c>
      <c r="O594" s="17">
        <v>66.2</v>
      </c>
      <c r="P594" s="17">
        <v>66.2</v>
      </c>
      <c r="Q594" t="s">
        <v>84</v>
      </c>
      <c r="R594" t="s">
        <v>84</v>
      </c>
      <c r="S594" t="s">
        <v>85</v>
      </c>
      <c r="T594" t="s">
        <v>84</v>
      </c>
      <c r="U594" t="s">
        <v>84</v>
      </c>
      <c r="V594" s="16">
        <v>43174.7916666667</v>
      </c>
      <c r="W594" s="18">
        <v>43172.75</v>
      </c>
      <c r="X594" s="18">
        <v>43202.6666666667</v>
      </c>
      <c r="Y594" s="17">
        <v>2274.75</v>
      </c>
      <c r="Z594" t="s">
        <v>87</v>
      </c>
      <c r="AA594" s="17">
        <v>2374.58</v>
      </c>
      <c r="AB594" s="17">
        <v>2134.72</v>
      </c>
      <c r="AC594" t="s">
        <v>84</v>
      </c>
      <c r="AD594" s="17">
        <v>9470000</v>
      </c>
      <c r="AE594" t="s">
        <v>84</v>
      </c>
      <c r="AF594" s="17">
        <v>29.92</v>
      </c>
      <c r="AG594" t="s">
        <v>84</v>
      </c>
      <c r="AH594" t="s">
        <v>84</v>
      </c>
      <c r="AI594" s="17">
        <v>7.87</v>
      </c>
      <c r="AJ594" s="17">
        <v>7.87</v>
      </c>
      <c r="AK594" t="s">
        <v>295</v>
      </c>
      <c r="AM594" s="17">
        <v>2.7</v>
      </c>
      <c r="AN594" s="17"/>
      <c r="AO594" s="17">
        <v>1490</v>
      </c>
      <c r="AP594" s="17"/>
      <c r="AQ594" s="17">
        <v>2760</v>
      </c>
      <c r="AR594" s="17"/>
      <c r="AS594" s="17">
        <v>1.97</v>
      </c>
      <c r="AT594" s="17"/>
      <c r="AU594" s="17">
        <v>691.3</v>
      </c>
      <c r="AV594" s="17"/>
      <c r="AW594" s="17">
        <v>1196.9</v>
      </c>
      <c r="AX594" s="17"/>
      <c r="AY594" t="s">
        <v>92</v>
      </c>
      <c r="AZ594" t="s">
        <v>92</v>
      </c>
      <c r="BA594" t="s">
        <v>92</v>
      </c>
      <c r="BB594" t="s">
        <v>92</v>
      </c>
      <c r="BC594" t="s">
        <v>92</v>
      </c>
      <c r="BD594" t="s">
        <v>92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92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92</v>
      </c>
      <c r="BS594" t="s">
        <v>92</v>
      </c>
      <c r="BT594" t="s">
        <v>92</v>
      </c>
      <c r="BU594" t="s">
        <v>92</v>
      </c>
      <c r="BV594" t="s">
        <v>92</v>
      </c>
      <c r="BW594" t="s">
        <v>92</v>
      </c>
      <c r="BX594" t="s">
        <v>92</v>
      </c>
      <c r="BY594" t="str">
        <f>IF(COUNTIF('Data Upload-prod'!E:E,F594)=0,"Missing","Exist")</f>
        <v>Exist</v>
      </c>
    </row>
    <row r="595" hidden="1" spans="1:77">
      <c r="A595" s="16">
        <v>43126</v>
      </c>
      <c r="B595" s="16">
        <v>43259</v>
      </c>
      <c r="C595" t="s">
        <v>132</v>
      </c>
      <c r="D595" t="s">
        <v>142</v>
      </c>
      <c r="E595" t="s">
        <v>170</v>
      </c>
      <c r="F595" t="s">
        <v>1085</v>
      </c>
      <c r="G595" t="s">
        <v>81</v>
      </c>
      <c r="H595" t="s">
        <v>172</v>
      </c>
      <c r="I595" t="s">
        <v>124</v>
      </c>
      <c r="J595" s="17">
        <v>46.94</v>
      </c>
      <c r="K595" s="17">
        <v>3563.85</v>
      </c>
      <c r="L595" s="17">
        <v>2297.78</v>
      </c>
      <c r="M595" t="s">
        <v>84</v>
      </c>
      <c r="N595" t="s">
        <v>84</v>
      </c>
      <c r="O595" t="s">
        <v>84</v>
      </c>
      <c r="P595" t="s">
        <v>84</v>
      </c>
      <c r="Q595" s="17">
        <v>8450000</v>
      </c>
      <c r="R595" s="17">
        <v>29.67</v>
      </c>
      <c r="S595" t="s">
        <v>85</v>
      </c>
      <c r="T595" t="s">
        <v>84</v>
      </c>
      <c r="U595" t="s">
        <v>84</v>
      </c>
      <c r="V595" t="s">
        <v>84</v>
      </c>
      <c r="W595" s="18">
        <v>43195.5625</v>
      </c>
      <c r="X595" s="18">
        <v>43230.4791666667</v>
      </c>
      <c r="Y595" s="17">
        <v>3285.28</v>
      </c>
      <c r="Z595" t="s">
        <v>87</v>
      </c>
      <c r="AA595" s="17">
        <v>3376.1</v>
      </c>
      <c r="AB595" s="17">
        <v>2140.51</v>
      </c>
      <c r="AC595" t="s">
        <v>84</v>
      </c>
      <c r="AD595" t="s">
        <v>84</v>
      </c>
      <c r="AE595" t="s">
        <v>84</v>
      </c>
      <c r="AF595" t="s">
        <v>84</v>
      </c>
      <c r="AG595" s="17">
        <v>6736553</v>
      </c>
      <c r="AH595" s="17">
        <v>27.94</v>
      </c>
      <c r="AI595" s="17">
        <v>9.4</v>
      </c>
      <c r="AJ595" s="17">
        <v>9.4</v>
      </c>
      <c r="AK595" t="s">
        <v>298</v>
      </c>
      <c r="AM595" s="17">
        <v>1.8</v>
      </c>
      <c r="AN595" s="17"/>
      <c r="AO595" s="17">
        <v>600</v>
      </c>
      <c r="AP595" s="17"/>
      <c r="AQ595" s="17">
        <v>1670</v>
      </c>
      <c r="AR595" s="17"/>
      <c r="AS595" s="17">
        <v>1.27</v>
      </c>
      <c r="AT595" s="17"/>
      <c r="AU595" s="17">
        <v>317.52</v>
      </c>
      <c r="AV595" s="17"/>
      <c r="AW595" s="17">
        <v>807.11</v>
      </c>
      <c r="AX595" s="17"/>
      <c r="AY595" t="s">
        <v>92</v>
      </c>
      <c r="AZ595" t="s">
        <v>92</v>
      </c>
      <c r="BA595" t="s">
        <v>92</v>
      </c>
      <c r="BB595" t="s">
        <v>92</v>
      </c>
      <c r="BC595" t="s">
        <v>92</v>
      </c>
      <c r="BD595" t="s">
        <v>92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92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92</v>
      </c>
      <c r="BS595" t="s">
        <v>92</v>
      </c>
      <c r="BT595" t="s">
        <v>92</v>
      </c>
      <c r="BU595" t="s">
        <v>92</v>
      </c>
      <c r="BV595" t="s">
        <v>92</v>
      </c>
      <c r="BW595" t="s">
        <v>92</v>
      </c>
      <c r="BX595" t="s">
        <v>92</v>
      </c>
      <c r="BY595" t="str">
        <f>IF(COUNTIF('Data Upload-prod'!E:E,F595)=0,"Missing","Exist")</f>
        <v>Exist</v>
      </c>
    </row>
    <row r="596" hidden="1" spans="1:77">
      <c r="A596" s="16">
        <v>43126</v>
      </c>
      <c r="B596" s="16">
        <v>43242</v>
      </c>
      <c r="C596" t="s">
        <v>132</v>
      </c>
      <c r="D596" t="s">
        <v>142</v>
      </c>
      <c r="E596" t="s">
        <v>170</v>
      </c>
      <c r="F596" t="s">
        <v>1086</v>
      </c>
      <c r="G596" t="s">
        <v>81</v>
      </c>
      <c r="H596" t="s">
        <v>172</v>
      </c>
      <c r="I596" t="s">
        <v>124</v>
      </c>
      <c r="J596" s="17">
        <v>46.94</v>
      </c>
      <c r="K596" s="17">
        <v>2672.66</v>
      </c>
      <c r="L596" s="17">
        <v>2149.65</v>
      </c>
      <c r="M596" t="s">
        <v>84</v>
      </c>
      <c r="N596" t="s">
        <v>84</v>
      </c>
      <c r="O596" t="s">
        <v>84</v>
      </c>
      <c r="P596" t="s">
        <v>84</v>
      </c>
      <c r="Q596" s="17">
        <v>9665069.23</v>
      </c>
      <c r="R596" s="17">
        <v>25.29</v>
      </c>
      <c r="S596" t="s">
        <v>85</v>
      </c>
      <c r="T596" t="s">
        <v>84</v>
      </c>
      <c r="U596" t="s">
        <v>84</v>
      </c>
      <c r="V596" s="16">
        <v>43149</v>
      </c>
      <c r="W596" s="18">
        <v>43149</v>
      </c>
      <c r="X596" s="18">
        <v>43186</v>
      </c>
      <c r="Y596" s="17">
        <v>2731.07</v>
      </c>
      <c r="Z596" t="s">
        <v>87</v>
      </c>
      <c r="AA596" s="17">
        <v>2812.56</v>
      </c>
      <c r="AB596" s="17">
        <v>2161.05</v>
      </c>
      <c r="AC596" t="s">
        <v>84</v>
      </c>
      <c r="AD596" t="s">
        <v>84</v>
      </c>
      <c r="AE596" t="s">
        <v>84</v>
      </c>
      <c r="AF596" t="s">
        <v>84</v>
      </c>
      <c r="AG596" s="17">
        <v>10107084.35</v>
      </c>
      <c r="AH596" s="17">
        <v>36.58</v>
      </c>
      <c r="AI596" s="17">
        <v>9.85</v>
      </c>
      <c r="AJ596" s="17">
        <v>9.85</v>
      </c>
      <c r="AK596" t="s">
        <v>298</v>
      </c>
      <c r="AM596" s="17">
        <v>1.8</v>
      </c>
      <c r="AN596" s="17"/>
      <c r="AO596" s="17">
        <v>600</v>
      </c>
      <c r="AP596" s="17"/>
      <c r="AQ596" s="17">
        <v>1670</v>
      </c>
      <c r="AR596" s="17"/>
      <c r="AS596" s="17">
        <v>1.84</v>
      </c>
      <c r="AT596" s="17"/>
      <c r="AU596" s="17">
        <v>486</v>
      </c>
      <c r="AV596" s="17"/>
      <c r="AW596" s="17">
        <v>1595</v>
      </c>
      <c r="AX596" s="17"/>
      <c r="AY596" t="s">
        <v>92</v>
      </c>
      <c r="AZ596" t="s">
        <v>92</v>
      </c>
      <c r="BA596" t="s">
        <v>92</v>
      </c>
      <c r="BB596" t="s">
        <v>92</v>
      </c>
      <c r="BC596" t="s">
        <v>92</v>
      </c>
      <c r="BD596" t="s">
        <v>92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92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92</v>
      </c>
      <c r="BS596" t="s">
        <v>92</v>
      </c>
      <c r="BT596" t="s">
        <v>92</v>
      </c>
      <c r="BU596" t="s">
        <v>92</v>
      </c>
      <c r="BV596" t="s">
        <v>92</v>
      </c>
      <c r="BW596" t="s">
        <v>92</v>
      </c>
      <c r="BX596" t="s">
        <v>92</v>
      </c>
      <c r="BY596" t="str">
        <f>IF(COUNTIF('Data Upload-prod'!E:E,F596)=0,"Missing","Exist")</f>
        <v>Exist</v>
      </c>
    </row>
    <row r="597" hidden="1" spans="1:77">
      <c r="A597" s="16">
        <v>43125</v>
      </c>
      <c r="B597" s="16">
        <v>43223</v>
      </c>
      <c r="C597" t="s">
        <v>151</v>
      </c>
      <c r="D597" t="s">
        <v>142</v>
      </c>
      <c r="E597" t="s">
        <v>166</v>
      </c>
      <c r="F597" t="s">
        <v>1087</v>
      </c>
      <c r="G597" t="s">
        <v>81</v>
      </c>
      <c r="H597" t="s">
        <v>168</v>
      </c>
      <c r="I597" t="s">
        <v>124</v>
      </c>
      <c r="J597" s="17">
        <v>54.25</v>
      </c>
      <c r="K597" s="17">
        <v>3892.11</v>
      </c>
      <c r="L597" s="17">
        <v>3323.68</v>
      </c>
      <c r="M597" t="s">
        <v>84</v>
      </c>
      <c r="N597" t="s">
        <v>84</v>
      </c>
      <c r="O597" t="s">
        <v>84</v>
      </c>
      <c r="P597" t="s">
        <v>84</v>
      </c>
      <c r="Q597" s="17">
        <v>15980000</v>
      </c>
      <c r="R597" s="17">
        <v>35</v>
      </c>
      <c r="S597" t="s">
        <v>85</v>
      </c>
      <c r="T597" t="s">
        <v>84</v>
      </c>
      <c r="U597" t="s">
        <v>84</v>
      </c>
      <c r="V597" s="16">
        <v>43139</v>
      </c>
      <c r="W597" s="18">
        <v>43138.5416666667</v>
      </c>
      <c r="X597" s="18">
        <v>43166.5833333333</v>
      </c>
      <c r="Y597" s="17">
        <v>3817.43</v>
      </c>
      <c r="Z597" t="s">
        <v>87</v>
      </c>
      <c r="AA597" s="17">
        <v>3911.92</v>
      </c>
      <c r="AB597" s="17">
        <v>3343.45</v>
      </c>
      <c r="AC597" t="s">
        <v>84</v>
      </c>
      <c r="AD597" t="s">
        <v>84</v>
      </c>
      <c r="AE597" t="s">
        <v>84</v>
      </c>
      <c r="AF597" t="s">
        <v>84</v>
      </c>
      <c r="AG597" s="17">
        <v>13339603</v>
      </c>
      <c r="AH597" s="17">
        <v>29.04</v>
      </c>
      <c r="AI597" s="17">
        <v>1.65</v>
      </c>
      <c r="AJ597" s="17">
        <v>1.65</v>
      </c>
      <c r="AK597" t="s">
        <v>208</v>
      </c>
      <c r="AM597" s="17">
        <v>1.7</v>
      </c>
      <c r="AN597" s="17"/>
      <c r="AO597" s="17">
        <v>720</v>
      </c>
      <c r="AP597" s="17"/>
      <c r="AQ597" s="17">
        <v>1285</v>
      </c>
      <c r="AR597" s="17"/>
      <c r="AS597" s="17">
        <v>1.039999962</v>
      </c>
      <c r="AT597" s="17"/>
      <c r="AU597" s="17">
        <v>385.9700012</v>
      </c>
      <c r="AV597" s="17"/>
      <c r="AW597" s="17">
        <v>1064.609985</v>
      </c>
      <c r="AX597" s="17"/>
      <c r="AY597" t="s">
        <v>92</v>
      </c>
      <c r="AZ597" t="s">
        <v>92</v>
      </c>
      <c r="BA597" t="s">
        <v>92</v>
      </c>
      <c r="BB597" t="s">
        <v>92</v>
      </c>
      <c r="BC597" t="s">
        <v>92</v>
      </c>
      <c r="BD597" t="s">
        <v>92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92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92</v>
      </c>
      <c r="BS597" t="s">
        <v>92</v>
      </c>
      <c r="BT597" t="s">
        <v>92</v>
      </c>
      <c r="BU597" t="s">
        <v>92</v>
      </c>
      <c r="BV597" t="s">
        <v>92</v>
      </c>
      <c r="BW597" t="s">
        <v>92</v>
      </c>
      <c r="BX597" t="s">
        <v>92</v>
      </c>
      <c r="BY597" t="str">
        <f>IF(COUNTIF('Data Upload-prod'!E:E,F597)=0,"Missing","Exist")</f>
        <v>Exist</v>
      </c>
    </row>
    <row r="598" hidden="1" spans="1:77">
      <c r="A598" s="16">
        <v>43118</v>
      </c>
      <c r="B598" s="16">
        <v>43234</v>
      </c>
      <c r="C598" t="s">
        <v>269</v>
      </c>
      <c r="D598" t="s">
        <v>78</v>
      </c>
      <c r="E598" t="s">
        <v>270</v>
      </c>
      <c r="F598" t="s">
        <v>1088</v>
      </c>
      <c r="G598" t="s">
        <v>145</v>
      </c>
      <c r="H598" t="s">
        <v>790</v>
      </c>
      <c r="I598" t="s">
        <v>124</v>
      </c>
      <c r="J598" s="17">
        <v>65.22</v>
      </c>
      <c r="K598" s="17">
        <v>1911</v>
      </c>
      <c r="L598" s="17">
        <v>1900.94</v>
      </c>
      <c r="M598" s="17">
        <v>16100000</v>
      </c>
      <c r="N598" s="17">
        <v>16100000</v>
      </c>
      <c r="O598" s="17">
        <v>41.7</v>
      </c>
      <c r="P598" s="17">
        <v>41.7</v>
      </c>
      <c r="Q598" t="s">
        <v>84</v>
      </c>
      <c r="R598" t="s">
        <v>84</v>
      </c>
      <c r="S598" t="s">
        <v>85</v>
      </c>
      <c r="T598" t="s">
        <v>84</v>
      </c>
      <c r="U598" t="s">
        <v>84</v>
      </c>
      <c r="V598" s="16">
        <v>43149</v>
      </c>
      <c r="W598" s="18">
        <v>43146.7916666667</v>
      </c>
      <c r="X598" s="18">
        <v>43172.75</v>
      </c>
      <c r="Y598" s="17">
        <v>1838.29</v>
      </c>
      <c r="Z598" t="s">
        <v>87</v>
      </c>
      <c r="AA598" s="17">
        <v>1933.25</v>
      </c>
      <c r="AB598" s="17">
        <v>1923.29</v>
      </c>
      <c r="AC598" t="s">
        <v>84</v>
      </c>
      <c r="AD598" s="17">
        <v>8200000</v>
      </c>
      <c r="AE598" t="s">
        <v>84</v>
      </c>
      <c r="AF598" s="17">
        <v>25.42</v>
      </c>
      <c r="AG598" t="s">
        <v>84</v>
      </c>
      <c r="AH598" t="s">
        <v>84</v>
      </c>
      <c r="AI598" s="17">
        <v>16.8</v>
      </c>
      <c r="AJ598" s="17">
        <v>3.77</v>
      </c>
      <c r="AK598" t="s">
        <v>295</v>
      </c>
      <c r="AM598" s="17">
        <v>2.7</v>
      </c>
      <c r="AN598" s="17"/>
      <c r="AO598" s="17">
        <v>1490</v>
      </c>
      <c r="AP598" s="17"/>
      <c r="AQ598" s="17">
        <v>2760</v>
      </c>
      <c r="AR598" s="17"/>
      <c r="AS598" s="17">
        <v>1.7</v>
      </c>
      <c r="AT598" s="17"/>
      <c r="AU598" s="17">
        <v>667.1</v>
      </c>
      <c r="AV598" s="17"/>
      <c r="AW598" s="17">
        <v>1215.9</v>
      </c>
      <c r="AX598" s="17"/>
      <c r="AY598" t="s">
        <v>92</v>
      </c>
      <c r="AZ598" t="s">
        <v>92</v>
      </c>
      <c r="BA598" t="s">
        <v>92</v>
      </c>
      <c r="BB598" t="s">
        <v>92</v>
      </c>
      <c r="BC598" t="s">
        <v>92</v>
      </c>
      <c r="BD598" t="s">
        <v>92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92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92</v>
      </c>
      <c r="BS598" t="s">
        <v>92</v>
      </c>
      <c r="BT598" t="s">
        <v>92</v>
      </c>
      <c r="BU598" t="s">
        <v>92</v>
      </c>
      <c r="BV598" t="s">
        <v>92</v>
      </c>
      <c r="BW598" t="s">
        <v>92</v>
      </c>
      <c r="BX598" t="s">
        <v>92</v>
      </c>
      <c r="BY598" t="str">
        <f>IF(COUNTIF('Data Upload-prod'!E:E,F598)=0,"Missing","Exist")</f>
        <v>Exist</v>
      </c>
    </row>
    <row r="599" hidden="1" spans="1:77">
      <c r="A599" s="16">
        <v>43070</v>
      </c>
      <c r="B599" s="16">
        <v>43193</v>
      </c>
      <c r="C599" t="s">
        <v>151</v>
      </c>
      <c r="D599" t="s">
        <v>142</v>
      </c>
      <c r="E599" t="s">
        <v>166</v>
      </c>
      <c r="F599" t="s">
        <v>1089</v>
      </c>
      <c r="G599" t="s">
        <v>81</v>
      </c>
      <c r="H599" t="s">
        <v>168</v>
      </c>
      <c r="I599" t="s">
        <v>124</v>
      </c>
      <c r="J599" s="17">
        <v>54.25</v>
      </c>
      <c r="K599" s="17">
        <v>3647.36</v>
      </c>
      <c r="L599" s="17">
        <v>2832</v>
      </c>
      <c r="M599" t="s">
        <v>84</v>
      </c>
      <c r="N599" t="s">
        <v>84</v>
      </c>
      <c r="O599" t="s">
        <v>84</v>
      </c>
      <c r="P599" t="s">
        <v>84</v>
      </c>
      <c r="Q599" s="17">
        <v>13934424</v>
      </c>
      <c r="R599" s="17">
        <v>31.19</v>
      </c>
      <c r="S599" t="s">
        <v>85</v>
      </c>
      <c r="T599" t="s">
        <v>84</v>
      </c>
      <c r="U599" t="s">
        <v>84</v>
      </c>
      <c r="V599" s="16">
        <v>43114</v>
      </c>
      <c r="W599" s="18">
        <v>43112.5833333333</v>
      </c>
      <c r="X599" s="18">
        <v>43138.5416666667</v>
      </c>
      <c r="Y599" s="17">
        <v>3470.28</v>
      </c>
      <c r="Z599" t="s">
        <v>87</v>
      </c>
      <c r="AA599" s="17">
        <v>3564.77</v>
      </c>
      <c r="AB599" s="17">
        <v>2764.34</v>
      </c>
      <c r="AC599" t="s">
        <v>84</v>
      </c>
      <c r="AD599" t="s">
        <v>84</v>
      </c>
      <c r="AE599" t="s">
        <v>84</v>
      </c>
      <c r="AF599" t="s">
        <v>84</v>
      </c>
      <c r="AG599" s="17">
        <v>11415200.41</v>
      </c>
      <c r="AH599" s="17">
        <v>25.96</v>
      </c>
      <c r="AI599" s="17">
        <v>5.22</v>
      </c>
      <c r="AJ599" s="17">
        <v>1.68</v>
      </c>
      <c r="AK599" t="s">
        <v>208</v>
      </c>
      <c r="AM599" s="17">
        <v>1.7</v>
      </c>
      <c r="AN599" s="17"/>
      <c r="AO599" s="17">
        <v>720</v>
      </c>
      <c r="AP599" s="17"/>
      <c r="AQ599" s="17">
        <v>1285</v>
      </c>
      <c r="AR599" s="17"/>
      <c r="AS599" s="13" t="s">
        <v>150</v>
      </c>
      <c r="AT599"/>
      <c r="AU599" s="13" t="s">
        <v>150</v>
      </c>
      <c r="AW599" s="13" t="s">
        <v>150</v>
      </c>
      <c r="AY599" t="s">
        <v>92</v>
      </c>
      <c r="AZ599" t="s">
        <v>92</v>
      </c>
      <c r="BA599" t="s">
        <v>92</v>
      </c>
      <c r="BB599" t="s">
        <v>92</v>
      </c>
      <c r="BC599" t="s">
        <v>92</v>
      </c>
      <c r="BD599" t="s">
        <v>92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92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92</v>
      </c>
      <c r="BS599" t="s">
        <v>92</v>
      </c>
      <c r="BT599" t="s">
        <v>92</v>
      </c>
      <c r="BU599" t="s">
        <v>92</v>
      </c>
      <c r="BV599" t="s">
        <v>92</v>
      </c>
      <c r="BW599" t="s">
        <v>92</v>
      </c>
      <c r="BX599" t="s">
        <v>92</v>
      </c>
      <c r="BY599" t="str">
        <f>IF(COUNTIF('Data Upload-prod'!E:E,F599)=0,"Missing","Exist")</f>
        <v>Exist</v>
      </c>
    </row>
    <row r="600" hidden="1" spans="1:77">
      <c r="A600" s="16">
        <v>43068</v>
      </c>
      <c r="B600" s="16">
        <v>43168</v>
      </c>
      <c r="C600" t="s">
        <v>151</v>
      </c>
      <c r="D600" t="s">
        <v>142</v>
      </c>
      <c r="E600" t="s">
        <v>166</v>
      </c>
      <c r="F600" t="s">
        <v>1090</v>
      </c>
      <c r="G600" t="s">
        <v>81</v>
      </c>
      <c r="H600" t="s">
        <v>168</v>
      </c>
      <c r="I600" t="s">
        <v>124</v>
      </c>
      <c r="J600" s="17">
        <v>54.25</v>
      </c>
      <c r="K600" s="17">
        <v>2933.56</v>
      </c>
      <c r="L600" s="17">
        <v>2682.11</v>
      </c>
      <c r="M600" t="s">
        <v>84</v>
      </c>
      <c r="N600" t="s">
        <v>84</v>
      </c>
      <c r="O600" t="s">
        <v>84</v>
      </c>
      <c r="P600" t="s">
        <v>84</v>
      </c>
      <c r="Q600" s="17">
        <v>14200000</v>
      </c>
      <c r="R600" s="17">
        <v>29.4</v>
      </c>
      <c r="S600" t="s">
        <v>85</v>
      </c>
      <c r="T600" t="s">
        <v>84</v>
      </c>
      <c r="U600" t="s">
        <v>84</v>
      </c>
      <c r="V600" s="16">
        <v>43091</v>
      </c>
      <c r="W600" s="18">
        <v>43090.3541666667</v>
      </c>
      <c r="X600" s="18">
        <v>43112.5833333333</v>
      </c>
      <c r="Y600" s="17">
        <v>2731.73</v>
      </c>
      <c r="Z600" t="s">
        <v>87</v>
      </c>
      <c r="AA600" s="17">
        <v>2826.21</v>
      </c>
      <c r="AB600" s="17">
        <v>2601.66</v>
      </c>
      <c r="AC600" t="s">
        <v>84</v>
      </c>
      <c r="AD600" t="s">
        <v>84</v>
      </c>
      <c r="AE600" t="s">
        <v>84</v>
      </c>
      <c r="AF600" t="s">
        <v>84</v>
      </c>
      <c r="AG600" s="17">
        <v>10970000</v>
      </c>
      <c r="AH600" s="17">
        <v>22.23</v>
      </c>
      <c r="AI600" s="17">
        <v>7.97</v>
      </c>
      <c r="AJ600" s="17">
        <v>7.87</v>
      </c>
      <c r="AK600" t="s">
        <v>208</v>
      </c>
      <c r="AM600" s="17">
        <v>1.7</v>
      </c>
      <c r="AN600" s="17"/>
      <c r="AO600" s="17">
        <v>720</v>
      </c>
      <c r="AP600" s="17"/>
      <c r="AQ600" s="17">
        <v>1285</v>
      </c>
      <c r="AR600" s="17"/>
      <c r="AS600" s="13" t="s">
        <v>150</v>
      </c>
      <c r="AT600"/>
      <c r="AU600" s="13" t="s">
        <v>150</v>
      </c>
      <c r="AW600" s="13" t="s">
        <v>150</v>
      </c>
      <c r="AY600" t="s">
        <v>92</v>
      </c>
      <c r="AZ600" t="s">
        <v>92</v>
      </c>
      <c r="BA600" t="s">
        <v>92</v>
      </c>
      <c r="BB600" t="s">
        <v>92</v>
      </c>
      <c r="BC600" t="s">
        <v>92</v>
      </c>
      <c r="BD600" t="s">
        <v>92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92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92</v>
      </c>
      <c r="BS600" t="s">
        <v>92</v>
      </c>
      <c r="BT600" t="s">
        <v>92</v>
      </c>
      <c r="BU600" t="s">
        <v>92</v>
      </c>
      <c r="BV600" t="s">
        <v>92</v>
      </c>
      <c r="BW600" t="s">
        <v>92</v>
      </c>
      <c r="BX600" t="s">
        <v>92</v>
      </c>
      <c r="BY600" t="str">
        <f>IF(COUNTIF('Data Upload-prod'!E:E,F600)=0,"Missing","Exist")</f>
        <v>Exist</v>
      </c>
    </row>
    <row r="601" hidden="1" spans="1:77">
      <c r="A601" s="16">
        <v>43058</v>
      </c>
      <c r="B601" s="16">
        <v>43251</v>
      </c>
      <c r="C601" t="s">
        <v>132</v>
      </c>
      <c r="D601" t="s">
        <v>78</v>
      </c>
      <c r="E601" t="s">
        <v>628</v>
      </c>
      <c r="F601" t="s">
        <v>1091</v>
      </c>
      <c r="G601" t="s">
        <v>81</v>
      </c>
      <c r="H601" t="s">
        <v>198</v>
      </c>
      <c r="I601" t="s">
        <v>83</v>
      </c>
      <c r="J601" s="17">
        <v>74.2</v>
      </c>
      <c r="K601" s="17">
        <v>1602.3</v>
      </c>
      <c r="L601" s="17">
        <v>1532.6</v>
      </c>
      <c r="M601" t="s">
        <v>84</v>
      </c>
      <c r="N601" t="s">
        <v>84</v>
      </c>
      <c r="O601" t="s">
        <v>84</v>
      </c>
      <c r="P601" t="s">
        <v>84</v>
      </c>
      <c r="Q601" s="17">
        <v>12225873.42</v>
      </c>
      <c r="R601" s="17">
        <v>30.35</v>
      </c>
      <c r="S601" t="s">
        <v>85</v>
      </c>
      <c r="T601" t="s">
        <v>84</v>
      </c>
      <c r="U601" t="s">
        <v>86</v>
      </c>
      <c r="V601" s="16">
        <v>43200</v>
      </c>
      <c r="W601" s="18">
        <v>43200</v>
      </c>
      <c r="X601" s="18">
        <v>43210.25</v>
      </c>
      <c r="Y601" s="17">
        <v>1512.25</v>
      </c>
      <c r="Z601" t="s">
        <v>87</v>
      </c>
      <c r="AA601" s="17">
        <v>1619</v>
      </c>
      <c r="AB601" s="17">
        <v>1559.4</v>
      </c>
      <c r="AC601" t="s">
        <v>84</v>
      </c>
      <c r="AD601" t="s">
        <v>84</v>
      </c>
      <c r="AE601" t="s">
        <v>84</v>
      </c>
      <c r="AF601" t="s">
        <v>84</v>
      </c>
      <c r="AG601" s="17">
        <v>9008949.64</v>
      </c>
      <c r="AH601" s="17">
        <v>26.33</v>
      </c>
      <c r="AI601" s="17">
        <v>9.5</v>
      </c>
      <c r="AJ601" s="17">
        <v>9.5</v>
      </c>
      <c r="AK601" t="s">
        <v>298</v>
      </c>
      <c r="AM601" s="17">
        <v>1.8</v>
      </c>
      <c r="AN601" s="17"/>
      <c r="AO601" s="17">
        <v>600</v>
      </c>
      <c r="AP601" s="17"/>
      <c r="AQ601" s="17">
        <v>2170</v>
      </c>
      <c r="AR601" s="17"/>
      <c r="AS601" s="17">
        <v>1.61</v>
      </c>
      <c r="AT601" s="17"/>
      <c r="AU601" s="17">
        <v>479.71</v>
      </c>
      <c r="AV601" s="17"/>
      <c r="AW601" s="17">
        <v>2139.24</v>
      </c>
      <c r="AX601" s="17"/>
      <c r="AY601" t="s">
        <v>92</v>
      </c>
      <c r="AZ601" t="s">
        <v>92</v>
      </c>
      <c r="BA601" t="s">
        <v>92</v>
      </c>
      <c r="BB601" t="s">
        <v>92</v>
      </c>
      <c r="BC601" t="s">
        <v>92</v>
      </c>
      <c r="BD601" s="17">
        <v>5.46</v>
      </c>
      <c r="BE601" s="17">
        <v>2552758.53</v>
      </c>
      <c r="BF601" t="s">
        <v>92</v>
      </c>
      <c r="BG601" t="s">
        <v>92</v>
      </c>
      <c r="BH601" t="s">
        <v>93</v>
      </c>
      <c r="BI601" t="s">
        <v>94</v>
      </c>
      <c r="BJ601" t="s">
        <v>215</v>
      </c>
      <c r="BK601" t="s">
        <v>85</v>
      </c>
      <c r="BL601" t="s">
        <v>85</v>
      </c>
      <c r="BM601" t="s">
        <v>96</v>
      </c>
      <c r="BN601" t="s">
        <v>253</v>
      </c>
      <c r="BO601" t="s">
        <v>98</v>
      </c>
      <c r="BP601" t="s">
        <v>99</v>
      </c>
      <c r="BQ601" s="17">
        <v>138</v>
      </c>
      <c r="BR601" t="s">
        <v>138</v>
      </c>
      <c r="BS601" t="s">
        <v>156</v>
      </c>
      <c r="BT601" t="s">
        <v>99</v>
      </c>
      <c r="BU601" s="17">
        <v>8.6</v>
      </c>
      <c r="BV601" t="s">
        <v>110</v>
      </c>
      <c r="BW601" t="s">
        <v>85</v>
      </c>
      <c r="BX601" t="s">
        <v>341</v>
      </c>
      <c r="BY601" t="str">
        <f>IF(COUNTIF('Data Upload-prod'!E:E,F601)=0,"Missing","Exist")</f>
        <v>Exist</v>
      </c>
    </row>
    <row r="602" hidden="1" spans="1:77">
      <c r="A602" s="16">
        <v>43056</v>
      </c>
      <c r="B602" s="16">
        <v>43264</v>
      </c>
      <c r="C602" t="s">
        <v>141</v>
      </c>
      <c r="D602" t="s">
        <v>120</v>
      </c>
      <c r="E602" t="s">
        <v>578</v>
      </c>
      <c r="F602" t="s">
        <v>1092</v>
      </c>
      <c r="G602" t="s">
        <v>145</v>
      </c>
      <c r="H602" t="s">
        <v>658</v>
      </c>
      <c r="I602" t="s">
        <v>231</v>
      </c>
      <c r="J602" s="17">
        <v>142</v>
      </c>
      <c r="K602" s="17">
        <v>2735.45</v>
      </c>
      <c r="L602" s="17">
        <v>2735.45</v>
      </c>
      <c r="M602" s="17">
        <v>14649000</v>
      </c>
      <c r="N602" s="17">
        <v>21100000</v>
      </c>
      <c r="O602" s="17">
        <v>30</v>
      </c>
      <c r="P602" s="17">
        <v>43.2</v>
      </c>
      <c r="Q602" t="s">
        <v>84</v>
      </c>
      <c r="R602" t="s">
        <v>84</v>
      </c>
      <c r="S602" t="s">
        <v>106</v>
      </c>
      <c r="T602" t="s">
        <v>84</v>
      </c>
      <c r="U602" t="s">
        <v>84</v>
      </c>
      <c r="V602" s="16">
        <v>43127</v>
      </c>
      <c r="W602" s="18">
        <v>43124.3229166667</v>
      </c>
      <c r="X602" s="18">
        <v>43198.5</v>
      </c>
      <c r="Y602" s="17">
        <v>2214.14</v>
      </c>
      <c r="Z602" t="s">
        <v>87</v>
      </c>
      <c r="AA602" s="17">
        <v>2379</v>
      </c>
      <c r="AB602" s="17">
        <v>2093</v>
      </c>
      <c r="AC602" t="s">
        <v>84</v>
      </c>
      <c r="AD602" s="17">
        <v>31070000</v>
      </c>
      <c r="AE602" t="s">
        <v>84</v>
      </c>
      <c r="AF602" s="17">
        <v>75.98</v>
      </c>
      <c r="AG602" t="s">
        <v>84</v>
      </c>
      <c r="AH602" t="s">
        <v>84</v>
      </c>
      <c r="AI602" s="17">
        <v>13.7</v>
      </c>
      <c r="AJ602" s="17">
        <v>13.7</v>
      </c>
      <c r="AK602" t="s">
        <v>323</v>
      </c>
      <c r="AM602" s="17">
        <v>4.4</v>
      </c>
      <c r="AN602" s="17"/>
      <c r="AO602" s="17">
        <v>1980</v>
      </c>
      <c r="AP602" s="17"/>
      <c r="AQ602" s="17">
        <v>2760</v>
      </c>
      <c r="AR602" s="17"/>
      <c r="AS602" s="17">
        <v>2.83</v>
      </c>
      <c r="AT602" s="17"/>
      <c r="AU602" s="17">
        <v>1197</v>
      </c>
      <c r="AV602" s="17"/>
      <c r="AW602" s="17">
        <v>2016</v>
      </c>
      <c r="AX602" s="17"/>
      <c r="AY602" t="s">
        <v>92</v>
      </c>
      <c r="AZ602" t="s">
        <v>92</v>
      </c>
      <c r="BA602" t="s">
        <v>92</v>
      </c>
      <c r="BB602" t="s">
        <v>92</v>
      </c>
      <c r="BC602" t="s">
        <v>92</v>
      </c>
      <c r="BD602" t="s">
        <v>92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92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92</v>
      </c>
      <c r="BS602" t="s">
        <v>92</v>
      </c>
      <c r="BT602" t="s">
        <v>92</v>
      </c>
      <c r="BU602" t="s">
        <v>92</v>
      </c>
      <c r="BV602" t="s">
        <v>92</v>
      </c>
      <c r="BW602" t="s">
        <v>92</v>
      </c>
      <c r="BX602" t="s">
        <v>92</v>
      </c>
      <c r="BY602" t="str">
        <f>IF(COUNTIF('Data Upload-prod'!E:E,F602)=0,"Missing","Exist")</f>
        <v>Exist</v>
      </c>
    </row>
    <row r="603" hidden="1" spans="1:77">
      <c r="A603" s="16">
        <v>43056</v>
      </c>
      <c r="B603" s="16">
        <v>43194</v>
      </c>
      <c r="C603" t="s">
        <v>132</v>
      </c>
      <c r="D603" t="s">
        <v>78</v>
      </c>
      <c r="E603" t="s">
        <v>628</v>
      </c>
      <c r="F603" t="s">
        <v>1093</v>
      </c>
      <c r="G603" t="s">
        <v>81</v>
      </c>
      <c r="H603" t="s">
        <v>198</v>
      </c>
      <c r="I603" t="s">
        <v>83</v>
      </c>
      <c r="J603" s="17">
        <v>74.22</v>
      </c>
      <c r="K603" s="17">
        <v>2020</v>
      </c>
      <c r="L603" s="17">
        <v>1517</v>
      </c>
      <c r="M603" t="s">
        <v>84</v>
      </c>
      <c r="N603" t="s">
        <v>84</v>
      </c>
      <c r="O603" t="s">
        <v>84</v>
      </c>
      <c r="P603" t="s">
        <v>84</v>
      </c>
      <c r="Q603" s="17">
        <v>14079812</v>
      </c>
      <c r="R603" s="17">
        <v>31.98</v>
      </c>
      <c r="S603" t="s">
        <v>85</v>
      </c>
      <c r="T603" t="s">
        <v>84</v>
      </c>
      <c r="U603" t="s">
        <v>86</v>
      </c>
      <c r="V603" s="16">
        <v>43133</v>
      </c>
      <c r="W603" s="18">
        <v>43133.5</v>
      </c>
      <c r="X603" s="18">
        <v>43155.25</v>
      </c>
      <c r="Y603" s="17">
        <v>1959.23</v>
      </c>
      <c r="Z603" t="s">
        <v>87</v>
      </c>
      <c r="AA603" s="17">
        <v>2066</v>
      </c>
      <c r="AB603" s="17">
        <v>1546.5</v>
      </c>
      <c r="AC603" t="s">
        <v>84</v>
      </c>
      <c r="AD603" t="s">
        <v>84</v>
      </c>
      <c r="AE603" t="s">
        <v>84</v>
      </c>
      <c r="AF603" t="s">
        <v>84</v>
      </c>
      <c r="AG603" s="17">
        <v>10776573</v>
      </c>
      <c r="AH603" s="17">
        <v>32.73</v>
      </c>
      <c r="AI603" s="17">
        <v>7.1</v>
      </c>
      <c r="AJ603" s="17">
        <v>1.6</v>
      </c>
      <c r="AK603" t="s">
        <v>208</v>
      </c>
      <c r="AM603" s="17">
        <v>2.1</v>
      </c>
      <c r="AN603" s="17"/>
      <c r="AO603" s="17">
        <v>700</v>
      </c>
      <c r="AP603" s="17"/>
      <c r="AQ603" s="17">
        <v>1620</v>
      </c>
      <c r="AR603" s="17"/>
      <c r="AS603" s="17">
        <v>1.18</v>
      </c>
      <c r="AT603" s="17"/>
      <c r="AU603" s="17">
        <v>370.76</v>
      </c>
      <c r="AV603" s="17"/>
      <c r="AW603" s="17">
        <v>1654.84</v>
      </c>
      <c r="AX603" s="17"/>
      <c r="AY603" t="s">
        <v>92</v>
      </c>
      <c r="AZ603" t="s">
        <v>92</v>
      </c>
      <c r="BA603" t="s">
        <v>92</v>
      </c>
      <c r="BB603" t="s">
        <v>92</v>
      </c>
      <c r="BC603" t="s">
        <v>92</v>
      </c>
      <c r="BD603" s="17">
        <v>8.2</v>
      </c>
      <c r="BE603" s="17">
        <v>3416387.18</v>
      </c>
      <c r="BF603" t="s">
        <v>92</v>
      </c>
      <c r="BG603" t="s">
        <v>92</v>
      </c>
      <c r="BH603" t="s">
        <v>93</v>
      </c>
      <c r="BI603" t="s">
        <v>94</v>
      </c>
      <c r="BJ603" t="s">
        <v>215</v>
      </c>
      <c r="BK603" t="s">
        <v>85</v>
      </c>
      <c r="BL603" t="s">
        <v>85</v>
      </c>
      <c r="BM603" t="s">
        <v>96</v>
      </c>
      <c r="BN603" t="s">
        <v>253</v>
      </c>
      <c r="BO603" t="s">
        <v>98</v>
      </c>
      <c r="BP603" t="s">
        <v>99</v>
      </c>
      <c r="BQ603" s="17">
        <v>72</v>
      </c>
      <c r="BR603" t="s">
        <v>100</v>
      </c>
      <c r="BS603" t="s">
        <v>156</v>
      </c>
      <c r="BT603" t="s">
        <v>99</v>
      </c>
      <c r="BU603" s="17">
        <v>8.6</v>
      </c>
      <c r="BV603" t="s">
        <v>110</v>
      </c>
      <c r="BW603" t="s">
        <v>85</v>
      </c>
      <c r="BX603" t="s">
        <v>85</v>
      </c>
      <c r="BY603" t="str">
        <f>IF(COUNTIF('Data Upload-prod'!E:E,F603)=0,"Missing","Exist")</f>
        <v>Exist</v>
      </c>
    </row>
    <row r="604" hidden="1" spans="1:77">
      <c r="A604" s="16">
        <v>43056</v>
      </c>
      <c r="B604" s="16">
        <v>43161</v>
      </c>
      <c r="C604" t="s">
        <v>132</v>
      </c>
      <c r="D604" t="s">
        <v>120</v>
      </c>
      <c r="E604" t="s">
        <v>1094</v>
      </c>
      <c r="F604" t="s">
        <v>1095</v>
      </c>
      <c r="G604" t="s">
        <v>145</v>
      </c>
      <c r="H604" t="s">
        <v>841</v>
      </c>
      <c r="I604" t="s">
        <v>124</v>
      </c>
      <c r="J604" s="17">
        <v>75.5</v>
      </c>
      <c r="K604" s="17">
        <v>1996</v>
      </c>
      <c r="L604" s="17">
        <v>1680</v>
      </c>
      <c r="M604" s="17">
        <v>8040000</v>
      </c>
      <c r="N604" s="17">
        <v>11750000</v>
      </c>
      <c r="O604" s="17">
        <v>30.92</v>
      </c>
      <c r="P604" s="17">
        <v>50.32</v>
      </c>
      <c r="Q604" t="s">
        <v>84</v>
      </c>
      <c r="R604" t="s">
        <v>84</v>
      </c>
      <c r="S604" t="s">
        <v>85</v>
      </c>
      <c r="T604" t="s">
        <v>84</v>
      </c>
      <c r="U604" t="s">
        <v>84</v>
      </c>
      <c r="V604" s="16">
        <v>43072</v>
      </c>
      <c r="W604" s="18">
        <v>43063.375</v>
      </c>
      <c r="X604" s="18">
        <v>43097.5</v>
      </c>
      <c r="Y604" s="17">
        <v>1462.38</v>
      </c>
      <c r="Z604" t="s">
        <v>87</v>
      </c>
      <c r="AA604" s="17">
        <v>1575</v>
      </c>
      <c r="AB604" s="17">
        <v>1370.63</v>
      </c>
      <c r="AC604" t="s">
        <v>84</v>
      </c>
      <c r="AD604" s="17">
        <v>9737037.79</v>
      </c>
      <c r="AE604" t="s">
        <v>84</v>
      </c>
      <c r="AF604" s="17">
        <v>34.13</v>
      </c>
      <c r="AG604" t="s">
        <v>84</v>
      </c>
      <c r="AH604" t="s">
        <v>84</v>
      </c>
      <c r="AI604" s="17">
        <v>9.58</v>
      </c>
      <c r="AJ604" s="17">
        <v>0.97</v>
      </c>
      <c r="AK604" t="s">
        <v>323</v>
      </c>
      <c r="AM604" s="17">
        <v>4.4</v>
      </c>
      <c r="AN604" s="17"/>
      <c r="AO604" s="17">
        <v>1980</v>
      </c>
      <c r="AP604" s="17"/>
      <c r="AQ604" s="17">
        <v>2760</v>
      </c>
      <c r="AR604" s="17"/>
      <c r="AS604" s="17">
        <v>2.66</v>
      </c>
      <c r="AT604" s="17"/>
      <c r="AU604" s="17">
        <v>1104</v>
      </c>
      <c r="AV604" s="17"/>
      <c r="AW604" s="17">
        <v>1598</v>
      </c>
      <c r="AX604" s="17"/>
      <c r="AY604" t="s">
        <v>92</v>
      </c>
      <c r="AZ604" t="s">
        <v>92</v>
      </c>
      <c r="BA604" t="s">
        <v>92</v>
      </c>
      <c r="BB604" t="s">
        <v>92</v>
      </c>
      <c r="BC604" t="s">
        <v>92</v>
      </c>
      <c r="BD604" t="s">
        <v>92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92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92</v>
      </c>
      <c r="BS604" t="s">
        <v>92</v>
      </c>
      <c r="BT604" t="s">
        <v>92</v>
      </c>
      <c r="BU604" t="s">
        <v>92</v>
      </c>
      <c r="BV604" t="s">
        <v>92</v>
      </c>
      <c r="BW604" t="s">
        <v>92</v>
      </c>
      <c r="BX604" t="s">
        <v>92</v>
      </c>
      <c r="BY604" t="str">
        <f>IF(COUNTIF('Data Upload-prod'!E:E,F604)=0,"Missing","Exist")</f>
        <v>Exist</v>
      </c>
    </row>
    <row r="605" hidden="1" spans="1:77">
      <c r="A605" s="16">
        <v>43055</v>
      </c>
      <c r="B605" s="16">
        <v>43271</v>
      </c>
      <c r="C605" t="s">
        <v>1096</v>
      </c>
      <c r="D605" t="s">
        <v>142</v>
      </c>
      <c r="E605" t="s">
        <v>1097</v>
      </c>
      <c r="F605" t="s">
        <v>1098</v>
      </c>
      <c r="G605" t="s">
        <v>145</v>
      </c>
      <c r="H605" t="s">
        <v>1099</v>
      </c>
      <c r="I605" t="s">
        <v>83</v>
      </c>
      <c r="J605" s="17">
        <v>2821</v>
      </c>
      <c r="K605" s="17">
        <v>4816</v>
      </c>
      <c r="L605" s="17">
        <v>4816</v>
      </c>
      <c r="M605" s="17">
        <v>50968840</v>
      </c>
      <c r="N605" s="17">
        <v>50968840</v>
      </c>
      <c r="O605" s="17">
        <v>58.5</v>
      </c>
      <c r="P605" s="17">
        <v>58.5</v>
      </c>
      <c r="Q605" t="s">
        <v>84</v>
      </c>
      <c r="R605" t="s">
        <v>84</v>
      </c>
      <c r="S605" t="s">
        <v>106</v>
      </c>
      <c r="T605" t="s">
        <v>84</v>
      </c>
      <c r="U605" t="s">
        <v>84</v>
      </c>
      <c r="V605" s="16">
        <v>43072</v>
      </c>
      <c r="W605" s="18">
        <v>43070</v>
      </c>
      <c r="X605" s="18">
        <v>43179.4166666667</v>
      </c>
      <c r="Y605" s="17">
        <v>1464.5</v>
      </c>
      <c r="Z605" t="s">
        <v>148</v>
      </c>
      <c r="AA605" s="17">
        <v>4318</v>
      </c>
      <c r="AB605" s="17">
        <v>4294</v>
      </c>
      <c r="AC605" t="s">
        <v>84</v>
      </c>
      <c r="AD605" s="17">
        <v>59300000</v>
      </c>
      <c r="AE605" t="s">
        <v>84</v>
      </c>
      <c r="AF605" s="17">
        <v>109.4</v>
      </c>
      <c r="AG605" t="s">
        <v>84</v>
      </c>
      <c r="AH605" t="s">
        <v>84</v>
      </c>
      <c r="AI605" s="17">
        <v>34.07</v>
      </c>
      <c r="AJ605" s="17">
        <v>34.07</v>
      </c>
      <c r="AK605" t="s">
        <v>378</v>
      </c>
      <c r="AM605" s="17">
        <v>5.4</v>
      </c>
      <c r="AN605" s="17"/>
      <c r="AO605" s="17">
        <v>5090</v>
      </c>
      <c r="AP605" s="17"/>
      <c r="AQ605" s="17">
        <v>7920</v>
      </c>
      <c r="AR605" s="17"/>
      <c r="AS605" s="17">
        <v>9.4</v>
      </c>
      <c r="AT605" s="17"/>
      <c r="AU605" s="17">
        <v>4163</v>
      </c>
      <c r="AV605" s="17"/>
      <c r="AW605" s="17">
        <v>7177</v>
      </c>
      <c r="AX605" s="17"/>
      <c r="AY605" t="s">
        <v>92</v>
      </c>
      <c r="AZ605" t="s">
        <v>92</v>
      </c>
      <c r="BA605" t="s">
        <v>92</v>
      </c>
      <c r="BB605" t="s">
        <v>92</v>
      </c>
      <c r="BC605" t="s">
        <v>92</v>
      </c>
      <c r="BD605" t="s">
        <v>92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92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92</v>
      </c>
      <c r="BS605" t="s">
        <v>92</v>
      </c>
      <c r="BT605" t="s">
        <v>92</v>
      </c>
      <c r="BU605" t="s">
        <v>92</v>
      </c>
      <c r="BV605" t="s">
        <v>92</v>
      </c>
      <c r="BW605" t="s">
        <v>92</v>
      </c>
      <c r="BX605" t="s">
        <v>92</v>
      </c>
      <c r="BY605" t="str">
        <f>IF(COUNTIF('Data Upload-prod'!E:E,F605)=0,"Missing","Exist")</f>
        <v>Exist</v>
      </c>
    </row>
    <row r="606" hidden="1" spans="1:77">
      <c r="A606" s="16">
        <v>43053</v>
      </c>
      <c r="B606" s="16">
        <v>43154</v>
      </c>
      <c r="C606" t="s">
        <v>233</v>
      </c>
      <c r="D606" t="s">
        <v>78</v>
      </c>
      <c r="E606" t="s">
        <v>239</v>
      </c>
      <c r="F606" t="s">
        <v>1100</v>
      </c>
      <c r="G606" t="s">
        <v>81</v>
      </c>
      <c r="H606" t="s">
        <v>397</v>
      </c>
      <c r="I606" t="s">
        <v>124</v>
      </c>
      <c r="J606" s="17">
        <v>74.7</v>
      </c>
      <c r="K606" s="17">
        <v>2903</v>
      </c>
      <c r="L606" s="17">
        <v>1652</v>
      </c>
      <c r="M606" t="s">
        <v>84</v>
      </c>
      <c r="N606" t="s">
        <v>84</v>
      </c>
      <c r="O606" t="s">
        <v>84</v>
      </c>
      <c r="P606" t="s">
        <v>84</v>
      </c>
      <c r="Q606" s="17">
        <v>11500000</v>
      </c>
      <c r="R606" s="17">
        <v>33.8</v>
      </c>
      <c r="S606" t="s">
        <v>85</v>
      </c>
      <c r="T606" t="s">
        <v>84</v>
      </c>
      <c r="U606" t="s">
        <v>86</v>
      </c>
      <c r="V606" s="16">
        <v>43109</v>
      </c>
      <c r="W606" s="18">
        <v>43108.8333333333</v>
      </c>
      <c r="X606" s="18">
        <v>43137.25</v>
      </c>
      <c r="Y606" s="17">
        <v>3072.4</v>
      </c>
      <c r="Z606" t="s">
        <v>87</v>
      </c>
      <c r="AA606" s="17">
        <v>3197</v>
      </c>
      <c r="AB606" s="17">
        <v>1659</v>
      </c>
      <c r="AC606" t="s">
        <v>84</v>
      </c>
      <c r="AD606" t="s">
        <v>84</v>
      </c>
      <c r="AE606" t="s">
        <v>84</v>
      </c>
      <c r="AF606" t="s">
        <v>84</v>
      </c>
      <c r="AG606" s="17">
        <v>11200000</v>
      </c>
      <c r="AH606" s="17">
        <v>35.5</v>
      </c>
      <c r="AI606" s="17">
        <v>24.9</v>
      </c>
      <c r="AJ606" s="17">
        <v>18.7</v>
      </c>
      <c r="AK606" t="s">
        <v>208</v>
      </c>
      <c r="AM606" s="17">
        <v>2.1</v>
      </c>
      <c r="AN606" s="17"/>
      <c r="AO606" s="17">
        <v>700</v>
      </c>
      <c r="AP606" s="17"/>
      <c r="AQ606" s="17">
        <v>1225</v>
      </c>
      <c r="AR606" s="17"/>
      <c r="AS606" s="17">
        <v>1.6</v>
      </c>
      <c r="AT606" s="17"/>
      <c r="AU606" s="17">
        <v>527</v>
      </c>
      <c r="AV606" s="17"/>
      <c r="AW606" s="17">
        <v>961</v>
      </c>
      <c r="AX606" s="17"/>
      <c r="AY606" t="s">
        <v>92</v>
      </c>
      <c r="AZ606" t="s">
        <v>92</v>
      </c>
      <c r="BA606" t="s">
        <v>92</v>
      </c>
      <c r="BB606" t="s">
        <v>92</v>
      </c>
      <c r="BC606" t="s">
        <v>92</v>
      </c>
      <c r="BD606" s="17">
        <v>5.5</v>
      </c>
      <c r="BE606" s="17">
        <v>3900000</v>
      </c>
      <c r="BF606" t="s">
        <v>92</v>
      </c>
      <c r="BG606" t="s">
        <v>92</v>
      </c>
      <c r="BH606" t="s">
        <v>93</v>
      </c>
      <c r="BI606" t="s">
        <v>94</v>
      </c>
      <c r="BJ606" t="s">
        <v>128</v>
      </c>
      <c r="BK606" t="s">
        <v>85</v>
      </c>
      <c r="BL606" t="s">
        <v>266</v>
      </c>
      <c r="BM606" t="s">
        <v>96</v>
      </c>
      <c r="BN606" t="s">
        <v>97</v>
      </c>
      <c r="BO606" t="s">
        <v>98</v>
      </c>
      <c r="BP606" t="s">
        <v>103</v>
      </c>
      <c r="BQ606" s="17">
        <v>1855.93046</v>
      </c>
      <c r="BR606" t="s">
        <v>138</v>
      </c>
      <c r="BS606" t="s">
        <v>130</v>
      </c>
      <c r="BT606" t="s">
        <v>103</v>
      </c>
      <c r="BU606" s="17">
        <v>9.3</v>
      </c>
      <c r="BV606" t="s">
        <v>101</v>
      </c>
      <c r="BW606" t="s">
        <v>85</v>
      </c>
      <c r="BX606" t="s">
        <v>85</v>
      </c>
      <c r="BY606" t="str">
        <f>IF(COUNTIF('Data Upload-prod'!E:E,F606)=0,"Missing","Exist")</f>
        <v>Exist</v>
      </c>
    </row>
    <row r="607" hidden="1" spans="1:77">
      <c r="A607" s="16">
        <v>43052</v>
      </c>
      <c r="B607" s="16">
        <v>43168</v>
      </c>
      <c r="C607" t="s">
        <v>132</v>
      </c>
      <c r="D607" t="s">
        <v>78</v>
      </c>
      <c r="E607" t="s">
        <v>1101</v>
      </c>
      <c r="F607" t="s">
        <v>1102</v>
      </c>
      <c r="G607" t="s">
        <v>145</v>
      </c>
      <c r="H607" t="s">
        <v>154</v>
      </c>
      <c r="I607" t="s">
        <v>124</v>
      </c>
      <c r="J607" s="17">
        <v>71.5</v>
      </c>
      <c r="K607" s="17">
        <v>1984</v>
      </c>
      <c r="L607" s="17">
        <v>1843</v>
      </c>
      <c r="M607" s="17">
        <v>10440000</v>
      </c>
      <c r="N607" s="17">
        <v>14990000</v>
      </c>
      <c r="O607" s="17">
        <v>38.62</v>
      </c>
      <c r="P607" s="17">
        <v>56.7</v>
      </c>
      <c r="Q607" t="s">
        <v>84</v>
      </c>
      <c r="R607" t="s">
        <v>84</v>
      </c>
      <c r="S607" t="s">
        <v>85</v>
      </c>
      <c r="T607" t="s">
        <v>84</v>
      </c>
      <c r="U607" t="s">
        <v>84</v>
      </c>
      <c r="V607" s="16">
        <v>43105</v>
      </c>
      <c r="W607" s="18">
        <v>43105.1875</v>
      </c>
      <c r="X607" s="18">
        <v>43128.375</v>
      </c>
      <c r="Y607" s="17">
        <v>1532.5</v>
      </c>
      <c r="Z607" t="s">
        <v>87</v>
      </c>
      <c r="AA607" s="17">
        <v>1636</v>
      </c>
      <c r="AB607" s="17">
        <v>1591</v>
      </c>
      <c r="AC607" s="17">
        <v>6468581.01</v>
      </c>
      <c r="AD607" t="s">
        <v>84</v>
      </c>
      <c r="AE607" s="17">
        <v>23.19</v>
      </c>
      <c r="AF607" t="s">
        <v>84</v>
      </c>
      <c r="AG607" t="s">
        <v>84</v>
      </c>
      <c r="AH607" t="s">
        <v>84</v>
      </c>
      <c r="AI607" s="17">
        <v>7.19</v>
      </c>
      <c r="AJ607" s="17">
        <v>1.08</v>
      </c>
      <c r="AK607" t="s">
        <v>300</v>
      </c>
      <c r="AM607" s="17">
        <v>1.9</v>
      </c>
      <c r="AN607" s="17"/>
      <c r="AO607" s="17">
        <v>720</v>
      </c>
      <c r="AP607" s="17"/>
      <c r="AQ607" s="17">
        <v>1370</v>
      </c>
      <c r="AR607" s="17"/>
      <c r="AS607" s="17">
        <v>1.24</v>
      </c>
      <c r="AT607" s="17"/>
      <c r="AU607" s="17">
        <v>614</v>
      </c>
      <c r="AV607" s="17"/>
      <c r="AW607" s="17">
        <v>1170</v>
      </c>
      <c r="AX607" s="17"/>
      <c r="AY607" t="s">
        <v>92</v>
      </c>
      <c r="AZ607" t="s">
        <v>92</v>
      </c>
      <c r="BA607" t="s">
        <v>92</v>
      </c>
      <c r="BB607" t="s">
        <v>92</v>
      </c>
      <c r="BC607" t="s">
        <v>92</v>
      </c>
      <c r="BD607" t="s">
        <v>92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92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92</v>
      </c>
      <c r="BS607" t="s">
        <v>92</v>
      </c>
      <c r="BT607" t="s">
        <v>92</v>
      </c>
      <c r="BU607" t="s">
        <v>92</v>
      </c>
      <c r="BV607" t="s">
        <v>92</v>
      </c>
      <c r="BW607" t="s">
        <v>92</v>
      </c>
      <c r="BX607" t="s">
        <v>92</v>
      </c>
      <c r="BY607" t="str">
        <f>IF(COUNTIF('Data Upload-prod'!E:E,F607)=0,"Missing","Exist")</f>
        <v>Exist</v>
      </c>
    </row>
    <row r="608" hidden="1" spans="1:77">
      <c r="A608" s="16">
        <v>43048</v>
      </c>
      <c r="B608" s="16">
        <v>43213</v>
      </c>
      <c r="C608" t="s">
        <v>655</v>
      </c>
      <c r="D608" t="s">
        <v>120</v>
      </c>
      <c r="E608" t="s">
        <v>1103</v>
      </c>
      <c r="F608" t="s">
        <v>1104</v>
      </c>
      <c r="G608" t="s">
        <v>145</v>
      </c>
      <c r="H608" t="s">
        <v>319</v>
      </c>
      <c r="I608" t="s">
        <v>231</v>
      </c>
      <c r="J608" s="17">
        <v>118</v>
      </c>
      <c r="K608" s="17">
        <v>1454</v>
      </c>
      <c r="L608" s="17">
        <v>1444</v>
      </c>
      <c r="M608" s="17">
        <v>12398000</v>
      </c>
      <c r="N608" s="17">
        <v>12398000</v>
      </c>
      <c r="O608" s="17">
        <v>25.6</v>
      </c>
      <c r="P608" s="17">
        <v>25.6</v>
      </c>
      <c r="Q608" t="s">
        <v>84</v>
      </c>
      <c r="R608" t="s">
        <v>84</v>
      </c>
      <c r="S608" t="s">
        <v>85</v>
      </c>
      <c r="T608" t="s">
        <v>84</v>
      </c>
      <c r="U608" t="s">
        <v>84</v>
      </c>
      <c r="V608" s="16">
        <v>43131</v>
      </c>
      <c r="W608" s="18">
        <v>43128.5625</v>
      </c>
      <c r="X608" s="18">
        <v>43155.9166666667</v>
      </c>
      <c r="Y608" s="17">
        <v>1308</v>
      </c>
      <c r="Z608" t="s">
        <v>87</v>
      </c>
      <c r="AA608" s="17">
        <v>1454</v>
      </c>
      <c r="AB608" s="17">
        <v>1443.8</v>
      </c>
      <c r="AC608" s="17">
        <v>8833838</v>
      </c>
      <c r="AD608" t="s">
        <v>84</v>
      </c>
      <c r="AE608" s="17">
        <v>27.65</v>
      </c>
      <c r="AF608" t="s">
        <v>84</v>
      </c>
      <c r="AG608" t="s">
        <v>84</v>
      </c>
      <c r="AH608" t="s">
        <v>84</v>
      </c>
      <c r="AI608" s="17">
        <v>4.1</v>
      </c>
      <c r="AJ608" s="17">
        <v>4.1</v>
      </c>
      <c r="AK608" t="s">
        <v>323</v>
      </c>
      <c r="AM608" s="17">
        <v>4.4</v>
      </c>
      <c r="AN608" s="17"/>
      <c r="AO608" s="17">
        <v>1980</v>
      </c>
      <c r="AP608" s="17"/>
      <c r="AQ608" s="17">
        <v>2760</v>
      </c>
      <c r="AR608" s="17"/>
      <c r="AS608" s="17">
        <v>2.65</v>
      </c>
      <c r="AT608" s="17"/>
      <c r="AU608" s="17">
        <v>830</v>
      </c>
      <c r="AV608" s="17"/>
      <c r="AW608" s="17">
        <v>1407</v>
      </c>
      <c r="AX608" s="17"/>
      <c r="AY608" t="s">
        <v>92</v>
      </c>
      <c r="AZ608" t="s">
        <v>92</v>
      </c>
      <c r="BA608" t="s">
        <v>92</v>
      </c>
      <c r="BB608" t="s">
        <v>92</v>
      </c>
      <c r="BC608" t="s">
        <v>92</v>
      </c>
      <c r="BD608" t="s">
        <v>92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92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92</v>
      </c>
      <c r="BS608" t="s">
        <v>92</v>
      </c>
      <c r="BT608" t="s">
        <v>92</v>
      </c>
      <c r="BU608" t="s">
        <v>92</v>
      </c>
      <c r="BV608" t="s">
        <v>92</v>
      </c>
      <c r="BW608" t="s">
        <v>92</v>
      </c>
      <c r="BX608" t="s">
        <v>92</v>
      </c>
      <c r="BY608" t="str">
        <f>IF(COUNTIF('Data Upload-prod'!E:E,F608)=0,"Missing","Exist")</f>
        <v>Exist</v>
      </c>
    </row>
    <row r="609" hidden="1" spans="1:77">
      <c r="A609" s="16">
        <v>43042</v>
      </c>
      <c r="B609" s="16">
        <v>43182</v>
      </c>
      <c r="C609" t="s">
        <v>655</v>
      </c>
      <c r="D609" t="s">
        <v>120</v>
      </c>
      <c r="E609" t="s">
        <v>1105</v>
      </c>
      <c r="F609" t="s">
        <v>1106</v>
      </c>
      <c r="G609" t="s">
        <v>145</v>
      </c>
      <c r="H609" t="s">
        <v>319</v>
      </c>
      <c r="I609" t="s">
        <v>231</v>
      </c>
      <c r="J609" s="17">
        <v>109</v>
      </c>
      <c r="K609" s="17">
        <v>1531</v>
      </c>
      <c r="L609" s="17">
        <v>1531</v>
      </c>
      <c r="M609" s="17">
        <v>12887000</v>
      </c>
      <c r="N609" s="17">
        <v>12887000</v>
      </c>
      <c r="O609" s="17">
        <v>26.7</v>
      </c>
      <c r="P609" s="17">
        <v>26.7</v>
      </c>
      <c r="Q609" t="s">
        <v>84</v>
      </c>
      <c r="R609" t="s">
        <v>84</v>
      </c>
      <c r="S609" t="s">
        <v>85</v>
      </c>
      <c r="T609" t="s">
        <v>84</v>
      </c>
      <c r="U609" t="s">
        <v>84</v>
      </c>
      <c r="V609" s="16">
        <v>43101</v>
      </c>
      <c r="W609" s="18">
        <v>43096.6145833333</v>
      </c>
      <c r="X609" s="18">
        <v>43128.5625</v>
      </c>
      <c r="Y609" s="17">
        <v>1388</v>
      </c>
      <c r="Z609" t="s">
        <v>87</v>
      </c>
      <c r="AA609" s="17">
        <v>1525</v>
      </c>
      <c r="AB609" s="17">
        <v>1524.95</v>
      </c>
      <c r="AC609" s="17">
        <v>10864330</v>
      </c>
      <c r="AD609" t="s">
        <v>84</v>
      </c>
      <c r="AE609" s="17">
        <v>31.95</v>
      </c>
      <c r="AF609" t="s">
        <v>84</v>
      </c>
      <c r="AG609" t="s">
        <v>84</v>
      </c>
      <c r="AH609" t="s">
        <v>84</v>
      </c>
      <c r="AI609" s="17">
        <v>7.43</v>
      </c>
      <c r="AJ609" s="17">
        <v>3.72</v>
      </c>
      <c r="AK609" t="s">
        <v>323</v>
      </c>
      <c r="AM609" s="17">
        <v>4.4</v>
      </c>
      <c r="AN609" s="17"/>
      <c r="AO609" s="17">
        <v>1980</v>
      </c>
      <c r="AP609" s="17"/>
      <c r="AQ609" s="17">
        <v>2760</v>
      </c>
      <c r="AR609" s="17"/>
      <c r="AS609" s="17">
        <v>4.64</v>
      </c>
      <c r="AT609" s="17"/>
      <c r="AU609" s="17">
        <v>1243</v>
      </c>
      <c r="AV609" s="17"/>
      <c r="AW609" s="17">
        <v>2382</v>
      </c>
      <c r="AX609" s="17"/>
      <c r="AY609" t="s">
        <v>92</v>
      </c>
      <c r="AZ609" t="s">
        <v>92</v>
      </c>
      <c r="BA609" t="s">
        <v>92</v>
      </c>
      <c r="BB609" t="s">
        <v>92</v>
      </c>
      <c r="BC609" t="s">
        <v>92</v>
      </c>
      <c r="BD609" t="s">
        <v>92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92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92</v>
      </c>
      <c r="BS609" t="s">
        <v>92</v>
      </c>
      <c r="BT609" t="s">
        <v>92</v>
      </c>
      <c r="BU609" t="s">
        <v>92</v>
      </c>
      <c r="BV609" t="s">
        <v>92</v>
      </c>
      <c r="BW609" t="s">
        <v>92</v>
      </c>
      <c r="BX609" t="s">
        <v>92</v>
      </c>
      <c r="BY609" t="str">
        <f>IF(COUNTIF('Data Upload-prod'!E:E,F609)=0,"Missing","Exist")</f>
        <v>Exist</v>
      </c>
    </row>
    <row r="610" hidden="1" spans="1:77">
      <c r="A610" s="16">
        <v>43039</v>
      </c>
      <c r="B610" s="16">
        <v>43145</v>
      </c>
      <c r="C610" t="s">
        <v>151</v>
      </c>
      <c r="D610" t="s">
        <v>142</v>
      </c>
      <c r="E610" t="s">
        <v>166</v>
      </c>
      <c r="F610" t="s">
        <v>1107</v>
      </c>
      <c r="G610" t="s">
        <v>81</v>
      </c>
      <c r="H610" t="s">
        <v>168</v>
      </c>
      <c r="I610" t="s">
        <v>124</v>
      </c>
      <c r="J610" s="17">
        <v>54.25</v>
      </c>
      <c r="K610" s="17">
        <v>3505.64</v>
      </c>
      <c r="L610" s="17">
        <v>2730.27</v>
      </c>
      <c r="M610" t="s">
        <v>84</v>
      </c>
      <c r="N610" t="s">
        <v>84</v>
      </c>
      <c r="O610" t="s">
        <v>84</v>
      </c>
      <c r="P610" t="s">
        <v>84</v>
      </c>
      <c r="Q610" s="17">
        <v>14893671.72</v>
      </c>
      <c r="R610" s="17">
        <v>33.3</v>
      </c>
      <c r="S610" t="s">
        <v>85</v>
      </c>
      <c r="T610" t="s">
        <v>84</v>
      </c>
      <c r="U610" t="s">
        <v>84</v>
      </c>
      <c r="V610" s="16">
        <v>43060</v>
      </c>
      <c r="W610" s="18">
        <v>43060.1041666667</v>
      </c>
      <c r="X610" s="18">
        <v>43090.3541666667</v>
      </c>
      <c r="Y610" s="17">
        <v>3468.45</v>
      </c>
      <c r="Z610" t="s">
        <v>87</v>
      </c>
      <c r="AA610" s="17">
        <v>3562.94</v>
      </c>
      <c r="AB610" s="17">
        <v>2759.83</v>
      </c>
      <c r="AC610" t="s">
        <v>84</v>
      </c>
      <c r="AD610" t="s">
        <v>84</v>
      </c>
      <c r="AE610" t="s">
        <v>84</v>
      </c>
      <c r="AF610" t="s">
        <v>84</v>
      </c>
      <c r="AG610" s="17">
        <v>11550561</v>
      </c>
      <c r="AH610" s="17">
        <v>30.25</v>
      </c>
      <c r="AI610" s="17">
        <v>5.7</v>
      </c>
      <c r="AJ610" s="17">
        <v>5.7</v>
      </c>
      <c r="AK610" t="s">
        <v>208</v>
      </c>
      <c r="AM610" s="17">
        <v>1.7</v>
      </c>
      <c r="AN610" s="17"/>
      <c r="AO610" s="17">
        <v>720</v>
      </c>
      <c r="AP610" s="17"/>
      <c r="AQ610" s="17">
        <v>1285</v>
      </c>
      <c r="AR610" s="17"/>
      <c r="AS610" s="13" t="s">
        <v>150</v>
      </c>
      <c r="AT610"/>
      <c r="AU610" s="13" t="s">
        <v>150</v>
      </c>
      <c r="AW610" s="13" t="s">
        <v>150</v>
      </c>
      <c r="AY610" t="s">
        <v>92</v>
      </c>
      <c r="AZ610" t="s">
        <v>92</v>
      </c>
      <c r="BA610" t="s">
        <v>92</v>
      </c>
      <c r="BB610" t="s">
        <v>92</v>
      </c>
      <c r="BC610" t="s">
        <v>92</v>
      </c>
      <c r="BD610" t="s">
        <v>92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92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92</v>
      </c>
      <c r="BS610" t="s">
        <v>92</v>
      </c>
      <c r="BT610" t="s">
        <v>92</v>
      </c>
      <c r="BU610" t="s">
        <v>92</v>
      </c>
      <c r="BV610" t="s">
        <v>92</v>
      </c>
      <c r="BW610" t="s">
        <v>92</v>
      </c>
      <c r="BX610" t="s">
        <v>92</v>
      </c>
      <c r="BY610" t="str">
        <f>IF(COUNTIF('Data Upload-prod'!E:E,F610)=0,"Missing","Exist")</f>
        <v>Exist</v>
      </c>
    </row>
    <row r="611" hidden="1" spans="1:77">
      <c r="A611" s="16">
        <v>43035</v>
      </c>
      <c r="B611" s="16">
        <v>43171</v>
      </c>
      <c r="C611" t="s">
        <v>132</v>
      </c>
      <c r="D611" t="s">
        <v>78</v>
      </c>
      <c r="E611" t="s">
        <v>479</v>
      </c>
      <c r="F611" t="s">
        <v>1108</v>
      </c>
      <c r="G611" t="s">
        <v>81</v>
      </c>
      <c r="H611" t="s">
        <v>202</v>
      </c>
      <c r="I611" t="s">
        <v>124</v>
      </c>
      <c r="J611" s="17">
        <v>69.8</v>
      </c>
      <c r="K611" s="17">
        <v>3350</v>
      </c>
      <c r="L611" s="17">
        <v>2147</v>
      </c>
      <c r="M611" t="s">
        <v>84</v>
      </c>
      <c r="N611" t="s">
        <v>84</v>
      </c>
      <c r="O611" t="s">
        <v>84</v>
      </c>
      <c r="P611" t="s">
        <v>84</v>
      </c>
      <c r="Q611" s="17">
        <v>14782747</v>
      </c>
      <c r="R611" s="17">
        <v>38</v>
      </c>
      <c r="S611" t="s">
        <v>85</v>
      </c>
      <c r="T611" t="s">
        <v>84</v>
      </c>
      <c r="U611" t="s">
        <v>86</v>
      </c>
      <c r="V611" s="16">
        <v>43048</v>
      </c>
      <c r="W611" s="18">
        <v>43048.3333333333</v>
      </c>
      <c r="X611" s="18">
        <v>43089.5416666667</v>
      </c>
      <c r="Y611" s="17">
        <v>3432</v>
      </c>
      <c r="Z611" t="s">
        <v>87</v>
      </c>
      <c r="AA611" s="17">
        <v>3550</v>
      </c>
      <c r="AB611" s="17">
        <v>2193.5</v>
      </c>
      <c r="AC611" t="s">
        <v>84</v>
      </c>
      <c r="AD611" t="s">
        <v>84</v>
      </c>
      <c r="AE611" t="s">
        <v>84</v>
      </c>
      <c r="AF611" t="s">
        <v>84</v>
      </c>
      <c r="AG611" s="17">
        <v>14320347.01</v>
      </c>
      <c r="AH611" s="17">
        <v>38.71</v>
      </c>
      <c r="AI611" s="17">
        <v>6.73</v>
      </c>
      <c r="AJ611" s="17">
        <v>6.62</v>
      </c>
      <c r="AK611" t="s">
        <v>208</v>
      </c>
      <c r="AM611" s="17">
        <v>2.1</v>
      </c>
      <c r="AN611" s="17"/>
      <c r="AO611" s="17">
        <v>700</v>
      </c>
      <c r="AP611" s="17"/>
      <c r="AQ611" s="17">
        <v>1220</v>
      </c>
      <c r="AR611" s="17"/>
      <c r="AS611" s="17">
        <v>1.98</v>
      </c>
      <c r="AT611" s="17"/>
      <c r="AU611" s="17">
        <v>705</v>
      </c>
      <c r="AV611" s="17"/>
      <c r="AW611" s="17">
        <v>1142</v>
      </c>
      <c r="AX611" s="17"/>
      <c r="AY611" t="s">
        <v>92</v>
      </c>
      <c r="AZ611" t="s">
        <v>92</v>
      </c>
      <c r="BA611" t="s">
        <v>92</v>
      </c>
      <c r="BB611" t="s">
        <v>92</v>
      </c>
      <c r="BC611" t="s">
        <v>92</v>
      </c>
      <c r="BD611" s="17">
        <v>9.99</v>
      </c>
      <c r="BE611" s="17">
        <v>4188699.65</v>
      </c>
      <c r="BF611" t="s">
        <v>92</v>
      </c>
      <c r="BG611" t="s">
        <v>92</v>
      </c>
      <c r="BH611" t="s">
        <v>93</v>
      </c>
      <c r="BI611" t="s">
        <v>94</v>
      </c>
      <c r="BJ611" t="s">
        <v>173</v>
      </c>
      <c r="BK611" t="s">
        <v>85</v>
      </c>
      <c r="BL611" t="s">
        <v>85</v>
      </c>
      <c r="BM611" t="s">
        <v>273</v>
      </c>
      <c r="BN611" t="s">
        <v>569</v>
      </c>
      <c r="BO611" t="s">
        <v>98</v>
      </c>
      <c r="BP611" t="s">
        <v>99</v>
      </c>
      <c r="BQ611" s="17">
        <v>55.777</v>
      </c>
      <c r="BR611" t="s">
        <v>100</v>
      </c>
      <c r="BS611" t="s">
        <v>156</v>
      </c>
      <c r="BT611" t="s">
        <v>99</v>
      </c>
      <c r="BU611" s="17">
        <v>11.4</v>
      </c>
      <c r="BV611" t="s">
        <v>308</v>
      </c>
      <c r="BW611" t="s">
        <v>85</v>
      </c>
      <c r="BX611" t="s">
        <v>85</v>
      </c>
      <c r="BY611" t="str">
        <f>IF(COUNTIF('Data Upload-prod'!E:E,F611)=0,"Missing","Exist")</f>
        <v>Exist</v>
      </c>
    </row>
    <row r="612" hidden="1" spans="1:77">
      <c r="A612" s="16">
        <v>43035</v>
      </c>
      <c r="B612" s="16">
        <v>43203</v>
      </c>
      <c r="C612" t="s">
        <v>132</v>
      </c>
      <c r="D612" t="s">
        <v>78</v>
      </c>
      <c r="E612" t="s">
        <v>479</v>
      </c>
      <c r="F612" t="s">
        <v>1109</v>
      </c>
      <c r="G612" t="s">
        <v>81</v>
      </c>
      <c r="H612" t="s">
        <v>202</v>
      </c>
      <c r="I612" t="s">
        <v>124</v>
      </c>
      <c r="J612" s="17">
        <v>69.8</v>
      </c>
      <c r="K612" s="17">
        <v>2373</v>
      </c>
      <c r="L612" s="17">
        <v>1783</v>
      </c>
      <c r="M612" t="s">
        <v>84</v>
      </c>
      <c r="N612" t="s">
        <v>84</v>
      </c>
      <c r="O612" t="s">
        <v>84</v>
      </c>
      <c r="P612" t="s">
        <v>84</v>
      </c>
      <c r="Q612" s="17">
        <v>14774704</v>
      </c>
      <c r="R612" s="17">
        <v>33</v>
      </c>
      <c r="S612" t="s">
        <v>85</v>
      </c>
      <c r="T612" t="s">
        <v>84</v>
      </c>
      <c r="U612" t="s">
        <v>86</v>
      </c>
      <c r="V612" s="16">
        <v>43080</v>
      </c>
      <c r="W612" s="18">
        <v>43080.3333333333</v>
      </c>
      <c r="X612" s="18">
        <v>43148.875</v>
      </c>
      <c r="Y612" s="17">
        <v>2252</v>
      </c>
      <c r="Z612" t="s">
        <v>87</v>
      </c>
      <c r="AA612" s="17">
        <v>2370</v>
      </c>
      <c r="AB612" s="17">
        <v>1732.9</v>
      </c>
      <c r="AC612" t="s">
        <v>84</v>
      </c>
      <c r="AD612" t="s">
        <v>84</v>
      </c>
      <c r="AE612" t="s">
        <v>84</v>
      </c>
      <c r="AF612" t="s">
        <v>84</v>
      </c>
      <c r="AG612" s="17">
        <v>20876925</v>
      </c>
      <c r="AH612" s="17">
        <v>61.75</v>
      </c>
      <c r="AI612" s="17">
        <v>30.79</v>
      </c>
      <c r="AJ612" s="17">
        <v>23.77</v>
      </c>
      <c r="AK612" t="s">
        <v>208</v>
      </c>
      <c r="AM612" s="17">
        <v>2.1</v>
      </c>
      <c r="AN612" s="17"/>
      <c r="AO612" s="17">
        <v>700</v>
      </c>
      <c r="AP612" s="17"/>
      <c r="AQ612" s="17">
        <v>1620</v>
      </c>
      <c r="AR612" s="17"/>
      <c r="AS612" s="17">
        <v>1.66</v>
      </c>
      <c r="AT612" s="17"/>
      <c r="AU612" s="17">
        <v>659</v>
      </c>
      <c r="AV612" s="17"/>
      <c r="AW612" s="17">
        <v>2518</v>
      </c>
      <c r="AX612" s="17"/>
      <c r="AY612" t="s">
        <v>92</v>
      </c>
      <c r="AZ612" t="s">
        <v>92</v>
      </c>
      <c r="BA612" t="s">
        <v>92</v>
      </c>
      <c r="BB612" t="s">
        <v>92</v>
      </c>
      <c r="BC612" t="s">
        <v>92</v>
      </c>
      <c r="BD612" s="17">
        <v>26.23</v>
      </c>
      <c r="BE612" s="17">
        <v>10236121.4</v>
      </c>
      <c r="BF612" t="s">
        <v>92</v>
      </c>
      <c r="BG612" t="s">
        <v>92</v>
      </c>
      <c r="BH612" t="s">
        <v>93</v>
      </c>
      <c r="BI612" t="s">
        <v>94</v>
      </c>
      <c r="BJ612" t="s">
        <v>215</v>
      </c>
      <c r="BK612" t="s">
        <v>85</v>
      </c>
      <c r="BL612" t="s">
        <v>85</v>
      </c>
      <c r="BM612" t="s">
        <v>273</v>
      </c>
      <c r="BN612" t="s">
        <v>569</v>
      </c>
      <c r="BO612" t="s">
        <v>98</v>
      </c>
      <c r="BP612" t="s">
        <v>99</v>
      </c>
      <c r="BQ612" s="17">
        <v>2050.625</v>
      </c>
      <c r="BR612" t="s">
        <v>100</v>
      </c>
      <c r="BS612" t="s">
        <v>285</v>
      </c>
      <c r="BT612" t="s">
        <v>99</v>
      </c>
      <c r="BU612" s="17">
        <v>9.9</v>
      </c>
      <c r="BV612" t="s">
        <v>191</v>
      </c>
      <c r="BW612" t="s">
        <v>85</v>
      </c>
      <c r="BX612" t="s">
        <v>85</v>
      </c>
      <c r="BY612" t="str">
        <f>IF(COUNTIF('Data Upload-prod'!E:E,F612)=0,"Missing","Exist")</f>
        <v>Exist</v>
      </c>
    </row>
    <row r="613" hidden="1" spans="1:77">
      <c r="A613" s="16">
        <v>43033</v>
      </c>
      <c r="B613" s="16">
        <v>43181</v>
      </c>
      <c r="C613" t="s">
        <v>141</v>
      </c>
      <c r="D613" t="s">
        <v>120</v>
      </c>
      <c r="E613" t="s">
        <v>1110</v>
      </c>
      <c r="F613" t="s">
        <v>1111</v>
      </c>
      <c r="G613" t="s">
        <v>145</v>
      </c>
      <c r="H613" t="s">
        <v>658</v>
      </c>
      <c r="I613" t="s">
        <v>231</v>
      </c>
      <c r="J613" s="17">
        <v>104</v>
      </c>
      <c r="K613" s="17">
        <v>2208</v>
      </c>
      <c r="L613" s="17">
        <v>2208</v>
      </c>
      <c r="M613" s="17">
        <v>15488502</v>
      </c>
      <c r="N613" s="17">
        <v>24760000</v>
      </c>
      <c r="O613" s="17">
        <v>25</v>
      </c>
      <c r="P613" s="17">
        <v>32</v>
      </c>
      <c r="Q613" t="s">
        <v>84</v>
      </c>
      <c r="R613" t="s">
        <v>84</v>
      </c>
      <c r="S613" t="s">
        <v>85</v>
      </c>
      <c r="T613" t="s">
        <v>84</v>
      </c>
      <c r="U613" t="s">
        <v>84</v>
      </c>
      <c r="V613" s="16">
        <v>43068</v>
      </c>
      <c r="W613" s="18">
        <v>43062</v>
      </c>
      <c r="X613" s="18">
        <v>43119</v>
      </c>
      <c r="Y613" s="17">
        <v>1802</v>
      </c>
      <c r="Z613" t="s">
        <v>87</v>
      </c>
      <c r="AA613" s="17">
        <v>1929</v>
      </c>
      <c r="AB613" s="17">
        <v>1929</v>
      </c>
      <c r="AC613" t="s">
        <v>84</v>
      </c>
      <c r="AD613" s="17">
        <v>25835388</v>
      </c>
      <c r="AE613" t="s">
        <v>84</v>
      </c>
      <c r="AF613" s="17">
        <v>62.34</v>
      </c>
      <c r="AG613" t="s">
        <v>84</v>
      </c>
      <c r="AH613" t="s">
        <v>84</v>
      </c>
      <c r="AI613" s="17">
        <v>35</v>
      </c>
      <c r="AJ613" s="17">
        <v>35</v>
      </c>
      <c r="AK613" t="s">
        <v>323</v>
      </c>
      <c r="AM613" s="17">
        <v>4.4</v>
      </c>
      <c r="AN613" s="17"/>
      <c r="AO613" s="17">
        <v>1980</v>
      </c>
      <c r="AP613" s="17"/>
      <c r="AQ613" s="17">
        <v>2760</v>
      </c>
      <c r="AR613" s="17"/>
      <c r="AS613" s="17">
        <v>6.79</v>
      </c>
      <c r="AT613" s="17"/>
      <c r="AU613" s="17">
        <v>2421</v>
      </c>
      <c r="AV613" s="17"/>
      <c r="AW613" s="17">
        <v>4369</v>
      </c>
      <c r="AX613" s="17"/>
      <c r="AY613" t="s">
        <v>92</v>
      </c>
      <c r="AZ613" t="s">
        <v>92</v>
      </c>
      <c r="BA613" t="s">
        <v>92</v>
      </c>
      <c r="BB613" t="s">
        <v>92</v>
      </c>
      <c r="BC613" t="s">
        <v>92</v>
      </c>
      <c r="BD613" t="s">
        <v>92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92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92</v>
      </c>
      <c r="BS613" t="s">
        <v>92</v>
      </c>
      <c r="BT613" t="s">
        <v>92</v>
      </c>
      <c r="BU613" t="s">
        <v>92</v>
      </c>
      <c r="BV613" t="s">
        <v>92</v>
      </c>
      <c r="BW613" t="s">
        <v>92</v>
      </c>
      <c r="BX613" t="s">
        <v>92</v>
      </c>
      <c r="BY613" t="str">
        <f>IF(COUNTIF('Data Upload-prod'!E:E,F613)=0,"Missing","Exist")</f>
        <v>Missing</v>
      </c>
    </row>
    <row r="614" hidden="1" spans="1:77">
      <c r="A614" s="16">
        <v>43026</v>
      </c>
      <c r="B614" s="16">
        <v>43447</v>
      </c>
      <c r="C614" t="s">
        <v>132</v>
      </c>
      <c r="D614" t="s">
        <v>120</v>
      </c>
      <c r="E614" t="s">
        <v>908</v>
      </c>
      <c r="F614" t="s">
        <v>1112</v>
      </c>
      <c r="G614" t="s">
        <v>81</v>
      </c>
      <c r="H614" t="s">
        <v>172</v>
      </c>
      <c r="I614" t="s">
        <v>124</v>
      </c>
      <c r="J614" s="17">
        <v>30</v>
      </c>
      <c r="K614" s="17">
        <v>1980</v>
      </c>
      <c r="L614" s="17">
        <v>1259</v>
      </c>
      <c r="M614" t="s">
        <v>84</v>
      </c>
      <c r="N614" t="s">
        <v>84</v>
      </c>
      <c r="O614" t="s">
        <v>84</v>
      </c>
      <c r="P614" t="s">
        <v>84</v>
      </c>
      <c r="Q614" s="17">
        <v>10928045.53</v>
      </c>
      <c r="R614" s="17">
        <v>32.28</v>
      </c>
      <c r="S614" t="s">
        <v>85</v>
      </c>
      <c r="T614" t="s">
        <v>84</v>
      </c>
      <c r="U614" t="s">
        <v>86</v>
      </c>
      <c r="V614" s="16">
        <v>43409</v>
      </c>
      <c r="W614" s="18">
        <v>43407.8958333333</v>
      </c>
      <c r="X614" s="18">
        <v>43435.75</v>
      </c>
      <c r="Y614" s="17">
        <v>1893.2</v>
      </c>
      <c r="Z614" t="s">
        <v>87</v>
      </c>
      <c r="AA614" s="17">
        <v>1960</v>
      </c>
      <c r="AB614" s="17">
        <v>1251.69</v>
      </c>
      <c r="AC614" t="s">
        <v>84</v>
      </c>
      <c r="AD614" t="s">
        <v>84</v>
      </c>
      <c r="AE614" t="s">
        <v>84</v>
      </c>
      <c r="AF614" t="s">
        <v>84</v>
      </c>
      <c r="AG614" s="17">
        <v>8260521.06</v>
      </c>
      <c r="AH614" s="17">
        <v>27.85</v>
      </c>
      <c r="AI614" s="17">
        <v>1.76</v>
      </c>
      <c r="AJ614" s="17">
        <v>1.61</v>
      </c>
      <c r="AK614" t="s">
        <v>208</v>
      </c>
      <c r="AM614" s="17">
        <v>2.2</v>
      </c>
      <c r="AN614" s="17"/>
      <c r="AO614" s="17">
        <v>830</v>
      </c>
      <c r="AP614" s="17"/>
      <c r="AQ614" s="17">
        <v>1790</v>
      </c>
      <c r="AR614" s="17"/>
      <c r="AS614" s="17">
        <v>1.76</v>
      </c>
      <c r="AT614" s="17"/>
      <c r="AU614" s="17">
        <v>465</v>
      </c>
      <c r="AV614" s="17"/>
      <c r="AW614" s="17">
        <v>1069</v>
      </c>
      <c r="AX614" s="17"/>
      <c r="AY614" t="s">
        <v>92</v>
      </c>
      <c r="AZ614" t="s">
        <v>92</v>
      </c>
      <c r="BA614" t="s">
        <v>92</v>
      </c>
      <c r="BB614" t="s">
        <v>92</v>
      </c>
      <c r="BC614" t="s">
        <v>92</v>
      </c>
      <c r="BD614" s="17">
        <v>12.08</v>
      </c>
      <c r="BE614" s="17">
        <v>4913100.64</v>
      </c>
      <c r="BF614" t="s">
        <v>92</v>
      </c>
      <c r="BG614" t="s">
        <v>92</v>
      </c>
      <c r="BH614" t="s">
        <v>93</v>
      </c>
      <c r="BI614" t="s">
        <v>94</v>
      </c>
      <c r="BJ614" t="s">
        <v>215</v>
      </c>
      <c r="BK614" t="s">
        <v>85</v>
      </c>
      <c r="BL614" t="s">
        <v>85</v>
      </c>
      <c r="BM614" t="s">
        <v>96</v>
      </c>
      <c r="BN614" t="s">
        <v>569</v>
      </c>
      <c r="BO614" t="s">
        <v>216</v>
      </c>
      <c r="BP614" t="s">
        <v>103</v>
      </c>
      <c r="BQ614" s="17">
        <v>1519</v>
      </c>
      <c r="BR614" t="s">
        <v>100</v>
      </c>
      <c r="BS614" t="s">
        <v>92</v>
      </c>
      <c r="BT614" t="s">
        <v>550</v>
      </c>
      <c r="BU614" s="17">
        <v>9.9</v>
      </c>
      <c r="BV614" t="s">
        <v>191</v>
      </c>
      <c r="BW614" t="s">
        <v>85</v>
      </c>
      <c r="BX614" t="s">
        <v>85</v>
      </c>
      <c r="BY614" t="str">
        <f>IF(COUNTIF('Data Upload-prod'!E:E,F614)=0,"Missing","Exist")</f>
        <v>Exist</v>
      </c>
    </row>
    <row r="615" hidden="1" spans="1:77">
      <c r="A615" s="16">
        <v>43025</v>
      </c>
      <c r="B615" t="s">
        <v>84</v>
      </c>
      <c r="C615" t="s">
        <v>132</v>
      </c>
      <c r="D615" t="s">
        <v>78</v>
      </c>
      <c r="E615" t="s">
        <v>274</v>
      </c>
      <c r="F615" t="s">
        <v>1113</v>
      </c>
      <c r="G615" t="s">
        <v>145</v>
      </c>
      <c r="H615" t="s">
        <v>154</v>
      </c>
      <c r="I615" t="s">
        <v>124</v>
      </c>
      <c r="J615" s="17">
        <v>80.8</v>
      </c>
      <c r="K615" s="17">
        <v>2942</v>
      </c>
      <c r="L615" s="17">
        <v>2942</v>
      </c>
      <c r="M615" s="17">
        <v>18522218.49</v>
      </c>
      <c r="N615" s="17">
        <v>18522218.49</v>
      </c>
      <c r="O615" s="17">
        <v>47.4</v>
      </c>
      <c r="P615" s="17">
        <v>47.4</v>
      </c>
      <c r="Q615" t="s">
        <v>84</v>
      </c>
      <c r="R615" t="s">
        <v>84</v>
      </c>
      <c r="S615" t="s">
        <v>85</v>
      </c>
      <c r="T615" t="s">
        <v>84</v>
      </c>
      <c r="U615" t="s">
        <v>84</v>
      </c>
      <c r="V615" s="16">
        <v>43033</v>
      </c>
      <c r="W615" s="18">
        <v>43033</v>
      </c>
      <c r="X615" s="18">
        <v>43105.1875</v>
      </c>
      <c r="Y615" s="17">
        <v>2822.2</v>
      </c>
      <c r="Z615" t="s">
        <v>87</v>
      </c>
      <c r="AA615" s="17">
        <v>2935</v>
      </c>
      <c r="AB615" s="17">
        <v>2934.81</v>
      </c>
      <c r="AC615" s="17">
        <v>16166952.72</v>
      </c>
      <c r="AD615" t="s">
        <v>84</v>
      </c>
      <c r="AE615" s="17">
        <v>72.19</v>
      </c>
      <c r="AF615" t="s">
        <v>84</v>
      </c>
      <c r="AG615" t="s">
        <v>84</v>
      </c>
      <c r="AH615" t="s">
        <v>84</v>
      </c>
      <c r="AI615" s="17">
        <v>32.08</v>
      </c>
      <c r="AJ615" s="17">
        <v>1.83</v>
      </c>
      <c r="AK615" t="s">
        <v>300</v>
      </c>
      <c r="AM615" s="17">
        <v>1.9</v>
      </c>
      <c r="AN615" s="17"/>
      <c r="AO615" s="17">
        <v>720</v>
      </c>
      <c r="AP615" s="17"/>
      <c r="AQ615" s="17">
        <v>1370</v>
      </c>
      <c r="AR615" s="17"/>
      <c r="AS615" s="17">
        <v>1.57</v>
      </c>
      <c r="AT615" s="17"/>
      <c r="AU615" s="17">
        <v>590</v>
      </c>
      <c r="AV615" s="17"/>
      <c r="AW615" s="17">
        <v>1031</v>
      </c>
      <c r="AX615" s="17"/>
      <c r="AY615" t="s">
        <v>92</v>
      </c>
      <c r="AZ615" t="s">
        <v>92</v>
      </c>
      <c r="BA615" t="s">
        <v>92</v>
      </c>
      <c r="BB615" t="s">
        <v>92</v>
      </c>
      <c r="BC615" t="s">
        <v>92</v>
      </c>
      <c r="BD615" t="s">
        <v>92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92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92</v>
      </c>
      <c r="BS615" t="s">
        <v>92</v>
      </c>
      <c r="BT615" t="s">
        <v>92</v>
      </c>
      <c r="BU615" t="s">
        <v>92</v>
      </c>
      <c r="BV615" t="s">
        <v>92</v>
      </c>
      <c r="BW615" t="s">
        <v>92</v>
      </c>
      <c r="BX615" t="s">
        <v>92</v>
      </c>
      <c r="BY615" t="str">
        <f>IF(COUNTIF('Data Upload-prod'!E:E,F615)=0,"Missing","Exist")</f>
        <v>Exist</v>
      </c>
    </row>
    <row r="616" hidden="1" spans="1:77">
      <c r="A616" s="16">
        <v>43021</v>
      </c>
      <c r="B616" s="16">
        <v>43115</v>
      </c>
      <c r="C616" t="s">
        <v>132</v>
      </c>
      <c r="D616" t="s">
        <v>142</v>
      </c>
      <c r="E616" t="s">
        <v>1114</v>
      </c>
      <c r="F616" t="s">
        <v>1115</v>
      </c>
      <c r="G616" t="s">
        <v>145</v>
      </c>
      <c r="H616" t="s">
        <v>841</v>
      </c>
      <c r="I616" t="s">
        <v>124</v>
      </c>
      <c r="J616" s="17">
        <v>26.1</v>
      </c>
      <c r="K616" s="17">
        <v>2267</v>
      </c>
      <c r="L616" s="17">
        <v>2065</v>
      </c>
      <c r="M616" s="17">
        <v>9286952.7</v>
      </c>
      <c r="N616" s="17">
        <v>17869285.73</v>
      </c>
      <c r="O616" s="17">
        <v>26</v>
      </c>
      <c r="P616" s="17">
        <v>53.8</v>
      </c>
      <c r="Q616" t="s">
        <v>84</v>
      </c>
      <c r="R616" t="s">
        <v>84</v>
      </c>
      <c r="S616" t="s">
        <v>85</v>
      </c>
      <c r="T616" t="s">
        <v>84</v>
      </c>
      <c r="U616" t="s">
        <v>84</v>
      </c>
      <c r="V616" s="16">
        <v>43043</v>
      </c>
      <c r="W616" s="18">
        <v>43034.3541666667</v>
      </c>
      <c r="X616" s="18">
        <v>43063.375</v>
      </c>
      <c r="Y616" s="17">
        <v>2167.75</v>
      </c>
      <c r="Z616" t="s">
        <v>87</v>
      </c>
      <c r="AA616" s="17">
        <v>2231.8</v>
      </c>
      <c r="AB616" s="17">
        <v>2032.6</v>
      </c>
      <c r="AC616" s="17">
        <v>7107679.28</v>
      </c>
      <c r="AD616" t="s">
        <v>84</v>
      </c>
      <c r="AE616" s="17">
        <v>29.02</v>
      </c>
      <c r="AF616" t="s">
        <v>84</v>
      </c>
      <c r="AG616" t="s">
        <v>84</v>
      </c>
      <c r="AH616" t="s">
        <v>84</v>
      </c>
      <c r="AI616" s="17">
        <v>17.7</v>
      </c>
      <c r="AJ616" s="17">
        <v>6.14</v>
      </c>
      <c r="AK616" t="s">
        <v>300</v>
      </c>
      <c r="AM616" s="17">
        <v>2.6</v>
      </c>
      <c r="AN616" s="17"/>
      <c r="AO616" s="17">
        <v>1010</v>
      </c>
      <c r="AP616" s="17"/>
      <c r="AQ616" s="17">
        <v>2090</v>
      </c>
      <c r="AR616" s="17"/>
      <c r="AS616" s="17">
        <v>0.95</v>
      </c>
      <c r="AT616" s="17"/>
      <c r="AU616" s="17">
        <v>338</v>
      </c>
      <c r="AV616" s="17"/>
      <c r="AW616" s="17">
        <v>574</v>
      </c>
      <c r="AX616" s="17"/>
      <c r="AY616" t="s">
        <v>92</v>
      </c>
      <c r="AZ616" t="s">
        <v>92</v>
      </c>
      <c r="BA616" t="s">
        <v>92</v>
      </c>
      <c r="BB616" t="s">
        <v>92</v>
      </c>
      <c r="BC616" t="s">
        <v>92</v>
      </c>
      <c r="BD616" t="s">
        <v>92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92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92</v>
      </c>
      <c r="BS616" t="s">
        <v>92</v>
      </c>
      <c r="BT616" t="s">
        <v>92</v>
      </c>
      <c r="BU616" t="s">
        <v>92</v>
      </c>
      <c r="BV616" t="s">
        <v>92</v>
      </c>
      <c r="BW616" t="s">
        <v>92</v>
      </c>
      <c r="BX616" t="s">
        <v>92</v>
      </c>
      <c r="BY616" t="str">
        <f>IF(COUNTIF('Data Upload-prod'!E:E,F616)=0,"Missing","Exist")</f>
        <v>Exist</v>
      </c>
    </row>
    <row r="617" hidden="1" spans="1:77">
      <c r="A617" s="16">
        <v>43021</v>
      </c>
      <c r="B617" s="16">
        <v>43283</v>
      </c>
      <c r="C617" t="s">
        <v>178</v>
      </c>
      <c r="D617" t="s">
        <v>120</v>
      </c>
      <c r="E617" t="s">
        <v>179</v>
      </c>
      <c r="F617" t="s">
        <v>1116</v>
      </c>
      <c r="G617" t="s">
        <v>81</v>
      </c>
      <c r="H617" t="s">
        <v>181</v>
      </c>
      <c r="I617" t="s">
        <v>124</v>
      </c>
      <c r="J617" s="17">
        <v>53.34</v>
      </c>
      <c r="K617" s="17">
        <v>1796.71</v>
      </c>
      <c r="L617" s="17">
        <v>1676.62</v>
      </c>
      <c r="M617" t="s">
        <v>84</v>
      </c>
      <c r="N617" t="s">
        <v>84</v>
      </c>
      <c r="O617" t="s">
        <v>84</v>
      </c>
      <c r="P617" t="s">
        <v>84</v>
      </c>
      <c r="Q617" s="17">
        <v>13190000</v>
      </c>
      <c r="R617" s="17">
        <v>31.14</v>
      </c>
      <c r="S617" t="s">
        <v>85</v>
      </c>
      <c r="T617" t="s">
        <v>84</v>
      </c>
      <c r="U617" t="s">
        <v>84</v>
      </c>
      <c r="V617" s="16">
        <v>43148</v>
      </c>
      <c r="W617" s="18">
        <v>43061.6041666667</v>
      </c>
      <c r="X617" s="18">
        <v>43221</v>
      </c>
      <c r="Y617" s="17">
        <v>1740.02</v>
      </c>
      <c r="Z617" t="s">
        <v>87</v>
      </c>
      <c r="AA617" s="17">
        <v>1836.33</v>
      </c>
      <c r="AB617" s="17">
        <v>1707.41</v>
      </c>
      <c r="AC617" t="s">
        <v>84</v>
      </c>
      <c r="AD617" t="s">
        <v>84</v>
      </c>
      <c r="AE617" t="s">
        <v>84</v>
      </c>
      <c r="AF617" t="s">
        <v>84</v>
      </c>
      <c r="AG617" s="17">
        <v>13037497.49</v>
      </c>
      <c r="AH617" s="17">
        <v>51.23</v>
      </c>
      <c r="AI617" s="17">
        <v>2.85</v>
      </c>
      <c r="AJ617" s="17">
        <v>2.36</v>
      </c>
      <c r="AK617" t="s">
        <v>89</v>
      </c>
      <c r="AM617" s="17">
        <v>2.4</v>
      </c>
      <c r="AN617" s="17"/>
      <c r="AO617" s="17">
        <v>795</v>
      </c>
      <c r="AP617" s="17"/>
      <c r="AQ617" s="17">
        <v>1580</v>
      </c>
      <c r="AR617" s="17"/>
      <c r="AS617" s="17">
        <v>5.61</v>
      </c>
      <c r="AT617" s="17"/>
      <c r="AU617" s="17">
        <v>1677</v>
      </c>
      <c r="AV617" s="17"/>
      <c r="AW617" s="17">
        <v>2533</v>
      </c>
      <c r="AX617" s="17"/>
      <c r="AY617" t="s">
        <v>92</v>
      </c>
      <c r="AZ617" t="s">
        <v>92</v>
      </c>
      <c r="BA617" t="s">
        <v>92</v>
      </c>
      <c r="BB617" t="s">
        <v>92</v>
      </c>
      <c r="BC617" t="s">
        <v>92</v>
      </c>
      <c r="BD617" t="s">
        <v>92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92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92</v>
      </c>
      <c r="BS617" t="s">
        <v>92</v>
      </c>
      <c r="BT617" t="s">
        <v>92</v>
      </c>
      <c r="BU617" t="s">
        <v>92</v>
      </c>
      <c r="BV617" t="s">
        <v>92</v>
      </c>
      <c r="BW617" t="s">
        <v>92</v>
      </c>
      <c r="BX617" t="s">
        <v>92</v>
      </c>
      <c r="BY617" t="str">
        <f>IF(COUNTIF('Data Upload-prod'!E:E,F617)=0,"Missing","Exist")</f>
        <v>Exist</v>
      </c>
    </row>
    <row r="618" hidden="1" spans="1:77">
      <c r="A618" s="16">
        <v>43021</v>
      </c>
      <c r="B618" s="16">
        <v>43262</v>
      </c>
      <c r="C618" t="s">
        <v>178</v>
      </c>
      <c r="D618" t="s">
        <v>120</v>
      </c>
      <c r="E618" t="s">
        <v>179</v>
      </c>
      <c r="F618" t="s">
        <v>1117</v>
      </c>
      <c r="G618" t="s">
        <v>81</v>
      </c>
      <c r="H618" t="s">
        <v>181</v>
      </c>
      <c r="I618" t="s">
        <v>124</v>
      </c>
      <c r="J618" s="17">
        <v>53.34</v>
      </c>
      <c r="K618" s="17">
        <v>3051.51</v>
      </c>
      <c r="L618" s="17">
        <v>1934.17</v>
      </c>
      <c r="M618" t="s">
        <v>84</v>
      </c>
      <c r="N618" t="s">
        <v>84</v>
      </c>
      <c r="O618" t="s">
        <v>84</v>
      </c>
      <c r="P618" t="s">
        <v>84</v>
      </c>
      <c r="Q618" s="17">
        <v>13889593.17</v>
      </c>
      <c r="R618" s="17">
        <v>46.68</v>
      </c>
      <c r="S618" t="s">
        <v>106</v>
      </c>
      <c r="T618" t="s">
        <v>84</v>
      </c>
      <c r="U618" t="s">
        <v>84</v>
      </c>
      <c r="V618" s="16">
        <v>43091</v>
      </c>
      <c r="W618" s="18">
        <v>43074.5</v>
      </c>
      <c r="X618" s="18">
        <v>43197.1875</v>
      </c>
      <c r="Y618" s="17">
        <v>2646.75</v>
      </c>
      <c r="Z618" t="s">
        <v>87</v>
      </c>
      <c r="AA618" s="17">
        <v>2743.07</v>
      </c>
      <c r="AB618" s="17">
        <v>2039.93</v>
      </c>
      <c r="AC618" t="s">
        <v>84</v>
      </c>
      <c r="AD618" t="s">
        <v>84</v>
      </c>
      <c r="AE618" t="s">
        <v>84</v>
      </c>
      <c r="AF618" t="s">
        <v>84</v>
      </c>
      <c r="AG618" s="17">
        <v>16493471.31</v>
      </c>
      <c r="AH618" s="17">
        <v>71.6</v>
      </c>
      <c r="AI618" s="17">
        <v>12.03</v>
      </c>
      <c r="AJ618" s="17">
        <v>12.03</v>
      </c>
      <c r="AK618" t="s">
        <v>89</v>
      </c>
      <c r="AM618" s="17">
        <v>2.4</v>
      </c>
      <c r="AN618" s="17"/>
      <c r="AO618" s="17">
        <v>795</v>
      </c>
      <c r="AP618" s="17"/>
      <c r="AQ618" s="17">
        <v>1580</v>
      </c>
      <c r="AR618" s="17"/>
      <c r="AS618" s="17">
        <v>4.41</v>
      </c>
      <c r="AT618" s="17"/>
      <c r="AU618" s="17">
        <v>1398</v>
      </c>
      <c r="AV618" s="17"/>
      <c r="AW618" s="17">
        <v>2035</v>
      </c>
      <c r="AX618" s="17"/>
      <c r="AY618" t="s">
        <v>92</v>
      </c>
      <c r="AZ618" t="s">
        <v>92</v>
      </c>
      <c r="BA618" t="s">
        <v>92</v>
      </c>
      <c r="BB618" t="s">
        <v>92</v>
      </c>
      <c r="BC618" t="s">
        <v>92</v>
      </c>
      <c r="BD618" t="s">
        <v>92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92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92</v>
      </c>
      <c r="BS618" t="s">
        <v>92</v>
      </c>
      <c r="BT618" t="s">
        <v>92</v>
      </c>
      <c r="BU618" t="s">
        <v>92</v>
      </c>
      <c r="BV618" t="s">
        <v>92</v>
      </c>
      <c r="BW618" t="s">
        <v>92</v>
      </c>
      <c r="BX618" t="s">
        <v>92</v>
      </c>
      <c r="BY618" t="str">
        <f>IF(COUNTIF('Data Upload-prod'!E:E,F618)=0,"Missing","Exist")</f>
        <v>Exist</v>
      </c>
    </row>
    <row r="619" hidden="1" spans="1:77">
      <c r="A619" s="16">
        <v>43013</v>
      </c>
      <c r="B619" s="16">
        <v>43096</v>
      </c>
      <c r="C619" t="s">
        <v>218</v>
      </c>
      <c r="D619" t="s">
        <v>78</v>
      </c>
      <c r="E619" t="s">
        <v>219</v>
      </c>
      <c r="F619" t="s">
        <v>1118</v>
      </c>
      <c r="G619" t="s">
        <v>81</v>
      </c>
      <c r="H619" t="s">
        <v>1119</v>
      </c>
      <c r="I619" t="s">
        <v>124</v>
      </c>
      <c r="J619" s="17">
        <v>71.8</v>
      </c>
      <c r="K619" s="17">
        <v>2525</v>
      </c>
      <c r="L619" s="17">
        <v>1166</v>
      </c>
      <c r="M619" t="s">
        <v>84</v>
      </c>
      <c r="N619" t="s">
        <v>84</v>
      </c>
      <c r="O619" t="s">
        <v>84</v>
      </c>
      <c r="P619" t="s">
        <v>84</v>
      </c>
      <c r="Q619" s="17">
        <v>5028104</v>
      </c>
      <c r="R619" s="17">
        <v>11.12</v>
      </c>
      <c r="S619" t="s">
        <v>85</v>
      </c>
      <c r="T619" t="s">
        <v>84</v>
      </c>
      <c r="U619" t="s">
        <v>84</v>
      </c>
      <c r="V619" s="16">
        <v>43031.3958333333</v>
      </c>
      <c r="W619" s="18">
        <v>43031</v>
      </c>
      <c r="X619" s="18">
        <v>43041</v>
      </c>
      <c r="Y619" s="17">
        <v>2430.9</v>
      </c>
      <c r="Z619" t="s">
        <v>87</v>
      </c>
      <c r="AA619" s="17">
        <v>2548</v>
      </c>
      <c r="AB619" s="17">
        <v>1170</v>
      </c>
      <c r="AC619" t="s">
        <v>84</v>
      </c>
      <c r="AD619" t="s">
        <v>84</v>
      </c>
      <c r="AE619" t="s">
        <v>84</v>
      </c>
      <c r="AF619" t="s">
        <v>84</v>
      </c>
      <c r="AG619" s="17">
        <v>4197764</v>
      </c>
      <c r="AH619" s="17">
        <v>13.42</v>
      </c>
      <c r="AI619" s="17">
        <v>10.64</v>
      </c>
      <c r="AJ619" s="17">
        <v>10.64</v>
      </c>
      <c r="AK619" t="s">
        <v>298</v>
      </c>
      <c r="AM619" s="17">
        <v>1.8</v>
      </c>
      <c r="AN619" s="17"/>
      <c r="AO619" s="17">
        <v>600</v>
      </c>
      <c r="AP619" s="17"/>
      <c r="AQ619" s="17">
        <v>1160</v>
      </c>
      <c r="AR619" s="17"/>
      <c r="AS619" s="17">
        <v>1.38</v>
      </c>
      <c r="AT619" s="17"/>
      <c r="AU619" s="17">
        <v>273.81</v>
      </c>
      <c r="AV619" s="17"/>
      <c r="AW619" s="17">
        <v>715.66</v>
      </c>
      <c r="AX619" s="17"/>
      <c r="AY619" t="s">
        <v>92</v>
      </c>
      <c r="AZ619" t="s">
        <v>92</v>
      </c>
      <c r="BA619" t="s">
        <v>92</v>
      </c>
      <c r="BB619" t="s">
        <v>92</v>
      </c>
      <c r="BC619" t="s">
        <v>92</v>
      </c>
      <c r="BD619" t="s">
        <v>92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92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92</v>
      </c>
      <c r="BS619" t="s">
        <v>92</v>
      </c>
      <c r="BT619" t="s">
        <v>92</v>
      </c>
      <c r="BU619" t="s">
        <v>92</v>
      </c>
      <c r="BV619" t="s">
        <v>92</v>
      </c>
      <c r="BW619" t="s">
        <v>92</v>
      </c>
      <c r="BX619" t="s">
        <v>92</v>
      </c>
      <c r="BY619" t="str">
        <f>IF(COUNTIF('Data Upload-prod'!E:E,F619)=0,"Missing","Exist")</f>
        <v>Exist</v>
      </c>
    </row>
    <row r="620" hidden="1" spans="1:77">
      <c r="A620" s="16">
        <v>43007</v>
      </c>
      <c r="B620" s="16">
        <v>43126</v>
      </c>
      <c r="C620" t="s">
        <v>132</v>
      </c>
      <c r="D620" t="s">
        <v>120</v>
      </c>
      <c r="E620" t="s">
        <v>912</v>
      </c>
      <c r="F620" t="s">
        <v>1120</v>
      </c>
      <c r="G620" t="s">
        <v>81</v>
      </c>
      <c r="H620" t="s">
        <v>363</v>
      </c>
      <c r="I620" t="s">
        <v>124</v>
      </c>
      <c r="J620" s="17">
        <v>42.97</v>
      </c>
      <c r="K620" s="17">
        <v>4178.3</v>
      </c>
      <c r="L620" s="17">
        <v>4110.94</v>
      </c>
      <c r="M620" t="s">
        <v>84</v>
      </c>
      <c r="N620" t="s">
        <v>84</v>
      </c>
      <c r="O620" t="s">
        <v>84</v>
      </c>
      <c r="P620" t="s">
        <v>84</v>
      </c>
      <c r="Q620" s="17">
        <v>24438636.31</v>
      </c>
      <c r="R620" s="17">
        <v>71.29</v>
      </c>
      <c r="S620" t="s">
        <v>85</v>
      </c>
      <c r="T620" t="s">
        <v>84</v>
      </c>
      <c r="U620" t="s">
        <v>86</v>
      </c>
      <c r="V620" s="16">
        <v>43021</v>
      </c>
      <c r="W620" s="18">
        <v>43020.5416666667</v>
      </c>
      <c r="X620" s="18">
        <v>43077.8541666667</v>
      </c>
      <c r="Y620" s="17">
        <v>4089.76</v>
      </c>
      <c r="Z620" t="s">
        <v>87</v>
      </c>
      <c r="AA620" s="17">
        <v>4177.08</v>
      </c>
      <c r="AB620" s="17">
        <v>4108.53</v>
      </c>
      <c r="AC620" t="s">
        <v>84</v>
      </c>
      <c r="AD620" t="s">
        <v>84</v>
      </c>
      <c r="AE620" t="s">
        <v>84</v>
      </c>
      <c r="AF620" t="s">
        <v>84</v>
      </c>
      <c r="AG620" s="17">
        <v>16411124.39</v>
      </c>
      <c r="AH620" s="17">
        <v>56.29</v>
      </c>
      <c r="AI620" s="17">
        <v>2.1</v>
      </c>
      <c r="AJ620" s="17">
        <v>1.81</v>
      </c>
      <c r="AK620" t="s">
        <v>126</v>
      </c>
      <c r="AM620" s="17">
        <v>2.5</v>
      </c>
      <c r="AN620" s="17"/>
      <c r="AO620" s="17">
        <v>1010</v>
      </c>
      <c r="AP620" s="17"/>
      <c r="AQ620" s="17">
        <v>1870</v>
      </c>
      <c r="AR620" s="17"/>
      <c r="AS620" s="17">
        <v>2.53</v>
      </c>
      <c r="AT620" s="17"/>
      <c r="AU620" s="17">
        <v>760.75</v>
      </c>
      <c r="AV620" s="17"/>
      <c r="AW620" s="17">
        <v>1170.1</v>
      </c>
      <c r="AX620" s="17"/>
      <c r="AY620" t="s">
        <v>92</v>
      </c>
      <c r="AZ620" t="s">
        <v>92</v>
      </c>
      <c r="BA620" t="s">
        <v>92</v>
      </c>
      <c r="BB620" t="s">
        <v>92</v>
      </c>
      <c r="BC620" t="s">
        <v>92</v>
      </c>
      <c r="BD620" s="17">
        <v>13.38</v>
      </c>
      <c r="BE620" s="17">
        <v>4377377</v>
      </c>
      <c r="BF620" t="s">
        <v>92</v>
      </c>
      <c r="BG620" t="s">
        <v>92</v>
      </c>
      <c r="BH620" t="s">
        <v>93</v>
      </c>
      <c r="BI620" t="s">
        <v>94</v>
      </c>
      <c r="BJ620" t="s">
        <v>173</v>
      </c>
      <c r="BK620" t="s">
        <v>85</v>
      </c>
      <c r="BL620" t="s">
        <v>85</v>
      </c>
      <c r="BM620" t="s">
        <v>273</v>
      </c>
      <c r="BN620" t="s">
        <v>253</v>
      </c>
      <c r="BO620" t="s">
        <v>98</v>
      </c>
      <c r="BP620" t="s">
        <v>99</v>
      </c>
      <c r="BQ620" s="17">
        <v>1045</v>
      </c>
      <c r="BR620" t="s">
        <v>100</v>
      </c>
      <c r="BS620" t="s">
        <v>92</v>
      </c>
      <c r="BT620" t="s">
        <v>99</v>
      </c>
      <c r="BU620" s="17">
        <v>10.2</v>
      </c>
      <c r="BV620" t="s">
        <v>308</v>
      </c>
      <c r="BW620" t="s">
        <v>85</v>
      </c>
      <c r="BX620" t="s">
        <v>85</v>
      </c>
      <c r="BY620" t="str">
        <f>IF(COUNTIF('Data Upload-prod'!E:E,F620)=0,"Missing","Exist")</f>
        <v>Exist</v>
      </c>
    </row>
    <row r="621" hidden="1" spans="1:77">
      <c r="A621" s="16">
        <v>43006</v>
      </c>
      <c r="B621" s="16">
        <v>43118</v>
      </c>
      <c r="C621" t="s">
        <v>151</v>
      </c>
      <c r="D621" t="s">
        <v>142</v>
      </c>
      <c r="E621" t="s">
        <v>166</v>
      </c>
      <c r="F621" t="s">
        <v>1121</v>
      </c>
      <c r="G621" t="s">
        <v>81</v>
      </c>
      <c r="H621" t="s">
        <v>168</v>
      </c>
      <c r="I621" t="s">
        <v>124</v>
      </c>
      <c r="J621" s="17">
        <v>54.25</v>
      </c>
      <c r="K621" s="17">
        <v>3170.37</v>
      </c>
      <c r="L621" s="17">
        <v>2849.74</v>
      </c>
      <c r="M621" t="s">
        <v>84</v>
      </c>
      <c r="N621" t="s">
        <v>84</v>
      </c>
      <c r="O621" t="s">
        <v>84</v>
      </c>
      <c r="P621" t="s">
        <v>84</v>
      </c>
      <c r="Q621" s="17">
        <v>15300000</v>
      </c>
      <c r="R621" s="17">
        <v>33.82</v>
      </c>
      <c r="S621" t="s">
        <v>85</v>
      </c>
      <c r="T621" t="s">
        <v>84</v>
      </c>
      <c r="U621" t="s">
        <v>84</v>
      </c>
      <c r="V621" s="16">
        <v>43030</v>
      </c>
      <c r="W621" s="18">
        <v>43028.3333333333</v>
      </c>
      <c r="X621" s="18">
        <v>43060.1041666667</v>
      </c>
      <c r="Y621" s="17">
        <v>3101.19</v>
      </c>
      <c r="Z621" t="s">
        <v>87</v>
      </c>
      <c r="AA621" s="17">
        <v>3195.67</v>
      </c>
      <c r="AB621" s="17">
        <v>2908.13</v>
      </c>
      <c r="AC621" t="s">
        <v>84</v>
      </c>
      <c r="AD621" t="s">
        <v>84</v>
      </c>
      <c r="AE621" t="s">
        <v>84</v>
      </c>
      <c r="AF621" t="s">
        <v>84</v>
      </c>
      <c r="AG621" s="17">
        <v>12712938.32</v>
      </c>
      <c r="AH621" s="17">
        <v>31.77</v>
      </c>
      <c r="AI621" s="17">
        <v>8.16</v>
      </c>
      <c r="AJ621" s="17">
        <v>5.93</v>
      </c>
      <c r="AK621" t="s">
        <v>208</v>
      </c>
      <c r="AM621" s="17">
        <v>1.7</v>
      </c>
      <c r="AN621" s="17"/>
      <c r="AO621" s="17">
        <v>720</v>
      </c>
      <c r="AP621" s="17"/>
      <c r="AQ621" s="17">
        <v>1285</v>
      </c>
      <c r="AR621" s="17"/>
      <c r="AS621" s="13" t="s">
        <v>150</v>
      </c>
      <c r="AT621"/>
      <c r="AU621" s="13" t="s">
        <v>150</v>
      </c>
      <c r="AW621" s="13" t="s">
        <v>150</v>
      </c>
      <c r="AY621" t="s">
        <v>92</v>
      </c>
      <c r="AZ621" t="s">
        <v>92</v>
      </c>
      <c r="BA621" t="s">
        <v>92</v>
      </c>
      <c r="BB621" t="s">
        <v>92</v>
      </c>
      <c r="BC621" t="s">
        <v>92</v>
      </c>
      <c r="BD621" t="s">
        <v>92</v>
      </c>
      <c r="BE621" t="s">
        <v>92</v>
      </c>
      <c r="BF621" t="s">
        <v>92</v>
      </c>
      <c r="BG621" t="s">
        <v>92</v>
      </c>
      <c r="BH621" t="s">
        <v>92</v>
      </c>
      <c r="BI621" t="s">
        <v>92</v>
      </c>
      <c r="BJ621" t="s">
        <v>92</v>
      </c>
      <c r="BK621" t="s">
        <v>92</v>
      </c>
      <c r="BL621" t="s">
        <v>92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92</v>
      </c>
      <c r="BS621" t="s">
        <v>92</v>
      </c>
      <c r="BT621" t="s">
        <v>92</v>
      </c>
      <c r="BU621" t="s">
        <v>92</v>
      </c>
      <c r="BV621" t="s">
        <v>92</v>
      </c>
      <c r="BW621" t="s">
        <v>92</v>
      </c>
      <c r="BX621" t="s">
        <v>92</v>
      </c>
      <c r="BY621" t="str">
        <f>IF(COUNTIF('Data Upload-prod'!E:E,F621)=0,"Missing","Exist")</f>
        <v>Exist</v>
      </c>
    </row>
    <row r="622" hidden="1" spans="1:77">
      <c r="A622" s="16">
        <v>42996</v>
      </c>
      <c r="B622" s="16">
        <v>43243</v>
      </c>
      <c r="C622" t="s">
        <v>132</v>
      </c>
      <c r="D622" t="s">
        <v>78</v>
      </c>
      <c r="E622" t="s">
        <v>628</v>
      </c>
      <c r="F622" t="s">
        <v>1122</v>
      </c>
      <c r="G622" t="s">
        <v>81</v>
      </c>
      <c r="H622" t="s">
        <v>198</v>
      </c>
      <c r="I622" t="s">
        <v>83</v>
      </c>
      <c r="J622" s="17">
        <v>74.22</v>
      </c>
      <c r="K622" s="17">
        <v>2373</v>
      </c>
      <c r="L622" s="17">
        <v>1381</v>
      </c>
      <c r="M622" t="s">
        <v>84</v>
      </c>
      <c r="N622" t="s">
        <v>84</v>
      </c>
      <c r="O622" t="s">
        <v>84</v>
      </c>
      <c r="P622" t="s">
        <v>84</v>
      </c>
      <c r="Q622" s="17">
        <v>14764740</v>
      </c>
      <c r="R622" s="17">
        <v>34.84</v>
      </c>
      <c r="S622" t="s">
        <v>85</v>
      </c>
      <c r="T622" t="s">
        <v>84</v>
      </c>
      <c r="U622" t="s">
        <v>86</v>
      </c>
      <c r="V622" s="16">
        <v>43119</v>
      </c>
      <c r="W622" s="18">
        <v>43004.7083333333</v>
      </c>
      <c r="X622" s="18">
        <v>43189</v>
      </c>
      <c r="Y622" s="17">
        <v>2423.23</v>
      </c>
      <c r="Z622" t="s">
        <v>87</v>
      </c>
      <c r="AA622" s="17">
        <v>2530</v>
      </c>
      <c r="AB622" s="17">
        <v>1434.6</v>
      </c>
      <c r="AC622" t="s">
        <v>84</v>
      </c>
      <c r="AD622" t="s">
        <v>84</v>
      </c>
      <c r="AE622" t="s">
        <v>84</v>
      </c>
      <c r="AF622" t="s">
        <v>84</v>
      </c>
      <c r="AG622" s="17">
        <v>17469053</v>
      </c>
      <c r="AH622" s="17">
        <v>56.7</v>
      </c>
      <c r="AI622" s="17">
        <v>44</v>
      </c>
      <c r="AJ622" s="17">
        <v>34.7</v>
      </c>
      <c r="AK622" t="s">
        <v>298</v>
      </c>
      <c r="AM622" s="17">
        <v>1.8</v>
      </c>
      <c r="AN622" s="17"/>
      <c r="AO622" s="17">
        <v>600</v>
      </c>
      <c r="AP622" s="17"/>
      <c r="AQ622" s="17">
        <v>2170</v>
      </c>
      <c r="AR622" s="17"/>
      <c r="AS622" s="17">
        <v>1.61</v>
      </c>
      <c r="AT622" s="17"/>
      <c r="AU622" s="17">
        <v>472.65</v>
      </c>
      <c r="AV622" s="17"/>
      <c r="AW622" s="17">
        <v>2042.1</v>
      </c>
      <c r="AX622" s="17"/>
      <c r="AY622" t="s">
        <v>92</v>
      </c>
      <c r="AZ622" t="s">
        <v>92</v>
      </c>
      <c r="BA622" t="s">
        <v>92</v>
      </c>
      <c r="BB622" t="s">
        <v>92</v>
      </c>
      <c r="BC622" t="s">
        <v>92</v>
      </c>
      <c r="BD622" s="17">
        <v>21.91</v>
      </c>
      <c r="BE622" s="17">
        <v>7280662.69</v>
      </c>
      <c r="BF622" t="s">
        <v>92</v>
      </c>
      <c r="BG622" t="s">
        <v>92</v>
      </c>
      <c r="BH622" t="s">
        <v>93</v>
      </c>
      <c r="BI622" t="s">
        <v>94</v>
      </c>
      <c r="BJ622" t="s">
        <v>215</v>
      </c>
      <c r="BK622" t="s">
        <v>85</v>
      </c>
      <c r="BL622" t="s">
        <v>85</v>
      </c>
      <c r="BM622" t="s">
        <v>96</v>
      </c>
      <c r="BN622" t="s">
        <v>253</v>
      </c>
      <c r="BO622" t="s">
        <v>98</v>
      </c>
      <c r="BP622" t="s">
        <v>99</v>
      </c>
      <c r="BQ622" s="17">
        <v>115</v>
      </c>
      <c r="BR622" t="s">
        <v>100</v>
      </c>
      <c r="BS622" t="s">
        <v>156</v>
      </c>
      <c r="BT622" t="s">
        <v>99</v>
      </c>
      <c r="BU622" s="17">
        <v>8.6</v>
      </c>
      <c r="BV622" t="s">
        <v>110</v>
      </c>
      <c r="BW622" t="s">
        <v>85</v>
      </c>
      <c r="BX622" t="s">
        <v>85</v>
      </c>
      <c r="BY622" t="str">
        <f>IF(COUNTIF('Data Upload-prod'!E:E,F622)=0,"Missing","Exist")</f>
        <v>Exist</v>
      </c>
    </row>
    <row r="623" hidden="1" spans="1:77">
      <c r="A623" s="16">
        <v>42991</v>
      </c>
      <c r="B623" s="16">
        <v>43126</v>
      </c>
      <c r="C623" t="s">
        <v>132</v>
      </c>
      <c r="D623" t="s">
        <v>78</v>
      </c>
      <c r="E623" t="s">
        <v>479</v>
      </c>
      <c r="F623" t="s">
        <v>1123</v>
      </c>
      <c r="G623" t="s">
        <v>81</v>
      </c>
      <c r="H623" t="s">
        <v>202</v>
      </c>
      <c r="I623" t="s">
        <v>124</v>
      </c>
      <c r="J623" s="17">
        <v>69.8</v>
      </c>
      <c r="K623" s="17">
        <v>2273</v>
      </c>
      <c r="L623" s="17">
        <v>2178</v>
      </c>
      <c r="M623" t="s">
        <v>84</v>
      </c>
      <c r="N623" t="s">
        <v>84</v>
      </c>
      <c r="O623" t="s">
        <v>84</v>
      </c>
      <c r="P623" t="s">
        <v>84</v>
      </c>
      <c r="Q623" s="17">
        <v>11671474</v>
      </c>
      <c r="R623" s="17">
        <v>22.9</v>
      </c>
      <c r="S623" t="s">
        <v>85</v>
      </c>
      <c r="T623" t="s">
        <v>84</v>
      </c>
      <c r="U623" t="s">
        <v>86</v>
      </c>
      <c r="V623" s="16">
        <v>42996</v>
      </c>
      <c r="W623" s="18">
        <v>42996.125</v>
      </c>
      <c r="X623" s="18">
        <v>43048.3333333333</v>
      </c>
      <c r="Y623" s="17">
        <v>2156</v>
      </c>
      <c r="Z623" t="s">
        <v>87</v>
      </c>
      <c r="AA623" s="17">
        <v>2274</v>
      </c>
      <c r="AB623" s="17">
        <v>2194.8</v>
      </c>
      <c r="AC623" t="s">
        <v>84</v>
      </c>
      <c r="AD623" t="s">
        <v>84</v>
      </c>
      <c r="AE623" t="s">
        <v>84</v>
      </c>
      <c r="AF623" t="s">
        <v>84</v>
      </c>
      <c r="AG623" s="17">
        <v>7302918</v>
      </c>
      <c r="AH623" s="17">
        <v>16.92</v>
      </c>
      <c r="AI623" s="17">
        <v>0.25</v>
      </c>
      <c r="AJ623" s="17">
        <v>0.25</v>
      </c>
      <c r="AK623" t="s">
        <v>208</v>
      </c>
      <c r="AM623" s="17">
        <v>2.1</v>
      </c>
      <c r="AN623" s="17"/>
      <c r="AO623" s="17">
        <v>700</v>
      </c>
      <c r="AP623" s="17"/>
      <c r="AQ623" s="17">
        <v>1220</v>
      </c>
      <c r="AR623" s="17"/>
      <c r="AS623" s="17">
        <v>1.74</v>
      </c>
      <c r="AT623" s="17"/>
      <c r="AU623" s="17">
        <v>610</v>
      </c>
      <c r="AV623" s="17"/>
      <c r="AW623" s="17">
        <v>935</v>
      </c>
      <c r="AX623" s="17"/>
      <c r="AY623" t="s">
        <v>92</v>
      </c>
      <c r="AZ623" t="s">
        <v>92</v>
      </c>
      <c r="BA623" t="s">
        <v>92</v>
      </c>
      <c r="BB623" t="s">
        <v>92</v>
      </c>
      <c r="BC623" t="s">
        <v>92</v>
      </c>
      <c r="BD623" s="17">
        <v>3.94</v>
      </c>
      <c r="BE623" s="17">
        <v>2335645.07</v>
      </c>
      <c r="BF623" t="s">
        <v>92</v>
      </c>
      <c r="BG623" t="s">
        <v>92</v>
      </c>
      <c r="BH623" t="s">
        <v>93</v>
      </c>
      <c r="BI623" t="s">
        <v>94</v>
      </c>
      <c r="BJ623" t="s">
        <v>95</v>
      </c>
      <c r="BK623" t="s">
        <v>85</v>
      </c>
      <c r="BL623" t="s">
        <v>85</v>
      </c>
      <c r="BM623" t="s">
        <v>273</v>
      </c>
      <c r="BN623" t="s">
        <v>97</v>
      </c>
      <c r="BO623" t="s">
        <v>98</v>
      </c>
      <c r="BP623" t="s">
        <v>99</v>
      </c>
      <c r="BQ623" s="17">
        <v>95.149</v>
      </c>
      <c r="BR623" t="s">
        <v>100</v>
      </c>
      <c r="BS623" t="s">
        <v>156</v>
      </c>
      <c r="BT623" t="s">
        <v>99</v>
      </c>
      <c r="BU623" s="17">
        <v>8.3</v>
      </c>
      <c r="BV623" t="s">
        <v>131</v>
      </c>
      <c r="BW623" t="s">
        <v>85</v>
      </c>
      <c r="BX623" t="s">
        <v>85</v>
      </c>
      <c r="BY623" t="str">
        <f>IF(COUNTIF('Data Upload-prod'!E:E,F623)=0,"Missing","Exist")</f>
        <v>Exist</v>
      </c>
    </row>
    <row r="624" hidden="1" spans="1:77">
      <c r="A624" s="16">
        <v>42990</v>
      </c>
      <c r="B624" s="16">
        <v>43126</v>
      </c>
      <c r="C624" t="s">
        <v>77</v>
      </c>
      <c r="D624" t="s">
        <v>120</v>
      </c>
      <c r="E624" t="s">
        <v>813</v>
      </c>
      <c r="F624" t="s">
        <v>1124</v>
      </c>
      <c r="G624" t="s">
        <v>81</v>
      </c>
      <c r="H624" t="s">
        <v>135</v>
      </c>
      <c r="I624" t="s">
        <v>124</v>
      </c>
      <c r="J624" s="17">
        <v>64.7</v>
      </c>
      <c r="K624" s="17">
        <v>3900</v>
      </c>
      <c r="L624" s="17">
        <v>2616</v>
      </c>
      <c r="M624" t="s">
        <v>84</v>
      </c>
      <c r="N624" t="s">
        <v>84</v>
      </c>
      <c r="O624" t="s">
        <v>84</v>
      </c>
      <c r="P624" t="s">
        <v>84</v>
      </c>
      <c r="Q624" s="17">
        <v>11421943</v>
      </c>
      <c r="R624" s="17">
        <v>48.1</v>
      </c>
      <c r="S624" t="s">
        <v>85</v>
      </c>
      <c r="T624" t="s">
        <v>84</v>
      </c>
      <c r="U624" t="s">
        <v>86</v>
      </c>
      <c r="V624" s="16">
        <v>43038.7916666667</v>
      </c>
      <c r="W624" s="18">
        <v>43026.6458333333</v>
      </c>
      <c r="X624" s="18">
        <v>43072.53125</v>
      </c>
      <c r="Y624" s="17">
        <v>3192.9</v>
      </c>
      <c r="Z624" t="s">
        <v>87</v>
      </c>
      <c r="AA624" s="17">
        <v>3295</v>
      </c>
      <c r="AB624" s="17">
        <v>2639.5</v>
      </c>
      <c r="AC624" t="s">
        <v>84</v>
      </c>
      <c r="AD624" t="s">
        <v>84</v>
      </c>
      <c r="AE624" t="s">
        <v>84</v>
      </c>
      <c r="AF624" t="s">
        <v>84</v>
      </c>
      <c r="AG624" s="17">
        <v>11009574</v>
      </c>
      <c r="AH624" s="17">
        <v>45.89</v>
      </c>
      <c r="AI624" s="17">
        <v>3.63</v>
      </c>
      <c r="AJ624" s="17">
        <v>2.77</v>
      </c>
      <c r="AK624" t="s">
        <v>126</v>
      </c>
      <c r="AM624" s="17">
        <v>2.5</v>
      </c>
      <c r="AN624" s="17"/>
      <c r="AO624" s="17">
        <v>1010</v>
      </c>
      <c r="AP624" s="17"/>
      <c r="AQ624" s="17">
        <v>1705</v>
      </c>
      <c r="AR624" s="17"/>
      <c r="AS624" s="17">
        <v>1.95</v>
      </c>
      <c r="AT624" s="17"/>
      <c r="AU624" s="17">
        <v>498</v>
      </c>
      <c r="AV624" s="17"/>
      <c r="AW624" s="17">
        <v>754</v>
      </c>
      <c r="AX624" s="17"/>
      <c r="AY624" t="s">
        <v>92</v>
      </c>
      <c r="AZ624" t="s">
        <v>92</v>
      </c>
      <c r="BA624" t="s">
        <v>92</v>
      </c>
      <c r="BB624" t="s">
        <v>92</v>
      </c>
      <c r="BC624" t="s">
        <v>92</v>
      </c>
      <c r="BD624" s="17">
        <v>9.01</v>
      </c>
      <c r="BE624" s="17">
        <v>2572805.25</v>
      </c>
      <c r="BF624" t="s">
        <v>92</v>
      </c>
      <c r="BG624" t="s">
        <v>92</v>
      </c>
      <c r="BH624" t="s">
        <v>93</v>
      </c>
      <c r="BI624" t="s">
        <v>94</v>
      </c>
      <c r="BJ624" t="s">
        <v>353</v>
      </c>
      <c r="BK624" t="s">
        <v>85</v>
      </c>
      <c r="BL624" t="s">
        <v>85</v>
      </c>
      <c r="BM624" t="s">
        <v>96</v>
      </c>
      <c r="BN624" t="s">
        <v>569</v>
      </c>
      <c r="BO624" t="s">
        <v>98</v>
      </c>
      <c r="BP624" t="s">
        <v>99</v>
      </c>
      <c r="BQ624" s="17">
        <v>742</v>
      </c>
      <c r="BR624" t="s">
        <v>138</v>
      </c>
      <c r="BS624" t="s">
        <v>92</v>
      </c>
      <c r="BT624" t="s">
        <v>99</v>
      </c>
      <c r="BU624" s="17">
        <v>9.1</v>
      </c>
      <c r="BV624" t="s">
        <v>191</v>
      </c>
      <c r="BW624" t="s">
        <v>85</v>
      </c>
      <c r="BX624" t="s">
        <v>85</v>
      </c>
      <c r="BY624" t="str">
        <f>IF(COUNTIF('Data Upload-prod'!E:E,F624)=0,"Missing","Exist")</f>
        <v>Exist</v>
      </c>
    </row>
    <row r="625" hidden="1" spans="1:77">
      <c r="A625" s="16">
        <v>42985</v>
      </c>
      <c r="B625" s="16">
        <v>43174</v>
      </c>
      <c r="C625" t="s">
        <v>132</v>
      </c>
      <c r="D625" t="s">
        <v>78</v>
      </c>
      <c r="E625" t="s">
        <v>628</v>
      </c>
      <c r="F625" t="s">
        <v>1125</v>
      </c>
      <c r="G625" t="s">
        <v>81</v>
      </c>
      <c r="H625" t="s">
        <v>198</v>
      </c>
      <c r="I625" t="s">
        <v>83</v>
      </c>
      <c r="J625" s="17">
        <v>74.22</v>
      </c>
      <c r="K625" s="17">
        <v>2392</v>
      </c>
      <c r="L625" s="17">
        <v>1431</v>
      </c>
      <c r="M625" t="s">
        <v>84</v>
      </c>
      <c r="N625" t="s">
        <v>84</v>
      </c>
      <c r="O625" t="s">
        <v>84</v>
      </c>
      <c r="P625" t="s">
        <v>84</v>
      </c>
      <c r="Q625" s="17">
        <v>13695700</v>
      </c>
      <c r="R625" s="17">
        <v>29.92</v>
      </c>
      <c r="S625" t="s">
        <v>85</v>
      </c>
      <c r="T625" t="s">
        <v>84</v>
      </c>
      <c r="U625" t="s">
        <v>86</v>
      </c>
      <c r="V625" s="16">
        <v>42993</v>
      </c>
      <c r="W625" s="18">
        <v>42993</v>
      </c>
      <c r="X625" s="18">
        <v>43108</v>
      </c>
      <c r="Y625" s="17">
        <v>2319.23</v>
      </c>
      <c r="Z625" t="s">
        <v>87</v>
      </c>
      <c r="AA625" s="17">
        <v>2426</v>
      </c>
      <c r="AB625" s="17">
        <v>1448</v>
      </c>
      <c r="AC625" t="s">
        <v>84</v>
      </c>
      <c r="AD625" t="s">
        <v>84</v>
      </c>
      <c r="AE625" t="s">
        <v>84</v>
      </c>
      <c r="AF625" t="s">
        <v>84</v>
      </c>
      <c r="AG625" s="17">
        <v>13915234</v>
      </c>
      <c r="AH625" s="17">
        <v>46.34</v>
      </c>
      <c r="AI625" s="17">
        <v>33.7</v>
      </c>
      <c r="AJ625" s="17">
        <v>1.9</v>
      </c>
      <c r="AK625" t="s">
        <v>208</v>
      </c>
      <c r="AM625" s="17">
        <v>2.1</v>
      </c>
      <c r="AN625" s="17"/>
      <c r="AO625" s="17">
        <v>700</v>
      </c>
      <c r="AP625" s="17"/>
      <c r="AQ625" s="17">
        <v>1220</v>
      </c>
      <c r="AR625" s="17"/>
      <c r="AS625" s="17">
        <v>1.58</v>
      </c>
      <c r="AT625" s="17"/>
      <c r="AU625" s="17">
        <v>535</v>
      </c>
      <c r="AV625" s="17"/>
      <c r="AW625" s="17">
        <v>1874</v>
      </c>
      <c r="AX625" s="17"/>
      <c r="AY625" t="s">
        <v>92</v>
      </c>
      <c r="AZ625" t="s">
        <v>92</v>
      </c>
      <c r="BA625" t="s">
        <v>92</v>
      </c>
      <c r="BB625" t="s">
        <v>92</v>
      </c>
      <c r="BC625" t="s">
        <v>92</v>
      </c>
      <c r="BD625" s="17">
        <v>7.16</v>
      </c>
      <c r="BE625" s="17">
        <v>2624537.52</v>
      </c>
      <c r="BF625" t="s">
        <v>92</v>
      </c>
      <c r="BG625" t="s">
        <v>92</v>
      </c>
      <c r="BH625" t="s">
        <v>93</v>
      </c>
      <c r="BI625" t="s">
        <v>94</v>
      </c>
      <c r="BJ625" t="s">
        <v>173</v>
      </c>
      <c r="BK625" t="s">
        <v>85</v>
      </c>
      <c r="BL625" t="s">
        <v>85</v>
      </c>
      <c r="BM625" t="s">
        <v>273</v>
      </c>
      <c r="BN625" t="s">
        <v>490</v>
      </c>
      <c r="BO625" t="s">
        <v>98</v>
      </c>
      <c r="BP625" t="s">
        <v>99</v>
      </c>
      <c r="BQ625" s="17">
        <v>157.488</v>
      </c>
      <c r="BR625" t="s">
        <v>100</v>
      </c>
      <c r="BS625" t="s">
        <v>156</v>
      </c>
      <c r="BT625" t="s">
        <v>99</v>
      </c>
      <c r="BU625" s="17">
        <v>8.6</v>
      </c>
      <c r="BV625" t="s">
        <v>110</v>
      </c>
      <c r="BW625" t="s">
        <v>85</v>
      </c>
      <c r="BX625" t="s">
        <v>85</v>
      </c>
      <c r="BY625" t="str">
        <f>IF(COUNTIF('Data Upload-prod'!E:E,F625)=0,"Missing","Exist")</f>
        <v>Exist</v>
      </c>
    </row>
    <row r="626" hidden="1" spans="1:77">
      <c r="A626" s="16">
        <v>42983</v>
      </c>
      <c r="B626" s="16">
        <v>43171</v>
      </c>
      <c r="C626" t="s">
        <v>218</v>
      </c>
      <c r="D626" t="s">
        <v>120</v>
      </c>
      <c r="E626" t="s">
        <v>1126</v>
      </c>
      <c r="F626" t="s">
        <v>1127</v>
      </c>
      <c r="G626" t="s">
        <v>145</v>
      </c>
      <c r="H626" t="s">
        <v>1119</v>
      </c>
      <c r="I626" t="s">
        <v>124</v>
      </c>
      <c r="J626" s="17">
        <v>83.6</v>
      </c>
      <c r="K626" s="17">
        <v>2759</v>
      </c>
      <c r="L626" s="17">
        <v>2759</v>
      </c>
      <c r="M626" s="17">
        <v>11141554</v>
      </c>
      <c r="N626" s="17">
        <v>11142000</v>
      </c>
      <c r="O626" s="17">
        <v>33.3</v>
      </c>
      <c r="P626" s="17">
        <v>41.9</v>
      </c>
      <c r="Q626" t="s">
        <v>84</v>
      </c>
      <c r="R626" t="s">
        <v>84</v>
      </c>
      <c r="S626" t="s">
        <v>85</v>
      </c>
      <c r="T626" t="s">
        <v>84</v>
      </c>
      <c r="U626" t="s">
        <v>84</v>
      </c>
      <c r="V626" s="16">
        <v>43086</v>
      </c>
      <c r="W626" s="18">
        <v>43083.7708333333</v>
      </c>
      <c r="X626" s="18">
        <v>43127.5833333333</v>
      </c>
      <c r="Y626" s="17">
        <v>2521.8</v>
      </c>
      <c r="Z626" t="s">
        <v>87</v>
      </c>
      <c r="AA626" s="17">
        <v>2640</v>
      </c>
      <c r="AB626" s="17">
        <v>2637.72</v>
      </c>
      <c r="AC626" t="s">
        <v>84</v>
      </c>
      <c r="AD626" s="17">
        <v>10249000</v>
      </c>
      <c r="AE626" t="s">
        <v>84</v>
      </c>
      <c r="AF626" s="17">
        <v>43.8</v>
      </c>
      <c r="AG626" t="s">
        <v>84</v>
      </c>
      <c r="AH626" t="s">
        <v>84</v>
      </c>
      <c r="AI626" s="17">
        <v>2.7</v>
      </c>
      <c r="AJ626" s="17">
        <v>2.7</v>
      </c>
      <c r="AK626" t="s">
        <v>323</v>
      </c>
      <c r="AM626" s="17">
        <v>4.4</v>
      </c>
      <c r="AN626" s="17"/>
      <c r="AO626" s="17">
        <v>1980</v>
      </c>
      <c r="AP626" s="17"/>
      <c r="AQ626" s="17">
        <v>2760</v>
      </c>
      <c r="AR626" s="17"/>
      <c r="AS626" s="17">
        <v>2.2</v>
      </c>
      <c r="AT626" s="17"/>
      <c r="AU626" s="17">
        <v>649</v>
      </c>
      <c r="AV626" s="17"/>
      <c r="AW626" s="17">
        <v>1216</v>
      </c>
      <c r="AX626" s="17"/>
      <c r="AY626" t="s">
        <v>92</v>
      </c>
      <c r="AZ626" t="s">
        <v>92</v>
      </c>
      <c r="BA626" t="s">
        <v>92</v>
      </c>
      <c r="BB626" t="s">
        <v>92</v>
      </c>
      <c r="BC626" t="s">
        <v>92</v>
      </c>
      <c r="BD626" t="s">
        <v>92</v>
      </c>
      <c r="BE626" t="s">
        <v>92</v>
      </c>
      <c r="BF626" t="s">
        <v>92</v>
      </c>
      <c r="BG626" t="s">
        <v>92</v>
      </c>
      <c r="BH626" t="s">
        <v>92</v>
      </c>
      <c r="BI626" t="s">
        <v>92</v>
      </c>
      <c r="BJ626" t="s">
        <v>92</v>
      </c>
      <c r="BK626" t="s">
        <v>92</v>
      </c>
      <c r="BL626" t="s">
        <v>92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92</v>
      </c>
      <c r="BS626" t="s">
        <v>92</v>
      </c>
      <c r="BT626" t="s">
        <v>92</v>
      </c>
      <c r="BU626" t="s">
        <v>92</v>
      </c>
      <c r="BV626" t="s">
        <v>92</v>
      </c>
      <c r="BW626" t="s">
        <v>92</v>
      </c>
      <c r="BX626" t="s">
        <v>92</v>
      </c>
      <c r="BY626" t="str">
        <f>IF(COUNTIF('Data Upload-prod'!E:E,F626)=0,"Missing","Exist")</f>
        <v>Exist</v>
      </c>
    </row>
    <row r="627" hidden="1" spans="1:77">
      <c r="A627" s="16">
        <v>42983</v>
      </c>
      <c r="B627" s="16">
        <v>43443</v>
      </c>
      <c r="C627" t="s">
        <v>218</v>
      </c>
      <c r="D627" t="s">
        <v>120</v>
      </c>
      <c r="E627" t="s">
        <v>1128</v>
      </c>
      <c r="F627" t="s">
        <v>1129</v>
      </c>
      <c r="G627" t="s">
        <v>145</v>
      </c>
      <c r="H627" t="s">
        <v>1119</v>
      </c>
      <c r="I627" t="s">
        <v>124</v>
      </c>
      <c r="J627" s="17">
        <v>84.8</v>
      </c>
      <c r="K627" s="17">
        <v>2344</v>
      </c>
      <c r="L627" s="17">
        <v>2344</v>
      </c>
      <c r="M627" s="17">
        <v>10559111</v>
      </c>
      <c r="N627" s="17">
        <v>10559111</v>
      </c>
      <c r="O627" s="17">
        <v>32</v>
      </c>
      <c r="P627" s="17">
        <v>32</v>
      </c>
      <c r="Q627" t="s">
        <v>84</v>
      </c>
      <c r="R627" t="s">
        <v>84</v>
      </c>
      <c r="S627" t="s">
        <v>85</v>
      </c>
      <c r="T627" t="s">
        <v>84</v>
      </c>
      <c r="U627" t="s">
        <v>84</v>
      </c>
      <c r="V627" s="16">
        <v>43059.875</v>
      </c>
      <c r="W627" s="18">
        <v>43052.1041666667</v>
      </c>
      <c r="X627" s="18">
        <v>43083.7708333333</v>
      </c>
      <c r="Y627" s="17">
        <v>2168.6</v>
      </c>
      <c r="Z627" t="s">
        <v>87</v>
      </c>
      <c r="AA627" s="17">
        <v>2288</v>
      </c>
      <c r="AB627" s="17">
        <v>2288</v>
      </c>
      <c r="AC627" t="s">
        <v>84</v>
      </c>
      <c r="AD627" s="17">
        <v>7340000</v>
      </c>
      <c r="AE627" t="s">
        <v>84</v>
      </c>
      <c r="AF627" s="17">
        <v>31.67</v>
      </c>
      <c r="AG627" t="s">
        <v>84</v>
      </c>
      <c r="AH627" t="s">
        <v>84</v>
      </c>
      <c r="AI627" s="17">
        <v>5.99</v>
      </c>
      <c r="AJ627" s="17">
        <v>5.79</v>
      </c>
      <c r="AK627" t="s">
        <v>323</v>
      </c>
      <c r="AM627" s="17">
        <v>4.4</v>
      </c>
      <c r="AN627" s="17"/>
      <c r="AO627" s="17">
        <v>1980</v>
      </c>
      <c r="AP627" s="17"/>
      <c r="AQ627" s="17">
        <v>2760</v>
      </c>
      <c r="AR627" s="17"/>
      <c r="AS627" s="17">
        <v>2.5</v>
      </c>
      <c r="AT627" s="17"/>
      <c r="AU627" s="17">
        <v>668</v>
      </c>
      <c r="AV627" s="17"/>
      <c r="AW627" s="17">
        <v>945</v>
      </c>
      <c r="AX627" s="17"/>
      <c r="AY627" t="s">
        <v>92</v>
      </c>
      <c r="AZ627" t="s">
        <v>92</v>
      </c>
      <c r="BA627" t="s">
        <v>92</v>
      </c>
      <c r="BB627" t="s">
        <v>92</v>
      </c>
      <c r="BC627" t="s">
        <v>92</v>
      </c>
      <c r="BD627" t="s">
        <v>92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92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92</v>
      </c>
      <c r="BS627" t="s">
        <v>92</v>
      </c>
      <c r="BT627" t="s">
        <v>92</v>
      </c>
      <c r="BU627" t="s">
        <v>92</v>
      </c>
      <c r="BV627" t="s">
        <v>92</v>
      </c>
      <c r="BW627" t="s">
        <v>92</v>
      </c>
      <c r="BX627" t="s">
        <v>92</v>
      </c>
      <c r="BY627" t="str">
        <f>IF(COUNTIF('Data Upload-prod'!E:E,F627)=0,"Missing","Exist")</f>
        <v>Exist</v>
      </c>
    </row>
    <row r="628" hidden="1" spans="1:77">
      <c r="A628" s="16">
        <v>42983</v>
      </c>
      <c r="B628" s="16">
        <v>43121</v>
      </c>
      <c r="C628" t="s">
        <v>132</v>
      </c>
      <c r="D628" t="s">
        <v>78</v>
      </c>
      <c r="E628" t="s">
        <v>479</v>
      </c>
      <c r="F628" t="s">
        <v>1130</v>
      </c>
      <c r="G628" t="s">
        <v>81</v>
      </c>
      <c r="H628" t="s">
        <v>202</v>
      </c>
      <c r="I628" t="s">
        <v>124</v>
      </c>
      <c r="J628" s="17">
        <v>69.8</v>
      </c>
      <c r="K628" s="17">
        <v>3515</v>
      </c>
      <c r="L628" s="17">
        <v>2127</v>
      </c>
      <c r="M628" t="s">
        <v>84</v>
      </c>
      <c r="N628" t="s">
        <v>84</v>
      </c>
      <c r="O628" t="s">
        <v>84</v>
      </c>
      <c r="P628" t="s">
        <v>84</v>
      </c>
      <c r="Q628" s="17">
        <v>17474595</v>
      </c>
      <c r="R628" s="17">
        <v>38</v>
      </c>
      <c r="S628" t="s">
        <v>85</v>
      </c>
      <c r="T628" t="s">
        <v>84</v>
      </c>
      <c r="U628" t="s">
        <v>86</v>
      </c>
      <c r="V628" s="16">
        <v>42993</v>
      </c>
      <c r="W628" s="18">
        <v>42993</v>
      </c>
      <c r="X628" s="18">
        <v>43069.2083333333</v>
      </c>
      <c r="Y628" s="17">
        <v>3432</v>
      </c>
      <c r="Z628" t="s">
        <v>87</v>
      </c>
      <c r="AA628" s="17">
        <v>3550</v>
      </c>
      <c r="AB628" s="17">
        <v>2147.5</v>
      </c>
      <c r="AC628" t="s">
        <v>84</v>
      </c>
      <c r="AD628" t="s">
        <v>84</v>
      </c>
      <c r="AE628" t="s">
        <v>84</v>
      </c>
      <c r="AF628" t="s">
        <v>84</v>
      </c>
      <c r="AG628" s="17">
        <v>15171175</v>
      </c>
      <c r="AH628" s="17">
        <v>38.42</v>
      </c>
      <c r="AI628" s="17">
        <v>3.15</v>
      </c>
      <c r="AJ628" s="17">
        <v>1.95</v>
      </c>
      <c r="AK628" t="s">
        <v>208</v>
      </c>
      <c r="AM628" s="17">
        <v>2.1</v>
      </c>
      <c r="AN628" s="17"/>
      <c r="AO628" s="17">
        <v>700</v>
      </c>
      <c r="AP628" s="17"/>
      <c r="AQ628" s="17">
        <v>1220</v>
      </c>
      <c r="AR628" s="17"/>
      <c r="AS628" s="17">
        <v>1.77</v>
      </c>
      <c r="AT628" s="17"/>
      <c r="AU628" s="17">
        <v>691</v>
      </c>
      <c r="AV628" s="17"/>
      <c r="AW628" s="17">
        <v>1293</v>
      </c>
      <c r="AX628" s="17"/>
      <c r="AY628" t="s">
        <v>92</v>
      </c>
      <c r="AZ628" t="s">
        <v>92</v>
      </c>
      <c r="BA628" t="s">
        <v>92</v>
      </c>
      <c r="BB628" t="s">
        <v>92</v>
      </c>
      <c r="BC628" t="s">
        <v>92</v>
      </c>
      <c r="BD628" s="17">
        <v>15.78</v>
      </c>
      <c r="BE628" s="17">
        <v>5956622.19</v>
      </c>
      <c r="BF628" t="s">
        <v>92</v>
      </c>
      <c r="BG628" t="s">
        <v>92</v>
      </c>
      <c r="BH628" t="s">
        <v>93</v>
      </c>
      <c r="BI628" t="s">
        <v>94</v>
      </c>
      <c r="BJ628" t="s">
        <v>173</v>
      </c>
      <c r="BK628" t="s">
        <v>85</v>
      </c>
      <c r="BL628" t="s">
        <v>85</v>
      </c>
      <c r="BM628" t="s">
        <v>273</v>
      </c>
      <c r="BN628" t="s">
        <v>569</v>
      </c>
      <c r="BO628" t="s">
        <v>98</v>
      </c>
      <c r="BP628" t="s">
        <v>99</v>
      </c>
      <c r="BQ628" s="17">
        <v>157.488</v>
      </c>
      <c r="BR628" t="s">
        <v>100</v>
      </c>
      <c r="BS628" t="s">
        <v>156</v>
      </c>
      <c r="BT628" t="s">
        <v>99</v>
      </c>
      <c r="BU628" s="17">
        <v>11.8</v>
      </c>
      <c r="BV628" t="s">
        <v>308</v>
      </c>
      <c r="BW628" t="s">
        <v>85</v>
      </c>
      <c r="BX628" t="s">
        <v>85</v>
      </c>
      <c r="BY628" t="str">
        <f>IF(COUNTIF('Data Upload-prod'!E:E,F628)=0,"Missing","Exist")</f>
        <v>Exist</v>
      </c>
    </row>
    <row r="629" hidden="1" spans="1:77">
      <c r="A629" s="16">
        <v>42982</v>
      </c>
      <c r="B629" s="16">
        <v>43124</v>
      </c>
      <c r="C629" t="s">
        <v>750</v>
      </c>
      <c r="D629" t="s">
        <v>142</v>
      </c>
      <c r="E629" t="s">
        <v>1131</v>
      </c>
      <c r="F629" t="s">
        <v>1132</v>
      </c>
      <c r="G629" t="s">
        <v>145</v>
      </c>
      <c r="H629" t="s">
        <v>1099</v>
      </c>
      <c r="I629" t="s">
        <v>83</v>
      </c>
      <c r="J629" s="17">
        <v>1096.3</v>
      </c>
      <c r="K629" s="17">
        <v>2267</v>
      </c>
      <c r="L629" s="17">
        <v>2246</v>
      </c>
      <c r="M629" s="17">
        <v>16147000</v>
      </c>
      <c r="N629" s="17">
        <v>16147000</v>
      </c>
      <c r="O629" s="17">
        <v>24.4</v>
      </c>
      <c r="P629" s="17">
        <v>24.4</v>
      </c>
      <c r="Q629" t="s">
        <v>84</v>
      </c>
      <c r="R629" t="s">
        <v>84</v>
      </c>
      <c r="S629" t="s">
        <v>85</v>
      </c>
      <c r="T629" t="s">
        <v>84</v>
      </c>
      <c r="U629" t="s">
        <v>84</v>
      </c>
      <c r="V629" s="16">
        <v>43043</v>
      </c>
      <c r="W629" s="18">
        <v>43041.2291666667</v>
      </c>
      <c r="X629" s="18">
        <v>43066</v>
      </c>
      <c r="Y629" s="17">
        <v>1104.2</v>
      </c>
      <c r="Z629" t="s">
        <v>148</v>
      </c>
      <c r="AA629" s="17">
        <v>2233</v>
      </c>
      <c r="AB629" s="17">
        <v>2215.3</v>
      </c>
      <c r="AC629" t="s">
        <v>84</v>
      </c>
      <c r="AD629" s="17">
        <v>14300000</v>
      </c>
      <c r="AE629" t="s">
        <v>84</v>
      </c>
      <c r="AF629" s="17">
        <v>25.5</v>
      </c>
      <c r="AG629" t="s">
        <v>84</v>
      </c>
      <c r="AH629" t="s">
        <v>84</v>
      </c>
      <c r="AI629" s="17">
        <v>3.3</v>
      </c>
      <c r="AJ629" s="17">
        <v>3.3</v>
      </c>
      <c r="AK629" t="s">
        <v>232</v>
      </c>
      <c r="AM629" s="17">
        <v>4.4</v>
      </c>
      <c r="AN629" s="17"/>
      <c r="AO629" s="17">
        <v>4200</v>
      </c>
      <c r="AP629" s="17"/>
      <c r="AQ629" s="17">
        <v>6400</v>
      </c>
      <c r="AR629" s="17"/>
      <c r="AS629" s="17">
        <v>3.92</v>
      </c>
      <c r="AT629" s="17"/>
      <c r="AU629" s="17">
        <v>2482</v>
      </c>
      <c r="AV629" s="17"/>
      <c r="AW629" s="17">
        <v>3957</v>
      </c>
      <c r="AX629" s="17"/>
      <c r="AY629" t="s">
        <v>92</v>
      </c>
      <c r="AZ629" t="s">
        <v>92</v>
      </c>
      <c r="BA629" t="s">
        <v>92</v>
      </c>
      <c r="BB629" t="s">
        <v>92</v>
      </c>
      <c r="BC629" t="s">
        <v>92</v>
      </c>
      <c r="BD629" t="s">
        <v>92</v>
      </c>
      <c r="BE629" t="s">
        <v>92</v>
      </c>
      <c r="BF629" t="s">
        <v>92</v>
      </c>
      <c r="BG629" t="s">
        <v>92</v>
      </c>
      <c r="BH629" t="s">
        <v>92</v>
      </c>
      <c r="BI629" t="s">
        <v>92</v>
      </c>
      <c r="BJ629" t="s">
        <v>92</v>
      </c>
      <c r="BK629" t="s">
        <v>92</v>
      </c>
      <c r="BL629" t="s">
        <v>92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92</v>
      </c>
      <c r="BS629" t="s">
        <v>92</v>
      </c>
      <c r="BT629" t="s">
        <v>92</v>
      </c>
      <c r="BU629" t="s">
        <v>92</v>
      </c>
      <c r="BV629" t="s">
        <v>92</v>
      </c>
      <c r="BW629" t="s">
        <v>92</v>
      </c>
      <c r="BX629" t="s">
        <v>92</v>
      </c>
      <c r="BY629" t="str">
        <f>IF(COUNTIF('Data Upload-prod'!E:E,F629)=0,"Missing","Exist")</f>
        <v>Exist</v>
      </c>
    </row>
    <row r="630" hidden="1" spans="1:77">
      <c r="A630" s="16">
        <v>42979</v>
      </c>
      <c r="B630" s="16">
        <v>43088</v>
      </c>
      <c r="C630" t="s">
        <v>151</v>
      </c>
      <c r="D630" t="s">
        <v>142</v>
      </c>
      <c r="E630" t="s">
        <v>166</v>
      </c>
      <c r="F630" t="s">
        <v>1133</v>
      </c>
      <c r="G630" t="s">
        <v>81</v>
      </c>
      <c r="H630" t="s">
        <v>168</v>
      </c>
      <c r="I630" t="s">
        <v>124</v>
      </c>
      <c r="J630" s="17">
        <v>54.25</v>
      </c>
      <c r="K630" s="17">
        <v>3670.53</v>
      </c>
      <c r="L630" s="17">
        <v>2501.07</v>
      </c>
      <c r="M630" t="s">
        <v>84</v>
      </c>
      <c r="N630" t="s">
        <v>84</v>
      </c>
      <c r="O630" t="s">
        <v>84</v>
      </c>
      <c r="P630" t="s">
        <v>84</v>
      </c>
      <c r="Q630" s="17">
        <v>15800000</v>
      </c>
      <c r="R630" s="17">
        <v>36.6</v>
      </c>
      <c r="S630" t="s">
        <v>85</v>
      </c>
      <c r="T630" t="s">
        <v>84</v>
      </c>
      <c r="U630" t="s">
        <v>84</v>
      </c>
      <c r="V630" s="16">
        <v>42998</v>
      </c>
      <c r="W630" s="18">
        <v>42998.0208333333</v>
      </c>
      <c r="X630" s="18">
        <v>43028.3333333333</v>
      </c>
      <c r="Y630" s="17">
        <v>3575.13</v>
      </c>
      <c r="Z630" t="s">
        <v>87</v>
      </c>
      <c r="AA630" s="17">
        <v>3669.61</v>
      </c>
      <c r="AB630" s="17">
        <v>2488.3</v>
      </c>
      <c r="AC630" t="s">
        <v>84</v>
      </c>
      <c r="AD630" t="s">
        <v>84</v>
      </c>
      <c r="AE630" t="s">
        <v>84</v>
      </c>
      <c r="AF630" t="s">
        <v>84</v>
      </c>
      <c r="AG630" s="17">
        <v>11141603.49</v>
      </c>
      <c r="AH630" s="17">
        <v>30.3</v>
      </c>
      <c r="AI630" s="17">
        <v>21</v>
      </c>
      <c r="AJ630" s="17">
        <v>21</v>
      </c>
      <c r="AK630" t="s">
        <v>208</v>
      </c>
      <c r="AM630" s="17">
        <v>1.7</v>
      </c>
      <c r="AN630" s="17"/>
      <c r="AO630" s="17">
        <v>720</v>
      </c>
      <c r="AP630" s="17"/>
      <c r="AQ630" s="17">
        <v>1285</v>
      </c>
      <c r="AR630" s="17"/>
      <c r="AS630" s="13" t="s">
        <v>150</v>
      </c>
      <c r="AT630"/>
      <c r="AU630" s="13" t="s">
        <v>150</v>
      </c>
      <c r="AW630" s="13" t="s">
        <v>150</v>
      </c>
      <c r="AY630" t="s">
        <v>92</v>
      </c>
      <c r="AZ630" t="s">
        <v>92</v>
      </c>
      <c r="BA630" t="s">
        <v>92</v>
      </c>
      <c r="BB630" t="s">
        <v>92</v>
      </c>
      <c r="BC630" t="s">
        <v>92</v>
      </c>
      <c r="BD630" t="s">
        <v>92</v>
      </c>
      <c r="BE630" t="s">
        <v>92</v>
      </c>
      <c r="BF630" t="s">
        <v>92</v>
      </c>
      <c r="BG630" t="s">
        <v>92</v>
      </c>
      <c r="BH630" t="s">
        <v>92</v>
      </c>
      <c r="BI630" t="s">
        <v>92</v>
      </c>
      <c r="BJ630" t="s">
        <v>92</v>
      </c>
      <c r="BK630" t="s">
        <v>92</v>
      </c>
      <c r="BL630" t="s">
        <v>92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92</v>
      </c>
      <c r="BS630" t="s">
        <v>92</v>
      </c>
      <c r="BT630" t="s">
        <v>92</v>
      </c>
      <c r="BU630" t="s">
        <v>92</v>
      </c>
      <c r="BV630" t="s">
        <v>92</v>
      </c>
      <c r="BW630" t="s">
        <v>92</v>
      </c>
      <c r="BX630" t="s">
        <v>92</v>
      </c>
      <c r="BY630" t="str">
        <f>IF(COUNTIF('Data Upload-prod'!E:E,F630)=0,"Missing","Exist")</f>
        <v>Exist</v>
      </c>
    </row>
    <row r="631" hidden="1" spans="1:77">
      <c r="A631" s="16">
        <v>42964</v>
      </c>
      <c r="B631" t="s">
        <v>84</v>
      </c>
      <c r="C631" t="s">
        <v>141</v>
      </c>
      <c r="D631" t="s">
        <v>142</v>
      </c>
      <c r="E631" t="s">
        <v>245</v>
      </c>
      <c r="F631" t="s">
        <v>1134</v>
      </c>
      <c r="G631" t="s">
        <v>81</v>
      </c>
      <c r="H631" t="s">
        <v>247</v>
      </c>
      <c r="I631" t="s">
        <v>231</v>
      </c>
      <c r="J631" s="17">
        <v>485.98</v>
      </c>
      <c r="K631" s="17">
        <v>3050.9</v>
      </c>
      <c r="L631" s="17">
        <v>1593.72</v>
      </c>
      <c r="M631" t="s">
        <v>84</v>
      </c>
      <c r="N631" t="s">
        <v>84</v>
      </c>
      <c r="O631" t="s">
        <v>84</v>
      </c>
      <c r="P631" t="s">
        <v>84</v>
      </c>
      <c r="Q631" s="17">
        <v>26511449</v>
      </c>
      <c r="R631" s="17">
        <v>39.05</v>
      </c>
      <c r="S631" t="s">
        <v>85</v>
      </c>
      <c r="T631" t="s">
        <v>84</v>
      </c>
      <c r="U631" t="s">
        <v>84</v>
      </c>
      <c r="V631" s="16">
        <v>42995</v>
      </c>
      <c r="W631" s="18">
        <v>42995</v>
      </c>
      <c r="X631" s="18">
        <v>43084</v>
      </c>
      <c r="Y631" s="17">
        <v>2404.3</v>
      </c>
      <c r="Z631" t="s">
        <v>148</v>
      </c>
      <c r="AA631" s="17">
        <v>2935.69</v>
      </c>
      <c r="AB631" s="17">
        <v>1548.61</v>
      </c>
      <c r="AC631" t="s">
        <v>84</v>
      </c>
      <c r="AD631" t="s">
        <v>84</v>
      </c>
      <c r="AE631" t="s">
        <v>84</v>
      </c>
      <c r="AF631" t="s">
        <v>84</v>
      </c>
      <c r="AG631" s="17">
        <v>19924119</v>
      </c>
      <c r="AH631" s="17">
        <v>48.52</v>
      </c>
      <c r="AI631" s="17">
        <v>15.52</v>
      </c>
      <c r="AJ631" s="17">
        <v>15.37</v>
      </c>
      <c r="AK631" s="13" t="s">
        <v>155</v>
      </c>
      <c r="AL631" s="13"/>
      <c r="AM631" t="s">
        <v>92</v>
      </c>
      <c r="AO631" t="s">
        <v>92</v>
      </c>
      <c r="AQ631" t="s">
        <v>92</v>
      </c>
      <c r="AS631" s="17">
        <v>3.42</v>
      </c>
      <c r="AT631" s="17"/>
      <c r="AU631" s="17">
        <v>1126</v>
      </c>
      <c r="AV631" s="17"/>
      <c r="AW631" s="17">
        <v>2069</v>
      </c>
      <c r="AX631" s="17"/>
      <c r="AY631" t="s">
        <v>92</v>
      </c>
      <c r="AZ631" t="s">
        <v>92</v>
      </c>
      <c r="BA631" t="s">
        <v>92</v>
      </c>
      <c r="BB631" t="s">
        <v>92</v>
      </c>
      <c r="BC631" t="s">
        <v>92</v>
      </c>
      <c r="BD631" t="s">
        <v>92</v>
      </c>
      <c r="BE631" t="s">
        <v>92</v>
      </c>
      <c r="BF631" t="s">
        <v>92</v>
      </c>
      <c r="BG631" t="s">
        <v>92</v>
      </c>
      <c r="BH631" t="s">
        <v>92</v>
      </c>
      <c r="BI631" t="s">
        <v>92</v>
      </c>
      <c r="BJ631" t="s">
        <v>92</v>
      </c>
      <c r="BK631" t="s">
        <v>92</v>
      </c>
      <c r="BL631" t="s">
        <v>92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92</v>
      </c>
      <c r="BS631" t="s">
        <v>92</v>
      </c>
      <c r="BT631" t="s">
        <v>92</v>
      </c>
      <c r="BU631" t="s">
        <v>92</v>
      </c>
      <c r="BV631" t="s">
        <v>92</v>
      </c>
      <c r="BW631" t="s">
        <v>92</v>
      </c>
      <c r="BX631" t="s">
        <v>92</v>
      </c>
      <c r="BY631" t="str">
        <f>IF(COUNTIF('Data Upload-prod'!E:E,F631)=0,"Missing","Exist")</f>
        <v>Exist</v>
      </c>
    </row>
    <row r="632" hidden="1" spans="1:77">
      <c r="A632" s="16">
        <v>42962</v>
      </c>
      <c r="B632" s="16">
        <v>43094</v>
      </c>
      <c r="C632" t="s">
        <v>218</v>
      </c>
      <c r="D632" t="s">
        <v>78</v>
      </c>
      <c r="E632" t="s">
        <v>219</v>
      </c>
      <c r="F632" t="s">
        <v>1135</v>
      </c>
      <c r="G632" t="s">
        <v>81</v>
      </c>
      <c r="H632" t="s">
        <v>1119</v>
      </c>
      <c r="I632" t="s">
        <v>124</v>
      </c>
      <c r="J632" s="17">
        <v>72.7</v>
      </c>
      <c r="K632" s="17">
        <v>1465</v>
      </c>
      <c r="L632" s="17">
        <v>1135</v>
      </c>
      <c r="M632" t="s">
        <v>84</v>
      </c>
      <c r="N632" t="s">
        <v>84</v>
      </c>
      <c r="O632" t="s">
        <v>84</v>
      </c>
      <c r="P632" t="s">
        <v>84</v>
      </c>
      <c r="Q632" s="17">
        <v>6586175</v>
      </c>
      <c r="R632" s="17">
        <v>17.15</v>
      </c>
      <c r="S632" t="s">
        <v>85</v>
      </c>
      <c r="T632" t="s">
        <v>84</v>
      </c>
      <c r="U632" t="s">
        <v>84</v>
      </c>
      <c r="V632" s="16">
        <v>42998.3958333333</v>
      </c>
      <c r="W632" s="18">
        <v>42993</v>
      </c>
      <c r="X632" s="18">
        <v>43012.3958333333</v>
      </c>
      <c r="Y632" s="17">
        <v>2655.5</v>
      </c>
      <c r="Z632" t="s">
        <v>87</v>
      </c>
      <c r="AA632" s="17">
        <v>2774</v>
      </c>
      <c r="AB632" s="17">
        <v>1128.24</v>
      </c>
      <c r="AC632" t="s">
        <v>84</v>
      </c>
      <c r="AD632" t="s">
        <v>84</v>
      </c>
      <c r="AE632" t="s">
        <v>84</v>
      </c>
      <c r="AF632" t="s">
        <v>84</v>
      </c>
      <c r="AG632" s="17">
        <v>5741906</v>
      </c>
      <c r="AH632" s="17">
        <v>19.4</v>
      </c>
      <c r="AI632" s="17">
        <v>2.58</v>
      </c>
      <c r="AJ632" s="17">
        <v>2.58</v>
      </c>
      <c r="AK632" t="s">
        <v>298</v>
      </c>
      <c r="AM632" s="17">
        <v>1.8</v>
      </c>
      <c r="AN632" s="17"/>
      <c r="AO632" s="17">
        <v>600</v>
      </c>
      <c r="AP632" s="17"/>
      <c r="AQ632" s="17">
        <v>2170</v>
      </c>
      <c r="AR632" s="17"/>
      <c r="AS632" s="17">
        <v>1.36</v>
      </c>
      <c r="AT632" s="17"/>
      <c r="AU632" s="17">
        <v>312.42</v>
      </c>
      <c r="AV632" s="17"/>
      <c r="AW632" s="17">
        <v>812.09</v>
      </c>
      <c r="AX632" s="17"/>
      <c r="AY632" t="s">
        <v>92</v>
      </c>
      <c r="AZ632" t="s">
        <v>92</v>
      </c>
      <c r="BA632" t="s">
        <v>92</v>
      </c>
      <c r="BB632" t="s">
        <v>92</v>
      </c>
      <c r="BC632" t="s">
        <v>92</v>
      </c>
      <c r="BD632" t="s">
        <v>92</v>
      </c>
      <c r="BE632" t="s">
        <v>92</v>
      </c>
      <c r="BF632" t="s">
        <v>92</v>
      </c>
      <c r="BG632" t="s">
        <v>92</v>
      </c>
      <c r="BH632" t="s">
        <v>92</v>
      </c>
      <c r="BI632" t="s">
        <v>92</v>
      </c>
      <c r="BJ632" t="s">
        <v>92</v>
      </c>
      <c r="BK632" t="s">
        <v>92</v>
      </c>
      <c r="BL632" t="s">
        <v>92</v>
      </c>
      <c r="BM632" t="s">
        <v>92</v>
      </c>
      <c r="BN632" t="s">
        <v>92</v>
      </c>
      <c r="BO632" t="s">
        <v>92</v>
      </c>
      <c r="BP632" t="s">
        <v>92</v>
      </c>
      <c r="BQ632" t="s">
        <v>92</v>
      </c>
      <c r="BR632" t="s">
        <v>92</v>
      </c>
      <c r="BS632" t="s">
        <v>92</v>
      </c>
      <c r="BT632" t="s">
        <v>92</v>
      </c>
      <c r="BU632" t="s">
        <v>92</v>
      </c>
      <c r="BV632" t="s">
        <v>92</v>
      </c>
      <c r="BW632" t="s">
        <v>92</v>
      </c>
      <c r="BX632" t="s">
        <v>92</v>
      </c>
      <c r="BY632" t="str">
        <f>IF(COUNTIF('Data Upload-prod'!E:E,F632)=0,"Missing","Exist")</f>
        <v>Exist</v>
      </c>
    </row>
    <row r="633" hidden="1" spans="1:77">
      <c r="A633" s="16">
        <v>42962</v>
      </c>
      <c r="B633" s="16">
        <v>43081</v>
      </c>
      <c r="C633" t="s">
        <v>218</v>
      </c>
      <c r="D633" t="s">
        <v>78</v>
      </c>
      <c r="E633" t="s">
        <v>219</v>
      </c>
      <c r="F633" t="s">
        <v>1136</v>
      </c>
      <c r="G633" t="s">
        <v>81</v>
      </c>
      <c r="H633" t="s">
        <v>1119</v>
      </c>
      <c r="I633" t="s">
        <v>124</v>
      </c>
      <c r="J633" s="17">
        <v>72.8</v>
      </c>
      <c r="K633" s="17">
        <v>1462</v>
      </c>
      <c r="L633" s="17">
        <v>1118</v>
      </c>
      <c r="M633" t="s">
        <v>84</v>
      </c>
      <c r="N633" t="s">
        <v>84</v>
      </c>
      <c r="O633" t="s">
        <v>84</v>
      </c>
      <c r="P633" t="s">
        <v>84</v>
      </c>
      <c r="Q633" s="17">
        <v>6855463</v>
      </c>
      <c r="R633" s="17">
        <v>16.52</v>
      </c>
      <c r="S633" t="s">
        <v>85</v>
      </c>
      <c r="T633" t="s">
        <v>84</v>
      </c>
      <c r="U633" t="s">
        <v>84</v>
      </c>
      <c r="V633" s="16">
        <v>43015.6458333333</v>
      </c>
      <c r="W633" s="18">
        <v>43012</v>
      </c>
      <c r="X633" s="18">
        <v>43028.0833333333</v>
      </c>
      <c r="Y633" s="17">
        <v>3073.4</v>
      </c>
      <c r="Z633" t="s">
        <v>87</v>
      </c>
      <c r="AA633" s="17">
        <v>3192</v>
      </c>
      <c r="AB633" s="17">
        <v>1169.77</v>
      </c>
      <c r="AC633" t="s">
        <v>84</v>
      </c>
      <c r="AD633" t="s">
        <v>84</v>
      </c>
      <c r="AE633" t="s">
        <v>84</v>
      </c>
      <c r="AF633" t="s">
        <v>84</v>
      </c>
      <c r="AG633" s="17">
        <v>5632404</v>
      </c>
      <c r="AH633" s="17">
        <v>15.69</v>
      </c>
      <c r="AI633" s="17">
        <v>3.65</v>
      </c>
      <c r="AJ633" s="17">
        <v>3.65</v>
      </c>
      <c r="AK633" t="s">
        <v>298</v>
      </c>
      <c r="AM633" s="17">
        <v>1.8</v>
      </c>
      <c r="AN633" s="17"/>
      <c r="AO633" s="17">
        <v>600</v>
      </c>
      <c r="AP633" s="17"/>
      <c r="AQ633" s="17">
        <v>1160</v>
      </c>
      <c r="AR633" s="17"/>
      <c r="AS633" s="17">
        <v>1.01</v>
      </c>
      <c r="AT633" s="17"/>
      <c r="AU633" s="17">
        <v>280.6</v>
      </c>
      <c r="AV633" s="17"/>
      <c r="AW633" s="17">
        <v>690.82</v>
      </c>
      <c r="AX633" s="17"/>
      <c r="AY633" t="s">
        <v>92</v>
      </c>
      <c r="AZ633" t="s">
        <v>92</v>
      </c>
      <c r="BA633" t="s">
        <v>92</v>
      </c>
      <c r="BB633" t="s">
        <v>92</v>
      </c>
      <c r="BC633" t="s">
        <v>92</v>
      </c>
      <c r="BD633" t="s">
        <v>92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92</v>
      </c>
      <c r="BM633" t="s">
        <v>92</v>
      </c>
      <c r="BN633" t="s">
        <v>92</v>
      </c>
      <c r="BO633" t="s">
        <v>92</v>
      </c>
      <c r="BP633" t="s">
        <v>92</v>
      </c>
      <c r="BQ633" t="s">
        <v>92</v>
      </c>
      <c r="BR633" t="s">
        <v>92</v>
      </c>
      <c r="BS633" t="s">
        <v>92</v>
      </c>
      <c r="BT633" t="s">
        <v>92</v>
      </c>
      <c r="BU633" t="s">
        <v>92</v>
      </c>
      <c r="BV633" t="s">
        <v>92</v>
      </c>
      <c r="BW633" t="s">
        <v>92</v>
      </c>
      <c r="BX633" t="s">
        <v>92</v>
      </c>
      <c r="BY633" t="str">
        <f>IF(COUNTIF('Data Upload-prod'!E:E,F633)=0,"Missing","Exist")</f>
        <v>Exist</v>
      </c>
    </row>
    <row r="634" hidden="1" spans="1:77">
      <c r="A634" s="16">
        <v>42950</v>
      </c>
      <c r="B634" s="16">
        <v>43192</v>
      </c>
      <c r="C634" t="s">
        <v>269</v>
      </c>
      <c r="D634" t="s">
        <v>78</v>
      </c>
      <c r="E634" t="s">
        <v>440</v>
      </c>
      <c r="F634" t="s">
        <v>1137</v>
      </c>
      <c r="G634" t="s">
        <v>81</v>
      </c>
      <c r="H634" t="s">
        <v>790</v>
      </c>
      <c r="I634" t="s">
        <v>124</v>
      </c>
      <c r="J634" s="17">
        <v>57.39</v>
      </c>
      <c r="K634" s="17">
        <v>3103.63</v>
      </c>
      <c r="L634" s="17">
        <v>2647.36</v>
      </c>
      <c r="M634" t="s">
        <v>84</v>
      </c>
      <c r="N634" t="s">
        <v>84</v>
      </c>
      <c r="O634" t="s">
        <v>84</v>
      </c>
      <c r="P634" t="s">
        <v>84</v>
      </c>
      <c r="Q634" s="17">
        <v>34700000</v>
      </c>
      <c r="R634" s="17">
        <v>64.6</v>
      </c>
      <c r="S634" t="s">
        <v>85</v>
      </c>
      <c r="T634" t="s">
        <v>84</v>
      </c>
      <c r="U634" t="s">
        <v>86</v>
      </c>
      <c r="V634" s="16">
        <v>43080</v>
      </c>
      <c r="W634" s="18">
        <v>43080</v>
      </c>
      <c r="X634" s="18">
        <v>43138.1458333333</v>
      </c>
      <c r="Y634" s="17">
        <v>3001.49</v>
      </c>
      <c r="Z634" t="s">
        <v>87</v>
      </c>
      <c r="AA634" s="17">
        <v>3102.1</v>
      </c>
      <c r="AB634" s="17">
        <v>2648.95</v>
      </c>
      <c r="AC634" t="s">
        <v>84</v>
      </c>
      <c r="AD634" t="s">
        <v>84</v>
      </c>
      <c r="AE634" t="s">
        <v>84</v>
      </c>
      <c r="AF634" t="s">
        <v>84</v>
      </c>
      <c r="AG634" s="17">
        <v>25700000</v>
      </c>
      <c r="AH634" s="17">
        <v>57.25</v>
      </c>
      <c r="AI634" s="17">
        <v>13.06</v>
      </c>
      <c r="AJ634" s="17">
        <v>11.97</v>
      </c>
      <c r="AK634" t="s">
        <v>276</v>
      </c>
      <c r="AM634" s="17">
        <v>3.7</v>
      </c>
      <c r="AN634" s="17"/>
      <c r="AO634" s="17">
        <v>1585</v>
      </c>
      <c r="AP634" s="17"/>
      <c r="AQ634" s="17">
        <v>3400</v>
      </c>
      <c r="AR634" s="17"/>
      <c r="AS634" s="17">
        <v>3.8</v>
      </c>
      <c r="AT634" s="17"/>
      <c r="AU634" s="17">
        <v>2065</v>
      </c>
      <c r="AV634" s="17"/>
      <c r="AW634" s="17">
        <v>3491</v>
      </c>
      <c r="AX634" s="17"/>
      <c r="AY634" t="s">
        <v>92</v>
      </c>
      <c r="AZ634" t="s">
        <v>92</v>
      </c>
      <c r="BA634" t="s">
        <v>92</v>
      </c>
      <c r="BB634" t="s">
        <v>92</v>
      </c>
      <c r="BC634" t="s">
        <v>92</v>
      </c>
      <c r="BD634" s="17">
        <v>9.33</v>
      </c>
      <c r="BE634" s="17">
        <v>7970000</v>
      </c>
      <c r="BF634" t="s">
        <v>92</v>
      </c>
      <c r="BG634" t="s">
        <v>92</v>
      </c>
      <c r="BH634" t="s">
        <v>93</v>
      </c>
      <c r="BI634" t="s">
        <v>278</v>
      </c>
      <c r="BJ634" t="s">
        <v>173</v>
      </c>
      <c r="BK634" t="s">
        <v>85</v>
      </c>
      <c r="BL634" t="s">
        <v>85</v>
      </c>
      <c r="BM634" t="s">
        <v>273</v>
      </c>
      <c r="BN634" t="s">
        <v>97</v>
      </c>
      <c r="BO634" t="s">
        <v>98</v>
      </c>
      <c r="BP634" t="s">
        <v>630</v>
      </c>
      <c r="BQ634" s="17">
        <v>0</v>
      </c>
      <c r="BR634" t="s">
        <v>138</v>
      </c>
      <c r="BS634" t="s">
        <v>92</v>
      </c>
      <c r="BT634" t="s">
        <v>642</v>
      </c>
      <c r="BU634" s="17">
        <v>8.5</v>
      </c>
      <c r="BV634" t="s">
        <v>131</v>
      </c>
      <c r="BW634" t="s">
        <v>85</v>
      </c>
      <c r="BX634" t="s">
        <v>85</v>
      </c>
      <c r="BY634" t="str">
        <f>IF(COUNTIF('Data Upload-prod'!E:E,F634)=0,"Missing","Exist")</f>
        <v>Exist</v>
      </c>
    </row>
    <row r="635" hidden="1" spans="1:77">
      <c r="A635" s="16">
        <v>42947</v>
      </c>
      <c r="B635" s="16">
        <v>43073</v>
      </c>
      <c r="C635" t="s">
        <v>132</v>
      </c>
      <c r="D635" t="s">
        <v>142</v>
      </c>
      <c r="E635" t="s">
        <v>1138</v>
      </c>
      <c r="F635" t="s">
        <v>1139</v>
      </c>
      <c r="G635" t="s">
        <v>81</v>
      </c>
      <c r="H635" t="s">
        <v>841</v>
      </c>
      <c r="I635" t="s">
        <v>124</v>
      </c>
      <c r="J635" s="17">
        <v>41.9</v>
      </c>
      <c r="K635" s="17">
        <v>3938</v>
      </c>
      <c r="L635" s="17">
        <v>2286</v>
      </c>
      <c r="M635" t="s">
        <v>84</v>
      </c>
      <c r="N635" t="s">
        <v>84</v>
      </c>
      <c r="O635" t="s">
        <v>84</v>
      </c>
      <c r="P635" t="s">
        <v>84</v>
      </c>
      <c r="Q635" s="17">
        <v>15623000</v>
      </c>
      <c r="R635" s="17">
        <v>58.5</v>
      </c>
      <c r="S635" t="s">
        <v>85</v>
      </c>
      <c r="T635" t="s">
        <v>84</v>
      </c>
      <c r="U635" t="s">
        <v>84</v>
      </c>
      <c r="V635" s="16">
        <v>42985.3333333333</v>
      </c>
      <c r="W635" s="18">
        <v>42984.625</v>
      </c>
      <c r="X635" s="18">
        <v>43025.2916666667</v>
      </c>
      <c r="Y635" s="17">
        <v>3867.7</v>
      </c>
      <c r="Z635" t="s">
        <v>87</v>
      </c>
      <c r="AA635" s="17">
        <v>3951</v>
      </c>
      <c r="AB635" s="17">
        <v>2290</v>
      </c>
      <c r="AC635" t="s">
        <v>84</v>
      </c>
      <c r="AD635" t="s">
        <v>84</v>
      </c>
      <c r="AE635" t="s">
        <v>84</v>
      </c>
      <c r="AF635" t="s">
        <v>84</v>
      </c>
      <c r="AG635" s="17">
        <v>9558440.08</v>
      </c>
      <c r="AH635" s="17">
        <v>40.67</v>
      </c>
      <c r="AI635" s="17">
        <v>2.84</v>
      </c>
      <c r="AJ635" s="17">
        <v>2.48</v>
      </c>
      <c r="AK635" t="s">
        <v>165</v>
      </c>
      <c r="AM635" s="17">
        <v>2.5</v>
      </c>
      <c r="AN635" s="17"/>
      <c r="AO635" s="17">
        <v>1440</v>
      </c>
      <c r="AP635" s="17"/>
      <c r="AQ635" s="17">
        <v>2415</v>
      </c>
      <c r="AR635" s="17"/>
      <c r="AS635" s="17">
        <v>2.52</v>
      </c>
      <c r="AT635" s="17"/>
      <c r="AU635" s="17">
        <v>578</v>
      </c>
      <c r="AV635" s="17"/>
      <c r="AW635" s="17">
        <v>752</v>
      </c>
      <c r="AX635" s="17"/>
      <c r="AY635" t="s">
        <v>92</v>
      </c>
      <c r="AZ635" t="s">
        <v>92</v>
      </c>
      <c r="BA635" t="s">
        <v>92</v>
      </c>
      <c r="BB635" t="s">
        <v>92</v>
      </c>
      <c r="BC635" t="s">
        <v>92</v>
      </c>
      <c r="BD635" t="s">
        <v>92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92</v>
      </c>
      <c r="BM635" t="s">
        <v>92</v>
      </c>
      <c r="BN635" t="s">
        <v>92</v>
      </c>
      <c r="BO635" t="s">
        <v>92</v>
      </c>
      <c r="BP635" t="s">
        <v>92</v>
      </c>
      <c r="BQ635" t="s">
        <v>92</v>
      </c>
      <c r="BR635" t="s">
        <v>92</v>
      </c>
      <c r="BS635" t="s">
        <v>92</v>
      </c>
      <c r="BT635" t="s">
        <v>92</v>
      </c>
      <c r="BU635" t="s">
        <v>92</v>
      </c>
      <c r="BV635" t="s">
        <v>92</v>
      </c>
      <c r="BW635" t="s">
        <v>92</v>
      </c>
      <c r="BX635" t="s">
        <v>92</v>
      </c>
      <c r="BY635" t="str">
        <f>IF(COUNTIF('Data Upload-prod'!E:E,F635)=0,"Missing","Exist")</f>
        <v>Exist</v>
      </c>
    </row>
    <row r="636" hidden="1" spans="1:77">
      <c r="A636" s="16">
        <v>42927</v>
      </c>
      <c r="B636" s="16">
        <v>43168</v>
      </c>
      <c r="C636" t="s">
        <v>132</v>
      </c>
      <c r="D636" t="s">
        <v>142</v>
      </c>
      <c r="E636" t="s">
        <v>170</v>
      </c>
      <c r="F636" t="s">
        <v>1140</v>
      </c>
      <c r="G636" t="s">
        <v>81</v>
      </c>
      <c r="H636" t="s">
        <v>172</v>
      </c>
      <c r="I636" t="s">
        <v>124</v>
      </c>
      <c r="J636" s="17">
        <v>10.06</v>
      </c>
      <c r="K636" s="17">
        <v>3735.75</v>
      </c>
      <c r="L636" s="17">
        <v>2284.41</v>
      </c>
      <c r="M636" t="s">
        <v>84</v>
      </c>
      <c r="N636" t="s">
        <v>84</v>
      </c>
      <c r="O636" t="s">
        <v>84</v>
      </c>
      <c r="P636" t="s">
        <v>84</v>
      </c>
      <c r="Q636" s="17">
        <v>10246181.68</v>
      </c>
      <c r="R636" s="17">
        <v>31.59</v>
      </c>
      <c r="S636" t="s">
        <v>85</v>
      </c>
      <c r="T636" t="s">
        <v>84</v>
      </c>
      <c r="U636" t="s">
        <v>86</v>
      </c>
      <c r="V636" s="16">
        <v>42960</v>
      </c>
      <c r="W636" s="18">
        <v>42960.5625</v>
      </c>
      <c r="X636" s="18">
        <v>43108.3541666667</v>
      </c>
      <c r="Y636" s="17">
        <v>3394.39</v>
      </c>
      <c r="Z636" t="s">
        <v>87</v>
      </c>
      <c r="AA636" s="17">
        <v>3438.89</v>
      </c>
      <c r="AB636" s="17">
        <v>2110.03</v>
      </c>
      <c r="AC636" t="s">
        <v>84</v>
      </c>
      <c r="AD636" t="s">
        <v>84</v>
      </c>
      <c r="AE636" t="s">
        <v>84</v>
      </c>
      <c r="AF636" t="s">
        <v>84</v>
      </c>
      <c r="AG636" s="17">
        <v>9872556.08</v>
      </c>
      <c r="AH636" s="17">
        <v>35.06</v>
      </c>
      <c r="AI636" s="17">
        <v>9.69</v>
      </c>
      <c r="AJ636" s="17">
        <v>4.93</v>
      </c>
      <c r="AK636" t="s">
        <v>165</v>
      </c>
      <c r="AM636" s="17">
        <v>2.5</v>
      </c>
      <c r="AN636" s="17"/>
      <c r="AO636" s="17">
        <v>1440</v>
      </c>
      <c r="AP636" s="17"/>
      <c r="AQ636" s="17">
        <v>2015</v>
      </c>
      <c r="AR636" s="17"/>
      <c r="AS636" s="17">
        <v>1.86</v>
      </c>
      <c r="AT636" s="17"/>
      <c r="AU636" s="17">
        <v>460</v>
      </c>
      <c r="AV636" s="17"/>
      <c r="AW636" s="17">
        <v>879</v>
      </c>
      <c r="AX636" s="17"/>
      <c r="AY636" t="s">
        <v>92</v>
      </c>
      <c r="AZ636" t="s">
        <v>92</v>
      </c>
      <c r="BA636" t="s">
        <v>92</v>
      </c>
      <c r="BB636" t="s">
        <v>92</v>
      </c>
      <c r="BC636" t="s">
        <v>92</v>
      </c>
      <c r="BD636" s="17">
        <v>9.7</v>
      </c>
      <c r="BE636" s="17">
        <v>2798184</v>
      </c>
      <c r="BF636" t="s">
        <v>92</v>
      </c>
      <c r="BG636" t="s">
        <v>92</v>
      </c>
      <c r="BH636" t="s">
        <v>93</v>
      </c>
      <c r="BI636" t="s">
        <v>94</v>
      </c>
      <c r="BJ636" t="s">
        <v>173</v>
      </c>
      <c r="BK636" t="s">
        <v>85</v>
      </c>
      <c r="BL636" t="s">
        <v>85</v>
      </c>
      <c r="BM636" t="s">
        <v>96</v>
      </c>
      <c r="BN636" t="s">
        <v>174</v>
      </c>
      <c r="BO636" t="s">
        <v>98</v>
      </c>
      <c r="BP636" t="s">
        <v>103</v>
      </c>
      <c r="BQ636" s="17">
        <v>773</v>
      </c>
      <c r="BR636" t="s">
        <v>100</v>
      </c>
      <c r="BS636" t="s">
        <v>156</v>
      </c>
      <c r="BT636" t="s">
        <v>99</v>
      </c>
      <c r="BU636" s="17">
        <v>8.5</v>
      </c>
      <c r="BV636" t="s">
        <v>131</v>
      </c>
      <c r="BW636" t="s">
        <v>85</v>
      </c>
      <c r="BX636" t="s">
        <v>85</v>
      </c>
      <c r="BY636" t="str">
        <f>IF(COUNTIF('Data Upload-prod'!E:E,F636)=0,"Missing","Exist")</f>
        <v>Exist</v>
      </c>
    </row>
    <row r="637" hidden="1" spans="1:77">
      <c r="A637" s="16">
        <v>42926</v>
      </c>
      <c r="B637" s="16">
        <v>43028</v>
      </c>
      <c r="C637" t="s">
        <v>132</v>
      </c>
      <c r="D637" t="s">
        <v>120</v>
      </c>
      <c r="E637" t="s">
        <v>1141</v>
      </c>
      <c r="F637" t="s">
        <v>1142</v>
      </c>
      <c r="G637" t="s">
        <v>145</v>
      </c>
      <c r="H637" t="s">
        <v>841</v>
      </c>
      <c r="I637" t="s">
        <v>124</v>
      </c>
      <c r="J637" s="17">
        <v>70</v>
      </c>
      <c r="K637" s="17">
        <v>1430</v>
      </c>
      <c r="L637" s="17">
        <v>1430</v>
      </c>
      <c r="M637" s="17">
        <v>4590000</v>
      </c>
      <c r="N637" s="17">
        <v>6499756</v>
      </c>
      <c r="O637" s="17">
        <v>16.35</v>
      </c>
      <c r="P637" s="17">
        <v>27.78</v>
      </c>
      <c r="Q637" t="s">
        <v>84</v>
      </c>
      <c r="R637" t="s">
        <v>84</v>
      </c>
      <c r="S637" t="s">
        <v>85</v>
      </c>
      <c r="T637" t="s">
        <v>84</v>
      </c>
      <c r="U637" t="s">
        <v>84</v>
      </c>
      <c r="V637" s="16">
        <v>42944</v>
      </c>
      <c r="W637" s="18">
        <v>42937</v>
      </c>
      <c r="X637" s="18">
        <v>42971</v>
      </c>
      <c r="Y637" s="17">
        <v>1146</v>
      </c>
      <c r="Z637" t="s">
        <v>87</v>
      </c>
      <c r="AA637" s="17">
        <v>1253</v>
      </c>
      <c r="AB637" s="17">
        <v>1218</v>
      </c>
      <c r="AC637" t="s">
        <v>84</v>
      </c>
      <c r="AD637" s="17">
        <v>5965569.35</v>
      </c>
      <c r="AE637" t="s">
        <v>84</v>
      </c>
      <c r="AF637" s="17">
        <v>33.7</v>
      </c>
      <c r="AG637" t="s">
        <v>84</v>
      </c>
      <c r="AH637" t="s">
        <v>84</v>
      </c>
      <c r="AI637" s="17">
        <v>31.33</v>
      </c>
      <c r="AJ637" s="17">
        <v>31.23</v>
      </c>
      <c r="AK637" s="13" t="s">
        <v>155</v>
      </c>
      <c r="AL637" s="13"/>
      <c r="AM637" t="s">
        <v>92</v>
      </c>
      <c r="AO637" t="s">
        <v>92</v>
      </c>
      <c r="AQ637" t="s">
        <v>92</v>
      </c>
      <c r="AS637" s="17">
        <v>2.77</v>
      </c>
      <c r="AT637" s="17"/>
      <c r="AU637" s="17">
        <v>627</v>
      </c>
      <c r="AV637" s="17"/>
      <c r="AW637" s="17">
        <v>836</v>
      </c>
      <c r="AX637" s="17"/>
      <c r="AY637" t="s">
        <v>92</v>
      </c>
      <c r="AZ637" t="s">
        <v>92</v>
      </c>
      <c r="BA637" t="s">
        <v>92</v>
      </c>
      <c r="BB637" t="s">
        <v>92</v>
      </c>
      <c r="BC637" t="s">
        <v>92</v>
      </c>
      <c r="BD637" t="s">
        <v>92</v>
      </c>
      <c r="BE637" t="s">
        <v>92</v>
      </c>
      <c r="BF637" t="s">
        <v>92</v>
      </c>
      <c r="BG637" t="s">
        <v>92</v>
      </c>
      <c r="BH637" t="s">
        <v>92</v>
      </c>
      <c r="BI637" t="s">
        <v>92</v>
      </c>
      <c r="BJ637" t="s">
        <v>92</v>
      </c>
      <c r="BK637" t="s">
        <v>92</v>
      </c>
      <c r="BL637" t="s">
        <v>92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92</v>
      </c>
      <c r="BS637" t="s">
        <v>92</v>
      </c>
      <c r="BT637" t="s">
        <v>92</v>
      </c>
      <c r="BU637" t="s">
        <v>92</v>
      </c>
      <c r="BV637" t="s">
        <v>92</v>
      </c>
      <c r="BW637" t="s">
        <v>92</v>
      </c>
      <c r="BX637" t="s">
        <v>92</v>
      </c>
      <c r="BY637" t="str">
        <f>IF(COUNTIF('Data Upload-prod'!E:E,F637)=0,"Missing","Exist")</f>
        <v>Exist</v>
      </c>
    </row>
    <row r="638" hidden="1" spans="1:77">
      <c r="A638" s="16">
        <v>42923</v>
      </c>
      <c r="B638" s="16">
        <v>43084</v>
      </c>
      <c r="C638" t="s">
        <v>77</v>
      </c>
      <c r="D638" t="s">
        <v>78</v>
      </c>
      <c r="E638" t="s">
        <v>1143</v>
      </c>
      <c r="F638" t="s">
        <v>1144</v>
      </c>
      <c r="G638" t="s">
        <v>145</v>
      </c>
      <c r="H638" t="s">
        <v>135</v>
      </c>
      <c r="I638" t="s">
        <v>124</v>
      </c>
      <c r="J638" s="17">
        <v>95.4</v>
      </c>
      <c r="K638" s="17">
        <v>3667</v>
      </c>
      <c r="L638" s="17">
        <v>2509</v>
      </c>
      <c r="M638" s="17">
        <v>14420000</v>
      </c>
      <c r="N638" s="17">
        <v>14420000</v>
      </c>
      <c r="O638" s="17">
        <v>50.57</v>
      </c>
      <c r="P638" s="17">
        <v>50.57</v>
      </c>
      <c r="Q638" t="s">
        <v>84</v>
      </c>
      <c r="R638" t="s">
        <v>84</v>
      </c>
      <c r="S638" t="s">
        <v>106</v>
      </c>
      <c r="T638" t="s">
        <v>84</v>
      </c>
      <c r="U638" t="s">
        <v>84</v>
      </c>
      <c r="V638" s="16">
        <v>42967</v>
      </c>
      <c r="W638" s="18">
        <v>42959</v>
      </c>
      <c r="X638" s="18">
        <v>43026.6458333333</v>
      </c>
      <c r="Y638" s="17">
        <v>3513.6</v>
      </c>
      <c r="Z638" t="s">
        <v>87</v>
      </c>
      <c r="AA638" s="17">
        <v>3643</v>
      </c>
      <c r="AB638" s="17">
        <v>2521.5</v>
      </c>
      <c r="AC638" t="s">
        <v>84</v>
      </c>
      <c r="AD638" s="17">
        <v>13654805.41</v>
      </c>
      <c r="AE638" t="s">
        <v>84</v>
      </c>
      <c r="AF638" s="17">
        <v>67.65</v>
      </c>
      <c r="AG638" t="s">
        <v>84</v>
      </c>
      <c r="AH638" t="s">
        <v>84</v>
      </c>
      <c r="AI638" s="17">
        <v>15.63</v>
      </c>
      <c r="AJ638" s="17">
        <v>14.26</v>
      </c>
      <c r="AK638" t="s">
        <v>333</v>
      </c>
      <c r="AM638" s="17">
        <v>3.8</v>
      </c>
      <c r="AN638" s="17"/>
      <c r="AO638" s="17">
        <v>2125</v>
      </c>
      <c r="AP638" s="17"/>
      <c r="AQ638" s="17">
        <v>3315</v>
      </c>
      <c r="AR638" s="17"/>
      <c r="AS638" s="17">
        <v>2.21</v>
      </c>
      <c r="AT638" s="17"/>
      <c r="AU638" s="17">
        <v>479</v>
      </c>
      <c r="AV638" s="17"/>
      <c r="AW638" s="17">
        <v>770</v>
      </c>
      <c r="AX638" s="17"/>
      <c r="AY638" t="s">
        <v>92</v>
      </c>
      <c r="AZ638" t="s">
        <v>92</v>
      </c>
      <c r="BA638" t="s">
        <v>92</v>
      </c>
      <c r="BB638" t="s">
        <v>92</v>
      </c>
      <c r="BC638" t="s">
        <v>92</v>
      </c>
      <c r="BD638" t="s">
        <v>92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92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92</v>
      </c>
      <c r="BS638" t="s">
        <v>92</v>
      </c>
      <c r="BT638" t="s">
        <v>92</v>
      </c>
      <c r="BU638" t="s">
        <v>92</v>
      </c>
      <c r="BV638" t="s">
        <v>92</v>
      </c>
      <c r="BW638" t="s">
        <v>92</v>
      </c>
      <c r="BX638" t="s">
        <v>92</v>
      </c>
      <c r="BY638" t="str">
        <f>IF(COUNTIF('Data Upload-prod'!E:E,F638)=0,"Missing","Exist")</f>
        <v>Exist</v>
      </c>
    </row>
    <row r="639" hidden="1" spans="1:77">
      <c r="A639" s="16">
        <v>42919</v>
      </c>
      <c r="B639" s="16">
        <v>43161</v>
      </c>
      <c r="C639" t="s">
        <v>132</v>
      </c>
      <c r="D639" t="s">
        <v>142</v>
      </c>
      <c r="E639" t="s">
        <v>170</v>
      </c>
      <c r="F639" t="s">
        <v>1145</v>
      </c>
      <c r="G639" t="s">
        <v>81</v>
      </c>
      <c r="H639" t="s">
        <v>172</v>
      </c>
      <c r="I639" t="s">
        <v>124</v>
      </c>
      <c r="J639" s="17">
        <v>33</v>
      </c>
      <c r="K639" s="17">
        <v>7345</v>
      </c>
      <c r="L639" s="17">
        <v>6530</v>
      </c>
      <c r="M639" t="s">
        <v>84</v>
      </c>
      <c r="N639" t="s">
        <v>84</v>
      </c>
      <c r="O639" t="s">
        <v>84</v>
      </c>
      <c r="P639" t="s">
        <v>84</v>
      </c>
      <c r="Q639" s="17">
        <v>11970000</v>
      </c>
      <c r="R639" s="17">
        <v>26.46</v>
      </c>
      <c r="S639" t="s">
        <v>85</v>
      </c>
      <c r="T639" t="s">
        <v>84</v>
      </c>
      <c r="U639" t="s">
        <v>86</v>
      </c>
      <c r="V639" s="16">
        <v>42966</v>
      </c>
      <c r="W639" s="18">
        <v>42965.4583333333</v>
      </c>
      <c r="X639" s="18">
        <v>43101.3541666667</v>
      </c>
      <c r="Y639" s="17">
        <v>7237</v>
      </c>
      <c r="Z639" t="s">
        <v>87</v>
      </c>
      <c r="AA639" s="17">
        <v>7345</v>
      </c>
      <c r="AB639" s="17">
        <v>6634</v>
      </c>
      <c r="AC639" t="s">
        <v>84</v>
      </c>
      <c r="AD639" t="s">
        <v>84</v>
      </c>
      <c r="AE639" t="s">
        <v>84</v>
      </c>
      <c r="AF639" t="s">
        <v>84</v>
      </c>
      <c r="AG639" s="17">
        <v>9284967.95</v>
      </c>
      <c r="AH639" s="17">
        <v>29.24</v>
      </c>
      <c r="AI639" s="17">
        <v>11.32</v>
      </c>
      <c r="AJ639" s="17">
        <v>11.04</v>
      </c>
      <c r="AK639" t="s">
        <v>208</v>
      </c>
      <c r="AM639" s="17">
        <v>1.7</v>
      </c>
      <c r="AN639" s="17"/>
      <c r="AO639" s="17">
        <v>720</v>
      </c>
      <c r="AP639" s="17"/>
      <c r="AQ639" s="17">
        <v>1685</v>
      </c>
      <c r="AR639" s="17"/>
      <c r="AS639" s="17">
        <v>1.87</v>
      </c>
      <c r="AT639" s="17"/>
      <c r="AU639" s="17">
        <v>475</v>
      </c>
      <c r="AV639" s="17"/>
      <c r="AW639" s="17">
        <v>1263</v>
      </c>
      <c r="AX639" s="17"/>
      <c r="AY639" t="s">
        <v>92</v>
      </c>
      <c r="AZ639" t="s">
        <v>92</v>
      </c>
      <c r="BA639" t="s">
        <v>92</v>
      </c>
      <c r="BB639" t="s">
        <v>92</v>
      </c>
      <c r="BC639" t="s">
        <v>92</v>
      </c>
      <c r="BD639" s="17">
        <v>12.26</v>
      </c>
      <c r="BE639" s="17">
        <v>3988335</v>
      </c>
      <c r="BF639" t="s">
        <v>92</v>
      </c>
      <c r="BG639" t="s">
        <v>92</v>
      </c>
      <c r="BH639" t="s">
        <v>93</v>
      </c>
      <c r="BI639" t="s">
        <v>94</v>
      </c>
      <c r="BJ639" t="s">
        <v>215</v>
      </c>
      <c r="BK639" t="s">
        <v>85</v>
      </c>
      <c r="BL639" t="s">
        <v>85</v>
      </c>
      <c r="BM639" t="s">
        <v>96</v>
      </c>
      <c r="BN639" t="s">
        <v>490</v>
      </c>
      <c r="BO639" t="s">
        <v>98</v>
      </c>
      <c r="BP639" t="s">
        <v>99</v>
      </c>
      <c r="BQ639" s="17">
        <v>1215</v>
      </c>
      <c r="BR639" t="s">
        <v>138</v>
      </c>
      <c r="BS639" t="s">
        <v>156</v>
      </c>
      <c r="BT639" t="s">
        <v>99</v>
      </c>
      <c r="BU639" s="17">
        <v>8.5</v>
      </c>
      <c r="BV639" t="s">
        <v>131</v>
      </c>
      <c r="BW639" t="s">
        <v>85</v>
      </c>
      <c r="BX639" t="s">
        <v>85</v>
      </c>
      <c r="BY639" t="str">
        <f>IF(COUNTIF('Data Upload-prod'!E:E,F639)=0,"Missing","Exist")</f>
        <v>Exist</v>
      </c>
    </row>
    <row r="640" hidden="1" spans="1:77">
      <c r="A640" s="16">
        <v>42919</v>
      </c>
      <c r="B640" s="16">
        <v>43152</v>
      </c>
      <c r="C640" t="s">
        <v>132</v>
      </c>
      <c r="D640" t="s">
        <v>142</v>
      </c>
      <c r="E640" t="s">
        <v>170</v>
      </c>
      <c r="F640" t="s">
        <v>1146</v>
      </c>
      <c r="G640" t="s">
        <v>81</v>
      </c>
      <c r="H640" t="s">
        <v>172</v>
      </c>
      <c r="I640" t="s">
        <v>124</v>
      </c>
      <c r="J640" s="17">
        <v>10.06</v>
      </c>
      <c r="K640" s="17">
        <v>2727.83</v>
      </c>
      <c r="L640" s="17">
        <v>2071.93</v>
      </c>
      <c r="M640" t="s">
        <v>84</v>
      </c>
      <c r="N640" t="s">
        <v>84</v>
      </c>
      <c r="O640" t="s">
        <v>84</v>
      </c>
      <c r="P640" t="s">
        <v>84</v>
      </c>
      <c r="Q640" s="17">
        <v>9200000</v>
      </c>
      <c r="R640" s="17">
        <v>23.85</v>
      </c>
      <c r="S640" t="s">
        <v>85</v>
      </c>
      <c r="T640" t="s">
        <v>84</v>
      </c>
      <c r="U640" t="s">
        <v>86</v>
      </c>
      <c r="V640" s="16">
        <v>42976</v>
      </c>
      <c r="W640" s="18">
        <v>42976.3125</v>
      </c>
      <c r="X640" s="18">
        <v>43091.1041666667</v>
      </c>
      <c r="Y640" s="17">
        <v>2733.01</v>
      </c>
      <c r="Z640" t="s">
        <v>87</v>
      </c>
      <c r="AA640" s="17">
        <v>2773.54</v>
      </c>
      <c r="AB640" s="17">
        <v>2110.25</v>
      </c>
      <c r="AC640" t="s">
        <v>84</v>
      </c>
      <c r="AD640" t="s">
        <v>84</v>
      </c>
      <c r="AE640" t="s">
        <v>84</v>
      </c>
      <c r="AF640" t="s">
        <v>84</v>
      </c>
      <c r="AG640" s="17">
        <v>6685909.29</v>
      </c>
      <c r="AH640" s="17">
        <v>25.45</v>
      </c>
      <c r="AI640" s="17">
        <v>10.06</v>
      </c>
      <c r="AJ640" s="17">
        <v>9.24</v>
      </c>
      <c r="AK640" t="s">
        <v>208</v>
      </c>
      <c r="AM640" s="17">
        <v>1.7</v>
      </c>
      <c r="AN640" s="17"/>
      <c r="AO640" s="17">
        <v>720</v>
      </c>
      <c r="AP640" s="17"/>
      <c r="AQ640" s="17">
        <v>1685</v>
      </c>
      <c r="AR640" s="17"/>
      <c r="AS640" s="17">
        <v>1.16</v>
      </c>
      <c r="AT640" s="17"/>
      <c r="AU640" s="17">
        <v>305</v>
      </c>
      <c r="AV640" s="17"/>
      <c r="AW640" s="17">
        <v>747</v>
      </c>
      <c r="AX640" s="17"/>
      <c r="AY640" t="s">
        <v>92</v>
      </c>
      <c r="AZ640" t="s">
        <v>92</v>
      </c>
      <c r="BA640" t="s">
        <v>92</v>
      </c>
      <c r="BB640" t="s">
        <v>92</v>
      </c>
      <c r="BC640" t="s">
        <v>92</v>
      </c>
      <c r="BD640" s="17">
        <v>11.88</v>
      </c>
      <c r="BE640" s="17">
        <v>3186638</v>
      </c>
      <c r="BF640" t="s">
        <v>92</v>
      </c>
      <c r="BG640" t="s">
        <v>92</v>
      </c>
      <c r="BH640" t="s">
        <v>93</v>
      </c>
      <c r="BI640" t="s">
        <v>94</v>
      </c>
      <c r="BJ640" t="s">
        <v>215</v>
      </c>
      <c r="BK640" t="s">
        <v>85</v>
      </c>
      <c r="BL640" t="s">
        <v>85</v>
      </c>
      <c r="BM640" t="s">
        <v>96</v>
      </c>
      <c r="BN640" t="s">
        <v>97</v>
      </c>
      <c r="BO640" t="s">
        <v>98</v>
      </c>
      <c r="BP640" t="s">
        <v>99</v>
      </c>
      <c r="BQ640" s="17">
        <v>116</v>
      </c>
      <c r="BR640" t="s">
        <v>100</v>
      </c>
      <c r="BS640" t="s">
        <v>156</v>
      </c>
      <c r="BT640" t="s">
        <v>99</v>
      </c>
      <c r="BU640" s="17">
        <v>8.5</v>
      </c>
      <c r="BV640" t="s">
        <v>131</v>
      </c>
      <c r="BW640" t="s">
        <v>85</v>
      </c>
      <c r="BX640" t="s">
        <v>85</v>
      </c>
      <c r="BY640" t="str">
        <f>IF(COUNTIF('Data Upload-prod'!E:E,F640)=0,"Missing","Exist")</f>
        <v>Exist</v>
      </c>
    </row>
    <row r="641" hidden="1" spans="1:77">
      <c r="A641" s="16">
        <v>42919</v>
      </c>
      <c r="B641" s="16">
        <v>43446</v>
      </c>
      <c r="C641" t="s">
        <v>132</v>
      </c>
      <c r="D641" t="s">
        <v>142</v>
      </c>
      <c r="E641" t="s">
        <v>170</v>
      </c>
      <c r="F641" t="s">
        <v>1147</v>
      </c>
      <c r="G641" t="s">
        <v>81</v>
      </c>
      <c r="H641" t="s">
        <v>172</v>
      </c>
      <c r="I641" t="s">
        <v>124</v>
      </c>
      <c r="J641" s="17">
        <v>10.06</v>
      </c>
      <c r="K641" s="17">
        <v>3937.82</v>
      </c>
      <c r="L641" s="17">
        <v>2027.82</v>
      </c>
      <c r="M641" t="s">
        <v>84</v>
      </c>
      <c r="N641" t="s">
        <v>84</v>
      </c>
      <c r="O641" t="s">
        <v>84</v>
      </c>
      <c r="P641" t="s">
        <v>84</v>
      </c>
      <c r="Q641" s="17">
        <v>13592462.65</v>
      </c>
      <c r="R641" s="17">
        <v>34.23</v>
      </c>
      <c r="S641" t="s">
        <v>85</v>
      </c>
      <c r="T641" t="s">
        <v>84</v>
      </c>
      <c r="U641" t="s">
        <v>86</v>
      </c>
      <c r="V641" s="16">
        <v>42962</v>
      </c>
      <c r="W641" s="18">
        <v>42959.3958333333</v>
      </c>
      <c r="X641" s="18">
        <v>43076.0625</v>
      </c>
      <c r="Y641" s="17">
        <v>3745.81</v>
      </c>
      <c r="Z641" t="s">
        <v>87</v>
      </c>
      <c r="AA641" s="17">
        <v>3790.31</v>
      </c>
      <c r="AB641" s="17">
        <v>2028.04</v>
      </c>
      <c r="AC641" t="s">
        <v>84</v>
      </c>
      <c r="AD641" t="s">
        <v>84</v>
      </c>
      <c r="AE641" t="s">
        <v>84</v>
      </c>
      <c r="AF641" t="s">
        <v>84</v>
      </c>
      <c r="AG641" s="17">
        <v>17726681.59</v>
      </c>
      <c r="AH641" s="17">
        <v>59.1</v>
      </c>
      <c r="AI641" s="17">
        <v>37.36</v>
      </c>
      <c r="AJ641" s="17">
        <v>37.29</v>
      </c>
      <c r="AK641" t="s">
        <v>165</v>
      </c>
      <c r="AM641" s="17">
        <v>2.5</v>
      </c>
      <c r="AN641" s="17"/>
      <c r="AO641" s="17">
        <v>1440</v>
      </c>
      <c r="AP641" s="17"/>
      <c r="AQ641" s="17">
        <v>2080</v>
      </c>
      <c r="AR641" s="17"/>
      <c r="AS641" s="17">
        <v>2.34</v>
      </c>
      <c r="AT641" s="17"/>
      <c r="AU641" s="17">
        <v>643</v>
      </c>
      <c r="AV641" s="17"/>
      <c r="AW641" s="17">
        <v>886</v>
      </c>
      <c r="AX641" s="17"/>
      <c r="AY641" t="s">
        <v>92</v>
      </c>
      <c r="AZ641" t="s">
        <v>92</v>
      </c>
      <c r="BA641" t="s">
        <v>92</v>
      </c>
      <c r="BB641" t="s">
        <v>92</v>
      </c>
      <c r="BC641" t="s">
        <v>92</v>
      </c>
      <c r="BD641" s="17">
        <v>12.17</v>
      </c>
      <c r="BE641" s="17">
        <v>4656253.78</v>
      </c>
      <c r="BF641" t="s">
        <v>92</v>
      </c>
      <c r="BG641" t="s">
        <v>92</v>
      </c>
      <c r="BH641" t="s">
        <v>93</v>
      </c>
      <c r="BI641" t="s">
        <v>94</v>
      </c>
      <c r="BJ641" t="s">
        <v>367</v>
      </c>
      <c r="BK641" t="s">
        <v>85</v>
      </c>
      <c r="BL641" t="s">
        <v>85</v>
      </c>
      <c r="BM641" t="s">
        <v>96</v>
      </c>
      <c r="BN641" t="s">
        <v>97</v>
      </c>
      <c r="BO641" t="s">
        <v>98</v>
      </c>
      <c r="BP641" t="s">
        <v>99</v>
      </c>
      <c r="BQ641" s="17">
        <v>2311</v>
      </c>
      <c r="BR641" t="s">
        <v>138</v>
      </c>
      <c r="BS641" t="s">
        <v>130</v>
      </c>
      <c r="BT641" t="s">
        <v>99</v>
      </c>
      <c r="BU641" s="17">
        <v>10.5</v>
      </c>
      <c r="BV641" t="s">
        <v>308</v>
      </c>
      <c r="BW641" t="s">
        <v>85</v>
      </c>
      <c r="BX641" t="s">
        <v>85</v>
      </c>
      <c r="BY641" t="str">
        <f>IF(COUNTIF('Data Upload-prod'!E:E,F641)=0,"Missing","Exist")</f>
        <v>Exist</v>
      </c>
    </row>
    <row r="642" hidden="1" spans="1:77">
      <c r="A642" s="16">
        <v>42908</v>
      </c>
      <c r="B642" s="16">
        <v>43017</v>
      </c>
      <c r="C642" t="s">
        <v>1148</v>
      </c>
      <c r="D642" t="s">
        <v>78</v>
      </c>
      <c r="E642" t="s">
        <v>1148</v>
      </c>
      <c r="F642" t="s">
        <v>1149</v>
      </c>
      <c r="G642" t="s">
        <v>81</v>
      </c>
      <c r="H642" t="s">
        <v>135</v>
      </c>
      <c r="I642" t="s">
        <v>124</v>
      </c>
      <c r="J642" s="17">
        <v>72.9</v>
      </c>
      <c r="K642" s="17">
        <v>3082</v>
      </c>
      <c r="L642" s="17">
        <v>1479</v>
      </c>
      <c r="M642" t="s">
        <v>84</v>
      </c>
      <c r="N642" t="s">
        <v>84</v>
      </c>
      <c r="O642" t="s">
        <v>84</v>
      </c>
      <c r="P642" t="s">
        <v>84</v>
      </c>
      <c r="Q642" s="17">
        <v>8068810</v>
      </c>
      <c r="R642" s="17">
        <v>23.18</v>
      </c>
      <c r="S642" t="s">
        <v>85</v>
      </c>
      <c r="T642" t="s">
        <v>84</v>
      </c>
      <c r="U642" t="s">
        <v>84</v>
      </c>
      <c r="V642" s="16">
        <v>42926</v>
      </c>
      <c r="W642" s="18">
        <v>42926.6145833333</v>
      </c>
      <c r="X642" s="18">
        <v>42942.96875</v>
      </c>
      <c r="Y642" s="17">
        <v>3215.46</v>
      </c>
      <c r="Z642" t="s">
        <v>87</v>
      </c>
      <c r="AA642" s="17">
        <v>3332</v>
      </c>
      <c r="AB642" s="17">
        <v>1486.35</v>
      </c>
      <c r="AC642" t="s">
        <v>84</v>
      </c>
      <c r="AD642" t="s">
        <v>84</v>
      </c>
      <c r="AE642" t="s">
        <v>84</v>
      </c>
      <c r="AF642" t="s">
        <v>84</v>
      </c>
      <c r="AG642" s="17">
        <v>5456381</v>
      </c>
      <c r="AH642" s="17">
        <v>16.16</v>
      </c>
      <c r="AI642" s="17">
        <v>4.7</v>
      </c>
      <c r="AJ642" s="17">
        <v>4.7</v>
      </c>
      <c r="AK642" t="s">
        <v>208</v>
      </c>
      <c r="AM642" s="17">
        <v>2.1</v>
      </c>
      <c r="AN642" s="17"/>
      <c r="AO642" s="17">
        <v>700</v>
      </c>
      <c r="AP642" s="17"/>
      <c r="AQ642" s="17">
        <v>1225</v>
      </c>
      <c r="AR642" s="17"/>
      <c r="AS642" s="17">
        <v>1.1</v>
      </c>
      <c r="AT642" s="17"/>
      <c r="AU642" s="17">
        <v>372</v>
      </c>
      <c r="AV642" s="17"/>
      <c r="AW642" s="17">
        <v>517</v>
      </c>
      <c r="AX642" s="17"/>
      <c r="AY642" t="s">
        <v>92</v>
      </c>
      <c r="AZ642" t="s">
        <v>92</v>
      </c>
      <c r="BA642" t="s">
        <v>92</v>
      </c>
      <c r="BB642" t="s">
        <v>92</v>
      </c>
      <c r="BC642" t="s">
        <v>92</v>
      </c>
      <c r="BD642" t="s">
        <v>92</v>
      </c>
      <c r="BE642" t="s">
        <v>92</v>
      </c>
      <c r="BF642" t="s">
        <v>92</v>
      </c>
      <c r="BG642" t="s">
        <v>92</v>
      </c>
      <c r="BH642" t="s">
        <v>92</v>
      </c>
      <c r="BI642" t="s">
        <v>92</v>
      </c>
      <c r="BJ642" t="s">
        <v>92</v>
      </c>
      <c r="BK642" t="s">
        <v>92</v>
      </c>
      <c r="BL642" t="s">
        <v>92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92</v>
      </c>
      <c r="BS642" t="s">
        <v>92</v>
      </c>
      <c r="BT642" t="s">
        <v>92</v>
      </c>
      <c r="BU642" t="s">
        <v>92</v>
      </c>
      <c r="BV642" t="s">
        <v>92</v>
      </c>
      <c r="BW642" t="s">
        <v>92</v>
      </c>
      <c r="BX642" t="s">
        <v>92</v>
      </c>
      <c r="BY642" t="str">
        <f>IF(COUNTIF('Data Upload-prod'!E:E,F642)=0,"Missing","Exist")</f>
        <v>Exist</v>
      </c>
    </row>
    <row r="643" hidden="1" spans="1:77">
      <c r="A643" s="16">
        <v>42901</v>
      </c>
      <c r="B643" s="16">
        <v>43025</v>
      </c>
      <c r="C643" t="s">
        <v>132</v>
      </c>
      <c r="D643" t="s">
        <v>78</v>
      </c>
      <c r="E643" t="s">
        <v>723</v>
      </c>
      <c r="F643" t="s">
        <v>1150</v>
      </c>
      <c r="G643" t="s">
        <v>145</v>
      </c>
      <c r="H643" t="s">
        <v>202</v>
      </c>
      <c r="I643" t="s">
        <v>124</v>
      </c>
      <c r="J643" s="17">
        <v>60</v>
      </c>
      <c r="K643" s="17">
        <v>2832</v>
      </c>
      <c r="L643" s="17">
        <v>2568</v>
      </c>
      <c r="M643" s="17">
        <v>16085269.32</v>
      </c>
      <c r="N643" s="17">
        <v>22685065.88</v>
      </c>
      <c r="O643" s="17">
        <v>36.64</v>
      </c>
      <c r="P643" s="17">
        <v>58.58</v>
      </c>
      <c r="Q643" t="s">
        <v>84</v>
      </c>
      <c r="R643" t="s">
        <v>84</v>
      </c>
      <c r="S643" t="s">
        <v>85</v>
      </c>
      <c r="T643" t="s">
        <v>84</v>
      </c>
      <c r="U643" t="s">
        <v>84</v>
      </c>
      <c r="V643" s="16">
        <v>42931</v>
      </c>
      <c r="W643" s="18">
        <v>42926.25</v>
      </c>
      <c r="X643" s="18">
        <v>42982.4166666667</v>
      </c>
      <c r="Y643" s="17">
        <v>2798.4</v>
      </c>
      <c r="Z643" t="s">
        <v>87</v>
      </c>
      <c r="AA643" s="17">
        <v>2888.4</v>
      </c>
      <c r="AB643" s="17">
        <v>2596.4</v>
      </c>
      <c r="AC643" t="s">
        <v>84</v>
      </c>
      <c r="AD643" s="17">
        <v>15600000</v>
      </c>
      <c r="AE643" t="s">
        <v>84</v>
      </c>
      <c r="AF643" s="17">
        <v>56.17</v>
      </c>
      <c r="AG643" t="s">
        <v>84</v>
      </c>
      <c r="AH643" t="s">
        <v>84</v>
      </c>
      <c r="AI643" s="17">
        <v>2.53</v>
      </c>
      <c r="AJ643" s="17">
        <v>2.47</v>
      </c>
      <c r="AK643" t="s">
        <v>323</v>
      </c>
      <c r="AM643" s="17">
        <v>4.4</v>
      </c>
      <c r="AN643" s="17"/>
      <c r="AO643" s="17">
        <v>1980</v>
      </c>
      <c r="AP643" s="17"/>
      <c r="AQ643" s="17">
        <v>2760</v>
      </c>
      <c r="AR643" s="17"/>
      <c r="AS643" s="17">
        <v>2.48</v>
      </c>
      <c r="AT643" s="17"/>
      <c r="AU643" s="17">
        <v>838</v>
      </c>
      <c r="AV643" s="17"/>
      <c r="AW643" s="17">
        <v>1106</v>
      </c>
      <c r="AX643" s="17"/>
      <c r="AY643" t="s">
        <v>92</v>
      </c>
      <c r="AZ643" t="s">
        <v>92</v>
      </c>
      <c r="BA643" t="s">
        <v>92</v>
      </c>
      <c r="BB643" t="s">
        <v>92</v>
      </c>
      <c r="BC643" t="s">
        <v>92</v>
      </c>
      <c r="BD643" t="s">
        <v>92</v>
      </c>
      <c r="BE643" t="s">
        <v>92</v>
      </c>
      <c r="BF643" t="s">
        <v>92</v>
      </c>
      <c r="BG643" t="s">
        <v>92</v>
      </c>
      <c r="BH643" t="s">
        <v>92</v>
      </c>
      <c r="BI643" t="s">
        <v>92</v>
      </c>
      <c r="BJ643" t="s">
        <v>92</v>
      </c>
      <c r="BK643" t="s">
        <v>92</v>
      </c>
      <c r="BL643" t="s">
        <v>92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92</v>
      </c>
      <c r="BS643" t="s">
        <v>92</v>
      </c>
      <c r="BT643" t="s">
        <v>92</v>
      </c>
      <c r="BU643" t="s">
        <v>92</v>
      </c>
      <c r="BV643" t="s">
        <v>92</v>
      </c>
      <c r="BW643" t="s">
        <v>92</v>
      </c>
      <c r="BX643" t="s">
        <v>92</v>
      </c>
      <c r="BY643" t="str">
        <f>IF(COUNTIF('Data Upload-prod'!E:E,F643)=0,"Missing","Exist")</f>
        <v>Exist</v>
      </c>
    </row>
    <row r="644" hidden="1" spans="1:77">
      <c r="A644" s="16">
        <v>42875</v>
      </c>
      <c r="B644" s="16">
        <v>43035</v>
      </c>
      <c r="C644" t="s">
        <v>218</v>
      </c>
      <c r="D644" t="s">
        <v>120</v>
      </c>
      <c r="E644" t="s">
        <v>1151</v>
      </c>
      <c r="F644" t="s">
        <v>1152</v>
      </c>
      <c r="G644" t="s">
        <v>81</v>
      </c>
      <c r="H644" t="s">
        <v>221</v>
      </c>
      <c r="I644" t="s">
        <v>124</v>
      </c>
      <c r="J644" s="17">
        <v>78</v>
      </c>
      <c r="K644" s="17">
        <v>3181</v>
      </c>
      <c r="L644" s="17">
        <v>3163.32</v>
      </c>
      <c r="M644" t="s">
        <v>84</v>
      </c>
      <c r="N644" t="s">
        <v>84</v>
      </c>
      <c r="O644" t="s">
        <v>84</v>
      </c>
      <c r="P644" t="s">
        <v>84</v>
      </c>
      <c r="Q644" s="17">
        <v>61000000</v>
      </c>
      <c r="R644" s="17">
        <v>106.25</v>
      </c>
      <c r="S644" t="s">
        <v>106</v>
      </c>
      <c r="T644" t="s">
        <v>84</v>
      </c>
      <c r="U644" t="s">
        <v>84</v>
      </c>
      <c r="V644" s="16">
        <v>42892</v>
      </c>
      <c r="W644" s="18">
        <v>42883.9166666667</v>
      </c>
      <c r="X644" s="18">
        <v>42959.1458333333</v>
      </c>
      <c r="Y644" s="17">
        <v>3041.2</v>
      </c>
      <c r="Z644" t="s">
        <v>87</v>
      </c>
      <c r="AA644" s="17">
        <v>3162</v>
      </c>
      <c r="AB644" s="17">
        <v>3145</v>
      </c>
      <c r="AC644" t="s">
        <v>84</v>
      </c>
      <c r="AD644" t="s">
        <v>84</v>
      </c>
      <c r="AE644" t="s">
        <v>84</v>
      </c>
      <c r="AF644" t="s">
        <v>84</v>
      </c>
      <c r="AG644" s="17">
        <v>31875000</v>
      </c>
      <c r="AH644" s="17">
        <v>75.23</v>
      </c>
      <c r="AI644" s="17">
        <v>13.03</v>
      </c>
      <c r="AJ644" s="17">
        <v>13.03</v>
      </c>
      <c r="AK644" t="s">
        <v>276</v>
      </c>
      <c r="AM644" s="17">
        <v>3.7</v>
      </c>
      <c r="AN644" s="17"/>
      <c r="AO644" s="17">
        <v>1585</v>
      </c>
      <c r="AP644" s="17"/>
      <c r="AQ644" s="17">
        <v>3400</v>
      </c>
      <c r="AR644" s="17"/>
      <c r="AS644" s="17">
        <v>4.78</v>
      </c>
      <c r="AT644" s="17"/>
      <c r="AU644" s="17">
        <v>1672</v>
      </c>
      <c r="AV644" s="17"/>
      <c r="AW644" s="17">
        <v>3194</v>
      </c>
      <c r="AX644" s="17"/>
      <c r="AY644" t="s">
        <v>92</v>
      </c>
      <c r="AZ644" t="s">
        <v>92</v>
      </c>
      <c r="BA644" t="s">
        <v>92</v>
      </c>
      <c r="BB644" t="s">
        <v>92</v>
      </c>
      <c r="BC644" t="s">
        <v>92</v>
      </c>
      <c r="BD644" t="s">
        <v>92</v>
      </c>
      <c r="BE644" t="s">
        <v>92</v>
      </c>
      <c r="BF644" t="s">
        <v>92</v>
      </c>
      <c r="BG644" t="s">
        <v>92</v>
      </c>
      <c r="BH644" t="s">
        <v>92</v>
      </c>
      <c r="BI644" t="s">
        <v>92</v>
      </c>
      <c r="BJ644" t="s">
        <v>92</v>
      </c>
      <c r="BK644" t="s">
        <v>92</v>
      </c>
      <c r="BL644" t="s">
        <v>92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92</v>
      </c>
      <c r="BS644" t="s">
        <v>92</v>
      </c>
      <c r="BT644" t="s">
        <v>92</v>
      </c>
      <c r="BU644" t="s">
        <v>92</v>
      </c>
      <c r="BV644" t="s">
        <v>92</v>
      </c>
      <c r="BW644" t="s">
        <v>92</v>
      </c>
      <c r="BX644" t="s">
        <v>92</v>
      </c>
      <c r="BY644" t="str">
        <f>IF(COUNTIF('Data Upload-prod'!E:E,F644)=0,"Missing","Exist")</f>
        <v>Exist</v>
      </c>
    </row>
    <row r="645" hidden="1" spans="1:77">
      <c r="A645" s="16">
        <v>42832</v>
      </c>
      <c r="B645" s="16">
        <v>42972</v>
      </c>
      <c r="C645" t="s">
        <v>1148</v>
      </c>
      <c r="D645" t="s">
        <v>78</v>
      </c>
      <c r="E645" t="s">
        <v>1148</v>
      </c>
      <c r="F645" t="s">
        <v>1153</v>
      </c>
      <c r="G645" t="s">
        <v>81</v>
      </c>
      <c r="H645" t="s">
        <v>135</v>
      </c>
      <c r="I645" t="s">
        <v>124</v>
      </c>
      <c r="J645" s="17">
        <v>72.9</v>
      </c>
      <c r="K645" s="17">
        <v>3071</v>
      </c>
      <c r="L645" s="17">
        <v>1474</v>
      </c>
      <c r="M645" t="s">
        <v>84</v>
      </c>
      <c r="N645" t="s">
        <v>84</v>
      </c>
      <c r="O645" t="s">
        <v>84</v>
      </c>
      <c r="P645" t="s">
        <v>84</v>
      </c>
      <c r="Q645" s="17">
        <v>8101276</v>
      </c>
      <c r="R645" s="17">
        <v>23.61</v>
      </c>
      <c r="S645" t="s">
        <v>85</v>
      </c>
      <c r="T645" t="s">
        <v>84</v>
      </c>
      <c r="U645" t="s">
        <v>84</v>
      </c>
      <c r="V645" s="16">
        <v>42861</v>
      </c>
      <c r="W645" s="18">
        <v>42861.8020833333</v>
      </c>
      <c r="X645" s="18">
        <v>42912.2708333333</v>
      </c>
      <c r="Y645" s="17">
        <v>2953.46</v>
      </c>
      <c r="Z645" t="s">
        <v>87</v>
      </c>
      <c r="AA645" s="17">
        <v>3070</v>
      </c>
      <c r="AB645" s="17">
        <v>1484.34</v>
      </c>
      <c r="AC645" t="s">
        <v>84</v>
      </c>
      <c r="AD645" t="s">
        <v>84</v>
      </c>
      <c r="AE645" t="s">
        <v>84</v>
      </c>
      <c r="AF645" t="s">
        <v>84</v>
      </c>
      <c r="AG645" s="17">
        <v>4972381</v>
      </c>
      <c r="AH645" s="17">
        <v>14.55</v>
      </c>
      <c r="AI645" s="17">
        <v>1.65</v>
      </c>
      <c r="AJ645" s="17">
        <v>0.93</v>
      </c>
      <c r="AK645" t="s">
        <v>208</v>
      </c>
      <c r="AM645" s="17">
        <v>2.1</v>
      </c>
      <c r="AN645" s="17"/>
      <c r="AO645" s="17">
        <v>700</v>
      </c>
      <c r="AP645" s="17"/>
      <c r="AQ645" s="17">
        <v>1225</v>
      </c>
      <c r="AR645" s="17"/>
      <c r="AS645" s="17">
        <v>1</v>
      </c>
      <c r="AT645" s="17"/>
      <c r="AU645" s="17">
        <v>337</v>
      </c>
      <c r="AV645" s="17"/>
      <c r="AW645" s="17">
        <v>513</v>
      </c>
      <c r="AX645" s="17"/>
      <c r="AY645" t="s">
        <v>92</v>
      </c>
      <c r="AZ645" t="s">
        <v>92</v>
      </c>
      <c r="BA645" t="s">
        <v>92</v>
      </c>
      <c r="BB645" t="s">
        <v>92</v>
      </c>
      <c r="BC645" t="s">
        <v>92</v>
      </c>
      <c r="BD645" t="s">
        <v>92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92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92</v>
      </c>
      <c r="BS645" t="s">
        <v>92</v>
      </c>
      <c r="BT645" t="s">
        <v>92</v>
      </c>
      <c r="BU645" t="s">
        <v>92</v>
      </c>
      <c r="BV645" t="s">
        <v>92</v>
      </c>
      <c r="BW645" t="s">
        <v>92</v>
      </c>
      <c r="BX645" t="s">
        <v>92</v>
      </c>
      <c r="BY645" t="str">
        <f>IF(COUNTIF('Data Upload-prod'!E:E,F645)=0,"Missing","Exist")</f>
        <v>Exist</v>
      </c>
    </row>
    <row r="646" hidden="1" spans="1:77">
      <c r="A646" s="16">
        <v>42832</v>
      </c>
      <c r="B646" s="16">
        <v>42999</v>
      </c>
      <c r="C646" t="s">
        <v>1148</v>
      </c>
      <c r="D646" t="s">
        <v>78</v>
      </c>
      <c r="E646" t="s">
        <v>1148</v>
      </c>
      <c r="F646" t="s">
        <v>1154</v>
      </c>
      <c r="G646" t="s">
        <v>81</v>
      </c>
      <c r="H646" t="s">
        <v>135</v>
      </c>
      <c r="I646" t="s">
        <v>124</v>
      </c>
      <c r="J646" s="17">
        <v>72.9</v>
      </c>
      <c r="K646" s="17">
        <v>2950</v>
      </c>
      <c r="L646" s="17">
        <v>1478</v>
      </c>
      <c r="M646" t="s">
        <v>84</v>
      </c>
      <c r="N646" t="s">
        <v>84</v>
      </c>
      <c r="O646" t="s">
        <v>84</v>
      </c>
      <c r="P646" t="s">
        <v>84</v>
      </c>
      <c r="Q646" s="17">
        <v>8192583</v>
      </c>
      <c r="R646" s="17">
        <v>23.8</v>
      </c>
      <c r="S646" t="s">
        <v>106</v>
      </c>
      <c r="T646" t="s">
        <v>84</v>
      </c>
      <c r="U646" t="s">
        <v>84</v>
      </c>
      <c r="V646" s="16">
        <v>42887</v>
      </c>
      <c r="W646" s="18">
        <v>42887.9375</v>
      </c>
      <c r="X646" s="18">
        <v>42926.59375</v>
      </c>
      <c r="Y646" s="17">
        <v>3158.46</v>
      </c>
      <c r="Z646" t="s">
        <v>87</v>
      </c>
      <c r="AA646" s="17">
        <v>3275</v>
      </c>
      <c r="AB646" s="17">
        <v>1485.2</v>
      </c>
      <c r="AC646" t="s">
        <v>84</v>
      </c>
      <c r="AD646" t="s">
        <v>84</v>
      </c>
      <c r="AE646" t="s">
        <v>84</v>
      </c>
      <c r="AF646" t="s">
        <v>84</v>
      </c>
      <c r="AG646" s="17">
        <v>7740985</v>
      </c>
      <c r="AH646" s="17">
        <v>23.82</v>
      </c>
      <c r="AI646" s="17">
        <v>12.9</v>
      </c>
      <c r="AJ646" s="17">
        <v>10.32</v>
      </c>
      <c r="AK646" t="s">
        <v>208</v>
      </c>
      <c r="AM646" s="17">
        <v>2.1</v>
      </c>
      <c r="AN646" s="17"/>
      <c r="AO646" s="17">
        <v>700</v>
      </c>
      <c r="AP646" s="17"/>
      <c r="AQ646" s="17">
        <v>1225</v>
      </c>
      <c r="AR646" s="17"/>
      <c r="AS646" s="17">
        <v>1.5</v>
      </c>
      <c r="AT646" s="17"/>
      <c r="AU646" s="17">
        <v>436</v>
      </c>
      <c r="AV646" s="17"/>
      <c r="AW646" s="17">
        <v>589</v>
      </c>
      <c r="AX646" s="17"/>
      <c r="AY646" t="s">
        <v>92</v>
      </c>
      <c r="AZ646" t="s">
        <v>92</v>
      </c>
      <c r="BA646" t="s">
        <v>92</v>
      </c>
      <c r="BB646" t="s">
        <v>92</v>
      </c>
      <c r="BC646" t="s">
        <v>92</v>
      </c>
      <c r="BD646" t="s">
        <v>92</v>
      </c>
      <c r="BE646" t="s">
        <v>92</v>
      </c>
      <c r="BF646" t="s">
        <v>92</v>
      </c>
      <c r="BG646" t="s">
        <v>92</v>
      </c>
      <c r="BH646" t="s">
        <v>92</v>
      </c>
      <c r="BI646" t="s">
        <v>92</v>
      </c>
      <c r="BJ646" t="s">
        <v>92</v>
      </c>
      <c r="BK646" t="s">
        <v>92</v>
      </c>
      <c r="BL646" t="s">
        <v>92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92</v>
      </c>
      <c r="BS646" t="s">
        <v>92</v>
      </c>
      <c r="BT646" t="s">
        <v>92</v>
      </c>
      <c r="BU646" t="s">
        <v>92</v>
      </c>
      <c r="BV646" t="s">
        <v>92</v>
      </c>
      <c r="BW646" t="s">
        <v>92</v>
      </c>
      <c r="BX646" t="s">
        <v>92</v>
      </c>
      <c r="BY646" t="str">
        <f>IF(COUNTIF('Data Upload-prod'!E:E,F646)=0,"Missing","Exist")</f>
        <v>Exist</v>
      </c>
    </row>
    <row r="647" hidden="1" spans="1:77">
      <c r="A647" s="16">
        <v>42828</v>
      </c>
      <c r="B647" s="16">
        <v>43052</v>
      </c>
      <c r="C647" t="s">
        <v>178</v>
      </c>
      <c r="D647" t="s">
        <v>120</v>
      </c>
      <c r="E647" t="s">
        <v>182</v>
      </c>
      <c r="F647" t="s">
        <v>1155</v>
      </c>
      <c r="G647" t="s">
        <v>81</v>
      </c>
      <c r="H647" t="s">
        <v>181</v>
      </c>
      <c r="I647" t="s">
        <v>124</v>
      </c>
      <c r="J647" s="17">
        <v>50.59</v>
      </c>
      <c r="K647" s="17">
        <v>3009.45</v>
      </c>
      <c r="L647" s="17">
        <v>2187.14</v>
      </c>
      <c r="M647" t="s">
        <v>84</v>
      </c>
      <c r="N647" t="s">
        <v>84</v>
      </c>
      <c r="O647" t="s">
        <v>84</v>
      </c>
      <c r="P647" t="s">
        <v>84</v>
      </c>
      <c r="Q647" s="17">
        <v>13420561.58</v>
      </c>
      <c r="R647" s="17">
        <v>26.15</v>
      </c>
      <c r="S647" t="s">
        <v>85</v>
      </c>
      <c r="T647" t="s">
        <v>84</v>
      </c>
      <c r="U647" t="s">
        <v>84</v>
      </c>
      <c r="V647" s="16">
        <v>42914</v>
      </c>
      <c r="W647" s="18">
        <v>42914</v>
      </c>
      <c r="X647" s="18">
        <v>42991</v>
      </c>
      <c r="Y647" s="17">
        <v>2901.86</v>
      </c>
      <c r="Z647" t="s">
        <v>87</v>
      </c>
      <c r="AA647" s="17">
        <v>2998.17</v>
      </c>
      <c r="AB647" s="17">
        <v>2175.56</v>
      </c>
      <c r="AC647" t="s">
        <v>84</v>
      </c>
      <c r="AD647" t="s">
        <v>84</v>
      </c>
      <c r="AE647" t="s">
        <v>84</v>
      </c>
      <c r="AF647" t="s">
        <v>84</v>
      </c>
      <c r="AG647" s="17">
        <v>10113672.66</v>
      </c>
      <c r="AH647" s="17">
        <v>28.23</v>
      </c>
      <c r="AI647" s="17">
        <v>2</v>
      </c>
      <c r="AJ647" s="17">
        <v>2</v>
      </c>
      <c r="AK647" t="s">
        <v>497</v>
      </c>
      <c r="AM647" s="17">
        <v>1.4</v>
      </c>
      <c r="AN647" s="17"/>
      <c r="AO647" s="17">
        <v>550</v>
      </c>
      <c r="AP647" s="17"/>
      <c r="AQ647" s="17">
        <v>990</v>
      </c>
      <c r="AR647" s="17"/>
      <c r="AS647" s="13" t="s">
        <v>150</v>
      </c>
      <c r="AT647"/>
      <c r="AU647" s="13" t="s">
        <v>150</v>
      </c>
      <c r="AW647" s="13" t="s">
        <v>150</v>
      </c>
      <c r="AY647" t="s">
        <v>92</v>
      </c>
      <c r="AZ647" t="s">
        <v>92</v>
      </c>
      <c r="BA647" t="s">
        <v>92</v>
      </c>
      <c r="BB647" t="s">
        <v>92</v>
      </c>
      <c r="BC647" t="s">
        <v>92</v>
      </c>
      <c r="BD647" t="s">
        <v>92</v>
      </c>
      <c r="BE647" t="s">
        <v>92</v>
      </c>
      <c r="BF647" t="s">
        <v>92</v>
      </c>
      <c r="BG647" t="s">
        <v>92</v>
      </c>
      <c r="BH647" t="s">
        <v>92</v>
      </c>
      <c r="BI647" t="s">
        <v>92</v>
      </c>
      <c r="BJ647" t="s">
        <v>92</v>
      </c>
      <c r="BK647" t="s">
        <v>92</v>
      </c>
      <c r="BL647" t="s">
        <v>92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92</v>
      </c>
      <c r="BS647" t="s">
        <v>92</v>
      </c>
      <c r="BT647" t="s">
        <v>92</v>
      </c>
      <c r="BU647" t="s">
        <v>92</v>
      </c>
      <c r="BV647" t="s">
        <v>92</v>
      </c>
      <c r="BW647" t="s">
        <v>92</v>
      </c>
      <c r="BX647" t="s">
        <v>92</v>
      </c>
      <c r="BY647" t="str">
        <f>IF(COUNTIF('Data Upload-prod'!E:E,F647)=0,"Missing","Exist")</f>
        <v>Exist</v>
      </c>
    </row>
    <row r="648" hidden="1" spans="1:77">
      <c r="A648" s="16">
        <v>42825</v>
      </c>
      <c r="B648" s="16">
        <v>42999</v>
      </c>
      <c r="C648" t="s">
        <v>132</v>
      </c>
      <c r="D648" t="s">
        <v>120</v>
      </c>
      <c r="E648" t="s">
        <v>1156</v>
      </c>
      <c r="F648" t="s">
        <v>1157</v>
      </c>
      <c r="G648" t="s">
        <v>81</v>
      </c>
      <c r="H648" t="s">
        <v>198</v>
      </c>
      <c r="I648" t="s">
        <v>83</v>
      </c>
      <c r="J648" s="17">
        <v>101.2</v>
      </c>
      <c r="K648" s="17">
        <v>2935.3</v>
      </c>
      <c r="L648" s="17">
        <v>1446.7</v>
      </c>
      <c r="M648" t="s">
        <v>84</v>
      </c>
      <c r="N648" t="s">
        <v>84</v>
      </c>
      <c r="O648" t="s">
        <v>84</v>
      </c>
      <c r="P648" t="s">
        <v>84</v>
      </c>
      <c r="Q648" s="17">
        <v>21850567.6</v>
      </c>
      <c r="R648" s="17">
        <v>32.12</v>
      </c>
      <c r="S648" t="s">
        <v>85</v>
      </c>
      <c r="T648" t="s">
        <v>84</v>
      </c>
      <c r="U648" t="s">
        <v>86</v>
      </c>
      <c r="V648" s="16">
        <v>42868</v>
      </c>
      <c r="W648" s="18">
        <v>42868.125</v>
      </c>
      <c r="X648" s="18">
        <v>42949</v>
      </c>
      <c r="Y648" s="17">
        <v>2759.6</v>
      </c>
      <c r="Z648" t="s">
        <v>87</v>
      </c>
      <c r="AA648" s="17">
        <v>2896</v>
      </c>
      <c r="AB648" s="17">
        <v>1446.8</v>
      </c>
      <c r="AC648" t="s">
        <v>84</v>
      </c>
      <c r="AD648" t="s">
        <v>84</v>
      </c>
      <c r="AE648" t="s">
        <v>84</v>
      </c>
      <c r="AF648" t="s">
        <v>84</v>
      </c>
      <c r="AG648" s="17">
        <v>12399424.88</v>
      </c>
      <c r="AH648" s="17">
        <v>30.5</v>
      </c>
      <c r="AI648" s="17">
        <v>6</v>
      </c>
      <c r="AJ648" s="17">
        <v>3</v>
      </c>
      <c r="AK648" t="s">
        <v>126</v>
      </c>
      <c r="AM648" s="17">
        <v>2.5</v>
      </c>
      <c r="AN648" s="17"/>
      <c r="AO648" s="17">
        <v>1010</v>
      </c>
      <c r="AP648" s="17"/>
      <c r="AQ648" s="17">
        <v>1705</v>
      </c>
      <c r="AR648" s="17"/>
      <c r="AS648" s="17">
        <v>1.7</v>
      </c>
      <c r="AT648" s="17"/>
      <c r="AU648" s="17">
        <v>633</v>
      </c>
      <c r="AV648" s="17"/>
      <c r="AW648" s="17">
        <v>1100</v>
      </c>
      <c r="AX648" s="17"/>
      <c r="AY648" t="s">
        <v>92</v>
      </c>
      <c r="AZ648" t="s">
        <v>92</v>
      </c>
      <c r="BA648" t="s">
        <v>92</v>
      </c>
      <c r="BB648" t="s">
        <v>92</v>
      </c>
      <c r="BC648" t="s">
        <v>92</v>
      </c>
      <c r="BD648" s="17">
        <v>7.13</v>
      </c>
      <c r="BE648" s="17">
        <v>4415879.43</v>
      </c>
      <c r="BF648" t="s">
        <v>92</v>
      </c>
      <c r="BG648" t="s">
        <v>92</v>
      </c>
      <c r="BH648" t="s">
        <v>127</v>
      </c>
      <c r="BI648" t="s">
        <v>94</v>
      </c>
      <c r="BJ648" t="s">
        <v>109</v>
      </c>
      <c r="BK648" t="s">
        <v>85</v>
      </c>
      <c r="BL648" t="s">
        <v>85</v>
      </c>
      <c r="BM648" t="s">
        <v>137</v>
      </c>
      <c r="BN648" t="s">
        <v>97</v>
      </c>
      <c r="BO648" t="s">
        <v>98</v>
      </c>
      <c r="BP648" t="s">
        <v>99</v>
      </c>
      <c r="BQ648" t="s">
        <v>92</v>
      </c>
      <c r="BR648" t="s">
        <v>100</v>
      </c>
      <c r="BS648" t="s">
        <v>156</v>
      </c>
      <c r="BT648" t="s">
        <v>175</v>
      </c>
      <c r="BU648" s="17">
        <v>11.2</v>
      </c>
      <c r="BV648" t="s">
        <v>308</v>
      </c>
      <c r="BW648" t="s">
        <v>85</v>
      </c>
      <c r="BX648" t="s">
        <v>85</v>
      </c>
      <c r="BY648" t="str">
        <f>IF(COUNTIF('Data Upload-prod'!E:E,F648)=0,"Missing","Exist")</f>
        <v>Exist</v>
      </c>
    </row>
    <row r="649" hidden="1" spans="1:77">
      <c r="A649" s="16">
        <v>42825</v>
      </c>
      <c r="B649" s="16">
        <v>42999</v>
      </c>
      <c r="C649" t="s">
        <v>132</v>
      </c>
      <c r="D649" t="s">
        <v>120</v>
      </c>
      <c r="E649" t="s">
        <v>1156</v>
      </c>
      <c r="F649" t="s">
        <v>1158</v>
      </c>
      <c r="G649" t="s">
        <v>81</v>
      </c>
      <c r="H649" t="s">
        <v>198</v>
      </c>
      <c r="I649" t="s">
        <v>83</v>
      </c>
      <c r="J649" s="17">
        <v>101.2</v>
      </c>
      <c r="K649" s="17">
        <v>2538.32</v>
      </c>
      <c r="L649" s="17">
        <v>1429.78</v>
      </c>
      <c r="M649" t="s">
        <v>84</v>
      </c>
      <c r="N649" t="s">
        <v>84</v>
      </c>
      <c r="O649" t="s">
        <v>84</v>
      </c>
      <c r="P649" t="s">
        <v>84</v>
      </c>
      <c r="Q649" s="17">
        <v>23089240</v>
      </c>
      <c r="R649" s="17">
        <v>34.89</v>
      </c>
      <c r="S649" t="s">
        <v>85</v>
      </c>
      <c r="T649" t="s">
        <v>84</v>
      </c>
      <c r="U649" t="s">
        <v>86</v>
      </c>
      <c r="V649" s="16">
        <v>42864</v>
      </c>
      <c r="W649" s="18">
        <v>42863.2083333333</v>
      </c>
      <c r="X649" s="18">
        <v>42950</v>
      </c>
      <c r="Y649" s="17">
        <v>2181.6</v>
      </c>
      <c r="Z649" t="s">
        <v>87</v>
      </c>
      <c r="AA649" s="17">
        <v>2318</v>
      </c>
      <c r="AB649" s="17">
        <v>1419.3</v>
      </c>
      <c r="AC649" t="s">
        <v>84</v>
      </c>
      <c r="AD649" t="s">
        <v>84</v>
      </c>
      <c r="AE649" t="s">
        <v>84</v>
      </c>
      <c r="AF649" t="s">
        <v>84</v>
      </c>
      <c r="AG649" s="17">
        <v>13320172.86</v>
      </c>
      <c r="AH649" s="17">
        <v>31.21</v>
      </c>
      <c r="AI649" s="17">
        <v>6.3</v>
      </c>
      <c r="AJ649" s="17">
        <v>0.83</v>
      </c>
      <c r="AK649" t="s">
        <v>126</v>
      </c>
      <c r="AM649" s="17">
        <v>2.5</v>
      </c>
      <c r="AN649" s="17"/>
      <c r="AO649" s="17">
        <v>1010</v>
      </c>
      <c r="AP649" s="17"/>
      <c r="AQ649" s="17">
        <v>1705</v>
      </c>
      <c r="AR649" s="17"/>
      <c r="AS649" s="17">
        <v>1.75</v>
      </c>
      <c r="AT649" s="17"/>
      <c r="AU649" s="17">
        <v>671.1</v>
      </c>
      <c r="AV649" s="17"/>
      <c r="AW649" s="17">
        <v>1162.1</v>
      </c>
      <c r="AX649" s="17"/>
      <c r="AY649" t="s">
        <v>92</v>
      </c>
      <c r="AZ649" t="s">
        <v>92</v>
      </c>
      <c r="BA649" t="s">
        <v>92</v>
      </c>
      <c r="BB649" t="s">
        <v>92</v>
      </c>
      <c r="BC649" t="s">
        <v>92</v>
      </c>
      <c r="BD649" s="17">
        <v>7.2</v>
      </c>
      <c r="BE649" s="17">
        <v>4351645.6</v>
      </c>
      <c r="BF649" t="s">
        <v>92</v>
      </c>
      <c r="BG649" t="s">
        <v>92</v>
      </c>
      <c r="BH649" t="s">
        <v>127</v>
      </c>
      <c r="BI649" t="s">
        <v>94</v>
      </c>
      <c r="BJ649" t="s">
        <v>109</v>
      </c>
      <c r="BK649" t="s">
        <v>85</v>
      </c>
      <c r="BL649" t="s">
        <v>85</v>
      </c>
      <c r="BM649" t="s">
        <v>137</v>
      </c>
      <c r="BN649" t="s">
        <v>97</v>
      </c>
      <c r="BO649" t="s">
        <v>98</v>
      </c>
      <c r="BP649" t="s">
        <v>99</v>
      </c>
      <c r="BQ649" t="s">
        <v>92</v>
      </c>
      <c r="BR649" t="s">
        <v>138</v>
      </c>
      <c r="BS649" t="s">
        <v>156</v>
      </c>
      <c r="BT649" t="s">
        <v>175</v>
      </c>
      <c r="BU649" s="17">
        <v>11.2</v>
      </c>
      <c r="BV649" t="s">
        <v>308</v>
      </c>
      <c r="BW649" t="s">
        <v>85</v>
      </c>
      <c r="BX649" t="s">
        <v>85</v>
      </c>
      <c r="BY649" t="str">
        <f>IF(COUNTIF('Data Upload-prod'!E:E,F649)=0,"Missing","Exist")</f>
        <v>Exist</v>
      </c>
    </row>
    <row r="650" hidden="1" spans="1:77">
      <c r="A650" s="16">
        <v>42825</v>
      </c>
      <c r="B650" s="16">
        <v>42984</v>
      </c>
      <c r="C650" t="s">
        <v>132</v>
      </c>
      <c r="D650" t="s">
        <v>120</v>
      </c>
      <c r="E650" t="s">
        <v>1156</v>
      </c>
      <c r="F650" t="s">
        <v>1159</v>
      </c>
      <c r="G650" t="s">
        <v>81</v>
      </c>
      <c r="H650" t="s">
        <v>198</v>
      </c>
      <c r="I650" t="s">
        <v>83</v>
      </c>
      <c r="J650" s="17">
        <v>100.89</v>
      </c>
      <c r="K650" s="17">
        <v>2760.16</v>
      </c>
      <c r="L650" s="17">
        <v>1456.98</v>
      </c>
      <c r="M650" t="s">
        <v>84</v>
      </c>
      <c r="N650" t="s">
        <v>84</v>
      </c>
      <c r="O650" t="s">
        <v>84</v>
      </c>
      <c r="P650" t="s">
        <v>84</v>
      </c>
      <c r="Q650" s="17">
        <v>24074312.59</v>
      </c>
      <c r="R650" s="17">
        <v>33.46</v>
      </c>
      <c r="S650" t="s">
        <v>85</v>
      </c>
      <c r="T650" t="s">
        <v>84</v>
      </c>
      <c r="U650" t="s">
        <v>86</v>
      </c>
      <c r="V650" s="16">
        <v>42871</v>
      </c>
      <c r="W650" s="18">
        <v>42870.625</v>
      </c>
      <c r="X650" s="18">
        <v>42885.6145833333</v>
      </c>
      <c r="Y650" s="17">
        <v>2388.91</v>
      </c>
      <c r="Z650" t="s">
        <v>87</v>
      </c>
      <c r="AA650" s="17">
        <v>2525</v>
      </c>
      <c r="AB650" s="17">
        <v>1446.79</v>
      </c>
      <c r="AC650" t="s">
        <v>84</v>
      </c>
      <c r="AD650" t="s">
        <v>84</v>
      </c>
      <c r="AE650" t="s">
        <v>84</v>
      </c>
      <c r="AF650" t="s">
        <v>84</v>
      </c>
      <c r="AG650" s="17">
        <v>12411318.26</v>
      </c>
      <c r="AH650" s="17">
        <v>26.09</v>
      </c>
      <c r="AI650" s="17">
        <v>0.8</v>
      </c>
      <c r="AJ650" s="17">
        <v>0</v>
      </c>
      <c r="AK650" t="s">
        <v>126</v>
      </c>
      <c r="AM650" s="17">
        <v>2.5</v>
      </c>
      <c r="AN650" s="17"/>
      <c r="AO650" s="17">
        <v>1010</v>
      </c>
      <c r="AP650" s="17"/>
      <c r="AQ650" s="17">
        <v>1635</v>
      </c>
      <c r="AR650" s="17"/>
      <c r="AS650" s="17">
        <v>1.91</v>
      </c>
      <c r="AT650" s="17"/>
      <c r="AU650" s="17">
        <v>767.9</v>
      </c>
      <c r="AV650" s="17"/>
      <c r="AW650" s="17">
        <v>1394.4</v>
      </c>
      <c r="AX650" s="17"/>
      <c r="AY650" t="s">
        <v>92</v>
      </c>
      <c r="AZ650" t="s">
        <v>92</v>
      </c>
      <c r="BA650" t="s">
        <v>92</v>
      </c>
      <c r="BB650" t="s">
        <v>92</v>
      </c>
      <c r="BC650" t="s">
        <v>92</v>
      </c>
      <c r="BD650" s="17">
        <v>7.22</v>
      </c>
      <c r="BE650" s="17">
        <v>4862831.05</v>
      </c>
      <c r="BF650" t="s">
        <v>92</v>
      </c>
      <c r="BG650" t="s">
        <v>92</v>
      </c>
      <c r="BH650" t="s">
        <v>127</v>
      </c>
      <c r="BI650" t="s">
        <v>94</v>
      </c>
      <c r="BJ650" t="s">
        <v>109</v>
      </c>
      <c r="BK650" t="s">
        <v>85</v>
      </c>
      <c r="BL650" t="s">
        <v>85</v>
      </c>
      <c r="BM650" t="s">
        <v>137</v>
      </c>
      <c r="BN650" t="s">
        <v>97</v>
      </c>
      <c r="BO650" t="s">
        <v>98</v>
      </c>
      <c r="BP650" t="s">
        <v>99</v>
      </c>
      <c r="BQ650" t="s">
        <v>92</v>
      </c>
      <c r="BR650" t="s">
        <v>138</v>
      </c>
      <c r="BS650" t="s">
        <v>156</v>
      </c>
      <c r="BT650" t="s">
        <v>175</v>
      </c>
      <c r="BU650" s="17">
        <v>11.2</v>
      </c>
      <c r="BV650" t="s">
        <v>308</v>
      </c>
      <c r="BW650" t="s">
        <v>85</v>
      </c>
      <c r="BX650" t="s">
        <v>85</v>
      </c>
      <c r="BY650" t="str">
        <f>IF(COUNTIF('Data Upload-prod'!E:E,F650)=0,"Missing","Exist")</f>
        <v>Exist</v>
      </c>
    </row>
    <row r="651" hidden="1" spans="1:77">
      <c r="A651" s="16">
        <v>42810</v>
      </c>
      <c r="B651" s="16">
        <v>42884</v>
      </c>
      <c r="C651" t="s">
        <v>360</v>
      </c>
      <c r="D651" t="s">
        <v>120</v>
      </c>
      <c r="E651" t="s">
        <v>715</v>
      </c>
      <c r="F651" t="s">
        <v>1160</v>
      </c>
      <c r="G651" t="s">
        <v>81</v>
      </c>
      <c r="H651" t="s">
        <v>185</v>
      </c>
      <c r="I651" t="s">
        <v>124</v>
      </c>
      <c r="J651" s="17">
        <v>40.85</v>
      </c>
      <c r="K651" s="17">
        <v>2532.49</v>
      </c>
      <c r="L651" s="17">
        <v>1561.5</v>
      </c>
      <c r="M651" t="s">
        <v>84</v>
      </c>
      <c r="N651" t="s">
        <v>84</v>
      </c>
      <c r="O651" t="s">
        <v>84</v>
      </c>
      <c r="P651" t="s">
        <v>84</v>
      </c>
      <c r="Q651" s="17">
        <v>8309198</v>
      </c>
      <c r="R651" s="17">
        <v>20.29</v>
      </c>
      <c r="S651" t="s">
        <v>106</v>
      </c>
      <c r="T651" t="s">
        <v>84</v>
      </c>
      <c r="U651" t="s">
        <v>86</v>
      </c>
      <c r="V651" s="16">
        <v>42840</v>
      </c>
      <c r="W651" s="18">
        <v>42835</v>
      </c>
      <c r="X651" s="18">
        <v>42862</v>
      </c>
      <c r="Y651" s="17">
        <v>3952.69</v>
      </c>
      <c r="Z651" t="s">
        <v>87</v>
      </c>
      <c r="AA651" s="17">
        <v>2310</v>
      </c>
      <c r="AB651" s="17">
        <v>1573.14</v>
      </c>
      <c r="AC651" t="s">
        <v>84</v>
      </c>
      <c r="AD651" t="s">
        <v>84</v>
      </c>
      <c r="AE651" t="s">
        <v>84</v>
      </c>
      <c r="AF651" t="s">
        <v>84</v>
      </c>
      <c r="AG651" s="17">
        <v>7214455</v>
      </c>
      <c r="AH651" s="17">
        <v>27.13</v>
      </c>
      <c r="AI651" s="17">
        <v>1.03</v>
      </c>
      <c r="AJ651" s="17">
        <v>0.92</v>
      </c>
      <c r="AK651" t="s">
        <v>497</v>
      </c>
      <c r="AM651" s="17">
        <v>1.4</v>
      </c>
      <c r="AN651" s="17"/>
      <c r="AO651" s="17">
        <v>550</v>
      </c>
      <c r="AP651" s="17"/>
      <c r="AQ651" s="17">
        <v>770</v>
      </c>
      <c r="AR651" s="17"/>
      <c r="AS651" s="17">
        <v>1.22</v>
      </c>
      <c r="AT651" s="17"/>
      <c r="AU651" s="17">
        <v>323.59</v>
      </c>
      <c r="AV651" s="17"/>
      <c r="AW651" s="17">
        <v>600.48</v>
      </c>
      <c r="AX651" s="17"/>
      <c r="AY651" t="s">
        <v>92</v>
      </c>
      <c r="AZ651" t="s">
        <v>92</v>
      </c>
      <c r="BA651" t="s">
        <v>92</v>
      </c>
      <c r="BB651" t="s">
        <v>92</v>
      </c>
      <c r="BC651" t="s">
        <v>92</v>
      </c>
      <c r="BD651" s="17">
        <v>1.42</v>
      </c>
      <c r="BE651" s="17">
        <v>384000</v>
      </c>
      <c r="BF651" t="s">
        <v>92</v>
      </c>
      <c r="BG651" t="s">
        <v>92</v>
      </c>
      <c r="BH651" t="s">
        <v>93</v>
      </c>
      <c r="BI651" t="s">
        <v>94</v>
      </c>
      <c r="BJ651" t="s">
        <v>95</v>
      </c>
      <c r="BK651" t="s">
        <v>85</v>
      </c>
      <c r="BL651" t="s">
        <v>85</v>
      </c>
      <c r="BM651" t="s">
        <v>96</v>
      </c>
      <c r="BN651" t="s">
        <v>97</v>
      </c>
      <c r="BO651" t="s">
        <v>98</v>
      </c>
      <c r="BP651" t="s">
        <v>103</v>
      </c>
      <c r="BQ651" s="17">
        <v>80</v>
      </c>
      <c r="BR651" t="s">
        <v>138</v>
      </c>
      <c r="BS651" t="s">
        <v>92</v>
      </c>
      <c r="BT651" t="s">
        <v>103</v>
      </c>
      <c r="BU651" s="17">
        <v>9.6</v>
      </c>
      <c r="BV651" t="s">
        <v>308</v>
      </c>
      <c r="BW651" t="s">
        <v>85</v>
      </c>
      <c r="BX651" t="s">
        <v>85</v>
      </c>
      <c r="BY651" t="str">
        <f>IF(COUNTIF('Data Upload-prod'!E:E,F651)=0,"Missing","Exist")</f>
        <v>Exist</v>
      </c>
    </row>
    <row r="652" hidden="1" spans="1:77">
      <c r="A652" s="16">
        <v>42802</v>
      </c>
      <c r="B652" s="16">
        <v>42926</v>
      </c>
      <c r="C652" t="s">
        <v>77</v>
      </c>
      <c r="D652" t="s">
        <v>78</v>
      </c>
      <c r="E652" t="s">
        <v>848</v>
      </c>
      <c r="F652" t="s">
        <v>1161</v>
      </c>
      <c r="G652" t="s">
        <v>81</v>
      </c>
      <c r="H652" t="s">
        <v>135</v>
      </c>
      <c r="I652" t="s">
        <v>124</v>
      </c>
      <c r="J652" s="17">
        <v>70.7</v>
      </c>
      <c r="K652" s="17">
        <v>4172</v>
      </c>
      <c r="L652" s="17">
        <v>2149</v>
      </c>
      <c r="M652" t="s">
        <v>84</v>
      </c>
      <c r="N652" t="s">
        <v>84</v>
      </c>
      <c r="O652" t="s">
        <v>84</v>
      </c>
      <c r="P652" t="s">
        <v>84</v>
      </c>
      <c r="Q652" s="17">
        <v>8269000</v>
      </c>
      <c r="R652" s="17">
        <v>30.8</v>
      </c>
      <c r="S652" t="s">
        <v>85</v>
      </c>
      <c r="T652" t="s">
        <v>84</v>
      </c>
      <c r="U652" t="s">
        <v>84</v>
      </c>
      <c r="V652" t="s">
        <v>84</v>
      </c>
      <c r="W652" s="18">
        <v>42826.6875</v>
      </c>
      <c r="X652" s="18">
        <v>42881.9166666667</v>
      </c>
      <c r="Y652" s="17">
        <v>4046.5</v>
      </c>
      <c r="Z652" t="s">
        <v>87</v>
      </c>
      <c r="AA652" s="17">
        <v>4160</v>
      </c>
      <c r="AB652" s="17">
        <v>2191</v>
      </c>
      <c r="AC652" t="s">
        <v>84</v>
      </c>
      <c r="AD652" t="s">
        <v>84</v>
      </c>
      <c r="AE652" t="s">
        <v>84</v>
      </c>
      <c r="AF652" t="s">
        <v>84</v>
      </c>
      <c r="AG652" s="17">
        <v>9693904</v>
      </c>
      <c r="AH652" s="17">
        <v>55.18</v>
      </c>
      <c r="AI652" s="17">
        <v>15.68</v>
      </c>
      <c r="AJ652" s="17">
        <v>15.68</v>
      </c>
      <c r="AK652" t="s">
        <v>208</v>
      </c>
      <c r="AM652" s="17">
        <v>2.1</v>
      </c>
      <c r="AN652" s="17"/>
      <c r="AO652" s="17">
        <v>700</v>
      </c>
      <c r="AP652" s="17"/>
      <c r="AQ652" s="17">
        <v>1225</v>
      </c>
      <c r="AR652" s="17"/>
      <c r="AS652" s="17">
        <v>1.9</v>
      </c>
      <c r="AT652" s="17"/>
      <c r="AU652" s="17">
        <v>426</v>
      </c>
      <c r="AV652" s="17"/>
      <c r="AW652" s="17">
        <v>631</v>
      </c>
      <c r="AX652" s="17"/>
      <c r="AY652" t="s">
        <v>92</v>
      </c>
      <c r="AZ652" t="s">
        <v>92</v>
      </c>
      <c r="BA652" t="s">
        <v>92</v>
      </c>
      <c r="BB652" t="s">
        <v>92</v>
      </c>
      <c r="BC652" t="s">
        <v>92</v>
      </c>
      <c r="BD652" t="s">
        <v>92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92</v>
      </c>
      <c r="BM652" t="s">
        <v>92</v>
      </c>
      <c r="BN652" t="s">
        <v>92</v>
      </c>
      <c r="BO652" t="s">
        <v>92</v>
      </c>
      <c r="BP652" t="s">
        <v>92</v>
      </c>
      <c r="BQ652" t="s">
        <v>92</v>
      </c>
      <c r="BR652" t="s">
        <v>92</v>
      </c>
      <c r="BS652" t="s">
        <v>92</v>
      </c>
      <c r="BT652" t="s">
        <v>92</v>
      </c>
      <c r="BU652" t="s">
        <v>92</v>
      </c>
      <c r="BV652" t="s">
        <v>92</v>
      </c>
      <c r="BW652" t="s">
        <v>92</v>
      </c>
      <c r="BX652" t="s">
        <v>92</v>
      </c>
      <c r="BY652" t="str">
        <f>IF(COUNTIF('Data Upload-prod'!E:E,F652)=0,"Missing","Exist")</f>
        <v>Exist</v>
      </c>
    </row>
    <row r="653" hidden="1" spans="1:77">
      <c r="A653" s="16">
        <v>42793</v>
      </c>
      <c r="B653" s="16">
        <v>43049</v>
      </c>
      <c r="C653" t="s">
        <v>178</v>
      </c>
      <c r="D653" t="s">
        <v>120</v>
      </c>
      <c r="E653" t="s">
        <v>182</v>
      </c>
      <c r="F653" t="s">
        <v>1162</v>
      </c>
      <c r="G653" t="s">
        <v>81</v>
      </c>
      <c r="H653" t="s">
        <v>181</v>
      </c>
      <c r="I653" t="s">
        <v>124</v>
      </c>
      <c r="J653" s="17">
        <v>50.59</v>
      </c>
      <c r="K653" s="17">
        <v>2573.91</v>
      </c>
      <c r="L653" s="17">
        <v>2181.96</v>
      </c>
      <c r="M653" t="s">
        <v>84</v>
      </c>
      <c r="N653" t="s">
        <v>84</v>
      </c>
      <c r="O653" t="s">
        <v>84</v>
      </c>
      <c r="P653" t="s">
        <v>84</v>
      </c>
      <c r="Q653" s="17">
        <v>10258901.57</v>
      </c>
      <c r="R653" s="17">
        <v>26.15</v>
      </c>
      <c r="S653" t="s">
        <v>85</v>
      </c>
      <c r="T653" t="s">
        <v>84</v>
      </c>
      <c r="U653" t="s">
        <v>84</v>
      </c>
      <c r="V653" s="16">
        <v>42865</v>
      </c>
      <c r="W653" s="18">
        <v>42858</v>
      </c>
      <c r="X653" s="18">
        <v>42989</v>
      </c>
      <c r="Y653" s="17">
        <v>2552.27</v>
      </c>
      <c r="Z653" t="s">
        <v>87</v>
      </c>
      <c r="AA653" s="17">
        <v>2648.58</v>
      </c>
      <c r="AB653" s="17">
        <v>2177.99</v>
      </c>
      <c r="AC653" t="s">
        <v>84</v>
      </c>
      <c r="AD653" t="s">
        <v>84</v>
      </c>
      <c r="AE653" t="s">
        <v>84</v>
      </c>
      <c r="AF653" t="s">
        <v>84</v>
      </c>
      <c r="AG653" s="17">
        <v>10672156</v>
      </c>
      <c r="AH653" s="17">
        <v>26.15</v>
      </c>
      <c r="AI653" s="17">
        <v>1.68</v>
      </c>
      <c r="AJ653" s="17">
        <v>1.68</v>
      </c>
      <c r="AK653" t="s">
        <v>497</v>
      </c>
      <c r="AM653" s="17">
        <v>1.4</v>
      </c>
      <c r="AN653" s="17"/>
      <c r="AO653" s="17">
        <v>550</v>
      </c>
      <c r="AP653" s="17"/>
      <c r="AQ653" s="17">
        <v>990</v>
      </c>
      <c r="AR653" s="17"/>
      <c r="AS653" s="13" t="s">
        <v>150</v>
      </c>
      <c r="AT653"/>
      <c r="AU653" s="13" t="s">
        <v>150</v>
      </c>
      <c r="AW653" s="13" t="s">
        <v>150</v>
      </c>
      <c r="AY653" t="s">
        <v>92</v>
      </c>
      <c r="AZ653" t="s">
        <v>92</v>
      </c>
      <c r="BA653" t="s">
        <v>92</v>
      </c>
      <c r="BB653" t="s">
        <v>92</v>
      </c>
      <c r="BC653" t="s">
        <v>92</v>
      </c>
      <c r="BD653" t="s">
        <v>92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92</v>
      </c>
      <c r="BM653" t="s">
        <v>92</v>
      </c>
      <c r="BN653" t="s">
        <v>92</v>
      </c>
      <c r="BO653" t="s">
        <v>92</v>
      </c>
      <c r="BP653" t="s">
        <v>92</v>
      </c>
      <c r="BQ653" t="s">
        <v>92</v>
      </c>
      <c r="BR653" t="s">
        <v>92</v>
      </c>
      <c r="BS653" t="s">
        <v>92</v>
      </c>
      <c r="BT653" t="s">
        <v>92</v>
      </c>
      <c r="BU653" t="s">
        <v>92</v>
      </c>
      <c r="BV653" t="s">
        <v>92</v>
      </c>
      <c r="BW653" t="s">
        <v>92</v>
      </c>
      <c r="BX653" t="s">
        <v>92</v>
      </c>
      <c r="BY653" t="str">
        <f>IF(COUNTIF('Data Upload-prod'!E:E,F653)=0,"Missing","Exist")</f>
        <v>Exist</v>
      </c>
    </row>
    <row r="654" hidden="1" spans="1:77">
      <c r="A654" s="16">
        <v>42781</v>
      </c>
      <c r="B654" s="16">
        <v>42937</v>
      </c>
      <c r="C654" t="s">
        <v>132</v>
      </c>
      <c r="D654" t="s">
        <v>120</v>
      </c>
      <c r="E654" t="s">
        <v>912</v>
      </c>
      <c r="F654" t="s">
        <v>1163</v>
      </c>
      <c r="G654" t="s">
        <v>81</v>
      </c>
      <c r="H654" t="s">
        <v>363</v>
      </c>
      <c r="I654" t="s">
        <v>124</v>
      </c>
      <c r="J654" s="17">
        <v>42.97</v>
      </c>
      <c r="K654" s="17">
        <v>5117.34</v>
      </c>
      <c r="L654" s="17">
        <v>4153.92</v>
      </c>
      <c r="M654" t="s">
        <v>84</v>
      </c>
      <c r="N654" t="s">
        <v>84</v>
      </c>
      <c r="O654" t="s">
        <v>84</v>
      </c>
      <c r="P654" t="s">
        <v>84</v>
      </c>
      <c r="Q654" s="17">
        <v>28502856.36</v>
      </c>
      <c r="R654" s="17">
        <v>75.48</v>
      </c>
      <c r="S654" t="s">
        <v>85</v>
      </c>
      <c r="T654" t="s">
        <v>84</v>
      </c>
      <c r="U654" t="s">
        <v>86</v>
      </c>
      <c r="V654" s="16">
        <v>42802</v>
      </c>
      <c r="W654" s="18">
        <v>42801.875</v>
      </c>
      <c r="X654" s="18">
        <v>42888.4166666667</v>
      </c>
      <c r="Y654" s="17">
        <v>5012.34</v>
      </c>
      <c r="Z654" t="s">
        <v>87</v>
      </c>
      <c r="AA654" s="17">
        <v>5099.66</v>
      </c>
      <c r="AB654" s="17">
        <v>4139.53</v>
      </c>
      <c r="AC654" t="s">
        <v>84</v>
      </c>
      <c r="AD654" t="s">
        <v>84</v>
      </c>
      <c r="AE654" t="s">
        <v>84</v>
      </c>
      <c r="AF654" t="s">
        <v>84</v>
      </c>
      <c r="AG654" s="17">
        <v>24885275.12</v>
      </c>
      <c r="AH654" s="17">
        <v>86.54</v>
      </c>
      <c r="AI654" s="17">
        <v>10.11</v>
      </c>
      <c r="AJ654" s="17">
        <v>9.75</v>
      </c>
      <c r="AK654" t="s">
        <v>126</v>
      </c>
      <c r="AM654" s="17">
        <v>2.5</v>
      </c>
      <c r="AN654" s="17"/>
      <c r="AO654" s="17">
        <v>1010</v>
      </c>
      <c r="AP654" s="17"/>
      <c r="AQ654" s="17">
        <v>1870</v>
      </c>
      <c r="AR654" s="17"/>
      <c r="AS654" s="17">
        <v>2.49</v>
      </c>
      <c r="AT654" s="17"/>
      <c r="AU654" s="17">
        <v>728.22</v>
      </c>
      <c r="AV654" s="17"/>
      <c r="AW654" s="17">
        <v>1513.06</v>
      </c>
      <c r="AX654" s="17"/>
      <c r="AY654" t="s">
        <v>92</v>
      </c>
      <c r="AZ654" t="s">
        <v>92</v>
      </c>
      <c r="BA654" t="s">
        <v>92</v>
      </c>
      <c r="BB654" t="s">
        <v>92</v>
      </c>
      <c r="BC654" t="s">
        <v>92</v>
      </c>
      <c r="BD654" s="17">
        <v>17.98</v>
      </c>
      <c r="BE654" s="17">
        <v>7345348</v>
      </c>
      <c r="BF654" t="s">
        <v>92</v>
      </c>
      <c r="BG654" t="s">
        <v>92</v>
      </c>
      <c r="BH654" t="s">
        <v>93</v>
      </c>
      <c r="BI654" t="s">
        <v>94</v>
      </c>
      <c r="BJ654" t="s">
        <v>173</v>
      </c>
      <c r="BK654" t="s">
        <v>85</v>
      </c>
      <c r="BL654" t="s">
        <v>85</v>
      </c>
      <c r="BM654" t="s">
        <v>273</v>
      </c>
      <c r="BN654" t="s">
        <v>253</v>
      </c>
      <c r="BO654" t="s">
        <v>98</v>
      </c>
      <c r="BP654" t="s">
        <v>99</v>
      </c>
      <c r="BQ654" s="17">
        <v>1347</v>
      </c>
      <c r="BR654" t="s">
        <v>138</v>
      </c>
      <c r="BS654" t="s">
        <v>92</v>
      </c>
      <c r="BT654" t="s">
        <v>99</v>
      </c>
      <c r="BU654" s="17">
        <v>9.5</v>
      </c>
      <c r="BV654" t="s">
        <v>191</v>
      </c>
      <c r="BW654" t="s">
        <v>85</v>
      </c>
      <c r="BX654" t="s">
        <v>85</v>
      </c>
      <c r="BY654" t="str">
        <f>IF(COUNTIF('Data Upload-prod'!E:E,F654)=0,"Missing","Exist")</f>
        <v>Exist</v>
      </c>
    </row>
    <row r="655" hidden="1" spans="1:77">
      <c r="A655" s="16">
        <v>42761</v>
      </c>
      <c r="B655" s="16">
        <v>42956</v>
      </c>
      <c r="C655" t="s">
        <v>187</v>
      </c>
      <c r="D655" t="s">
        <v>78</v>
      </c>
      <c r="E655" t="s">
        <v>188</v>
      </c>
      <c r="F655" t="s">
        <v>1164</v>
      </c>
      <c r="G655" t="s">
        <v>81</v>
      </c>
      <c r="H655" t="s">
        <v>168</v>
      </c>
      <c r="I655" t="s">
        <v>124</v>
      </c>
      <c r="J655" s="17">
        <v>65.8</v>
      </c>
      <c r="K655" s="17">
        <v>4466</v>
      </c>
      <c r="L655" s="17">
        <v>1636</v>
      </c>
      <c r="M655" t="s">
        <v>84</v>
      </c>
      <c r="N655" t="s">
        <v>84</v>
      </c>
      <c r="O655" t="s">
        <v>84</v>
      </c>
      <c r="P655" t="s">
        <v>84</v>
      </c>
      <c r="Q655" s="17">
        <v>12000000</v>
      </c>
      <c r="R655" s="17">
        <v>37.8</v>
      </c>
      <c r="S655" t="s">
        <v>85</v>
      </c>
      <c r="T655" t="s">
        <v>84</v>
      </c>
      <c r="U655" t="s">
        <v>86</v>
      </c>
      <c r="V655" s="16">
        <v>42882</v>
      </c>
      <c r="W655" s="18">
        <v>42881.15625</v>
      </c>
      <c r="X655" s="18">
        <v>42931.1458333333</v>
      </c>
      <c r="Y655" s="17">
        <v>4344.74</v>
      </c>
      <c r="Z655" t="s">
        <v>87</v>
      </c>
      <c r="AA655" s="17">
        <v>4454</v>
      </c>
      <c r="AB655" s="17">
        <v>1627</v>
      </c>
      <c r="AC655" t="s">
        <v>84</v>
      </c>
      <c r="AD655" t="s">
        <v>84</v>
      </c>
      <c r="AE655" t="s">
        <v>84</v>
      </c>
      <c r="AF655" t="s">
        <v>84</v>
      </c>
      <c r="AG655" s="17">
        <v>14697381</v>
      </c>
      <c r="AH655" s="17">
        <v>49.9</v>
      </c>
      <c r="AI655" s="17">
        <v>9.5</v>
      </c>
      <c r="AJ655" s="17">
        <v>9.5</v>
      </c>
      <c r="AK655" t="s">
        <v>165</v>
      </c>
      <c r="AM655" s="17">
        <v>3.2</v>
      </c>
      <c r="AN655" s="17"/>
      <c r="AO655" s="17">
        <v>1300</v>
      </c>
      <c r="AP655" s="17"/>
      <c r="AQ655" s="17">
        <v>1680</v>
      </c>
      <c r="AR655" s="17"/>
      <c r="AS655" s="13" t="s">
        <v>150</v>
      </c>
      <c r="AT655"/>
      <c r="AU655" s="13" t="s">
        <v>150</v>
      </c>
      <c r="AW655" s="13" t="s">
        <v>150</v>
      </c>
      <c r="AY655" t="s">
        <v>92</v>
      </c>
      <c r="AZ655" t="s">
        <v>92</v>
      </c>
      <c r="BA655" t="s">
        <v>92</v>
      </c>
      <c r="BB655" t="s">
        <v>92</v>
      </c>
      <c r="BC655" t="s">
        <v>92</v>
      </c>
      <c r="BD655" s="17">
        <v>6.9</v>
      </c>
      <c r="BE655" s="17">
        <v>2701787.61</v>
      </c>
      <c r="BF655" t="s">
        <v>92</v>
      </c>
      <c r="BG655" t="s">
        <v>92</v>
      </c>
      <c r="BH655" t="s">
        <v>93</v>
      </c>
      <c r="BI655" t="s">
        <v>94</v>
      </c>
      <c r="BJ655" t="s">
        <v>173</v>
      </c>
      <c r="BK655" t="s">
        <v>85</v>
      </c>
      <c r="BL655" t="s">
        <v>85</v>
      </c>
      <c r="BM655" t="s">
        <v>190</v>
      </c>
      <c r="BN655" t="s">
        <v>97</v>
      </c>
      <c r="BO655" t="s">
        <v>98</v>
      </c>
      <c r="BP655" t="s">
        <v>99</v>
      </c>
      <c r="BQ655" s="17">
        <v>0</v>
      </c>
      <c r="BR655" t="s">
        <v>138</v>
      </c>
      <c r="BS655" t="s">
        <v>92</v>
      </c>
      <c r="BT655" t="s">
        <v>99</v>
      </c>
      <c r="BU655" s="17">
        <v>9.3</v>
      </c>
      <c r="BV655" t="s">
        <v>191</v>
      </c>
      <c r="BW655" t="s">
        <v>129</v>
      </c>
      <c r="BX655" t="s">
        <v>85</v>
      </c>
      <c r="BY655" t="str">
        <f>IF(COUNTIF('Data Upload-prod'!E:E,F655)=0,"Missing","Exist")</f>
        <v>Exist</v>
      </c>
    </row>
    <row r="656" hidden="1" spans="1:77">
      <c r="A656" s="16">
        <v>42744</v>
      </c>
      <c r="B656" s="16">
        <v>43098</v>
      </c>
      <c r="C656" t="s">
        <v>269</v>
      </c>
      <c r="D656" t="s">
        <v>78</v>
      </c>
      <c r="E656" t="s">
        <v>440</v>
      </c>
      <c r="F656" t="s">
        <v>1165</v>
      </c>
      <c r="G656" t="s">
        <v>81</v>
      </c>
      <c r="H656" t="s">
        <v>790</v>
      </c>
      <c r="I656" t="s">
        <v>124</v>
      </c>
      <c r="J656" s="17">
        <v>57.36</v>
      </c>
      <c r="K656" s="17">
        <v>2825.36</v>
      </c>
      <c r="L656" s="17">
        <v>2744.29</v>
      </c>
      <c r="M656" t="s">
        <v>84</v>
      </c>
      <c r="N656" t="s">
        <v>84</v>
      </c>
      <c r="O656" t="s">
        <v>84</v>
      </c>
      <c r="P656" t="s">
        <v>84</v>
      </c>
      <c r="Q656" s="17">
        <v>41648190.93</v>
      </c>
      <c r="R656" s="17">
        <v>82.6</v>
      </c>
      <c r="S656" t="s">
        <v>85</v>
      </c>
      <c r="T656" t="s">
        <v>84</v>
      </c>
      <c r="U656" t="s">
        <v>84</v>
      </c>
      <c r="V656" s="16">
        <v>42773.4375</v>
      </c>
      <c r="W656" s="18">
        <v>42773.2916666667</v>
      </c>
      <c r="X656" s="18">
        <v>43038.9583333333</v>
      </c>
      <c r="Y656" s="17">
        <v>2710.45</v>
      </c>
      <c r="Z656" t="s">
        <v>87</v>
      </c>
      <c r="AA656" s="17">
        <v>2811.03</v>
      </c>
      <c r="AB656" s="17">
        <v>2728.13</v>
      </c>
      <c r="AC656" t="s">
        <v>84</v>
      </c>
      <c r="AD656" t="s">
        <v>84</v>
      </c>
      <c r="AE656" t="s">
        <v>84</v>
      </c>
      <c r="AF656" t="s">
        <v>84</v>
      </c>
      <c r="AG656" s="17">
        <v>32400000</v>
      </c>
      <c r="AH656" s="17">
        <v>69.6</v>
      </c>
      <c r="AI656" s="17">
        <v>10.14</v>
      </c>
      <c r="AJ656" s="17">
        <v>10.14</v>
      </c>
      <c r="AK656" t="s">
        <v>374</v>
      </c>
      <c r="AM656" s="17">
        <v>5</v>
      </c>
      <c r="AN656" s="17"/>
      <c r="AO656" s="17">
        <v>2360</v>
      </c>
      <c r="AP656" s="17"/>
      <c r="AQ656" s="17">
        <v>4280</v>
      </c>
      <c r="AR656" s="17"/>
      <c r="AS656" s="17">
        <v>3.5</v>
      </c>
      <c r="AT656" s="17"/>
      <c r="AU656" s="17">
        <v>1900</v>
      </c>
      <c r="AV656" s="17"/>
      <c r="AW656" s="17">
        <v>2590</v>
      </c>
      <c r="AX656" s="17"/>
      <c r="AY656" t="s">
        <v>92</v>
      </c>
      <c r="AZ656" t="s">
        <v>92</v>
      </c>
      <c r="BA656" t="s">
        <v>92</v>
      </c>
      <c r="BB656" t="s">
        <v>92</v>
      </c>
      <c r="BC656" t="s">
        <v>92</v>
      </c>
      <c r="BD656" t="s">
        <v>92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92</v>
      </c>
      <c r="BM656" t="s">
        <v>92</v>
      </c>
      <c r="BN656" t="s">
        <v>92</v>
      </c>
      <c r="BO656" t="s">
        <v>92</v>
      </c>
      <c r="BP656" t="s">
        <v>92</v>
      </c>
      <c r="BQ656" t="s">
        <v>92</v>
      </c>
      <c r="BR656" t="s">
        <v>92</v>
      </c>
      <c r="BS656" t="s">
        <v>92</v>
      </c>
      <c r="BT656" t="s">
        <v>92</v>
      </c>
      <c r="BU656" t="s">
        <v>92</v>
      </c>
      <c r="BV656" t="s">
        <v>92</v>
      </c>
      <c r="BW656" t="s">
        <v>92</v>
      </c>
      <c r="BX656" t="s">
        <v>92</v>
      </c>
      <c r="BY656" t="str">
        <f>IF(COUNTIF('Data Upload-prod'!E:E,F656)=0,"Missing","Exist")</f>
        <v>Exist</v>
      </c>
    </row>
    <row r="657" hidden="1" spans="1:77">
      <c r="A657" s="16">
        <v>42744</v>
      </c>
      <c r="B657" s="16">
        <v>42922</v>
      </c>
      <c r="C657" t="s">
        <v>218</v>
      </c>
      <c r="D657" t="s">
        <v>78</v>
      </c>
      <c r="E657" t="s">
        <v>962</v>
      </c>
      <c r="F657" t="s">
        <v>1166</v>
      </c>
      <c r="G657" t="s">
        <v>81</v>
      </c>
      <c r="H657" t="s">
        <v>221</v>
      </c>
      <c r="I657" t="s">
        <v>124</v>
      </c>
      <c r="J657" s="17">
        <v>72</v>
      </c>
      <c r="K657" s="17">
        <v>4110</v>
      </c>
      <c r="L657" s="17">
        <v>1163</v>
      </c>
      <c r="M657" t="s">
        <v>84</v>
      </c>
      <c r="N657" t="s">
        <v>84</v>
      </c>
      <c r="O657" t="s">
        <v>84</v>
      </c>
      <c r="P657" t="s">
        <v>84</v>
      </c>
      <c r="Q657" s="17">
        <v>10062751</v>
      </c>
      <c r="R657" s="17">
        <v>20.02</v>
      </c>
      <c r="S657" t="s">
        <v>85</v>
      </c>
      <c r="T657" t="s">
        <v>84</v>
      </c>
      <c r="U657" t="s">
        <v>84</v>
      </c>
      <c r="V657" s="16">
        <v>42845.8020833333</v>
      </c>
      <c r="W657" s="18">
        <v>42845</v>
      </c>
      <c r="X657" s="18">
        <v>42867.5416666667</v>
      </c>
      <c r="Y657" s="17">
        <v>3056.13</v>
      </c>
      <c r="Z657" t="s">
        <v>87</v>
      </c>
      <c r="AA657" s="17">
        <v>3167</v>
      </c>
      <c r="AB657" s="17">
        <v>1167.14</v>
      </c>
      <c r="AC657" t="s">
        <v>84</v>
      </c>
      <c r="AD657" t="s">
        <v>84</v>
      </c>
      <c r="AE657" t="s">
        <v>84</v>
      </c>
      <c r="AF657" t="s">
        <v>84</v>
      </c>
      <c r="AG657" s="17">
        <v>7772706</v>
      </c>
      <c r="AH657" s="17">
        <v>22.54</v>
      </c>
      <c r="AI657" s="17">
        <v>4.31</v>
      </c>
      <c r="AJ657" s="17">
        <v>4.31</v>
      </c>
      <c r="AK657" t="s">
        <v>208</v>
      </c>
      <c r="AM657" s="17">
        <v>2.1</v>
      </c>
      <c r="AN657" s="17"/>
      <c r="AO657" s="17">
        <v>700</v>
      </c>
      <c r="AP657" s="17"/>
      <c r="AQ657" s="17">
        <v>1225</v>
      </c>
      <c r="AR657" s="17"/>
      <c r="AS657" s="17">
        <v>1.73</v>
      </c>
      <c r="AT657" s="17"/>
      <c r="AU657" s="17">
        <v>484.99</v>
      </c>
      <c r="AV657" s="17"/>
      <c r="AW657" s="17">
        <v>775.17</v>
      </c>
      <c r="AX657" s="17"/>
      <c r="AY657" t="s">
        <v>92</v>
      </c>
      <c r="AZ657" t="s">
        <v>92</v>
      </c>
      <c r="BA657" t="s">
        <v>92</v>
      </c>
      <c r="BB657" t="s">
        <v>92</v>
      </c>
      <c r="BC657" t="s">
        <v>92</v>
      </c>
      <c r="BD657" t="s">
        <v>92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92</v>
      </c>
      <c r="BM657" t="s">
        <v>92</v>
      </c>
      <c r="BN657" t="s">
        <v>92</v>
      </c>
      <c r="BO657" t="s">
        <v>92</v>
      </c>
      <c r="BP657" t="s">
        <v>92</v>
      </c>
      <c r="BQ657" t="s">
        <v>92</v>
      </c>
      <c r="BR657" t="s">
        <v>92</v>
      </c>
      <c r="BS657" t="s">
        <v>92</v>
      </c>
      <c r="BT657" t="s">
        <v>92</v>
      </c>
      <c r="BU657" t="s">
        <v>92</v>
      </c>
      <c r="BV657" t="s">
        <v>92</v>
      </c>
      <c r="BW657" t="s">
        <v>92</v>
      </c>
      <c r="BX657" t="s">
        <v>92</v>
      </c>
      <c r="BY657" t="str">
        <f>IF(COUNTIF('Data Upload-prod'!E:E,F657)=0,"Missing","Exist")</f>
        <v>Exist</v>
      </c>
    </row>
    <row r="658" hidden="1" spans="1:77">
      <c r="A658" s="16">
        <v>42744</v>
      </c>
      <c r="B658" s="16">
        <v>42900</v>
      </c>
      <c r="C658" t="s">
        <v>218</v>
      </c>
      <c r="D658" t="s">
        <v>78</v>
      </c>
      <c r="E658" t="s">
        <v>962</v>
      </c>
      <c r="F658" t="s">
        <v>1167</v>
      </c>
      <c r="G658" t="s">
        <v>81</v>
      </c>
      <c r="H658" t="s">
        <v>221</v>
      </c>
      <c r="I658" t="s">
        <v>124</v>
      </c>
      <c r="J658" s="17">
        <v>72</v>
      </c>
      <c r="K658" s="17">
        <v>3131</v>
      </c>
      <c r="L658" s="17">
        <v>1163</v>
      </c>
      <c r="M658" t="s">
        <v>84</v>
      </c>
      <c r="N658" t="s">
        <v>84</v>
      </c>
      <c r="O658" t="s">
        <v>84</v>
      </c>
      <c r="P658" t="s">
        <v>84</v>
      </c>
      <c r="Q658" s="17">
        <v>8640870</v>
      </c>
      <c r="R658" s="17">
        <v>17.09</v>
      </c>
      <c r="S658" t="s">
        <v>85</v>
      </c>
      <c r="T658" t="s">
        <v>84</v>
      </c>
      <c r="U658" t="s">
        <v>84</v>
      </c>
      <c r="V658" s="16">
        <v>42825</v>
      </c>
      <c r="W658" s="18">
        <v>42824</v>
      </c>
      <c r="X658" s="18">
        <v>42844</v>
      </c>
      <c r="Y658" s="17">
        <v>3082.13</v>
      </c>
      <c r="Z658" t="s">
        <v>87</v>
      </c>
      <c r="AA658" s="17">
        <v>3193</v>
      </c>
      <c r="AB658" s="17">
        <v>1164.46</v>
      </c>
      <c r="AC658" t="s">
        <v>84</v>
      </c>
      <c r="AD658" t="s">
        <v>84</v>
      </c>
      <c r="AE658" t="s">
        <v>84</v>
      </c>
      <c r="AF658" t="s">
        <v>84</v>
      </c>
      <c r="AG658" s="17">
        <v>7548819</v>
      </c>
      <c r="AH658" s="17">
        <v>20.65</v>
      </c>
      <c r="AI658" s="17">
        <v>1.92</v>
      </c>
      <c r="AJ658" s="17">
        <v>1.92</v>
      </c>
      <c r="AK658" t="s">
        <v>208</v>
      </c>
      <c r="AM658" s="17">
        <v>2.1</v>
      </c>
      <c r="AN658" s="17"/>
      <c r="AO658" s="17">
        <v>700</v>
      </c>
      <c r="AP658" s="17"/>
      <c r="AQ658" s="17">
        <v>1220</v>
      </c>
      <c r="AR658" s="17"/>
      <c r="AS658" s="17">
        <v>1.43</v>
      </c>
      <c r="AT658" s="17"/>
      <c r="AU658" s="17">
        <v>394.65</v>
      </c>
      <c r="AV658" s="17"/>
      <c r="AW658" s="17">
        <v>707.41</v>
      </c>
      <c r="AX658" s="17"/>
      <c r="AY658" t="s">
        <v>92</v>
      </c>
      <c r="AZ658" t="s">
        <v>92</v>
      </c>
      <c r="BA658" t="s">
        <v>92</v>
      </c>
      <c r="BB658" t="s">
        <v>92</v>
      </c>
      <c r="BC658" t="s">
        <v>92</v>
      </c>
      <c r="BD658" t="s">
        <v>92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92</v>
      </c>
      <c r="BM658" t="s">
        <v>92</v>
      </c>
      <c r="BN658" t="s">
        <v>92</v>
      </c>
      <c r="BO658" t="s">
        <v>92</v>
      </c>
      <c r="BP658" t="s">
        <v>92</v>
      </c>
      <c r="BQ658" t="s">
        <v>92</v>
      </c>
      <c r="BR658" t="s">
        <v>92</v>
      </c>
      <c r="BS658" t="s">
        <v>92</v>
      </c>
      <c r="BT658" t="s">
        <v>92</v>
      </c>
      <c r="BU658" t="s">
        <v>92</v>
      </c>
      <c r="BV658" t="s">
        <v>92</v>
      </c>
      <c r="BW658" t="s">
        <v>92</v>
      </c>
      <c r="BX658" t="s">
        <v>92</v>
      </c>
      <c r="BY658" t="str">
        <f>IF(COUNTIF('Data Upload-prod'!E:E,F658)=0,"Missing","Exist")</f>
        <v>Exist</v>
      </c>
    </row>
    <row r="659" hidden="1" spans="1:77">
      <c r="A659" s="16">
        <v>42744</v>
      </c>
      <c r="B659" s="16">
        <v>42941</v>
      </c>
      <c r="C659" t="s">
        <v>218</v>
      </c>
      <c r="D659" t="s">
        <v>78</v>
      </c>
      <c r="E659" t="s">
        <v>962</v>
      </c>
      <c r="F659" t="s">
        <v>1168</v>
      </c>
      <c r="G659" t="s">
        <v>81</v>
      </c>
      <c r="H659" t="s">
        <v>221</v>
      </c>
      <c r="I659" t="s">
        <v>124</v>
      </c>
      <c r="J659" s="17">
        <v>72</v>
      </c>
      <c r="K659" s="17">
        <v>2846</v>
      </c>
      <c r="L659" s="17">
        <v>1163</v>
      </c>
      <c r="M659" t="s">
        <v>84</v>
      </c>
      <c r="N659" t="s">
        <v>84</v>
      </c>
      <c r="O659" t="s">
        <v>84</v>
      </c>
      <c r="P659" t="s">
        <v>84</v>
      </c>
      <c r="Q659" s="17">
        <v>8597790</v>
      </c>
      <c r="R659" s="17">
        <v>17.43</v>
      </c>
      <c r="S659" t="s">
        <v>85</v>
      </c>
      <c r="T659" t="s">
        <v>84</v>
      </c>
      <c r="U659" t="s">
        <v>84</v>
      </c>
      <c r="V659" s="16">
        <v>42820.1354166667</v>
      </c>
      <c r="W659" s="18">
        <v>42819.3958333333</v>
      </c>
      <c r="X659" s="18">
        <v>42881.625</v>
      </c>
      <c r="Y659" s="17">
        <v>2793.7</v>
      </c>
      <c r="Z659" t="s">
        <v>87</v>
      </c>
      <c r="AA659" s="17">
        <v>2904.6</v>
      </c>
      <c r="AB659" s="17">
        <v>1174.8</v>
      </c>
      <c r="AC659" t="s">
        <v>84</v>
      </c>
      <c r="AD659" t="s">
        <v>84</v>
      </c>
      <c r="AE659" t="s">
        <v>84</v>
      </c>
      <c r="AF659" t="s">
        <v>84</v>
      </c>
      <c r="AG659" s="17">
        <v>6611474</v>
      </c>
      <c r="AH659" s="17">
        <v>19.04</v>
      </c>
      <c r="AI659" s="17">
        <v>0.82</v>
      </c>
      <c r="AJ659" s="17">
        <v>0.82</v>
      </c>
      <c r="AK659" t="s">
        <v>208</v>
      </c>
      <c r="AM659" s="17">
        <v>2.1</v>
      </c>
      <c r="AN659" s="17"/>
      <c r="AO659" s="17">
        <v>700</v>
      </c>
      <c r="AP659" s="17"/>
      <c r="AQ659" s="17">
        <v>1225</v>
      </c>
      <c r="AR659" s="17"/>
      <c r="AS659" s="17">
        <v>1.45</v>
      </c>
      <c r="AT659" s="17"/>
      <c r="AU659" s="17">
        <v>412.76</v>
      </c>
      <c r="AV659" s="17"/>
      <c r="AW659" s="17">
        <v>721.24</v>
      </c>
      <c r="AX659" s="17"/>
      <c r="AY659" t="s">
        <v>92</v>
      </c>
      <c r="AZ659" t="s">
        <v>92</v>
      </c>
      <c r="BA659" t="s">
        <v>92</v>
      </c>
      <c r="BB659" t="s">
        <v>92</v>
      </c>
      <c r="BC659" t="s">
        <v>92</v>
      </c>
      <c r="BD659" t="s">
        <v>92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92</v>
      </c>
      <c r="BM659" t="s">
        <v>92</v>
      </c>
      <c r="BN659" t="s">
        <v>92</v>
      </c>
      <c r="BO659" t="s">
        <v>92</v>
      </c>
      <c r="BP659" t="s">
        <v>92</v>
      </c>
      <c r="BQ659" t="s">
        <v>92</v>
      </c>
      <c r="BR659" t="s">
        <v>92</v>
      </c>
      <c r="BS659" t="s">
        <v>92</v>
      </c>
      <c r="BT659" t="s">
        <v>92</v>
      </c>
      <c r="BU659" t="s">
        <v>92</v>
      </c>
      <c r="BV659" t="s">
        <v>92</v>
      </c>
      <c r="BW659" t="s">
        <v>92</v>
      </c>
      <c r="BX659" t="s">
        <v>92</v>
      </c>
      <c r="BY659" t="str">
        <f>IF(COUNTIF('Data Upload-prod'!E:E,F659)=0,"Missing","Exist")</f>
        <v>Exist</v>
      </c>
    </row>
    <row r="660" hidden="1" spans="1:77">
      <c r="A660" s="16">
        <v>42723</v>
      </c>
      <c r="B660" s="16">
        <v>42888</v>
      </c>
      <c r="C660" t="s">
        <v>633</v>
      </c>
      <c r="D660" t="s">
        <v>120</v>
      </c>
      <c r="E660" t="s">
        <v>1169</v>
      </c>
      <c r="F660" t="s">
        <v>1170</v>
      </c>
      <c r="G660" t="s">
        <v>145</v>
      </c>
      <c r="H660" t="s">
        <v>1171</v>
      </c>
      <c r="I660" t="s">
        <v>1172</v>
      </c>
      <c r="J660" s="17">
        <v>1587.1</v>
      </c>
      <c r="K660" s="17">
        <v>4725</v>
      </c>
      <c r="L660" s="17">
        <v>4725</v>
      </c>
      <c r="M660" s="17">
        <v>57340000</v>
      </c>
      <c r="N660" s="17">
        <v>70340000</v>
      </c>
      <c r="O660" s="17">
        <v>59.1</v>
      </c>
      <c r="P660" s="17">
        <v>83.1</v>
      </c>
      <c r="Q660" t="s">
        <v>84</v>
      </c>
      <c r="R660" t="s">
        <v>84</v>
      </c>
      <c r="S660" t="s">
        <v>85</v>
      </c>
      <c r="T660" t="s">
        <v>84</v>
      </c>
      <c r="U660" t="s">
        <v>84</v>
      </c>
      <c r="V660" s="16">
        <v>42774</v>
      </c>
      <c r="W660" s="18">
        <v>42770.3958333333</v>
      </c>
      <c r="X660" s="18">
        <v>42798.3125</v>
      </c>
      <c r="Y660" s="17">
        <v>1080.8</v>
      </c>
      <c r="Z660" t="s">
        <v>148</v>
      </c>
      <c r="AA660" s="17">
        <v>4280</v>
      </c>
      <c r="AB660" s="17">
        <v>4273.15</v>
      </c>
      <c r="AC660" s="17">
        <v>40270000</v>
      </c>
      <c r="AD660" t="s">
        <v>84</v>
      </c>
      <c r="AE660" s="17">
        <v>57.9</v>
      </c>
      <c r="AF660" t="s">
        <v>84</v>
      </c>
      <c r="AG660" t="s">
        <v>84</v>
      </c>
      <c r="AH660" t="s">
        <v>84</v>
      </c>
      <c r="AI660" s="17">
        <v>17.67</v>
      </c>
      <c r="AJ660" s="17">
        <v>15.29</v>
      </c>
      <c r="AK660" t="s">
        <v>232</v>
      </c>
      <c r="AM660" s="17">
        <v>4.4</v>
      </c>
      <c r="AN660" s="17"/>
      <c r="AO660" s="17">
        <v>4200</v>
      </c>
      <c r="AP660" s="17"/>
      <c r="AQ660" s="17">
        <v>6400</v>
      </c>
      <c r="AR660" s="17"/>
      <c r="AS660" s="17">
        <v>5.4</v>
      </c>
      <c r="AT660" s="17"/>
      <c r="AU660" s="17">
        <v>3890</v>
      </c>
      <c r="AV660" s="17"/>
      <c r="AW660" s="17">
        <v>4601</v>
      </c>
      <c r="AX660" s="17"/>
      <c r="AY660" t="s">
        <v>92</v>
      </c>
      <c r="AZ660" t="s">
        <v>92</v>
      </c>
      <c r="BA660" t="s">
        <v>92</v>
      </c>
      <c r="BB660" t="s">
        <v>92</v>
      </c>
      <c r="BC660" t="s">
        <v>92</v>
      </c>
      <c r="BD660" t="s">
        <v>92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92</v>
      </c>
      <c r="BM660" t="s">
        <v>92</v>
      </c>
      <c r="BN660" t="s">
        <v>92</v>
      </c>
      <c r="BO660" t="s">
        <v>92</v>
      </c>
      <c r="BP660" t="s">
        <v>92</v>
      </c>
      <c r="BQ660" t="s">
        <v>92</v>
      </c>
      <c r="BR660" t="s">
        <v>92</v>
      </c>
      <c r="BS660" t="s">
        <v>92</v>
      </c>
      <c r="BT660" t="s">
        <v>92</v>
      </c>
      <c r="BU660" t="s">
        <v>92</v>
      </c>
      <c r="BV660" t="s">
        <v>92</v>
      </c>
      <c r="BW660" t="s">
        <v>92</v>
      </c>
      <c r="BX660" t="s">
        <v>92</v>
      </c>
      <c r="BY660" t="str">
        <f>IF(COUNTIF('Data Upload-prod'!E:E,F660)=0,"Missing","Exist")</f>
        <v>Exist</v>
      </c>
    </row>
    <row r="661" hidden="1" spans="1:77">
      <c r="A661" s="16">
        <v>42719</v>
      </c>
      <c r="B661" s="16">
        <v>42980</v>
      </c>
      <c r="C661" t="s">
        <v>141</v>
      </c>
      <c r="D661" t="s">
        <v>142</v>
      </c>
      <c r="E661" t="s">
        <v>245</v>
      </c>
      <c r="F661" t="s">
        <v>1173</v>
      </c>
      <c r="G661" t="s">
        <v>81</v>
      </c>
      <c r="H661" t="s">
        <v>247</v>
      </c>
      <c r="I661" t="s">
        <v>231</v>
      </c>
      <c r="J661" s="17">
        <v>485.98</v>
      </c>
      <c r="K661" s="17">
        <v>1883.88</v>
      </c>
      <c r="L661" s="17">
        <v>1554.71</v>
      </c>
      <c r="M661" t="s">
        <v>84</v>
      </c>
      <c r="N661" t="s">
        <v>84</v>
      </c>
      <c r="O661" t="s">
        <v>84</v>
      </c>
      <c r="P661" t="s">
        <v>84</v>
      </c>
      <c r="Q661" s="17">
        <v>24904623</v>
      </c>
      <c r="R661" s="17">
        <v>42.78</v>
      </c>
      <c r="S661" t="s">
        <v>85</v>
      </c>
      <c r="T661" t="s">
        <v>84</v>
      </c>
      <c r="U661" t="s">
        <v>84</v>
      </c>
      <c r="V661" s="16">
        <v>42783</v>
      </c>
      <c r="W661" s="18">
        <v>42775</v>
      </c>
      <c r="X661" s="18">
        <v>42868</v>
      </c>
      <c r="Y661" s="17">
        <v>1358.27</v>
      </c>
      <c r="Z661" t="s">
        <v>148</v>
      </c>
      <c r="AA661" s="17">
        <v>1889.67</v>
      </c>
      <c r="AB661" s="17">
        <v>1509.44</v>
      </c>
      <c r="AC661" t="s">
        <v>84</v>
      </c>
      <c r="AD661" t="s">
        <v>84</v>
      </c>
      <c r="AE661" t="s">
        <v>84</v>
      </c>
      <c r="AF661" t="s">
        <v>84</v>
      </c>
      <c r="AG661" s="17">
        <v>15827000</v>
      </c>
      <c r="AH661" s="17">
        <v>42.22</v>
      </c>
      <c r="AI661" s="17">
        <v>20</v>
      </c>
      <c r="AJ661" s="17">
        <v>20</v>
      </c>
      <c r="AK661" t="s">
        <v>764</v>
      </c>
      <c r="AM661" s="17">
        <v>5.1</v>
      </c>
      <c r="AN661" s="17"/>
      <c r="AO661" s="17">
        <v>1525</v>
      </c>
      <c r="AP661" s="17"/>
      <c r="AQ661" s="17">
        <v>3370</v>
      </c>
      <c r="AR661" s="17"/>
      <c r="AS661" s="13" t="s">
        <v>150</v>
      </c>
      <c r="AT661"/>
      <c r="AU661" s="13" t="s">
        <v>150</v>
      </c>
      <c r="AW661" s="13" t="s">
        <v>150</v>
      </c>
      <c r="AY661" t="s">
        <v>92</v>
      </c>
      <c r="AZ661" t="s">
        <v>92</v>
      </c>
      <c r="BA661" t="s">
        <v>92</v>
      </c>
      <c r="BB661" t="s">
        <v>92</v>
      </c>
      <c r="BC661" t="s">
        <v>92</v>
      </c>
      <c r="BD661" t="s">
        <v>92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92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92</v>
      </c>
      <c r="BS661" t="s">
        <v>92</v>
      </c>
      <c r="BT661" t="s">
        <v>92</v>
      </c>
      <c r="BU661" t="s">
        <v>92</v>
      </c>
      <c r="BV661" t="s">
        <v>92</v>
      </c>
      <c r="BW661" t="s">
        <v>92</v>
      </c>
      <c r="BX661" t="s">
        <v>92</v>
      </c>
      <c r="BY661" t="str">
        <f>IF(COUNTIF('Data Upload-prod'!E:E,F661)=0,"Missing","Exist")</f>
        <v>Exist</v>
      </c>
    </row>
    <row r="662" hidden="1" spans="1:77">
      <c r="A662" s="16">
        <v>42694</v>
      </c>
      <c r="B662" s="16">
        <v>42837</v>
      </c>
      <c r="C662" t="s">
        <v>132</v>
      </c>
      <c r="D662" t="s">
        <v>120</v>
      </c>
      <c r="E662" t="s">
        <v>912</v>
      </c>
      <c r="F662" t="s">
        <v>1174</v>
      </c>
      <c r="G662" t="s">
        <v>81</v>
      </c>
      <c r="H662" t="s">
        <v>363</v>
      </c>
      <c r="I662" t="s">
        <v>124</v>
      </c>
      <c r="J662" s="17">
        <v>42.97</v>
      </c>
      <c r="K662" s="17">
        <v>5558.06</v>
      </c>
      <c r="L662" s="17">
        <v>3751.9</v>
      </c>
      <c r="M662" t="s">
        <v>84</v>
      </c>
      <c r="N662" t="s">
        <v>84</v>
      </c>
      <c r="O662" t="s">
        <v>84</v>
      </c>
      <c r="P662" t="s">
        <v>84</v>
      </c>
      <c r="Q662" s="17">
        <v>30055455.78</v>
      </c>
      <c r="R662" s="17">
        <v>78.09</v>
      </c>
      <c r="S662" t="s">
        <v>85</v>
      </c>
      <c r="T662" t="s">
        <v>84</v>
      </c>
      <c r="U662" t="s">
        <v>86</v>
      </c>
      <c r="V662" s="16">
        <v>42716</v>
      </c>
      <c r="W662" s="18">
        <v>42716.7083333333</v>
      </c>
      <c r="X662" s="18">
        <v>42802</v>
      </c>
      <c r="Y662" s="17">
        <v>5375.04</v>
      </c>
      <c r="Z662" t="s">
        <v>87</v>
      </c>
      <c r="AA662" s="17">
        <v>5462.36</v>
      </c>
      <c r="AB662" s="17">
        <v>3682.66</v>
      </c>
      <c r="AC662" t="s">
        <v>84</v>
      </c>
      <c r="AD662" t="s">
        <v>84</v>
      </c>
      <c r="AE662" t="s">
        <v>84</v>
      </c>
      <c r="AF662" t="s">
        <v>84</v>
      </c>
      <c r="AG662" s="17">
        <v>21567273.69</v>
      </c>
      <c r="AH662" s="17">
        <v>65.76</v>
      </c>
      <c r="AI662" s="17">
        <v>3.56</v>
      </c>
      <c r="AJ662" s="17">
        <v>3.47</v>
      </c>
      <c r="AK662" t="s">
        <v>126</v>
      </c>
      <c r="AM662" s="17">
        <v>2.5</v>
      </c>
      <c r="AN662" s="17"/>
      <c r="AO662" s="17">
        <v>1010</v>
      </c>
      <c r="AP662" s="17"/>
      <c r="AQ662" s="17">
        <v>1870</v>
      </c>
      <c r="AR662" s="17"/>
      <c r="AS662" s="17">
        <v>2.1</v>
      </c>
      <c r="AT662" s="17"/>
      <c r="AU662" s="17">
        <v>599.43</v>
      </c>
      <c r="AV662" s="17"/>
      <c r="AW662" s="17">
        <v>1276.55</v>
      </c>
      <c r="AX662" s="17"/>
      <c r="AY662" t="s">
        <v>92</v>
      </c>
      <c r="AZ662" t="s">
        <v>92</v>
      </c>
      <c r="BA662" t="s">
        <v>92</v>
      </c>
      <c r="BB662" t="s">
        <v>92</v>
      </c>
      <c r="BC662" t="s">
        <v>92</v>
      </c>
      <c r="BD662" s="17">
        <v>19.54</v>
      </c>
      <c r="BE662" s="17">
        <v>8396277.78</v>
      </c>
      <c r="BF662" t="s">
        <v>92</v>
      </c>
      <c r="BG662" t="s">
        <v>92</v>
      </c>
      <c r="BH662" t="s">
        <v>93</v>
      </c>
      <c r="BI662" t="s">
        <v>94</v>
      </c>
      <c r="BJ662" t="s">
        <v>173</v>
      </c>
      <c r="BK662" t="s">
        <v>85</v>
      </c>
      <c r="BL662" t="s">
        <v>85</v>
      </c>
      <c r="BM662" t="s">
        <v>159</v>
      </c>
      <c r="BN662" t="s">
        <v>253</v>
      </c>
      <c r="BO662" t="s">
        <v>98</v>
      </c>
      <c r="BP662" t="s">
        <v>99</v>
      </c>
      <c r="BQ662" s="17">
        <v>1977.8</v>
      </c>
      <c r="BR662" t="s">
        <v>138</v>
      </c>
      <c r="BS662" t="s">
        <v>92</v>
      </c>
      <c r="BT662" t="s">
        <v>99</v>
      </c>
      <c r="BU662" s="17">
        <v>9.1</v>
      </c>
      <c r="BV662" t="s">
        <v>191</v>
      </c>
      <c r="BW662" t="s">
        <v>85</v>
      </c>
      <c r="BX662" t="s">
        <v>85</v>
      </c>
      <c r="BY662" t="str">
        <f>IF(COUNTIF('Data Upload-prod'!E:E,F662)=0,"Missing","Exist")</f>
        <v>Exist</v>
      </c>
    </row>
    <row r="663" hidden="1" spans="1:77">
      <c r="A663" s="16">
        <v>42670</v>
      </c>
      <c r="B663" s="16">
        <v>42783</v>
      </c>
      <c r="C663" t="s">
        <v>132</v>
      </c>
      <c r="D663" t="s">
        <v>120</v>
      </c>
      <c r="E663" t="s">
        <v>1175</v>
      </c>
      <c r="F663" t="s">
        <v>1176</v>
      </c>
      <c r="G663" t="s">
        <v>145</v>
      </c>
      <c r="H663" t="s">
        <v>181</v>
      </c>
      <c r="I663" t="s">
        <v>124</v>
      </c>
      <c r="J663" s="17">
        <v>94</v>
      </c>
      <c r="K663" s="17">
        <v>1960</v>
      </c>
      <c r="L663" s="17">
        <v>1960</v>
      </c>
      <c r="M663" s="17">
        <v>14404370</v>
      </c>
      <c r="N663" s="17">
        <v>15620940</v>
      </c>
      <c r="O663" s="17">
        <v>39.5</v>
      </c>
      <c r="P663" s="17">
        <v>44.4</v>
      </c>
      <c r="Q663" t="s">
        <v>84</v>
      </c>
      <c r="R663" t="s">
        <v>84</v>
      </c>
      <c r="S663" t="s">
        <v>85</v>
      </c>
      <c r="T663" t="s">
        <v>84</v>
      </c>
      <c r="U663" t="s">
        <v>84</v>
      </c>
      <c r="V663" s="16">
        <v>42700</v>
      </c>
      <c r="W663" s="18">
        <v>42697.1666666667</v>
      </c>
      <c r="X663" s="18">
        <v>42743.375</v>
      </c>
      <c r="Y663" s="17">
        <v>1866</v>
      </c>
      <c r="Z663" t="s">
        <v>87</v>
      </c>
      <c r="AA663" s="17">
        <v>1994</v>
      </c>
      <c r="AB663" s="17">
        <v>1993.94</v>
      </c>
      <c r="AC663" t="s">
        <v>84</v>
      </c>
      <c r="AD663" s="17">
        <v>12758456.72</v>
      </c>
      <c r="AE663" t="s">
        <v>84</v>
      </c>
      <c r="AF663" s="17">
        <v>46.21</v>
      </c>
      <c r="AG663" t="s">
        <v>84</v>
      </c>
      <c r="AH663" t="s">
        <v>84</v>
      </c>
      <c r="AI663" s="17">
        <v>25</v>
      </c>
      <c r="AJ663" s="17">
        <v>21.9</v>
      </c>
      <c r="AK663" t="s">
        <v>300</v>
      </c>
      <c r="AM663" s="17">
        <v>2.4</v>
      </c>
      <c r="AN663" s="17"/>
      <c r="AO663" s="17">
        <v>1375</v>
      </c>
      <c r="AP663" s="17"/>
      <c r="AQ663" s="17">
        <v>3025</v>
      </c>
      <c r="AR663" s="17"/>
      <c r="AS663" s="17">
        <v>3.52</v>
      </c>
      <c r="AT663" s="17"/>
      <c r="AU663" s="17">
        <v>1163</v>
      </c>
      <c r="AV663" s="17"/>
      <c r="AW663" s="17">
        <v>1703</v>
      </c>
      <c r="AX663" s="17"/>
      <c r="AY663" t="s">
        <v>92</v>
      </c>
      <c r="AZ663" t="s">
        <v>92</v>
      </c>
      <c r="BA663" t="s">
        <v>92</v>
      </c>
      <c r="BB663" t="s">
        <v>92</v>
      </c>
      <c r="BC663" t="s">
        <v>92</v>
      </c>
      <c r="BD663" t="s">
        <v>92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92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92</v>
      </c>
      <c r="BS663" t="s">
        <v>92</v>
      </c>
      <c r="BT663" t="s">
        <v>92</v>
      </c>
      <c r="BU663" t="s">
        <v>92</v>
      </c>
      <c r="BV663" t="s">
        <v>92</v>
      </c>
      <c r="BW663" t="s">
        <v>92</v>
      </c>
      <c r="BX663" t="s">
        <v>92</v>
      </c>
      <c r="BY663" t="str">
        <f>IF(COUNTIF('Data Upload-prod'!E:E,F663)=0,"Missing","Exist")</f>
        <v>Exist</v>
      </c>
    </row>
    <row r="664" hidden="1" spans="1:77">
      <c r="A664" s="16">
        <v>42668</v>
      </c>
      <c r="B664" s="16">
        <v>42816</v>
      </c>
      <c r="C664" t="s">
        <v>132</v>
      </c>
      <c r="D664" t="s">
        <v>142</v>
      </c>
      <c r="E664" t="s">
        <v>1177</v>
      </c>
      <c r="F664" t="s">
        <v>1178</v>
      </c>
      <c r="G664" t="s">
        <v>145</v>
      </c>
      <c r="H664" t="s">
        <v>1171</v>
      </c>
      <c r="I664" t="s">
        <v>1172</v>
      </c>
      <c r="J664" s="17">
        <v>1453.5</v>
      </c>
      <c r="K664" s="17">
        <v>2938</v>
      </c>
      <c r="L664" s="17">
        <v>2938</v>
      </c>
      <c r="M664" s="17">
        <v>60813704</v>
      </c>
      <c r="N664" s="17">
        <v>60813704</v>
      </c>
      <c r="O664" s="17">
        <v>79</v>
      </c>
      <c r="P664" s="17">
        <v>79</v>
      </c>
      <c r="Q664" t="s">
        <v>84</v>
      </c>
      <c r="R664" t="s">
        <v>84</v>
      </c>
      <c r="S664" t="s">
        <v>85</v>
      </c>
      <c r="T664" t="s">
        <v>84</v>
      </c>
      <c r="U664" t="s">
        <v>84</v>
      </c>
      <c r="V664" s="16">
        <v>42694</v>
      </c>
      <c r="W664" s="18">
        <v>42692</v>
      </c>
      <c r="X664" s="18">
        <v>42762.125</v>
      </c>
      <c r="Y664" s="17">
        <v>1610.5</v>
      </c>
      <c r="Z664" t="s">
        <v>148</v>
      </c>
      <c r="AA664" s="17">
        <v>3089</v>
      </c>
      <c r="AB664" s="17">
        <v>3089</v>
      </c>
      <c r="AC664" t="s">
        <v>84</v>
      </c>
      <c r="AD664" s="17">
        <v>42400000</v>
      </c>
      <c r="AE664" t="s">
        <v>84</v>
      </c>
      <c r="AF664" s="17">
        <v>70.1</v>
      </c>
      <c r="AG664" t="s">
        <v>84</v>
      </c>
      <c r="AH664" t="s">
        <v>84</v>
      </c>
      <c r="AI664" s="17">
        <v>9.54</v>
      </c>
      <c r="AJ664" s="17">
        <v>9.54</v>
      </c>
      <c r="AK664" t="s">
        <v>232</v>
      </c>
      <c r="AM664" s="17">
        <v>4.4</v>
      </c>
      <c r="AN664" s="17"/>
      <c r="AO664" s="17">
        <v>4200</v>
      </c>
      <c r="AP664" s="17"/>
      <c r="AQ664" s="17">
        <v>6400</v>
      </c>
      <c r="AR664" s="17"/>
      <c r="AS664" s="17">
        <v>7.01</v>
      </c>
      <c r="AT664" s="17"/>
      <c r="AU664" s="17">
        <v>5407</v>
      </c>
      <c r="AV664" s="17"/>
      <c r="AW664" s="17">
        <v>7374</v>
      </c>
      <c r="AX664" s="17"/>
      <c r="AY664" t="s">
        <v>92</v>
      </c>
      <c r="AZ664" t="s">
        <v>92</v>
      </c>
      <c r="BA664" t="s">
        <v>92</v>
      </c>
      <c r="BB664" t="s">
        <v>92</v>
      </c>
      <c r="BC664" t="s">
        <v>92</v>
      </c>
      <c r="BD664" t="s">
        <v>92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92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92</v>
      </c>
      <c r="BS664" t="s">
        <v>92</v>
      </c>
      <c r="BT664" t="s">
        <v>92</v>
      </c>
      <c r="BU664" t="s">
        <v>92</v>
      </c>
      <c r="BV664" t="s">
        <v>92</v>
      </c>
      <c r="BW664" t="s">
        <v>92</v>
      </c>
      <c r="BX664" t="s">
        <v>92</v>
      </c>
      <c r="BY664" t="str">
        <f>IF(COUNTIF('Data Upload-prod'!E:E,F664)=0,"Missing","Exist")</f>
        <v>Exist</v>
      </c>
    </row>
    <row r="665" hidden="1" spans="1:77">
      <c r="A665" s="16">
        <v>42667</v>
      </c>
      <c r="B665" s="16">
        <v>42879</v>
      </c>
      <c r="C665" t="s">
        <v>269</v>
      </c>
      <c r="D665" t="s">
        <v>78</v>
      </c>
      <c r="E665" t="s">
        <v>440</v>
      </c>
      <c r="F665" t="s">
        <v>1179</v>
      </c>
      <c r="G665" t="s">
        <v>81</v>
      </c>
      <c r="H665" t="s">
        <v>790</v>
      </c>
      <c r="I665" t="s">
        <v>124</v>
      </c>
      <c r="J665" s="17">
        <v>57.36</v>
      </c>
      <c r="K665" s="17">
        <v>2970.44</v>
      </c>
      <c r="L665" s="17">
        <v>1211.22</v>
      </c>
      <c r="M665" t="s">
        <v>84</v>
      </c>
      <c r="N665" t="s">
        <v>84</v>
      </c>
      <c r="O665" t="s">
        <v>84</v>
      </c>
      <c r="P665" t="s">
        <v>84</v>
      </c>
      <c r="Q665" s="17">
        <v>12540000</v>
      </c>
      <c r="R665" s="17">
        <v>19.77</v>
      </c>
      <c r="S665" t="s">
        <v>381</v>
      </c>
      <c r="T665" t="s">
        <v>84</v>
      </c>
      <c r="U665" t="s">
        <v>86</v>
      </c>
      <c r="V665" s="16">
        <v>42688</v>
      </c>
      <c r="W665" s="18">
        <v>42688.3958333333</v>
      </c>
      <c r="X665" s="18">
        <v>42770.2916666667</v>
      </c>
      <c r="Y665" s="17">
        <v>2858.27</v>
      </c>
      <c r="Z665" t="s">
        <v>87</v>
      </c>
      <c r="AA665" s="17">
        <v>2958.85</v>
      </c>
      <c r="AB665" s="17">
        <v>1205.43</v>
      </c>
      <c r="AC665" t="s">
        <v>84</v>
      </c>
      <c r="AD665" t="s">
        <v>84</v>
      </c>
      <c r="AE665" t="s">
        <v>84</v>
      </c>
      <c r="AF665" t="s">
        <v>84</v>
      </c>
      <c r="AG665" s="17">
        <v>12306000</v>
      </c>
      <c r="AH665" s="17">
        <v>37.13</v>
      </c>
      <c r="AI665" s="17">
        <v>10.72</v>
      </c>
      <c r="AJ665" s="17">
        <v>10.49</v>
      </c>
      <c r="AK665" s="13" t="s">
        <v>155</v>
      </c>
      <c r="AL665" s="13"/>
      <c r="AM665" t="s">
        <v>92</v>
      </c>
      <c r="AO665" t="s">
        <v>92</v>
      </c>
      <c r="AQ665" t="s">
        <v>92</v>
      </c>
      <c r="AS665" s="17">
        <v>1.84</v>
      </c>
      <c r="AT665" s="17"/>
      <c r="AU665" s="17">
        <v>666.51</v>
      </c>
      <c r="AV665" s="17"/>
      <c r="AW665" s="17">
        <v>1310.05</v>
      </c>
      <c r="AX665" s="17"/>
      <c r="AY665" t="s">
        <v>92</v>
      </c>
      <c r="AZ665" t="s">
        <v>92</v>
      </c>
      <c r="BA665" t="s">
        <v>92</v>
      </c>
      <c r="BB665" t="s">
        <v>92</v>
      </c>
      <c r="BC665" t="s">
        <v>92</v>
      </c>
      <c r="BD665" s="17">
        <v>12.88</v>
      </c>
      <c r="BE665" s="17">
        <v>4970717</v>
      </c>
      <c r="BF665" t="s">
        <v>92</v>
      </c>
      <c r="BG665" t="s">
        <v>92</v>
      </c>
      <c r="BH665" t="s">
        <v>93</v>
      </c>
      <c r="BI665" t="s">
        <v>94</v>
      </c>
      <c r="BJ665" t="s">
        <v>173</v>
      </c>
      <c r="BK665" t="s">
        <v>85</v>
      </c>
      <c r="BL665" t="s">
        <v>85</v>
      </c>
      <c r="BM665" t="s">
        <v>159</v>
      </c>
      <c r="BN665" t="s">
        <v>97</v>
      </c>
      <c r="BO665" t="s">
        <v>98</v>
      </c>
      <c r="BP665" t="s">
        <v>99</v>
      </c>
      <c r="BQ665" s="17">
        <v>1247.5</v>
      </c>
      <c r="BR665" t="s">
        <v>138</v>
      </c>
      <c r="BS665" t="s">
        <v>92</v>
      </c>
      <c r="BT665" t="s">
        <v>99</v>
      </c>
      <c r="BU665" s="17">
        <v>8.6</v>
      </c>
      <c r="BV665" t="s">
        <v>308</v>
      </c>
      <c r="BW665" t="s">
        <v>85</v>
      </c>
      <c r="BX665" t="s">
        <v>85</v>
      </c>
      <c r="BY665" t="str">
        <f>IF(COUNTIF('Data Upload-prod'!E:E,F665)=0,"Missing","Exist")</f>
        <v>Exist</v>
      </c>
    </row>
    <row r="666" hidden="1" spans="1:77">
      <c r="A666" s="16">
        <v>42663</v>
      </c>
      <c r="B666" t="s">
        <v>84</v>
      </c>
      <c r="C666" t="s">
        <v>141</v>
      </c>
      <c r="D666" t="s">
        <v>142</v>
      </c>
      <c r="E666" t="s">
        <v>245</v>
      </c>
      <c r="F666" t="s">
        <v>1180</v>
      </c>
      <c r="G666" t="s">
        <v>81</v>
      </c>
      <c r="H666" t="s">
        <v>247</v>
      </c>
      <c r="I666" t="s">
        <v>231</v>
      </c>
      <c r="J666" s="17">
        <v>485.98</v>
      </c>
      <c r="K666" s="17">
        <v>2028.65</v>
      </c>
      <c r="L666" s="17">
        <v>1554.1</v>
      </c>
      <c r="M666" t="s">
        <v>84</v>
      </c>
      <c r="N666" t="s">
        <v>84</v>
      </c>
      <c r="O666" t="s">
        <v>84</v>
      </c>
      <c r="P666" t="s">
        <v>84</v>
      </c>
      <c r="Q666" s="17">
        <v>28640253</v>
      </c>
      <c r="R666" s="17">
        <v>46.77</v>
      </c>
      <c r="S666" t="s">
        <v>85</v>
      </c>
      <c r="T666" t="s">
        <v>84</v>
      </c>
      <c r="U666" t="s">
        <v>84</v>
      </c>
      <c r="V666" s="16">
        <v>42699</v>
      </c>
      <c r="W666" s="18">
        <v>42693</v>
      </c>
      <c r="X666" s="18">
        <v>42737</v>
      </c>
      <c r="Y666" s="17">
        <v>1521.33</v>
      </c>
      <c r="Z666" t="s">
        <v>148</v>
      </c>
      <c r="AA666" s="17">
        <v>2052.73</v>
      </c>
      <c r="AB666" s="17">
        <v>1554.55</v>
      </c>
      <c r="AC666" t="s">
        <v>84</v>
      </c>
      <c r="AD666" t="s">
        <v>84</v>
      </c>
      <c r="AE666" t="s">
        <v>84</v>
      </c>
      <c r="AF666" t="s">
        <v>84</v>
      </c>
      <c r="AG666" s="17">
        <v>29861018.69</v>
      </c>
      <c r="AH666" s="17">
        <v>73.94</v>
      </c>
      <c r="AI666" s="17">
        <v>32.04</v>
      </c>
      <c r="AJ666" s="17">
        <v>32.03</v>
      </c>
      <c r="AK666" t="s">
        <v>764</v>
      </c>
      <c r="AM666" s="17">
        <v>5.1</v>
      </c>
      <c r="AN666" s="17"/>
      <c r="AO666" s="17">
        <v>1525</v>
      </c>
      <c r="AP666" s="17"/>
      <c r="AQ666" s="17">
        <v>3370</v>
      </c>
      <c r="AR666" s="17"/>
      <c r="AS666" s="13" t="s">
        <v>150</v>
      </c>
      <c r="AT666"/>
      <c r="AU666" s="13" t="s">
        <v>150</v>
      </c>
      <c r="AW666" s="13" t="s">
        <v>150</v>
      </c>
      <c r="AY666" t="s">
        <v>92</v>
      </c>
      <c r="AZ666" t="s">
        <v>92</v>
      </c>
      <c r="BA666" t="s">
        <v>92</v>
      </c>
      <c r="BB666" t="s">
        <v>92</v>
      </c>
      <c r="BC666" t="s">
        <v>92</v>
      </c>
      <c r="BD666" t="s">
        <v>92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92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92</v>
      </c>
      <c r="BS666" t="s">
        <v>92</v>
      </c>
      <c r="BT666" t="s">
        <v>92</v>
      </c>
      <c r="BU666" t="s">
        <v>92</v>
      </c>
      <c r="BV666" t="s">
        <v>92</v>
      </c>
      <c r="BW666" t="s">
        <v>92</v>
      </c>
      <c r="BX666" t="s">
        <v>92</v>
      </c>
      <c r="BY666" t="str">
        <f>IF(COUNTIF('Data Upload-prod'!E:E,F666)=0,"Missing","Exist")</f>
        <v>Exist</v>
      </c>
    </row>
    <row r="667" hidden="1" spans="1:77">
      <c r="A667" s="16">
        <v>42655</v>
      </c>
      <c r="B667" s="16">
        <v>42879</v>
      </c>
      <c r="C667" t="s">
        <v>269</v>
      </c>
      <c r="D667" t="s">
        <v>78</v>
      </c>
      <c r="E667" t="s">
        <v>440</v>
      </c>
      <c r="F667" t="s">
        <v>1181</v>
      </c>
      <c r="G667" t="s">
        <v>81</v>
      </c>
      <c r="H667" t="s">
        <v>790</v>
      </c>
      <c r="I667" t="s">
        <v>124</v>
      </c>
      <c r="J667" s="17">
        <v>57.36</v>
      </c>
      <c r="K667" s="17">
        <v>3265.16</v>
      </c>
      <c r="L667" s="17">
        <v>1211.22</v>
      </c>
      <c r="M667" t="s">
        <v>84</v>
      </c>
      <c r="N667" t="s">
        <v>84</v>
      </c>
      <c r="O667" t="s">
        <v>84</v>
      </c>
      <c r="P667" t="s">
        <v>84</v>
      </c>
      <c r="Q667" s="17">
        <v>24662821</v>
      </c>
      <c r="R667" s="17">
        <v>36.2</v>
      </c>
      <c r="S667" t="s">
        <v>85</v>
      </c>
      <c r="T667" t="s">
        <v>84</v>
      </c>
      <c r="U667" t="s">
        <v>86</v>
      </c>
      <c r="V667" s="16">
        <v>42691</v>
      </c>
      <c r="W667" s="18">
        <v>42691.2291666667</v>
      </c>
      <c r="X667" s="18">
        <v>42758</v>
      </c>
      <c r="Y667" s="17">
        <v>3145.38</v>
      </c>
      <c r="Z667" t="s">
        <v>87</v>
      </c>
      <c r="AA667" s="17">
        <v>3245.96</v>
      </c>
      <c r="AB667" s="17">
        <v>1199.46</v>
      </c>
      <c r="AC667" t="s">
        <v>84</v>
      </c>
      <c r="AD667" t="s">
        <v>84</v>
      </c>
      <c r="AE667" t="s">
        <v>84</v>
      </c>
      <c r="AF667" t="s">
        <v>84</v>
      </c>
      <c r="AG667" s="17">
        <v>8689400.2</v>
      </c>
      <c r="AH667" s="17">
        <v>23.44</v>
      </c>
      <c r="AI667" s="17">
        <v>4.98</v>
      </c>
      <c r="AJ667" s="17">
        <v>4.27</v>
      </c>
      <c r="AK667" t="s">
        <v>114</v>
      </c>
      <c r="AM667" s="17">
        <v>2.2</v>
      </c>
      <c r="AN667" s="17"/>
      <c r="AO667" s="17">
        <v>915</v>
      </c>
      <c r="AP667" s="17"/>
      <c r="AQ667" s="17">
        <v>1520</v>
      </c>
      <c r="AR667" s="17"/>
      <c r="AS667" s="17">
        <v>1.18</v>
      </c>
      <c r="AT667" s="17"/>
      <c r="AU667" s="17">
        <v>495.98</v>
      </c>
      <c r="AV667" s="17"/>
      <c r="AW667" s="17">
        <v>840.46</v>
      </c>
      <c r="AX667" s="17"/>
      <c r="AY667" t="s">
        <v>92</v>
      </c>
      <c r="AZ667" t="s">
        <v>92</v>
      </c>
      <c r="BA667" t="s">
        <v>92</v>
      </c>
      <c r="BB667" t="s">
        <v>92</v>
      </c>
      <c r="BC667" t="s">
        <v>92</v>
      </c>
      <c r="BD667" s="17">
        <v>8.19</v>
      </c>
      <c r="BE667" s="17">
        <v>3196307</v>
      </c>
      <c r="BF667" t="s">
        <v>92</v>
      </c>
      <c r="BG667" t="s">
        <v>92</v>
      </c>
      <c r="BH667" t="s">
        <v>93</v>
      </c>
      <c r="BI667" t="s">
        <v>94</v>
      </c>
      <c r="BJ667" t="s">
        <v>173</v>
      </c>
      <c r="BK667" t="s">
        <v>85</v>
      </c>
      <c r="BL667" t="s">
        <v>85</v>
      </c>
      <c r="BM667" t="s">
        <v>159</v>
      </c>
      <c r="BN667" t="s">
        <v>97</v>
      </c>
      <c r="BO667" t="s">
        <v>98</v>
      </c>
      <c r="BP667" t="s">
        <v>99</v>
      </c>
      <c r="BQ667" s="17">
        <v>178</v>
      </c>
      <c r="BR667" t="s">
        <v>138</v>
      </c>
      <c r="BS667" t="s">
        <v>92</v>
      </c>
      <c r="BT667" t="s">
        <v>99</v>
      </c>
      <c r="BU667" s="17">
        <v>8.6</v>
      </c>
      <c r="BV667" t="s">
        <v>308</v>
      </c>
      <c r="BW667" t="s">
        <v>85</v>
      </c>
      <c r="BX667" t="s">
        <v>85</v>
      </c>
      <c r="BY667" t="str">
        <f>IF(COUNTIF('Data Upload-prod'!E:E,F667)=0,"Missing","Exist")</f>
        <v>Exist</v>
      </c>
    </row>
    <row r="668" hidden="1" spans="1:77">
      <c r="A668" s="16">
        <v>42655</v>
      </c>
      <c r="B668" s="16">
        <v>42879</v>
      </c>
      <c r="C668" t="s">
        <v>269</v>
      </c>
      <c r="D668" t="s">
        <v>78</v>
      </c>
      <c r="E668" t="s">
        <v>440</v>
      </c>
      <c r="F668" t="s">
        <v>1182</v>
      </c>
      <c r="G668" t="s">
        <v>81</v>
      </c>
      <c r="H668" t="s">
        <v>790</v>
      </c>
      <c r="I668" t="s">
        <v>124</v>
      </c>
      <c r="J668" s="17">
        <v>57.36</v>
      </c>
      <c r="K668" s="17">
        <v>2963.43</v>
      </c>
      <c r="L668" s="17">
        <v>1194.76</v>
      </c>
      <c r="M668" t="s">
        <v>84</v>
      </c>
      <c r="N668" t="s">
        <v>84</v>
      </c>
      <c r="O668" t="s">
        <v>84</v>
      </c>
      <c r="P668" t="s">
        <v>84</v>
      </c>
      <c r="Q668" s="17">
        <v>18750000</v>
      </c>
      <c r="R668" s="17">
        <v>30.36</v>
      </c>
      <c r="S668" t="s">
        <v>381</v>
      </c>
      <c r="T668" t="s">
        <v>84</v>
      </c>
      <c r="U668" t="s">
        <v>86</v>
      </c>
      <c r="V668" s="16">
        <v>42690</v>
      </c>
      <c r="W668" s="18">
        <v>42690.1458333333</v>
      </c>
      <c r="X668" s="18">
        <v>42753.2708333333</v>
      </c>
      <c r="Y668" s="17">
        <v>2660.77</v>
      </c>
      <c r="Z668" t="s">
        <v>87</v>
      </c>
      <c r="AA668" s="17">
        <v>2761.35</v>
      </c>
      <c r="AB668" s="17">
        <v>1207.75</v>
      </c>
      <c r="AC668" t="s">
        <v>84</v>
      </c>
      <c r="AD668" t="s">
        <v>84</v>
      </c>
      <c r="AE668" t="s">
        <v>84</v>
      </c>
      <c r="AF668" t="s">
        <v>84</v>
      </c>
      <c r="AG668" s="17">
        <v>7868000</v>
      </c>
      <c r="AH668" s="17">
        <v>21.58</v>
      </c>
      <c r="AI668" s="17">
        <v>2.99</v>
      </c>
      <c r="AJ668" s="17">
        <v>2.99</v>
      </c>
      <c r="AK668" t="s">
        <v>208</v>
      </c>
      <c r="AM668" s="17">
        <v>2.1</v>
      </c>
      <c r="AN668" s="17"/>
      <c r="AO668" s="17">
        <v>700</v>
      </c>
      <c r="AP668" s="17"/>
      <c r="AQ668" s="17">
        <v>1220</v>
      </c>
      <c r="AR668" s="17"/>
      <c r="AS668" s="17">
        <v>1.33</v>
      </c>
      <c r="AT668" s="17"/>
      <c r="AU668" s="17">
        <v>541.84</v>
      </c>
      <c r="AV668" s="17"/>
      <c r="AW668" s="17">
        <v>888.82</v>
      </c>
      <c r="AX668" s="17"/>
      <c r="AY668" t="s">
        <v>92</v>
      </c>
      <c r="AZ668" t="s">
        <v>92</v>
      </c>
      <c r="BA668" t="s">
        <v>92</v>
      </c>
      <c r="BB668" t="s">
        <v>92</v>
      </c>
      <c r="BC668" t="s">
        <v>92</v>
      </c>
      <c r="BD668" s="17">
        <v>5.46</v>
      </c>
      <c r="BE668" s="17">
        <v>2553487</v>
      </c>
      <c r="BF668" t="s">
        <v>92</v>
      </c>
      <c r="BG668" t="s">
        <v>92</v>
      </c>
      <c r="BH668" t="s">
        <v>93</v>
      </c>
      <c r="BI668" t="s">
        <v>94</v>
      </c>
      <c r="BJ668" t="s">
        <v>173</v>
      </c>
      <c r="BK668" t="s">
        <v>85</v>
      </c>
      <c r="BL668" t="s">
        <v>85</v>
      </c>
      <c r="BM668" t="s">
        <v>159</v>
      </c>
      <c r="BN668" t="s">
        <v>97</v>
      </c>
      <c r="BO668" t="s">
        <v>98</v>
      </c>
      <c r="BP668" t="s">
        <v>99</v>
      </c>
      <c r="BQ668" s="17">
        <v>145</v>
      </c>
      <c r="BR668" t="s">
        <v>100</v>
      </c>
      <c r="BS668" t="s">
        <v>92</v>
      </c>
      <c r="BT668" t="s">
        <v>99</v>
      </c>
      <c r="BU668" s="17">
        <v>8.6</v>
      </c>
      <c r="BV668" t="s">
        <v>308</v>
      </c>
      <c r="BW668" t="s">
        <v>85</v>
      </c>
      <c r="BX668" t="s">
        <v>85</v>
      </c>
      <c r="BY668" t="str">
        <f>IF(COUNTIF('Data Upload-prod'!E:E,F668)=0,"Missing","Exist")</f>
        <v>Exist</v>
      </c>
    </row>
    <row r="669" hidden="1" spans="1:77">
      <c r="A669" s="16">
        <v>42655</v>
      </c>
      <c r="B669" s="16">
        <v>42783</v>
      </c>
      <c r="C669" t="s">
        <v>132</v>
      </c>
      <c r="D669" t="s">
        <v>120</v>
      </c>
      <c r="E669" t="s">
        <v>912</v>
      </c>
      <c r="F669" t="s">
        <v>1183</v>
      </c>
      <c r="G669" t="s">
        <v>81</v>
      </c>
      <c r="H669" t="s">
        <v>363</v>
      </c>
      <c r="I669" t="s">
        <v>124</v>
      </c>
      <c r="J669" s="17">
        <v>42.97</v>
      </c>
      <c r="K669" s="17">
        <v>4427.31</v>
      </c>
      <c r="L669" s="17">
        <v>3547.09</v>
      </c>
      <c r="M669" t="s">
        <v>84</v>
      </c>
      <c r="N669" t="s">
        <v>84</v>
      </c>
      <c r="O669" t="s">
        <v>84</v>
      </c>
      <c r="P669" t="s">
        <v>84</v>
      </c>
      <c r="Q669" s="17">
        <v>29082946.67</v>
      </c>
      <c r="R669" s="17">
        <v>76.7</v>
      </c>
      <c r="S669" t="s">
        <v>85</v>
      </c>
      <c r="T669" t="s">
        <v>84</v>
      </c>
      <c r="U669" t="s">
        <v>86</v>
      </c>
      <c r="V669" s="16">
        <v>42673</v>
      </c>
      <c r="W669" s="18">
        <v>42665.875</v>
      </c>
      <c r="X669" s="18">
        <v>42741</v>
      </c>
      <c r="Y669" s="17">
        <v>4345.63</v>
      </c>
      <c r="Z669" t="s">
        <v>87</v>
      </c>
      <c r="AA669" s="17">
        <v>4432.95</v>
      </c>
      <c r="AB669" s="17">
        <v>3548.86</v>
      </c>
      <c r="AC669" t="s">
        <v>84</v>
      </c>
      <c r="AD669" t="s">
        <v>84</v>
      </c>
      <c r="AE669" t="s">
        <v>84</v>
      </c>
      <c r="AF669" t="s">
        <v>84</v>
      </c>
      <c r="AG669" s="17">
        <v>20846289.56</v>
      </c>
      <c r="AH669" s="17">
        <v>67.74</v>
      </c>
      <c r="AI669" s="17">
        <v>5.6</v>
      </c>
      <c r="AJ669" s="17">
        <v>5.6</v>
      </c>
      <c r="AK669" t="s">
        <v>126</v>
      </c>
      <c r="AM669" s="17">
        <v>2.5</v>
      </c>
      <c r="AN669" s="17"/>
      <c r="AO669" s="17">
        <v>1010</v>
      </c>
      <c r="AP669" s="17"/>
      <c r="AQ669" s="17">
        <v>1870</v>
      </c>
      <c r="AR669" s="17"/>
      <c r="AS669" s="17">
        <v>2.54</v>
      </c>
      <c r="AT669" s="17"/>
      <c r="AU669" s="17">
        <v>671.09</v>
      </c>
      <c r="AV669" s="17"/>
      <c r="AW669" s="17">
        <v>1340.68</v>
      </c>
      <c r="AX669" s="17"/>
      <c r="AY669" t="s">
        <v>92</v>
      </c>
      <c r="AZ669" t="s">
        <v>92</v>
      </c>
      <c r="BA669" t="s">
        <v>92</v>
      </c>
      <c r="BB669" t="s">
        <v>92</v>
      </c>
      <c r="BC669" t="s">
        <v>92</v>
      </c>
      <c r="BD669" s="17">
        <v>17.53</v>
      </c>
      <c r="BE669" s="17">
        <v>8936706.24</v>
      </c>
      <c r="BF669" t="s">
        <v>92</v>
      </c>
      <c r="BG669" t="s">
        <v>92</v>
      </c>
      <c r="BH669" t="s">
        <v>93</v>
      </c>
      <c r="BI669" t="s">
        <v>94</v>
      </c>
      <c r="BJ669" t="s">
        <v>173</v>
      </c>
      <c r="BK669" t="s">
        <v>85</v>
      </c>
      <c r="BL669" t="s">
        <v>85</v>
      </c>
      <c r="BM669" t="s">
        <v>159</v>
      </c>
      <c r="BN669" t="s">
        <v>253</v>
      </c>
      <c r="BO669" t="s">
        <v>98</v>
      </c>
      <c r="BP669" t="s">
        <v>99</v>
      </c>
      <c r="BQ669" s="17">
        <v>1357.9</v>
      </c>
      <c r="BR669" t="s">
        <v>138</v>
      </c>
      <c r="BS669" t="s">
        <v>92</v>
      </c>
      <c r="BT669" t="s">
        <v>99</v>
      </c>
      <c r="BU669" s="17">
        <v>9.4</v>
      </c>
      <c r="BV669" t="s">
        <v>191</v>
      </c>
      <c r="BW669" t="s">
        <v>85</v>
      </c>
      <c r="BX669" t="s">
        <v>85</v>
      </c>
      <c r="BY669" t="str">
        <f>IF(COUNTIF('Data Upload-prod'!E:E,F669)=0,"Missing","Exist")</f>
        <v>Exist</v>
      </c>
    </row>
    <row r="670" hidden="1" spans="1:77">
      <c r="A670" s="16">
        <v>42586</v>
      </c>
      <c r="B670" s="16">
        <v>42769</v>
      </c>
      <c r="C670" t="s">
        <v>132</v>
      </c>
      <c r="D670" t="s">
        <v>120</v>
      </c>
      <c r="E670" t="s">
        <v>1184</v>
      </c>
      <c r="F670" t="s">
        <v>1185</v>
      </c>
      <c r="G670" t="s">
        <v>81</v>
      </c>
      <c r="H670" t="s">
        <v>837</v>
      </c>
      <c r="I670" t="s">
        <v>83</v>
      </c>
      <c r="J670" s="17">
        <v>104</v>
      </c>
      <c r="K670" s="17">
        <v>3842</v>
      </c>
      <c r="L670" s="17">
        <v>2973</v>
      </c>
      <c r="M670" t="s">
        <v>84</v>
      </c>
      <c r="N670" t="s">
        <v>84</v>
      </c>
      <c r="O670" t="s">
        <v>84</v>
      </c>
      <c r="P670" t="s">
        <v>84</v>
      </c>
      <c r="Q670" s="17">
        <v>41815415.67</v>
      </c>
      <c r="R670" s="17">
        <v>53.47</v>
      </c>
      <c r="S670" t="s">
        <v>85</v>
      </c>
      <c r="T670" t="s">
        <v>84</v>
      </c>
      <c r="U670" t="s">
        <v>84</v>
      </c>
      <c r="V670" s="16">
        <v>42588</v>
      </c>
      <c r="W670" s="18">
        <v>42587</v>
      </c>
      <c r="X670" s="18">
        <v>42725</v>
      </c>
      <c r="Y670" s="17">
        <v>3687.1</v>
      </c>
      <c r="Z670" t="s">
        <v>87</v>
      </c>
      <c r="AA670" s="17">
        <v>3824</v>
      </c>
      <c r="AB670" s="17">
        <v>2996</v>
      </c>
      <c r="AC670" t="s">
        <v>84</v>
      </c>
      <c r="AD670" t="s">
        <v>84</v>
      </c>
      <c r="AE670" t="s">
        <v>84</v>
      </c>
      <c r="AF670" t="s">
        <v>84</v>
      </c>
      <c r="AG670" s="17">
        <v>52995750.59</v>
      </c>
      <c r="AH670" s="17">
        <v>76.54</v>
      </c>
      <c r="AI670" s="17">
        <v>11.89</v>
      </c>
      <c r="AJ670" s="17">
        <v>1.39</v>
      </c>
      <c r="AK670" t="s">
        <v>126</v>
      </c>
      <c r="AM670" s="17">
        <v>2.5</v>
      </c>
      <c r="AN670" s="17"/>
      <c r="AO670" s="17">
        <v>1010</v>
      </c>
      <c r="AP670" s="17"/>
      <c r="AQ670" s="17">
        <v>1635</v>
      </c>
      <c r="AR670" s="17"/>
      <c r="AS670" s="17">
        <v>3.2</v>
      </c>
      <c r="AT670" s="17"/>
      <c r="AU670" s="17">
        <v>1896</v>
      </c>
      <c r="AV670" s="17"/>
      <c r="AW670" s="17">
        <v>3341</v>
      </c>
      <c r="AX670" s="17"/>
      <c r="AY670" t="s">
        <v>92</v>
      </c>
      <c r="AZ670" t="s">
        <v>92</v>
      </c>
      <c r="BA670" t="s">
        <v>92</v>
      </c>
      <c r="BB670" t="s">
        <v>92</v>
      </c>
      <c r="BC670" t="s">
        <v>92</v>
      </c>
      <c r="BD670" t="s">
        <v>92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92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92</v>
      </c>
      <c r="BS670" t="s">
        <v>92</v>
      </c>
      <c r="BT670" t="s">
        <v>92</v>
      </c>
      <c r="BU670" t="s">
        <v>92</v>
      </c>
      <c r="BV670" t="s">
        <v>92</v>
      </c>
      <c r="BW670" t="s">
        <v>92</v>
      </c>
      <c r="BX670" t="s">
        <v>92</v>
      </c>
      <c r="BY670" t="str">
        <f>IF(COUNTIF('Data Upload-prod'!E:E,F670)=0,"Missing","Exist")</f>
        <v>Exist</v>
      </c>
    </row>
    <row r="671" hidden="1" spans="1:77">
      <c r="A671" s="16">
        <v>42535</v>
      </c>
      <c r="B671" s="16">
        <v>42654</v>
      </c>
      <c r="C671" t="s">
        <v>132</v>
      </c>
      <c r="D671" t="s">
        <v>142</v>
      </c>
      <c r="E671" t="s">
        <v>1186</v>
      </c>
      <c r="F671" t="s">
        <v>1187</v>
      </c>
      <c r="G671" t="s">
        <v>145</v>
      </c>
      <c r="H671" t="s">
        <v>1188</v>
      </c>
      <c r="I671" t="s">
        <v>231</v>
      </c>
      <c r="J671" s="17">
        <v>120.6</v>
      </c>
      <c r="K671" s="17">
        <v>3225</v>
      </c>
      <c r="L671" s="17">
        <v>3225</v>
      </c>
      <c r="M671" s="17">
        <v>20000000</v>
      </c>
      <c r="N671" s="17">
        <v>25300000</v>
      </c>
      <c r="O671" s="17">
        <v>41.8</v>
      </c>
      <c r="P671" s="17">
        <v>56.5</v>
      </c>
      <c r="Q671" t="s">
        <v>84</v>
      </c>
      <c r="R671" t="s">
        <v>84</v>
      </c>
      <c r="S671" t="s">
        <v>85</v>
      </c>
      <c r="T671" t="s">
        <v>84</v>
      </c>
      <c r="U671" t="s">
        <v>84</v>
      </c>
      <c r="V671" s="16">
        <v>42562</v>
      </c>
      <c r="W671" s="18">
        <v>42553</v>
      </c>
      <c r="X671" s="18">
        <v>42597.6666666667</v>
      </c>
      <c r="Y671" s="17">
        <v>2873.4</v>
      </c>
      <c r="Z671" t="s">
        <v>87</v>
      </c>
      <c r="AA671" s="17">
        <v>3022</v>
      </c>
      <c r="AB671" s="17">
        <v>3021.8</v>
      </c>
      <c r="AC671" s="17">
        <v>18610321.18</v>
      </c>
      <c r="AD671" t="s">
        <v>84</v>
      </c>
      <c r="AE671" s="17">
        <v>44.7</v>
      </c>
      <c r="AF671" t="s">
        <v>84</v>
      </c>
      <c r="AG671" t="s">
        <v>84</v>
      </c>
      <c r="AH671" t="s">
        <v>84</v>
      </c>
      <c r="AI671" s="17">
        <v>1.76</v>
      </c>
      <c r="AJ671" s="17">
        <v>1.32</v>
      </c>
      <c r="AK671" t="s">
        <v>295</v>
      </c>
      <c r="AM671" s="17">
        <v>2.7</v>
      </c>
      <c r="AN671" s="17"/>
      <c r="AO671" s="17">
        <v>1490</v>
      </c>
      <c r="AP671" s="17"/>
      <c r="AQ671" s="17">
        <v>2760</v>
      </c>
      <c r="AR671" s="17"/>
      <c r="AS671" s="17">
        <v>1.32</v>
      </c>
      <c r="AT671" s="17"/>
      <c r="AU671" s="17">
        <v>1066</v>
      </c>
      <c r="AV671" s="17"/>
      <c r="AW671" s="17">
        <v>1517</v>
      </c>
      <c r="AX671" s="17"/>
      <c r="AY671" t="s">
        <v>92</v>
      </c>
      <c r="AZ671" t="s">
        <v>92</v>
      </c>
      <c r="BA671" t="s">
        <v>92</v>
      </c>
      <c r="BB671" t="s">
        <v>92</v>
      </c>
      <c r="BC671" t="s">
        <v>92</v>
      </c>
      <c r="BD671" t="s">
        <v>92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92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92</v>
      </c>
      <c r="BS671" t="s">
        <v>92</v>
      </c>
      <c r="BT671" t="s">
        <v>92</v>
      </c>
      <c r="BU671" t="s">
        <v>92</v>
      </c>
      <c r="BV671" t="s">
        <v>92</v>
      </c>
      <c r="BW671" t="s">
        <v>92</v>
      </c>
      <c r="BX671" t="s">
        <v>92</v>
      </c>
      <c r="BY671" t="str">
        <f>IF(COUNTIF('Data Upload-prod'!E:E,F671)=0,"Missing","Exist")</f>
        <v>Exist</v>
      </c>
    </row>
    <row r="672" hidden="1" spans="1:77">
      <c r="A672" s="16">
        <v>42535</v>
      </c>
      <c r="B672" s="16">
        <v>42669</v>
      </c>
      <c r="C672" t="s">
        <v>132</v>
      </c>
      <c r="D672" t="s">
        <v>142</v>
      </c>
      <c r="E672" t="s">
        <v>1189</v>
      </c>
      <c r="F672" t="s">
        <v>1190</v>
      </c>
      <c r="G672" t="s">
        <v>81</v>
      </c>
      <c r="H672" t="s">
        <v>1191</v>
      </c>
      <c r="I672" t="s">
        <v>147</v>
      </c>
      <c r="J672" s="17">
        <v>932</v>
      </c>
      <c r="K672" s="17">
        <v>2406</v>
      </c>
      <c r="L672" s="17">
        <v>2406</v>
      </c>
      <c r="M672" t="s">
        <v>84</v>
      </c>
      <c r="N672" t="s">
        <v>84</v>
      </c>
      <c r="O672" t="s">
        <v>84</v>
      </c>
      <c r="P672" t="s">
        <v>84</v>
      </c>
      <c r="Q672" s="17">
        <v>52000000</v>
      </c>
      <c r="R672" s="17">
        <v>52</v>
      </c>
      <c r="S672" t="s">
        <v>85</v>
      </c>
      <c r="T672" t="s">
        <v>84</v>
      </c>
      <c r="U672" t="s">
        <v>84</v>
      </c>
      <c r="V672" s="16">
        <v>42568</v>
      </c>
      <c r="W672" s="18">
        <v>42567.3541666667</v>
      </c>
      <c r="X672" s="18">
        <v>42573.625</v>
      </c>
      <c r="Y672" s="17">
        <v>850</v>
      </c>
      <c r="Z672" t="s">
        <v>148</v>
      </c>
      <c r="AA672" s="17">
        <v>1807</v>
      </c>
      <c r="AB672" s="17">
        <v>1807</v>
      </c>
      <c r="AC672" t="s">
        <v>84</v>
      </c>
      <c r="AD672" t="s">
        <v>84</v>
      </c>
      <c r="AE672" t="s">
        <v>84</v>
      </c>
      <c r="AF672" t="s">
        <v>84</v>
      </c>
      <c r="AG672" s="17">
        <v>6292637.21</v>
      </c>
      <c r="AH672" s="17">
        <v>6.25</v>
      </c>
      <c r="AI672" s="17">
        <v>49.54</v>
      </c>
      <c r="AJ672" s="17">
        <v>49.54</v>
      </c>
      <c r="AK672" t="s">
        <v>305</v>
      </c>
      <c r="AM672" s="17">
        <v>2.3</v>
      </c>
      <c r="AN672" s="17"/>
      <c r="AO672" s="17">
        <v>3280</v>
      </c>
      <c r="AP672" s="17"/>
      <c r="AQ672" s="17">
        <v>5760</v>
      </c>
      <c r="AR672" s="17"/>
      <c r="AS672" s="13" t="s">
        <v>150</v>
      </c>
      <c r="AT672"/>
      <c r="AU672" s="13" t="s">
        <v>150</v>
      </c>
      <c r="AW672" s="13" t="s">
        <v>150</v>
      </c>
      <c r="AY672" t="s">
        <v>92</v>
      </c>
      <c r="AZ672" t="s">
        <v>92</v>
      </c>
      <c r="BA672" t="s">
        <v>92</v>
      </c>
      <c r="BB672" t="s">
        <v>92</v>
      </c>
      <c r="BC672" t="s">
        <v>92</v>
      </c>
      <c r="BD672" t="s">
        <v>92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92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92</v>
      </c>
      <c r="BS672" t="s">
        <v>92</v>
      </c>
      <c r="BT672" t="s">
        <v>92</v>
      </c>
      <c r="BU672" t="s">
        <v>92</v>
      </c>
      <c r="BV672" t="s">
        <v>92</v>
      </c>
      <c r="BW672" t="s">
        <v>92</v>
      </c>
      <c r="BX672" t="s">
        <v>92</v>
      </c>
      <c r="BY672" t="str">
        <f>IF(COUNTIF('Data Upload-prod'!E:E,F672)=0,"Missing","Exist")</f>
        <v>Exist</v>
      </c>
    </row>
    <row r="673" spans="1:77">
      <c r="A673" s="16">
        <v>42535</v>
      </c>
      <c r="B673" s="16">
        <v>42669</v>
      </c>
      <c r="C673" t="s">
        <v>132</v>
      </c>
      <c r="D673" t="s">
        <v>142</v>
      </c>
      <c r="E673" t="s">
        <v>1189</v>
      </c>
      <c r="F673" t="s">
        <v>1192</v>
      </c>
      <c r="G673" t="s">
        <v>81</v>
      </c>
      <c r="H673" t="s">
        <v>1191</v>
      </c>
      <c r="I673" t="s">
        <v>147</v>
      </c>
      <c r="J673" s="17">
        <v>932</v>
      </c>
      <c r="K673" s="17">
        <v>2406</v>
      </c>
      <c r="L673" s="17">
        <v>2406</v>
      </c>
      <c r="M673" t="s">
        <v>84</v>
      </c>
      <c r="N673" t="s">
        <v>84</v>
      </c>
      <c r="O673" t="s">
        <v>84</v>
      </c>
      <c r="P673" t="s">
        <v>84</v>
      </c>
      <c r="Q673" s="17">
        <v>52000000</v>
      </c>
      <c r="R673" s="17">
        <v>52</v>
      </c>
      <c r="S673" t="s">
        <v>85</v>
      </c>
      <c r="T673" t="s">
        <v>84</v>
      </c>
      <c r="U673" t="s">
        <v>84</v>
      </c>
      <c r="V673" s="16">
        <v>42568</v>
      </c>
      <c r="W673" s="18">
        <v>42567.3541666667</v>
      </c>
      <c r="X673" s="18">
        <v>42573.625</v>
      </c>
      <c r="Y673" s="17">
        <v>850</v>
      </c>
      <c r="Z673" t="s">
        <v>148</v>
      </c>
      <c r="AA673" s="17">
        <v>1807</v>
      </c>
      <c r="AB673" s="17">
        <v>1807</v>
      </c>
      <c r="AC673" t="s">
        <v>84</v>
      </c>
      <c r="AD673" t="s">
        <v>84</v>
      </c>
      <c r="AE673" t="s">
        <v>84</v>
      </c>
      <c r="AF673" t="s">
        <v>84</v>
      </c>
      <c r="AG673" s="17">
        <v>6292637.21</v>
      </c>
      <c r="AH673" s="17">
        <v>6.25</v>
      </c>
      <c r="AI673" s="17">
        <v>49.54</v>
      </c>
      <c r="AJ673" s="17">
        <v>49.54</v>
      </c>
      <c r="AK673" t="s">
        <v>305</v>
      </c>
      <c r="AL673" t="s">
        <v>305</v>
      </c>
      <c r="AM673" s="17">
        <v>2.3</v>
      </c>
      <c r="AN673" s="17">
        <v>2.3</v>
      </c>
      <c r="AO673" s="17">
        <v>3280</v>
      </c>
      <c r="AP673" s="17">
        <v>3280</v>
      </c>
      <c r="AQ673" s="17">
        <v>5760</v>
      </c>
      <c r="AR673" s="17">
        <v>5760</v>
      </c>
      <c r="AS673" s="13" t="s">
        <v>91</v>
      </c>
      <c r="AT673" s="19">
        <v>2.35</v>
      </c>
      <c r="AU673" s="13" t="s">
        <v>91</v>
      </c>
      <c r="AV673" s="13">
        <v>1380</v>
      </c>
      <c r="AW673" s="13" t="s">
        <v>91</v>
      </c>
      <c r="AX673" s="13">
        <v>1994</v>
      </c>
      <c r="AY673" t="s">
        <v>92</v>
      </c>
      <c r="AZ673" t="s">
        <v>92</v>
      </c>
      <c r="BA673" t="s">
        <v>92</v>
      </c>
      <c r="BB673" t="s">
        <v>92</v>
      </c>
      <c r="BC673" t="s">
        <v>92</v>
      </c>
      <c r="BD673" t="s">
        <v>92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92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92</v>
      </c>
      <c r="BS673" t="s">
        <v>92</v>
      </c>
      <c r="BT673" t="s">
        <v>92</v>
      </c>
      <c r="BU673" t="s">
        <v>92</v>
      </c>
      <c r="BV673" t="s">
        <v>92</v>
      </c>
      <c r="BW673" t="s">
        <v>92</v>
      </c>
      <c r="BX673" t="s">
        <v>92</v>
      </c>
      <c r="BY673" t="str">
        <f>IF(COUNTIF('Data Upload-prod'!E:E,F673)=0,"Missing","Exist")</f>
        <v>Missing</v>
      </c>
    </row>
    <row r="674" hidden="1" spans="1:77">
      <c r="A674" s="16">
        <v>42506</v>
      </c>
      <c r="B674" s="16">
        <v>42969</v>
      </c>
      <c r="C674" t="s">
        <v>269</v>
      </c>
      <c r="D674" t="s">
        <v>78</v>
      </c>
      <c r="E674" t="s">
        <v>692</v>
      </c>
      <c r="F674" t="s">
        <v>1193</v>
      </c>
      <c r="G674" t="s">
        <v>81</v>
      </c>
      <c r="H674" t="s">
        <v>181</v>
      </c>
      <c r="I674" t="s">
        <v>124</v>
      </c>
      <c r="J674" s="17">
        <v>55.11</v>
      </c>
      <c r="K674" s="17">
        <v>2502.29</v>
      </c>
      <c r="L674" s="17">
        <v>1238.04</v>
      </c>
      <c r="M674" t="s">
        <v>84</v>
      </c>
      <c r="N674" t="s">
        <v>84</v>
      </c>
      <c r="O674" t="s">
        <v>84</v>
      </c>
      <c r="P674" t="s">
        <v>84</v>
      </c>
      <c r="Q674" s="17">
        <v>18104544</v>
      </c>
      <c r="R674" s="17">
        <v>26.36</v>
      </c>
      <c r="S674" t="s">
        <v>85</v>
      </c>
      <c r="T674" t="s">
        <v>84</v>
      </c>
      <c r="U674" t="s">
        <v>86</v>
      </c>
      <c r="V674" s="16">
        <v>42542</v>
      </c>
      <c r="W674" s="18">
        <v>42542.3541666667</v>
      </c>
      <c r="X674" s="18">
        <v>42869.25</v>
      </c>
      <c r="Y674" s="17">
        <v>2406.89</v>
      </c>
      <c r="Z674" t="s">
        <v>87</v>
      </c>
      <c r="AA674" s="17">
        <v>2508.99</v>
      </c>
      <c r="AB674" s="17">
        <v>1245.42</v>
      </c>
      <c r="AC674" t="s">
        <v>84</v>
      </c>
      <c r="AD674" t="s">
        <v>84</v>
      </c>
      <c r="AE674" t="s">
        <v>84</v>
      </c>
      <c r="AF674" t="s">
        <v>84</v>
      </c>
      <c r="AG674" s="17">
        <v>6263720.92</v>
      </c>
      <c r="AH674" s="17">
        <v>12.04</v>
      </c>
      <c r="AI674" s="17">
        <v>1.38</v>
      </c>
      <c r="AJ674" s="17">
        <v>1.38</v>
      </c>
      <c r="AK674" t="s">
        <v>208</v>
      </c>
      <c r="AM674" s="17">
        <v>2.1</v>
      </c>
      <c r="AN674" s="17"/>
      <c r="AO674" s="17">
        <v>700</v>
      </c>
      <c r="AP674" s="17"/>
      <c r="AQ674" s="17">
        <v>1220</v>
      </c>
      <c r="AR674" s="17"/>
      <c r="AS674" s="17">
        <v>0.97</v>
      </c>
      <c r="AT674" s="17"/>
      <c r="AU674" s="17">
        <v>473</v>
      </c>
      <c r="AV674" s="17"/>
      <c r="AW674" s="17">
        <v>1057</v>
      </c>
      <c r="AX674" s="17"/>
      <c r="AY674" t="s">
        <v>92</v>
      </c>
      <c r="AZ674" t="s">
        <v>92</v>
      </c>
      <c r="BA674" t="s">
        <v>92</v>
      </c>
      <c r="BB674" t="s">
        <v>92</v>
      </c>
      <c r="BC674" t="s">
        <v>92</v>
      </c>
      <c r="BD674" s="17">
        <v>3.21</v>
      </c>
      <c r="BE674" s="17">
        <v>1934750</v>
      </c>
      <c r="BF674" t="s">
        <v>92</v>
      </c>
      <c r="BG674" t="s">
        <v>92</v>
      </c>
      <c r="BH674" t="s">
        <v>93</v>
      </c>
      <c r="BI674" t="s">
        <v>94</v>
      </c>
      <c r="BJ674" t="s">
        <v>173</v>
      </c>
      <c r="BK674" t="s">
        <v>85</v>
      </c>
      <c r="BL674" t="s">
        <v>85</v>
      </c>
      <c r="BM674" t="s">
        <v>159</v>
      </c>
      <c r="BN674" t="s">
        <v>97</v>
      </c>
      <c r="BO674" t="s">
        <v>98</v>
      </c>
      <c r="BP674" t="s">
        <v>99</v>
      </c>
      <c r="BQ674" s="17">
        <v>0</v>
      </c>
      <c r="BR674" t="s">
        <v>138</v>
      </c>
      <c r="BS674" t="s">
        <v>92</v>
      </c>
      <c r="BT674" t="s">
        <v>99</v>
      </c>
      <c r="BU674" s="17">
        <v>8.6</v>
      </c>
      <c r="BV674" t="s">
        <v>308</v>
      </c>
      <c r="BW674" t="s">
        <v>85</v>
      </c>
      <c r="BX674" t="s">
        <v>85</v>
      </c>
      <c r="BY674" t="str">
        <f>IF(COUNTIF('Data Upload-prod'!E:E,F674)=0,"Missing","Exist")</f>
        <v>Exist</v>
      </c>
    </row>
    <row r="675" hidden="1" spans="1:77">
      <c r="A675" s="16">
        <v>42506</v>
      </c>
      <c r="B675" s="16">
        <v>42969</v>
      </c>
      <c r="C675" t="s">
        <v>269</v>
      </c>
      <c r="D675" t="s">
        <v>78</v>
      </c>
      <c r="E675" t="s">
        <v>692</v>
      </c>
      <c r="F675" t="s">
        <v>1194</v>
      </c>
      <c r="G675" t="s">
        <v>81</v>
      </c>
      <c r="H675" t="s">
        <v>181</v>
      </c>
      <c r="I675" t="s">
        <v>124</v>
      </c>
      <c r="J675" s="17">
        <v>55.11</v>
      </c>
      <c r="K675" s="17">
        <v>2696.43</v>
      </c>
      <c r="L675" s="17">
        <v>1238.04</v>
      </c>
      <c r="M675" t="s">
        <v>84</v>
      </c>
      <c r="N675" t="s">
        <v>84</v>
      </c>
      <c r="O675" t="s">
        <v>84</v>
      </c>
      <c r="P675" t="s">
        <v>84</v>
      </c>
      <c r="Q675" s="17">
        <v>15070000</v>
      </c>
      <c r="R675" s="17">
        <v>25.1</v>
      </c>
      <c r="S675" t="s">
        <v>85</v>
      </c>
      <c r="T675" t="s">
        <v>84</v>
      </c>
      <c r="U675" t="s">
        <v>86</v>
      </c>
      <c r="V675" s="16">
        <v>42539</v>
      </c>
      <c r="W675" s="18">
        <v>42539.5833333333</v>
      </c>
      <c r="X675" s="18">
        <v>42820.65625</v>
      </c>
      <c r="Y675" s="17">
        <v>2615.06</v>
      </c>
      <c r="Z675" t="s">
        <v>87</v>
      </c>
      <c r="AA675" s="17">
        <v>2717.16</v>
      </c>
      <c r="AB675" s="17">
        <v>1246.89</v>
      </c>
      <c r="AC675" t="s">
        <v>84</v>
      </c>
      <c r="AD675" t="s">
        <v>84</v>
      </c>
      <c r="AE675" t="s">
        <v>84</v>
      </c>
      <c r="AF675" t="s">
        <v>84</v>
      </c>
      <c r="AG675" s="17">
        <v>9092198.15</v>
      </c>
      <c r="AH675" s="17">
        <v>21.13</v>
      </c>
      <c r="AI675" s="17">
        <v>25.74</v>
      </c>
      <c r="AJ675" s="17">
        <v>25.74</v>
      </c>
      <c r="AK675" t="s">
        <v>208</v>
      </c>
      <c r="AM675" s="17">
        <v>2.1</v>
      </c>
      <c r="AN675" s="17"/>
      <c r="AO675" s="17">
        <v>700</v>
      </c>
      <c r="AP675" s="17"/>
      <c r="AQ675" s="17">
        <v>1225</v>
      </c>
      <c r="AR675" s="17"/>
      <c r="AS675" s="17">
        <v>1.2</v>
      </c>
      <c r="AT675" s="17"/>
      <c r="AU675" s="17">
        <v>615.8</v>
      </c>
      <c r="AV675" s="17"/>
      <c r="AW675" s="17">
        <v>1057</v>
      </c>
      <c r="AX675" s="17"/>
      <c r="AY675" t="s">
        <v>92</v>
      </c>
      <c r="AZ675" t="s">
        <v>92</v>
      </c>
      <c r="BA675" t="s">
        <v>92</v>
      </c>
      <c r="BB675" t="s">
        <v>92</v>
      </c>
      <c r="BC675" t="s">
        <v>92</v>
      </c>
      <c r="BD675" s="17">
        <v>3.99</v>
      </c>
      <c r="BE675" s="17">
        <v>2103693</v>
      </c>
      <c r="BF675" t="s">
        <v>92</v>
      </c>
      <c r="BG675" t="s">
        <v>92</v>
      </c>
      <c r="BH675" t="s">
        <v>93</v>
      </c>
      <c r="BI675" t="s">
        <v>94</v>
      </c>
      <c r="BJ675" t="s">
        <v>173</v>
      </c>
      <c r="BK675" t="s">
        <v>85</v>
      </c>
      <c r="BL675" t="s">
        <v>85</v>
      </c>
      <c r="BM675" t="s">
        <v>159</v>
      </c>
      <c r="BN675" t="s">
        <v>97</v>
      </c>
      <c r="BO675" t="s">
        <v>98</v>
      </c>
      <c r="BP675" t="s">
        <v>99</v>
      </c>
      <c r="BQ675" s="17">
        <v>0</v>
      </c>
      <c r="BR675" t="s">
        <v>138</v>
      </c>
      <c r="BS675" t="s">
        <v>92</v>
      </c>
      <c r="BT675" t="s">
        <v>99</v>
      </c>
      <c r="BU675" s="17">
        <v>8.6</v>
      </c>
      <c r="BV675" t="s">
        <v>308</v>
      </c>
      <c r="BW675" t="s">
        <v>85</v>
      </c>
      <c r="BX675" t="s">
        <v>85</v>
      </c>
      <c r="BY675" t="str">
        <f>IF(COUNTIF('Data Upload-prod'!E:E,F675)=0,"Missing","Exist")</f>
        <v>Exist</v>
      </c>
    </row>
    <row r="676" hidden="1" spans="1:77">
      <c r="A676" s="16">
        <v>42506</v>
      </c>
      <c r="B676" s="16">
        <v>42969</v>
      </c>
      <c r="C676" t="s">
        <v>269</v>
      </c>
      <c r="D676" t="s">
        <v>78</v>
      </c>
      <c r="E676" t="s">
        <v>692</v>
      </c>
      <c r="F676" t="s">
        <v>1195</v>
      </c>
      <c r="G676" t="s">
        <v>81</v>
      </c>
      <c r="H676" t="s">
        <v>181</v>
      </c>
      <c r="I676" t="s">
        <v>124</v>
      </c>
      <c r="J676" s="17">
        <v>55.11</v>
      </c>
      <c r="K676" s="17">
        <v>1779.03</v>
      </c>
      <c r="L676" s="17">
        <v>1238.04</v>
      </c>
      <c r="M676" t="s">
        <v>84</v>
      </c>
      <c r="N676" t="s">
        <v>84</v>
      </c>
      <c r="O676" t="s">
        <v>84</v>
      </c>
      <c r="P676" t="s">
        <v>84</v>
      </c>
      <c r="Q676" s="17">
        <v>13080000</v>
      </c>
      <c r="R676" s="17">
        <v>21.4</v>
      </c>
      <c r="S676" t="s">
        <v>85</v>
      </c>
      <c r="T676" t="s">
        <v>84</v>
      </c>
      <c r="U676" t="s">
        <v>86</v>
      </c>
      <c r="V676" s="16">
        <v>42541</v>
      </c>
      <c r="W676" s="18">
        <v>42541.2083333333</v>
      </c>
      <c r="X676" s="18">
        <v>42886.4895833333</v>
      </c>
      <c r="Y676" s="17">
        <v>1679.98</v>
      </c>
      <c r="Z676" t="s">
        <v>87</v>
      </c>
      <c r="AA676" s="17">
        <v>1775.37</v>
      </c>
      <c r="AB676" s="17">
        <v>1238.65</v>
      </c>
      <c r="AC676" t="s">
        <v>84</v>
      </c>
      <c r="AD676" t="s">
        <v>84</v>
      </c>
      <c r="AE676" t="s">
        <v>84</v>
      </c>
      <c r="AF676" t="s">
        <v>84</v>
      </c>
      <c r="AG676" s="17">
        <v>5080572</v>
      </c>
      <c r="AH676" s="17">
        <v>10.52</v>
      </c>
      <c r="AI676" s="17">
        <v>0.96</v>
      </c>
      <c r="AJ676" s="17">
        <v>0.96</v>
      </c>
      <c r="AK676" t="s">
        <v>208</v>
      </c>
      <c r="AM676" s="17">
        <v>2.1</v>
      </c>
      <c r="AN676" s="17"/>
      <c r="AO676" s="17">
        <v>700</v>
      </c>
      <c r="AP676" s="17"/>
      <c r="AQ676" s="17">
        <v>1220</v>
      </c>
      <c r="AR676" s="17"/>
      <c r="AS676" s="17">
        <v>1.1</v>
      </c>
      <c r="AT676" s="17"/>
      <c r="AU676" s="17">
        <v>515</v>
      </c>
      <c r="AV676" s="17"/>
      <c r="AW676" s="17">
        <v>820</v>
      </c>
      <c r="AX676" s="17"/>
      <c r="AY676" t="s">
        <v>92</v>
      </c>
      <c r="AZ676" t="s">
        <v>92</v>
      </c>
      <c r="BA676" t="s">
        <v>92</v>
      </c>
      <c r="BB676" t="s">
        <v>92</v>
      </c>
      <c r="BC676" t="s">
        <v>92</v>
      </c>
      <c r="BD676" s="17">
        <v>3.23</v>
      </c>
      <c r="BE676" s="17">
        <v>1438616</v>
      </c>
      <c r="BF676" t="s">
        <v>92</v>
      </c>
      <c r="BG676" t="s">
        <v>92</v>
      </c>
      <c r="BH676" t="s">
        <v>93</v>
      </c>
      <c r="BI676" t="s">
        <v>94</v>
      </c>
      <c r="BJ676" t="s">
        <v>173</v>
      </c>
      <c r="BK676" t="s">
        <v>85</v>
      </c>
      <c r="BL676" t="s">
        <v>85</v>
      </c>
      <c r="BM676" t="s">
        <v>159</v>
      </c>
      <c r="BN676" t="s">
        <v>97</v>
      </c>
      <c r="BO676" t="s">
        <v>98</v>
      </c>
      <c r="BP676" t="s">
        <v>99</v>
      </c>
      <c r="BQ676" s="17">
        <v>0</v>
      </c>
      <c r="BR676" t="s">
        <v>100</v>
      </c>
      <c r="BS676" t="s">
        <v>92</v>
      </c>
      <c r="BT676" t="s">
        <v>99</v>
      </c>
      <c r="BU676" s="17">
        <v>8.6</v>
      </c>
      <c r="BV676" t="s">
        <v>308</v>
      </c>
      <c r="BW676" t="s">
        <v>85</v>
      </c>
      <c r="BX676" t="s">
        <v>85</v>
      </c>
      <c r="BY676" t="str">
        <f>IF(COUNTIF('Data Upload-prod'!E:E,F676)=0,"Missing","Exist")</f>
        <v>Exist</v>
      </c>
    </row>
    <row r="677" hidden="1" spans="1:77">
      <c r="A677" s="16">
        <v>42504</v>
      </c>
      <c r="B677" s="16">
        <v>42740</v>
      </c>
      <c r="C677" t="s">
        <v>77</v>
      </c>
      <c r="D677" t="s">
        <v>120</v>
      </c>
      <c r="E677" t="s">
        <v>121</v>
      </c>
      <c r="F677" t="s">
        <v>1196</v>
      </c>
      <c r="G677" t="s">
        <v>81</v>
      </c>
      <c r="H677" t="s">
        <v>123</v>
      </c>
      <c r="I677" t="s">
        <v>124</v>
      </c>
      <c r="J677" s="17">
        <v>70.5</v>
      </c>
      <c r="K677" s="17">
        <v>3343</v>
      </c>
      <c r="L677" s="17">
        <v>1954</v>
      </c>
      <c r="M677" t="s">
        <v>84</v>
      </c>
      <c r="N677" t="s">
        <v>84</v>
      </c>
      <c r="O677" t="s">
        <v>84</v>
      </c>
      <c r="P677" t="s">
        <v>84</v>
      </c>
      <c r="Q677" s="17">
        <v>8900000</v>
      </c>
      <c r="R677" s="17">
        <v>23.5</v>
      </c>
      <c r="S677" t="s">
        <v>85</v>
      </c>
      <c r="T677" t="s">
        <v>84</v>
      </c>
      <c r="U677" t="s">
        <v>84</v>
      </c>
      <c r="V677" t="s">
        <v>84</v>
      </c>
      <c r="W677" s="18">
        <v>42654.4583333333</v>
      </c>
      <c r="X677" s="18">
        <v>42697.1666666667</v>
      </c>
      <c r="Y677" s="17">
        <v>2378.82</v>
      </c>
      <c r="Z677" t="s">
        <v>87</v>
      </c>
      <c r="AA677" s="17">
        <v>2488</v>
      </c>
      <c r="AB677" s="17">
        <v>1738.8</v>
      </c>
      <c r="AC677" t="s">
        <v>84</v>
      </c>
      <c r="AD677" t="s">
        <v>84</v>
      </c>
      <c r="AE677" t="s">
        <v>84</v>
      </c>
      <c r="AF677" t="s">
        <v>84</v>
      </c>
      <c r="AG677" s="17">
        <v>10065708</v>
      </c>
      <c r="AH677" s="17">
        <v>36.26</v>
      </c>
      <c r="AI677" s="17">
        <v>7.07</v>
      </c>
      <c r="AJ677" s="17">
        <v>2.33</v>
      </c>
      <c r="AK677" s="13" t="s">
        <v>149</v>
      </c>
      <c r="AL677" s="13"/>
      <c r="AM677" t="s">
        <v>92</v>
      </c>
      <c r="AO677" t="s">
        <v>92</v>
      </c>
      <c r="AQ677" t="s">
        <v>92</v>
      </c>
      <c r="AS677" s="17">
        <v>1.6</v>
      </c>
      <c r="AT677" s="17"/>
      <c r="AU677" s="17">
        <v>477</v>
      </c>
      <c r="AV677" s="17"/>
      <c r="AW677" s="17">
        <v>736</v>
      </c>
      <c r="AX677" s="17"/>
      <c r="AY677" t="s">
        <v>92</v>
      </c>
      <c r="AZ677" t="s">
        <v>92</v>
      </c>
      <c r="BA677" t="s">
        <v>92</v>
      </c>
      <c r="BB677" t="s">
        <v>92</v>
      </c>
      <c r="BC677" t="s">
        <v>92</v>
      </c>
      <c r="BD677" t="s">
        <v>92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92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92</v>
      </c>
      <c r="BS677" t="s">
        <v>92</v>
      </c>
      <c r="BT677" t="s">
        <v>92</v>
      </c>
      <c r="BU677" t="s">
        <v>92</v>
      </c>
      <c r="BV677" t="s">
        <v>92</v>
      </c>
      <c r="BW677" t="s">
        <v>92</v>
      </c>
      <c r="BX677" t="s">
        <v>92</v>
      </c>
      <c r="BY677" t="str">
        <f>IF(COUNTIF('Data Upload-prod'!E:E,F677)=0,"Missing","Exist")</f>
        <v>Exist</v>
      </c>
    </row>
    <row r="678" hidden="1" spans="1:77">
      <c r="A678" s="16">
        <v>42481</v>
      </c>
      <c r="B678" s="16">
        <v>42642</v>
      </c>
      <c r="C678" t="s">
        <v>132</v>
      </c>
      <c r="D678" t="s">
        <v>120</v>
      </c>
      <c r="E678" t="s">
        <v>700</v>
      </c>
      <c r="F678" t="s">
        <v>1197</v>
      </c>
      <c r="G678" t="s">
        <v>81</v>
      </c>
      <c r="H678" t="s">
        <v>198</v>
      </c>
      <c r="I678" t="s">
        <v>83</v>
      </c>
      <c r="J678" s="17">
        <v>77.72</v>
      </c>
      <c r="K678" s="17">
        <v>1708.32</v>
      </c>
      <c r="L678" s="17">
        <v>1443.77</v>
      </c>
      <c r="M678" t="s">
        <v>84</v>
      </c>
      <c r="N678" t="s">
        <v>84</v>
      </c>
      <c r="O678" t="s">
        <v>84</v>
      </c>
      <c r="P678" t="s">
        <v>84</v>
      </c>
      <c r="Q678" s="17">
        <v>11138553.95</v>
      </c>
      <c r="R678" s="17">
        <v>29.76</v>
      </c>
      <c r="S678" t="s">
        <v>85</v>
      </c>
      <c r="T678" t="s">
        <v>84</v>
      </c>
      <c r="U678" t="s">
        <v>84</v>
      </c>
      <c r="V678" s="16">
        <v>42526</v>
      </c>
      <c r="W678" s="18">
        <v>42499.5</v>
      </c>
      <c r="X678" s="18">
        <v>42584.4166666667</v>
      </c>
      <c r="Y678" s="17">
        <v>1595.07</v>
      </c>
      <c r="Z678" t="s">
        <v>87</v>
      </c>
      <c r="AA678" s="17">
        <v>1702.53</v>
      </c>
      <c r="AB678" s="17">
        <v>1439.16</v>
      </c>
      <c r="AC678" t="s">
        <v>84</v>
      </c>
      <c r="AD678" t="s">
        <v>84</v>
      </c>
      <c r="AE678" t="s">
        <v>84</v>
      </c>
      <c r="AF678" t="s">
        <v>84</v>
      </c>
      <c r="AG678" s="17">
        <v>11679308.85</v>
      </c>
      <c r="AH678" s="17">
        <v>37.91</v>
      </c>
      <c r="AI678" s="17">
        <v>14.6</v>
      </c>
      <c r="AJ678" s="17">
        <v>13.2</v>
      </c>
      <c r="AK678" t="s">
        <v>165</v>
      </c>
      <c r="AM678" s="17">
        <v>2</v>
      </c>
      <c r="AN678" s="17"/>
      <c r="AO678" s="17">
        <v>725</v>
      </c>
      <c r="AP678" s="17"/>
      <c r="AQ678" s="17">
        <v>1390</v>
      </c>
      <c r="AR678" s="17"/>
      <c r="AS678" s="17">
        <v>2.73</v>
      </c>
      <c r="AT678" s="17"/>
      <c r="AU678" s="17">
        <v>783.2</v>
      </c>
      <c r="AV678" s="17"/>
      <c r="AW678" s="17">
        <v>1223.2</v>
      </c>
      <c r="AX678" s="17"/>
      <c r="AY678" t="s">
        <v>92</v>
      </c>
      <c r="AZ678" t="s">
        <v>92</v>
      </c>
      <c r="BA678" t="s">
        <v>92</v>
      </c>
      <c r="BB678" t="s">
        <v>92</v>
      </c>
      <c r="BC678" t="s">
        <v>92</v>
      </c>
      <c r="BD678" t="s">
        <v>92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92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92</v>
      </c>
      <c r="BS678" t="s">
        <v>92</v>
      </c>
      <c r="BT678" t="s">
        <v>92</v>
      </c>
      <c r="BU678" t="s">
        <v>92</v>
      </c>
      <c r="BV678" t="s">
        <v>92</v>
      </c>
      <c r="BW678" t="s">
        <v>92</v>
      </c>
      <c r="BX678" t="s">
        <v>92</v>
      </c>
      <c r="BY678" t="str">
        <f>IF(COUNTIF('Data Upload-prod'!E:E,F678)=0,"Missing","Exist")</f>
        <v>Exist</v>
      </c>
    </row>
    <row r="679" hidden="1" spans="1:77">
      <c r="A679" s="16">
        <v>42481</v>
      </c>
      <c r="B679" s="16">
        <v>42660</v>
      </c>
      <c r="C679" t="s">
        <v>132</v>
      </c>
      <c r="D679" t="s">
        <v>120</v>
      </c>
      <c r="E679" t="s">
        <v>700</v>
      </c>
      <c r="F679" t="s">
        <v>1198</v>
      </c>
      <c r="G679" t="s">
        <v>81</v>
      </c>
      <c r="H679" t="s">
        <v>198</v>
      </c>
      <c r="I679" t="s">
        <v>83</v>
      </c>
      <c r="J679" s="17">
        <v>77.72</v>
      </c>
      <c r="K679" s="17">
        <v>2790.92</v>
      </c>
      <c r="L679" s="17">
        <v>2387.08</v>
      </c>
      <c r="M679" t="s">
        <v>84</v>
      </c>
      <c r="N679" t="s">
        <v>84</v>
      </c>
      <c r="O679" t="s">
        <v>84</v>
      </c>
      <c r="P679" t="s">
        <v>84</v>
      </c>
      <c r="Q679" s="17">
        <v>19950620.13</v>
      </c>
      <c r="R679" s="17">
        <v>34.64</v>
      </c>
      <c r="S679" t="s">
        <v>85</v>
      </c>
      <c r="T679" t="s">
        <v>84</v>
      </c>
      <c r="U679" t="s">
        <v>84</v>
      </c>
      <c r="V679" s="16">
        <v>42537.375</v>
      </c>
      <c r="W679" s="18">
        <v>42497</v>
      </c>
      <c r="X679" s="18">
        <v>42600.5</v>
      </c>
      <c r="Y679" s="17">
        <v>2695.04</v>
      </c>
      <c r="Z679" t="s">
        <v>87</v>
      </c>
      <c r="AA679" s="17">
        <v>2802.5</v>
      </c>
      <c r="AB679" s="17">
        <v>2395.61</v>
      </c>
      <c r="AC679" t="s">
        <v>84</v>
      </c>
      <c r="AD679" t="s">
        <v>84</v>
      </c>
      <c r="AE679" t="s">
        <v>84</v>
      </c>
      <c r="AF679" t="s">
        <v>84</v>
      </c>
      <c r="AG679" s="17">
        <v>17244914.47</v>
      </c>
      <c r="AH679" s="17">
        <v>42.68</v>
      </c>
      <c r="AI679" s="17">
        <v>1.5</v>
      </c>
      <c r="AJ679" s="17">
        <v>0.4</v>
      </c>
      <c r="AK679" t="s">
        <v>208</v>
      </c>
      <c r="AM679" s="17">
        <v>2.2</v>
      </c>
      <c r="AN679" s="17"/>
      <c r="AO679" s="17">
        <v>830</v>
      </c>
      <c r="AP679" s="17"/>
      <c r="AQ679" s="17">
        <v>1395</v>
      </c>
      <c r="AR679" s="17"/>
      <c r="AS679" s="17">
        <v>1.65</v>
      </c>
      <c r="AT679" s="17"/>
      <c r="AU679" s="17">
        <v>612.2</v>
      </c>
      <c r="AV679" s="17"/>
      <c r="AW679" s="17">
        <v>1813.6</v>
      </c>
      <c r="AX679" s="17"/>
      <c r="AY679" t="s">
        <v>92</v>
      </c>
      <c r="AZ679" t="s">
        <v>92</v>
      </c>
      <c r="BA679" t="s">
        <v>92</v>
      </c>
      <c r="BB679" t="s">
        <v>92</v>
      </c>
      <c r="BC679" t="s">
        <v>92</v>
      </c>
      <c r="BD679" t="s">
        <v>92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92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92</v>
      </c>
      <c r="BS679" t="s">
        <v>92</v>
      </c>
      <c r="BT679" t="s">
        <v>92</v>
      </c>
      <c r="BU679" t="s">
        <v>92</v>
      </c>
      <c r="BV679" t="s">
        <v>92</v>
      </c>
      <c r="BW679" t="s">
        <v>92</v>
      </c>
      <c r="BX679" t="s">
        <v>92</v>
      </c>
      <c r="BY679" t="str">
        <f>IF(COUNTIF('Data Upload-prod'!E:E,F679)=0,"Missing","Exist")</f>
        <v>Exist</v>
      </c>
    </row>
    <row r="680" hidden="1" spans="1:77">
      <c r="A680" s="16">
        <v>42469</v>
      </c>
      <c r="B680" s="16">
        <v>42726</v>
      </c>
      <c r="C680" t="s">
        <v>132</v>
      </c>
      <c r="D680" t="s">
        <v>120</v>
      </c>
      <c r="E680" t="s">
        <v>700</v>
      </c>
      <c r="F680" t="s">
        <v>1199</v>
      </c>
      <c r="G680" t="s">
        <v>81</v>
      </c>
      <c r="H680" t="s">
        <v>198</v>
      </c>
      <c r="I680" t="s">
        <v>83</v>
      </c>
      <c r="J680" s="17">
        <v>77.72</v>
      </c>
      <c r="K680" s="17">
        <v>3217.62</v>
      </c>
      <c r="L680" s="17">
        <v>1878.09</v>
      </c>
      <c r="M680" t="s">
        <v>84</v>
      </c>
      <c r="N680" t="s">
        <v>84</v>
      </c>
      <c r="O680" t="s">
        <v>84</v>
      </c>
      <c r="P680" t="s">
        <v>84</v>
      </c>
      <c r="Q680" s="17">
        <v>20244087.53</v>
      </c>
      <c r="R680" s="17">
        <v>43.2</v>
      </c>
      <c r="S680" t="s">
        <v>85</v>
      </c>
      <c r="T680" t="s">
        <v>84</v>
      </c>
      <c r="U680" t="s">
        <v>84</v>
      </c>
      <c r="V680" s="16">
        <v>42629</v>
      </c>
      <c r="W680" s="18">
        <v>42501.6041666667</v>
      </c>
      <c r="X680" s="18">
        <v>42694.2916666667</v>
      </c>
      <c r="Y680" s="17">
        <v>3171.73</v>
      </c>
      <c r="Z680" t="s">
        <v>87</v>
      </c>
      <c r="AA680" s="17">
        <v>3279.18</v>
      </c>
      <c r="AB680" s="17">
        <v>1896.4</v>
      </c>
      <c r="AC680" t="s">
        <v>84</v>
      </c>
      <c r="AD680" t="s">
        <v>84</v>
      </c>
      <c r="AE680" t="s">
        <v>84</v>
      </c>
      <c r="AF680" t="s">
        <v>84</v>
      </c>
      <c r="AG680" s="17">
        <v>16614139.57</v>
      </c>
      <c r="AH680" s="17">
        <v>42.76</v>
      </c>
      <c r="AI680" s="17">
        <v>8.48</v>
      </c>
      <c r="AJ680" s="17">
        <v>1.51</v>
      </c>
      <c r="AK680" t="s">
        <v>208</v>
      </c>
      <c r="AM680" s="17">
        <v>2.2</v>
      </c>
      <c r="AN680" s="17"/>
      <c r="AO680" s="17">
        <v>830</v>
      </c>
      <c r="AP680" s="17"/>
      <c r="AQ680" s="17">
        <v>1395</v>
      </c>
      <c r="AR680" s="17"/>
      <c r="AS680" s="17">
        <v>1.58</v>
      </c>
      <c r="AT680" s="17"/>
      <c r="AU680" s="17">
        <v>563.9</v>
      </c>
      <c r="AV680" s="17"/>
      <c r="AW680" s="17">
        <v>1509.1</v>
      </c>
      <c r="AX680" s="17"/>
      <c r="AY680" t="s">
        <v>92</v>
      </c>
      <c r="AZ680" t="s">
        <v>92</v>
      </c>
      <c r="BA680" t="s">
        <v>92</v>
      </c>
      <c r="BB680" t="s">
        <v>92</v>
      </c>
      <c r="BC680" t="s">
        <v>92</v>
      </c>
      <c r="BD680" t="s">
        <v>92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92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92</v>
      </c>
      <c r="BS680" t="s">
        <v>92</v>
      </c>
      <c r="BT680" t="s">
        <v>92</v>
      </c>
      <c r="BU680" t="s">
        <v>92</v>
      </c>
      <c r="BV680" t="s">
        <v>92</v>
      </c>
      <c r="BW680" t="s">
        <v>92</v>
      </c>
      <c r="BX680" t="s">
        <v>92</v>
      </c>
      <c r="BY680" t="str">
        <f>IF(COUNTIF('Data Upload-prod'!E:E,F680)=0,"Missing","Exist")</f>
        <v>Exist</v>
      </c>
    </row>
    <row r="681" hidden="1" spans="1:77">
      <c r="A681" s="16">
        <v>42464</v>
      </c>
      <c r="B681" s="16">
        <v>42608</v>
      </c>
      <c r="C681" t="s">
        <v>132</v>
      </c>
      <c r="D681" t="s">
        <v>120</v>
      </c>
      <c r="E681" t="s">
        <v>1200</v>
      </c>
      <c r="F681" t="s">
        <v>1201</v>
      </c>
      <c r="G681" t="s">
        <v>145</v>
      </c>
      <c r="H681" t="s">
        <v>1188</v>
      </c>
      <c r="I681" t="s">
        <v>231</v>
      </c>
      <c r="J681" s="17">
        <v>190.8</v>
      </c>
      <c r="K681" s="17">
        <v>4528</v>
      </c>
      <c r="L681" s="17">
        <v>4528</v>
      </c>
      <c r="M681" s="17">
        <v>40733134</v>
      </c>
      <c r="N681" s="17">
        <v>44958859</v>
      </c>
      <c r="O681" s="17">
        <v>77</v>
      </c>
      <c r="P681" s="17">
        <v>87</v>
      </c>
      <c r="Q681" t="s">
        <v>84</v>
      </c>
      <c r="R681" t="s">
        <v>84</v>
      </c>
      <c r="S681" t="s">
        <v>85</v>
      </c>
      <c r="T681" t="s">
        <v>84</v>
      </c>
      <c r="U681" t="s">
        <v>84</v>
      </c>
      <c r="V681" s="16">
        <v>42478</v>
      </c>
      <c r="W681" s="18">
        <v>42469.6041666667</v>
      </c>
      <c r="X681" s="18">
        <v>42552</v>
      </c>
      <c r="Y681" s="17">
        <v>3527.2</v>
      </c>
      <c r="Z681" t="s">
        <v>87</v>
      </c>
      <c r="AA681" s="17">
        <v>3746</v>
      </c>
      <c r="AB681" s="17">
        <v>3745.3</v>
      </c>
      <c r="AC681" s="17">
        <v>34931876</v>
      </c>
      <c r="AD681" t="s">
        <v>84</v>
      </c>
      <c r="AE681" s="17">
        <v>83.7</v>
      </c>
      <c r="AF681" t="s">
        <v>84</v>
      </c>
      <c r="AG681" t="s">
        <v>84</v>
      </c>
      <c r="AH681" t="s">
        <v>84</v>
      </c>
      <c r="AI681" s="17">
        <v>3.33</v>
      </c>
      <c r="AJ681" s="17">
        <v>3.21</v>
      </c>
      <c r="AK681" t="s">
        <v>374</v>
      </c>
      <c r="AM681" s="17">
        <v>5</v>
      </c>
      <c r="AN681" s="17"/>
      <c r="AO681" s="17">
        <v>2360</v>
      </c>
      <c r="AP681" s="17"/>
      <c r="AQ681" s="17">
        <v>4280</v>
      </c>
      <c r="AR681" s="17"/>
      <c r="AS681" s="17">
        <v>3.69</v>
      </c>
      <c r="AT681" s="17"/>
      <c r="AU681" s="17">
        <v>1948</v>
      </c>
      <c r="AV681" s="17"/>
      <c r="AW681" s="17">
        <v>2467</v>
      </c>
      <c r="AX681" s="17"/>
      <c r="AY681" t="s">
        <v>92</v>
      </c>
      <c r="AZ681" t="s">
        <v>92</v>
      </c>
      <c r="BA681" t="s">
        <v>92</v>
      </c>
      <c r="BB681" t="s">
        <v>92</v>
      </c>
      <c r="BC681" t="s">
        <v>92</v>
      </c>
      <c r="BD681" t="s">
        <v>92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92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92</v>
      </c>
      <c r="BS681" t="s">
        <v>92</v>
      </c>
      <c r="BT681" t="s">
        <v>92</v>
      </c>
      <c r="BU681" t="s">
        <v>92</v>
      </c>
      <c r="BV681" t="s">
        <v>92</v>
      </c>
      <c r="BW681" t="s">
        <v>92</v>
      </c>
      <c r="BX681" t="s">
        <v>92</v>
      </c>
      <c r="BY681" t="str">
        <f>IF(COUNTIF('Data Upload-prod'!E:E,F681)=0,"Missing","Exist")</f>
        <v>Exist</v>
      </c>
    </row>
    <row r="682" hidden="1" spans="1:77">
      <c r="A682" s="16">
        <v>42454</v>
      </c>
      <c r="B682" s="16">
        <v>42552</v>
      </c>
      <c r="C682" t="s">
        <v>132</v>
      </c>
      <c r="D682" t="s">
        <v>78</v>
      </c>
      <c r="E682" t="s">
        <v>902</v>
      </c>
      <c r="F682" t="s">
        <v>1202</v>
      </c>
      <c r="G682" t="s">
        <v>145</v>
      </c>
      <c r="H682" t="s">
        <v>202</v>
      </c>
      <c r="I682" t="s">
        <v>124</v>
      </c>
      <c r="J682" s="17">
        <v>71.4</v>
      </c>
      <c r="K682" s="17">
        <v>2830</v>
      </c>
      <c r="L682" s="17">
        <v>2830</v>
      </c>
      <c r="M682" s="17">
        <v>22400000</v>
      </c>
      <c r="N682" s="17">
        <v>22400000</v>
      </c>
      <c r="O682" s="17">
        <v>48</v>
      </c>
      <c r="P682" s="17">
        <v>48</v>
      </c>
      <c r="Q682" t="s">
        <v>84</v>
      </c>
      <c r="R682" t="s">
        <v>84</v>
      </c>
      <c r="S682" t="s">
        <v>85</v>
      </c>
      <c r="T682" t="s">
        <v>84</v>
      </c>
      <c r="U682" t="s">
        <v>84</v>
      </c>
      <c r="V682" s="16">
        <v>42471</v>
      </c>
      <c r="W682" s="18">
        <v>42461</v>
      </c>
      <c r="X682" s="18">
        <v>42505.25</v>
      </c>
      <c r="Y682" s="17">
        <v>2728.6</v>
      </c>
      <c r="Z682" t="s">
        <v>87</v>
      </c>
      <c r="AA682" s="17">
        <v>2830</v>
      </c>
      <c r="AB682" s="17">
        <v>2830</v>
      </c>
      <c r="AC682" t="s">
        <v>84</v>
      </c>
      <c r="AD682" s="17">
        <v>15968114.69</v>
      </c>
      <c r="AE682" t="s">
        <v>84</v>
      </c>
      <c r="AF682" s="17">
        <v>44.25</v>
      </c>
      <c r="AG682" t="s">
        <v>84</v>
      </c>
      <c r="AH682" t="s">
        <v>84</v>
      </c>
      <c r="AI682" s="17">
        <v>4.9</v>
      </c>
      <c r="AJ682" s="17">
        <v>4.9</v>
      </c>
      <c r="AK682" t="s">
        <v>300</v>
      </c>
      <c r="AM682" s="17">
        <v>1.9</v>
      </c>
      <c r="AN682" s="17"/>
      <c r="AO682" s="17">
        <v>720</v>
      </c>
      <c r="AP682" s="17"/>
      <c r="AQ682" s="17">
        <v>1370</v>
      </c>
      <c r="AR682" s="17"/>
      <c r="AS682" s="17">
        <v>1.58</v>
      </c>
      <c r="AT682" s="17"/>
      <c r="AU682" s="17">
        <v>641</v>
      </c>
      <c r="AV682" s="17"/>
      <c r="AW682" s="17">
        <v>1111</v>
      </c>
      <c r="AX682" s="17"/>
      <c r="AY682" t="s">
        <v>92</v>
      </c>
      <c r="AZ682" t="s">
        <v>92</v>
      </c>
      <c r="BA682" t="s">
        <v>92</v>
      </c>
      <c r="BB682" t="s">
        <v>92</v>
      </c>
      <c r="BC682" t="s">
        <v>92</v>
      </c>
      <c r="BD682" t="s">
        <v>92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92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92</v>
      </c>
      <c r="BS682" t="s">
        <v>92</v>
      </c>
      <c r="BT682" t="s">
        <v>92</v>
      </c>
      <c r="BU682" t="s">
        <v>92</v>
      </c>
      <c r="BV682" t="s">
        <v>92</v>
      </c>
      <c r="BW682" t="s">
        <v>92</v>
      </c>
      <c r="BX682" t="s">
        <v>92</v>
      </c>
      <c r="BY682" t="str">
        <f>IF(COUNTIF('Data Upload-prod'!E:E,F682)=0,"Missing","Exist")</f>
        <v>Exist</v>
      </c>
    </row>
    <row r="683" hidden="1" spans="1:77">
      <c r="A683" s="16">
        <v>42445</v>
      </c>
      <c r="B683" s="16">
        <v>42507</v>
      </c>
      <c r="C683" t="s">
        <v>360</v>
      </c>
      <c r="D683" t="s">
        <v>120</v>
      </c>
      <c r="E683" t="s">
        <v>1203</v>
      </c>
      <c r="F683" t="s">
        <v>1204</v>
      </c>
      <c r="G683" t="s">
        <v>145</v>
      </c>
      <c r="H683" t="s">
        <v>185</v>
      </c>
      <c r="I683" t="s">
        <v>124</v>
      </c>
      <c r="J683" s="17">
        <v>31.8</v>
      </c>
      <c r="K683" s="17">
        <v>1413</v>
      </c>
      <c r="L683" s="17">
        <v>1330</v>
      </c>
      <c r="M683" s="17">
        <v>7542847</v>
      </c>
      <c r="N683" s="17">
        <v>7542847</v>
      </c>
      <c r="O683" s="17">
        <v>18.25</v>
      </c>
      <c r="P683" s="17">
        <v>18.25</v>
      </c>
      <c r="Q683" t="s">
        <v>84</v>
      </c>
      <c r="R683" t="s">
        <v>84</v>
      </c>
      <c r="S683" t="s">
        <v>85</v>
      </c>
      <c r="T683" t="s">
        <v>84</v>
      </c>
      <c r="U683" t="s">
        <v>84</v>
      </c>
      <c r="V683" s="16">
        <v>42462</v>
      </c>
      <c r="W683" s="18">
        <v>42462.25</v>
      </c>
      <c r="X683" s="18">
        <v>42480</v>
      </c>
      <c r="Y683" s="17">
        <v>1353.2</v>
      </c>
      <c r="Z683" t="s">
        <v>87</v>
      </c>
      <c r="AA683" s="17">
        <v>1415</v>
      </c>
      <c r="AB683" s="17">
        <v>1332.22</v>
      </c>
      <c r="AC683" s="17">
        <v>6412604</v>
      </c>
      <c r="AD683" t="s">
        <v>84</v>
      </c>
      <c r="AE683" s="17">
        <v>18.75</v>
      </c>
      <c r="AF683" t="s">
        <v>84</v>
      </c>
      <c r="AG683" t="s">
        <v>84</v>
      </c>
      <c r="AH683" t="s">
        <v>84</v>
      </c>
      <c r="AI683" t="s">
        <v>92</v>
      </c>
      <c r="AJ683" t="s">
        <v>92</v>
      </c>
      <c r="AK683" t="s">
        <v>300</v>
      </c>
      <c r="AM683" s="17">
        <v>2.4</v>
      </c>
      <c r="AN683" s="17"/>
      <c r="AO683" s="17">
        <v>1375</v>
      </c>
      <c r="AP683" s="17"/>
      <c r="AQ683" s="17">
        <v>3025</v>
      </c>
      <c r="AR683" s="17"/>
      <c r="AS683" s="17">
        <v>1.05</v>
      </c>
      <c r="AT683" s="17"/>
      <c r="AU683" s="17">
        <v>360</v>
      </c>
      <c r="AV683" s="17"/>
      <c r="AW683" s="17">
        <v>1445</v>
      </c>
      <c r="AX683" s="17"/>
      <c r="AY683" t="s">
        <v>92</v>
      </c>
      <c r="AZ683" t="s">
        <v>92</v>
      </c>
      <c r="BA683" t="s">
        <v>92</v>
      </c>
      <c r="BB683" t="s">
        <v>92</v>
      </c>
      <c r="BC683" t="s">
        <v>92</v>
      </c>
      <c r="BD683" t="s">
        <v>92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92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92</v>
      </c>
      <c r="BS683" t="s">
        <v>92</v>
      </c>
      <c r="BT683" t="s">
        <v>92</v>
      </c>
      <c r="BU683" t="s">
        <v>92</v>
      </c>
      <c r="BV683" t="s">
        <v>92</v>
      </c>
      <c r="BW683" t="s">
        <v>92</v>
      </c>
      <c r="BX683" t="s">
        <v>92</v>
      </c>
      <c r="BY683" t="str">
        <f>IF(COUNTIF('Data Upload-prod'!E:E,F683)=0,"Missing","Exist")</f>
        <v>Exist</v>
      </c>
    </row>
    <row r="684" hidden="1" spans="1:77">
      <c r="A684" s="16">
        <v>42444</v>
      </c>
      <c r="B684" s="16">
        <v>42576</v>
      </c>
      <c r="C684" t="s">
        <v>132</v>
      </c>
      <c r="D684" t="s">
        <v>142</v>
      </c>
      <c r="E684" t="s">
        <v>170</v>
      </c>
      <c r="F684" t="s">
        <v>1205</v>
      </c>
      <c r="G684" t="s">
        <v>81</v>
      </c>
      <c r="H684" t="s">
        <v>162</v>
      </c>
      <c r="I684" t="s">
        <v>124</v>
      </c>
      <c r="J684" s="17">
        <v>47.55</v>
      </c>
      <c r="K684" s="17">
        <v>2623.59</v>
      </c>
      <c r="L684" s="17">
        <v>2275.83</v>
      </c>
      <c r="M684" t="s">
        <v>84</v>
      </c>
      <c r="N684" t="s">
        <v>84</v>
      </c>
      <c r="O684" t="s">
        <v>84</v>
      </c>
      <c r="P684" t="s">
        <v>84</v>
      </c>
      <c r="Q684" s="17">
        <v>14164216</v>
      </c>
      <c r="R684" s="17">
        <v>29.15</v>
      </c>
      <c r="S684" t="s">
        <v>106</v>
      </c>
      <c r="T684" t="s">
        <v>84</v>
      </c>
      <c r="U684" t="s">
        <v>84</v>
      </c>
      <c r="V684" s="16">
        <v>42457</v>
      </c>
      <c r="W684" s="18">
        <v>42457.8333333333</v>
      </c>
      <c r="X684" s="18">
        <v>42557.1458333333</v>
      </c>
      <c r="Y684" s="17">
        <v>2593.11</v>
      </c>
      <c r="Z684" t="s">
        <v>87</v>
      </c>
      <c r="AA684" s="17">
        <v>2676.01</v>
      </c>
      <c r="AB684" s="17">
        <v>2308.44</v>
      </c>
      <c r="AC684" t="s">
        <v>84</v>
      </c>
      <c r="AD684" t="s">
        <v>84</v>
      </c>
      <c r="AE684" t="s">
        <v>84</v>
      </c>
      <c r="AF684" t="s">
        <v>84</v>
      </c>
      <c r="AG684" s="17">
        <v>13988236</v>
      </c>
      <c r="AH684" s="17">
        <v>32.73</v>
      </c>
      <c r="AI684" s="17">
        <v>7.89</v>
      </c>
      <c r="AJ684" s="17">
        <v>7.89</v>
      </c>
      <c r="AK684" t="s">
        <v>208</v>
      </c>
      <c r="AM684" s="17">
        <v>1.7</v>
      </c>
      <c r="AN684" s="17"/>
      <c r="AO684" s="17">
        <v>720</v>
      </c>
      <c r="AP684" s="17"/>
      <c r="AQ684" s="17">
        <v>1685</v>
      </c>
      <c r="AR684" s="17"/>
      <c r="AS684" s="17">
        <v>1.83</v>
      </c>
      <c r="AT684" s="17"/>
      <c r="AU684" s="17">
        <v>597.68</v>
      </c>
      <c r="AV684" s="17"/>
      <c r="AW684" s="17">
        <v>1679.26</v>
      </c>
      <c r="AX684" s="17"/>
      <c r="AY684" t="s">
        <v>92</v>
      </c>
      <c r="AZ684" t="s">
        <v>92</v>
      </c>
      <c r="BA684" t="s">
        <v>92</v>
      </c>
      <c r="BB684" t="s">
        <v>92</v>
      </c>
      <c r="BC684" t="s">
        <v>92</v>
      </c>
      <c r="BD684" t="s">
        <v>92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92</v>
      </c>
      <c r="BM684" t="s">
        <v>92</v>
      </c>
      <c r="BN684" t="s">
        <v>92</v>
      </c>
      <c r="BO684" t="s">
        <v>92</v>
      </c>
      <c r="BP684" t="s">
        <v>92</v>
      </c>
      <c r="BQ684" t="s">
        <v>92</v>
      </c>
      <c r="BR684" t="s">
        <v>92</v>
      </c>
      <c r="BS684" t="s">
        <v>92</v>
      </c>
      <c r="BT684" t="s">
        <v>92</v>
      </c>
      <c r="BU684" t="s">
        <v>92</v>
      </c>
      <c r="BV684" t="s">
        <v>92</v>
      </c>
      <c r="BW684" t="s">
        <v>92</v>
      </c>
      <c r="BX684" t="s">
        <v>92</v>
      </c>
      <c r="BY684" t="str">
        <f>IF(COUNTIF('Data Upload-prod'!E:E,F684)=0,"Missing","Exist")</f>
        <v>Exist</v>
      </c>
    </row>
    <row r="685" hidden="1" spans="1:77">
      <c r="A685" s="16">
        <v>42444</v>
      </c>
      <c r="B685" s="16">
        <v>42576</v>
      </c>
      <c r="C685" t="s">
        <v>132</v>
      </c>
      <c r="D685" t="s">
        <v>142</v>
      </c>
      <c r="E685" t="s">
        <v>170</v>
      </c>
      <c r="F685" t="s">
        <v>1206</v>
      </c>
      <c r="G685" t="s">
        <v>81</v>
      </c>
      <c r="H685" t="s">
        <v>162</v>
      </c>
      <c r="I685" t="s">
        <v>124</v>
      </c>
      <c r="J685" s="17">
        <v>47.55</v>
      </c>
      <c r="K685" s="17">
        <v>2282.23</v>
      </c>
      <c r="L685" s="17">
        <v>2153.61</v>
      </c>
      <c r="M685" t="s">
        <v>84</v>
      </c>
      <c r="N685" t="s">
        <v>84</v>
      </c>
      <c r="O685" t="s">
        <v>84</v>
      </c>
      <c r="P685" t="s">
        <v>84</v>
      </c>
      <c r="Q685" s="17">
        <v>12126601</v>
      </c>
      <c r="R685" s="17">
        <v>27.71</v>
      </c>
      <c r="S685" t="s">
        <v>85</v>
      </c>
      <c r="T685" t="s">
        <v>84</v>
      </c>
      <c r="U685" t="s">
        <v>84</v>
      </c>
      <c r="V685" s="16">
        <v>42450</v>
      </c>
      <c r="W685" s="18">
        <v>42450.4166666667</v>
      </c>
      <c r="X685" s="18">
        <v>42535.25</v>
      </c>
      <c r="Y685" s="17">
        <v>2207.56</v>
      </c>
      <c r="Z685" t="s">
        <v>87</v>
      </c>
      <c r="AA685" s="17">
        <v>2290.46</v>
      </c>
      <c r="AB685" s="17">
        <v>2167.94</v>
      </c>
      <c r="AC685" t="s">
        <v>84</v>
      </c>
      <c r="AD685" t="s">
        <v>84</v>
      </c>
      <c r="AE685" t="s">
        <v>84</v>
      </c>
      <c r="AF685" t="s">
        <v>84</v>
      </c>
      <c r="AG685" s="17">
        <v>10747524</v>
      </c>
      <c r="AH685" s="17">
        <v>25.63</v>
      </c>
      <c r="AI685" s="17">
        <v>1.38</v>
      </c>
      <c r="AJ685" s="17">
        <v>1.38</v>
      </c>
      <c r="AK685" t="s">
        <v>298</v>
      </c>
      <c r="AM685" s="17">
        <v>1.8</v>
      </c>
      <c r="AN685" s="17"/>
      <c r="AO685" s="17">
        <v>600</v>
      </c>
      <c r="AP685" s="17"/>
      <c r="AQ685" s="17">
        <v>1670</v>
      </c>
      <c r="AR685" s="17"/>
      <c r="AS685" s="17">
        <v>1.5</v>
      </c>
      <c r="AT685" s="17"/>
      <c r="AU685" s="17">
        <v>497.9</v>
      </c>
      <c r="AV685" s="17"/>
      <c r="AW685" s="17">
        <v>2076.41</v>
      </c>
      <c r="AX685" s="17"/>
      <c r="AY685" t="s">
        <v>92</v>
      </c>
      <c r="AZ685" t="s">
        <v>92</v>
      </c>
      <c r="BA685" t="s">
        <v>92</v>
      </c>
      <c r="BB685" t="s">
        <v>92</v>
      </c>
      <c r="BC685" t="s">
        <v>92</v>
      </c>
      <c r="BD685" t="s">
        <v>92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92</v>
      </c>
      <c r="BM685" t="s">
        <v>92</v>
      </c>
      <c r="BN685" t="s">
        <v>92</v>
      </c>
      <c r="BO685" t="s">
        <v>92</v>
      </c>
      <c r="BP685" t="s">
        <v>92</v>
      </c>
      <c r="BQ685" t="s">
        <v>92</v>
      </c>
      <c r="BR685" t="s">
        <v>92</v>
      </c>
      <c r="BS685" t="s">
        <v>92</v>
      </c>
      <c r="BT685" t="s">
        <v>92</v>
      </c>
      <c r="BU685" t="s">
        <v>92</v>
      </c>
      <c r="BV685" t="s">
        <v>92</v>
      </c>
      <c r="BW685" t="s">
        <v>92</v>
      </c>
      <c r="BX685" t="s">
        <v>92</v>
      </c>
      <c r="BY685" t="str">
        <f>IF(COUNTIF('Data Upload-prod'!E:E,F685)=0,"Missing","Exist")</f>
        <v>Exist</v>
      </c>
    </row>
    <row r="686" hidden="1" spans="1:77">
      <c r="A686" s="16">
        <v>42444</v>
      </c>
      <c r="B686" s="16">
        <v>42576</v>
      </c>
      <c r="C686" t="s">
        <v>132</v>
      </c>
      <c r="D686" t="s">
        <v>142</v>
      </c>
      <c r="E686" t="s">
        <v>170</v>
      </c>
      <c r="F686" t="s">
        <v>1207</v>
      </c>
      <c r="G686" t="s">
        <v>81</v>
      </c>
      <c r="H686" t="s">
        <v>162</v>
      </c>
      <c r="I686" t="s">
        <v>124</v>
      </c>
      <c r="J686" s="17">
        <v>47.55</v>
      </c>
      <c r="K686" s="17">
        <v>2464.19</v>
      </c>
      <c r="L686" s="17">
        <v>2097.84</v>
      </c>
      <c r="M686" t="s">
        <v>84</v>
      </c>
      <c r="N686" t="s">
        <v>84</v>
      </c>
      <c r="O686" t="s">
        <v>84</v>
      </c>
      <c r="P686" t="s">
        <v>84</v>
      </c>
      <c r="Q686" s="17">
        <v>12877554</v>
      </c>
      <c r="R686" s="17">
        <v>27.34</v>
      </c>
      <c r="S686" t="s">
        <v>85</v>
      </c>
      <c r="T686" t="s">
        <v>84</v>
      </c>
      <c r="U686" t="s">
        <v>84</v>
      </c>
      <c r="V686" s="16">
        <v>42462</v>
      </c>
      <c r="W686" s="18">
        <v>42448</v>
      </c>
      <c r="X686" s="18">
        <v>42515.5</v>
      </c>
      <c r="Y686" s="17">
        <v>2309.66</v>
      </c>
      <c r="Z686" t="s">
        <v>87</v>
      </c>
      <c r="AA686" s="17">
        <v>2392.56</v>
      </c>
      <c r="AB686" s="17">
        <v>2076.5</v>
      </c>
      <c r="AC686" t="s">
        <v>84</v>
      </c>
      <c r="AD686" t="s">
        <v>84</v>
      </c>
      <c r="AE686" t="s">
        <v>84</v>
      </c>
      <c r="AF686" t="s">
        <v>84</v>
      </c>
      <c r="AG686" s="17">
        <v>11194767</v>
      </c>
      <c r="AH686" s="17">
        <v>28.7</v>
      </c>
      <c r="AI686" s="17">
        <v>5.44</v>
      </c>
      <c r="AJ686" s="17">
        <v>5.44</v>
      </c>
      <c r="AK686" t="s">
        <v>165</v>
      </c>
      <c r="AM686" s="17">
        <v>2.5</v>
      </c>
      <c r="AN686" s="17"/>
      <c r="AO686" s="17">
        <v>1440</v>
      </c>
      <c r="AP686" s="17"/>
      <c r="AQ686" s="17">
        <v>2015</v>
      </c>
      <c r="AR686" s="17"/>
      <c r="AS686" s="17">
        <v>2.02</v>
      </c>
      <c r="AT686" s="17"/>
      <c r="AU686" s="17">
        <v>631.95</v>
      </c>
      <c r="AV686" s="17"/>
      <c r="AW686" s="17">
        <v>1510.76</v>
      </c>
      <c r="AX686" s="17"/>
      <c r="AY686" t="s">
        <v>92</v>
      </c>
      <c r="AZ686" t="s">
        <v>92</v>
      </c>
      <c r="BA686" t="s">
        <v>92</v>
      </c>
      <c r="BB686" t="s">
        <v>92</v>
      </c>
      <c r="BC686" t="s">
        <v>92</v>
      </c>
      <c r="BD686" t="s">
        <v>92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92</v>
      </c>
      <c r="BM686" t="s">
        <v>92</v>
      </c>
      <c r="BN686" t="s">
        <v>92</v>
      </c>
      <c r="BO686" t="s">
        <v>92</v>
      </c>
      <c r="BP686" t="s">
        <v>92</v>
      </c>
      <c r="BQ686" t="s">
        <v>92</v>
      </c>
      <c r="BR686" t="s">
        <v>92</v>
      </c>
      <c r="BS686" t="s">
        <v>92</v>
      </c>
      <c r="BT686" t="s">
        <v>92</v>
      </c>
      <c r="BU686" t="s">
        <v>92</v>
      </c>
      <c r="BV686" t="s">
        <v>92</v>
      </c>
      <c r="BW686" t="s">
        <v>92</v>
      </c>
      <c r="BX686" t="s">
        <v>92</v>
      </c>
      <c r="BY686" t="str">
        <f>IF(COUNTIF('Data Upload-prod'!E:E,F686)=0,"Missing","Exist")</f>
        <v>Exist</v>
      </c>
    </row>
    <row r="687" hidden="1" spans="1:77">
      <c r="A687" s="16">
        <v>42403</v>
      </c>
      <c r="B687" s="16">
        <v>42972</v>
      </c>
      <c r="C687" t="s">
        <v>269</v>
      </c>
      <c r="D687" t="s">
        <v>78</v>
      </c>
      <c r="E687" t="s">
        <v>440</v>
      </c>
      <c r="F687" t="s">
        <v>1208</v>
      </c>
      <c r="G687" t="s">
        <v>81</v>
      </c>
      <c r="H687" t="s">
        <v>181</v>
      </c>
      <c r="I687" t="s">
        <v>124</v>
      </c>
      <c r="J687" s="17">
        <v>54.01</v>
      </c>
      <c r="K687" s="17">
        <v>3633.34</v>
      </c>
      <c r="L687" s="17">
        <v>1202.07</v>
      </c>
      <c r="M687" t="s">
        <v>84</v>
      </c>
      <c r="N687" t="s">
        <v>84</v>
      </c>
      <c r="O687" t="s">
        <v>84</v>
      </c>
      <c r="P687" t="s">
        <v>84</v>
      </c>
      <c r="Q687" s="17">
        <v>17080000</v>
      </c>
      <c r="R687" s="17">
        <v>29.1</v>
      </c>
      <c r="S687" t="s">
        <v>85</v>
      </c>
      <c r="T687" t="s">
        <v>84</v>
      </c>
      <c r="U687" t="s">
        <v>84</v>
      </c>
      <c r="V687" s="16">
        <v>42444.6666666667</v>
      </c>
      <c r="W687" s="18">
        <v>42444.4791666667</v>
      </c>
      <c r="X687" s="18">
        <v>42856.5416666667</v>
      </c>
      <c r="Y687" s="17">
        <v>3447.58</v>
      </c>
      <c r="Z687" t="s">
        <v>87</v>
      </c>
      <c r="AA687" s="17">
        <v>3540.99</v>
      </c>
      <c r="AB687" s="17">
        <v>1200.61</v>
      </c>
      <c r="AC687" t="s">
        <v>84</v>
      </c>
      <c r="AD687" t="s">
        <v>84</v>
      </c>
      <c r="AE687" t="s">
        <v>84</v>
      </c>
      <c r="AF687" t="s">
        <v>84</v>
      </c>
      <c r="AG687" s="17">
        <v>9670000</v>
      </c>
      <c r="AH687" s="17">
        <v>27.42</v>
      </c>
      <c r="AI687" s="17">
        <v>5.93</v>
      </c>
      <c r="AJ687" s="17">
        <v>5.93</v>
      </c>
      <c r="AK687" t="s">
        <v>208</v>
      </c>
      <c r="AM687" s="17">
        <v>2.1</v>
      </c>
      <c r="AN687" s="17"/>
      <c r="AO687" s="17">
        <v>700</v>
      </c>
      <c r="AP687" s="17"/>
      <c r="AQ687" s="17">
        <v>1225</v>
      </c>
      <c r="AR687" s="17"/>
      <c r="AS687" s="17">
        <v>1.13</v>
      </c>
      <c r="AT687" s="17"/>
      <c r="AU687" s="17">
        <v>548</v>
      </c>
      <c r="AV687" s="17"/>
      <c r="AW687" s="17">
        <v>1057</v>
      </c>
      <c r="AX687" s="17"/>
      <c r="AY687" t="s">
        <v>92</v>
      </c>
      <c r="AZ687" t="s">
        <v>92</v>
      </c>
      <c r="BA687" t="s">
        <v>92</v>
      </c>
      <c r="BB687" t="s">
        <v>92</v>
      </c>
      <c r="BC687" t="s">
        <v>92</v>
      </c>
      <c r="BD687" t="s">
        <v>92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92</v>
      </c>
      <c r="BM687" t="s">
        <v>92</v>
      </c>
      <c r="BN687" t="s">
        <v>92</v>
      </c>
      <c r="BO687" t="s">
        <v>92</v>
      </c>
      <c r="BP687" t="s">
        <v>92</v>
      </c>
      <c r="BQ687" t="s">
        <v>92</v>
      </c>
      <c r="BR687" t="s">
        <v>92</v>
      </c>
      <c r="BS687" t="s">
        <v>92</v>
      </c>
      <c r="BT687" t="s">
        <v>92</v>
      </c>
      <c r="BU687" t="s">
        <v>92</v>
      </c>
      <c r="BV687" t="s">
        <v>92</v>
      </c>
      <c r="BW687" t="s">
        <v>92</v>
      </c>
      <c r="BX687" t="s">
        <v>92</v>
      </c>
      <c r="BY687" t="str">
        <f>IF(COUNTIF('Data Upload-prod'!E:E,F687)=0,"Missing","Exist")</f>
        <v>Exist</v>
      </c>
    </row>
    <row r="688" hidden="1" spans="1:77">
      <c r="A688" s="16">
        <v>42403</v>
      </c>
      <c r="B688" s="16">
        <v>42972</v>
      </c>
      <c r="C688" t="s">
        <v>269</v>
      </c>
      <c r="D688" t="s">
        <v>78</v>
      </c>
      <c r="E688" t="s">
        <v>440</v>
      </c>
      <c r="F688" t="s">
        <v>1209</v>
      </c>
      <c r="G688" t="s">
        <v>81</v>
      </c>
      <c r="H688" t="s">
        <v>181</v>
      </c>
      <c r="I688" t="s">
        <v>124</v>
      </c>
      <c r="J688" s="17">
        <v>54.01</v>
      </c>
      <c r="K688" s="17">
        <v>2402.62</v>
      </c>
      <c r="L688" s="17">
        <v>1217.01</v>
      </c>
      <c r="M688" t="s">
        <v>84</v>
      </c>
      <c r="N688" t="s">
        <v>84</v>
      </c>
      <c r="O688" t="s">
        <v>84</v>
      </c>
      <c r="P688" t="s">
        <v>84</v>
      </c>
      <c r="Q688" s="17">
        <v>20370000</v>
      </c>
      <c r="R688" s="17">
        <v>33.6</v>
      </c>
      <c r="S688" t="s">
        <v>85</v>
      </c>
      <c r="T688" t="s">
        <v>84</v>
      </c>
      <c r="U688" t="s">
        <v>86</v>
      </c>
      <c r="V688" s="16">
        <v>42442.0625</v>
      </c>
      <c r="W688" s="18">
        <v>42441.8958333333</v>
      </c>
      <c r="X688" s="18">
        <v>42458.25</v>
      </c>
      <c r="Y688" s="17">
        <v>2334.2</v>
      </c>
      <c r="Z688" t="s">
        <v>87</v>
      </c>
      <c r="AA688" s="17">
        <v>2427.61</v>
      </c>
      <c r="AB688" s="17">
        <v>1174.95</v>
      </c>
      <c r="AC688" t="s">
        <v>84</v>
      </c>
      <c r="AD688" t="s">
        <v>84</v>
      </c>
      <c r="AE688" t="s">
        <v>84</v>
      </c>
      <c r="AF688" t="s">
        <v>84</v>
      </c>
      <c r="AG688" s="17">
        <v>6430000</v>
      </c>
      <c r="AH688" s="17">
        <v>13.63</v>
      </c>
      <c r="AI688" s="17">
        <v>3.11</v>
      </c>
      <c r="AJ688" s="17">
        <v>3.11</v>
      </c>
      <c r="AK688" t="s">
        <v>208</v>
      </c>
      <c r="AM688" s="17">
        <v>2.1</v>
      </c>
      <c r="AN688" s="17"/>
      <c r="AO688" s="17">
        <v>700</v>
      </c>
      <c r="AP688" s="17"/>
      <c r="AQ688" s="17">
        <v>1220</v>
      </c>
      <c r="AR688" s="17"/>
      <c r="AS688" s="17">
        <v>1.1</v>
      </c>
      <c r="AT688" s="17"/>
      <c r="AU688" s="17">
        <v>515</v>
      </c>
      <c r="AV688" s="17"/>
      <c r="AW688" s="17">
        <v>820</v>
      </c>
      <c r="AX688" s="17"/>
      <c r="AY688" t="s">
        <v>92</v>
      </c>
      <c r="AZ688" t="s">
        <v>92</v>
      </c>
      <c r="BA688" t="s">
        <v>92</v>
      </c>
      <c r="BB688" t="s">
        <v>92</v>
      </c>
      <c r="BC688" t="s">
        <v>92</v>
      </c>
      <c r="BD688" s="17">
        <v>3.2</v>
      </c>
      <c r="BE688" s="17">
        <v>1596999</v>
      </c>
      <c r="BF688" t="s">
        <v>92</v>
      </c>
      <c r="BG688" t="s">
        <v>92</v>
      </c>
      <c r="BH688" t="s">
        <v>93</v>
      </c>
      <c r="BI688" t="s">
        <v>94</v>
      </c>
      <c r="BJ688" t="s">
        <v>173</v>
      </c>
      <c r="BK688" t="s">
        <v>85</v>
      </c>
      <c r="BL688" t="s">
        <v>85</v>
      </c>
      <c r="BM688" t="s">
        <v>159</v>
      </c>
      <c r="BN688" t="s">
        <v>97</v>
      </c>
      <c r="BO688" t="s">
        <v>98</v>
      </c>
      <c r="BP688" t="s">
        <v>99</v>
      </c>
      <c r="BQ688" s="17">
        <v>0</v>
      </c>
      <c r="BR688" t="s">
        <v>100</v>
      </c>
      <c r="BS688" t="s">
        <v>92</v>
      </c>
      <c r="BT688" t="s">
        <v>99</v>
      </c>
      <c r="BU688" s="17">
        <v>9.9</v>
      </c>
      <c r="BV688" t="s">
        <v>308</v>
      </c>
      <c r="BW688" t="s">
        <v>85</v>
      </c>
      <c r="BX688" t="s">
        <v>85</v>
      </c>
      <c r="BY688" t="str">
        <f>IF(COUNTIF('Data Upload-prod'!E:E,F688)=0,"Missing","Exist")</f>
        <v>Exist</v>
      </c>
    </row>
    <row r="689" hidden="1" spans="1:77">
      <c r="A689" s="16">
        <v>42403</v>
      </c>
      <c r="B689" s="16">
        <v>42972</v>
      </c>
      <c r="C689" t="s">
        <v>269</v>
      </c>
      <c r="D689" t="s">
        <v>78</v>
      </c>
      <c r="E689" t="s">
        <v>440</v>
      </c>
      <c r="F689" t="s">
        <v>1210</v>
      </c>
      <c r="G689" t="s">
        <v>81</v>
      </c>
      <c r="H689" t="s">
        <v>181</v>
      </c>
      <c r="I689" t="s">
        <v>124</v>
      </c>
      <c r="J689" s="17">
        <v>54.01</v>
      </c>
      <c r="K689" s="17">
        <v>3777.51</v>
      </c>
      <c r="L689" s="17">
        <v>1205.12</v>
      </c>
      <c r="M689" t="s">
        <v>84</v>
      </c>
      <c r="N689" t="s">
        <v>84</v>
      </c>
      <c r="O689" t="s">
        <v>84</v>
      </c>
      <c r="P689" t="s">
        <v>84</v>
      </c>
      <c r="Q689" s="17">
        <v>18326603</v>
      </c>
      <c r="R689" s="17">
        <v>31.7</v>
      </c>
      <c r="S689" t="s">
        <v>106</v>
      </c>
      <c r="T689" t="s">
        <v>84</v>
      </c>
      <c r="U689" t="s">
        <v>86</v>
      </c>
      <c r="V689" s="16">
        <v>42443</v>
      </c>
      <c r="W689" s="18">
        <v>42443.2083333333</v>
      </c>
      <c r="X689" s="18">
        <v>42852.8958333333</v>
      </c>
      <c r="Y689" s="17">
        <v>3806.92</v>
      </c>
      <c r="Z689" t="s">
        <v>87</v>
      </c>
      <c r="AA689" s="17">
        <v>3900.34</v>
      </c>
      <c r="AB689" s="17">
        <v>1203.6</v>
      </c>
      <c r="AC689" t="s">
        <v>84</v>
      </c>
      <c r="AD689" t="s">
        <v>84</v>
      </c>
      <c r="AE689" t="s">
        <v>84</v>
      </c>
      <c r="AF689" t="s">
        <v>84</v>
      </c>
      <c r="AG689" s="17">
        <v>15488831.77</v>
      </c>
      <c r="AH689" s="17">
        <v>38.58</v>
      </c>
      <c r="AI689" s="17">
        <v>47.63</v>
      </c>
      <c r="AJ689" s="17">
        <v>47.63</v>
      </c>
      <c r="AK689" s="13" t="s">
        <v>155</v>
      </c>
      <c r="AL689" s="13"/>
      <c r="AM689" t="s">
        <v>92</v>
      </c>
      <c r="AO689" t="s">
        <v>92</v>
      </c>
      <c r="AQ689" t="s">
        <v>92</v>
      </c>
      <c r="AS689" s="17">
        <v>2.53</v>
      </c>
      <c r="AT689" s="17"/>
      <c r="AU689" s="17">
        <v>1042</v>
      </c>
      <c r="AV689" s="17"/>
      <c r="AW689" s="17">
        <v>1240</v>
      </c>
      <c r="AX689" s="17"/>
      <c r="AY689" t="s">
        <v>92</v>
      </c>
      <c r="AZ689" t="s">
        <v>92</v>
      </c>
      <c r="BA689" t="s">
        <v>92</v>
      </c>
      <c r="BB689" t="s">
        <v>92</v>
      </c>
      <c r="BC689" t="s">
        <v>92</v>
      </c>
      <c r="BD689" s="17">
        <v>4.8</v>
      </c>
      <c r="BE689" s="17">
        <v>1410040</v>
      </c>
      <c r="BF689" t="s">
        <v>92</v>
      </c>
      <c r="BG689" t="s">
        <v>92</v>
      </c>
      <c r="BH689" t="s">
        <v>93</v>
      </c>
      <c r="BI689" t="s">
        <v>94</v>
      </c>
      <c r="BJ689" t="s">
        <v>173</v>
      </c>
      <c r="BK689" t="s">
        <v>85</v>
      </c>
      <c r="BL689" t="s">
        <v>85</v>
      </c>
      <c r="BM689" t="s">
        <v>159</v>
      </c>
      <c r="BN689" t="s">
        <v>97</v>
      </c>
      <c r="BO689" t="s">
        <v>98</v>
      </c>
      <c r="BP689" t="s">
        <v>99</v>
      </c>
      <c r="BQ689" s="17">
        <v>0</v>
      </c>
      <c r="BR689" t="s">
        <v>138</v>
      </c>
      <c r="BS689" t="s">
        <v>92</v>
      </c>
      <c r="BT689" t="s">
        <v>99</v>
      </c>
      <c r="BU689" s="17">
        <v>8.6</v>
      </c>
      <c r="BV689" t="s">
        <v>308</v>
      </c>
      <c r="BW689" t="s">
        <v>85</v>
      </c>
      <c r="BX689" t="s">
        <v>85</v>
      </c>
      <c r="BY689" t="str">
        <f>IF(COUNTIF('Data Upload-prod'!E:E,F689)=0,"Missing","Exist")</f>
        <v>Exist</v>
      </c>
    </row>
    <row r="690" hidden="1" spans="1:77">
      <c r="A690" s="16">
        <v>42403</v>
      </c>
      <c r="B690" s="16">
        <v>42972</v>
      </c>
      <c r="C690" t="s">
        <v>269</v>
      </c>
      <c r="D690" t="s">
        <v>78</v>
      </c>
      <c r="E690" t="s">
        <v>440</v>
      </c>
      <c r="F690" t="s">
        <v>1211</v>
      </c>
      <c r="G690" t="s">
        <v>81</v>
      </c>
      <c r="H690" t="s">
        <v>181</v>
      </c>
      <c r="I690" t="s">
        <v>124</v>
      </c>
      <c r="J690" s="17">
        <v>54.01</v>
      </c>
      <c r="K690" s="17">
        <v>3499.24</v>
      </c>
      <c r="L690" s="17">
        <v>1205.12</v>
      </c>
      <c r="M690" t="s">
        <v>84</v>
      </c>
      <c r="N690" t="s">
        <v>84</v>
      </c>
      <c r="O690" t="s">
        <v>84</v>
      </c>
      <c r="P690" t="s">
        <v>84</v>
      </c>
      <c r="Q690" s="17">
        <v>17690000</v>
      </c>
      <c r="R690" s="17">
        <v>30.1</v>
      </c>
      <c r="S690" t="s">
        <v>85</v>
      </c>
      <c r="T690" t="s">
        <v>84</v>
      </c>
      <c r="U690" t="s">
        <v>86</v>
      </c>
      <c r="V690" s="16">
        <v>42440</v>
      </c>
      <c r="W690" s="18">
        <v>42439.7916666667</v>
      </c>
      <c r="X690" s="18">
        <v>42475</v>
      </c>
      <c r="Y690" s="17">
        <v>3343.04</v>
      </c>
      <c r="Z690" t="s">
        <v>87</v>
      </c>
      <c r="AA690" s="17">
        <v>3436.45</v>
      </c>
      <c r="AB690" s="17">
        <v>1200.63</v>
      </c>
      <c r="AC690" t="s">
        <v>84</v>
      </c>
      <c r="AD690" t="s">
        <v>84</v>
      </c>
      <c r="AE690" t="s">
        <v>84</v>
      </c>
      <c r="AF690" t="s">
        <v>84</v>
      </c>
      <c r="AG690" s="17">
        <v>8528628.91</v>
      </c>
      <c r="AH690" s="17">
        <v>19.48</v>
      </c>
      <c r="AI690" s="17">
        <v>1.93</v>
      </c>
      <c r="AJ690" s="17">
        <v>1.93</v>
      </c>
      <c r="AK690" t="s">
        <v>208</v>
      </c>
      <c r="AM690" s="17">
        <v>2.1</v>
      </c>
      <c r="AN690" s="17"/>
      <c r="AO690" s="17">
        <v>700</v>
      </c>
      <c r="AP690" s="17"/>
      <c r="AQ690" s="17">
        <v>1220</v>
      </c>
      <c r="AR690" s="17"/>
      <c r="AS690" s="17">
        <v>1.09</v>
      </c>
      <c r="AT690" s="17"/>
      <c r="AU690" s="17">
        <v>468</v>
      </c>
      <c r="AV690" s="17"/>
      <c r="AW690" s="17">
        <v>778</v>
      </c>
      <c r="AX690" s="17"/>
      <c r="AY690" t="s">
        <v>92</v>
      </c>
      <c r="AZ690" t="s">
        <v>92</v>
      </c>
      <c r="BA690" t="s">
        <v>92</v>
      </c>
      <c r="BB690" t="s">
        <v>92</v>
      </c>
      <c r="BC690" t="s">
        <v>92</v>
      </c>
      <c r="BD690" s="17">
        <v>4.91</v>
      </c>
      <c r="BE690" s="17">
        <v>2032416</v>
      </c>
      <c r="BF690" t="s">
        <v>92</v>
      </c>
      <c r="BG690" t="s">
        <v>92</v>
      </c>
      <c r="BH690" t="s">
        <v>93</v>
      </c>
      <c r="BI690" t="s">
        <v>94</v>
      </c>
      <c r="BJ690" t="s">
        <v>173</v>
      </c>
      <c r="BK690" t="s">
        <v>85</v>
      </c>
      <c r="BL690" t="s">
        <v>85</v>
      </c>
      <c r="BM690" t="s">
        <v>159</v>
      </c>
      <c r="BN690" t="s">
        <v>97</v>
      </c>
      <c r="BO690" t="s">
        <v>98</v>
      </c>
      <c r="BP690" t="s">
        <v>99</v>
      </c>
      <c r="BQ690" s="17">
        <v>0</v>
      </c>
      <c r="BR690" t="s">
        <v>138</v>
      </c>
      <c r="BS690" t="s">
        <v>92</v>
      </c>
      <c r="BT690" t="s">
        <v>99</v>
      </c>
      <c r="BU690" s="17">
        <v>8.6</v>
      </c>
      <c r="BV690" t="s">
        <v>308</v>
      </c>
      <c r="BW690" t="s">
        <v>85</v>
      </c>
      <c r="BX690" t="s">
        <v>85</v>
      </c>
      <c r="BY690" t="str">
        <f>IF(COUNTIF('Data Upload-prod'!E:E,F690)=0,"Missing","Exist")</f>
        <v>Exist</v>
      </c>
    </row>
    <row r="691" hidden="1" spans="1:77">
      <c r="A691" s="16">
        <v>42381</v>
      </c>
      <c r="B691" s="16">
        <v>42509</v>
      </c>
      <c r="C691" t="s">
        <v>218</v>
      </c>
      <c r="D691" t="s">
        <v>78</v>
      </c>
      <c r="E691" t="s">
        <v>219</v>
      </c>
      <c r="F691" t="s">
        <v>1212</v>
      </c>
      <c r="G691" t="s">
        <v>81</v>
      </c>
      <c r="H691" t="s">
        <v>790</v>
      </c>
      <c r="I691" t="s">
        <v>124</v>
      </c>
      <c r="J691" s="17">
        <v>72.8</v>
      </c>
      <c r="K691" s="17">
        <v>3533</v>
      </c>
      <c r="L691" s="17">
        <v>1185</v>
      </c>
      <c r="M691" t="s">
        <v>84</v>
      </c>
      <c r="N691" t="s">
        <v>84</v>
      </c>
      <c r="O691" t="s">
        <v>84</v>
      </c>
      <c r="P691" t="s">
        <v>84</v>
      </c>
      <c r="Q691" s="17">
        <v>12930770</v>
      </c>
      <c r="R691" s="17">
        <v>25.47</v>
      </c>
      <c r="S691" t="s">
        <v>85</v>
      </c>
      <c r="T691" t="s">
        <v>84</v>
      </c>
      <c r="U691" t="s">
        <v>84</v>
      </c>
      <c r="V691" s="16">
        <v>42443</v>
      </c>
      <c r="W691" s="18">
        <v>42437</v>
      </c>
      <c r="X691" s="18">
        <v>42460.8333333333</v>
      </c>
      <c r="Y691" s="17">
        <v>3487</v>
      </c>
      <c r="Z691" t="s">
        <v>87</v>
      </c>
      <c r="AA691" s="17">
        <v>3605</v>
      </c>
      <c r="AB691" s="17">
        <v>1164.81</v>
      </c>
      <c r="AC691" t="s">
        <v>84</v>
      </c>
      <c r="AD691" t="s">
        <v>84</v>
      </c>
      <c r="AE691" t="s">
        <v>84</v>
      </c>
      <c r="AF691" t="s">
        <v>84</v>
      </c>
      <c r="AG691" s="17">
        <v>11304747</v>
      </c>
      <c r="AH691" s="17">
        <v>23.83</v>
      </c>
      <c r="AI691" s="17">
        <v>2.84</v>
      </c>
      <c r="AJ691" s="17">
        <v>2.84</v>
      </c>
      <c r="AK691" t="s">
        <v>298</v>
      </c>
      <c r="AM691" s="17">
        <v>1.8</v>
      </c>
      <c r="AN691" s="17"/>
      <c r="AO691" s="17">
        <v>600</v>
      </c>
      <c r="AP691" s="17"/>
      <c r="AQ691" s="17">
        <v>1160</v>
      </c>
      <c r="AR691" s="17"/>
      <c r="AS691" s="17">
        <v>1.17</v>
      </c>
      <c r="AT691" s="17"/>
      <c r="AU691" s="17">
        <v>429.8</v>
      </c>
      <c r="AV691" s="17"/>
      <c r="AW691" s="17">
        <v>1116.8</v>
      </c>
      <c r="AX691" s="17"/>
      <c r="AY691" t="s">
        <v>92</v>
      </c>
      <c r="AZ691" t="s">
        <v>92</v>
      </c>
      <c r="BA691" t="s">
        <v>92</v>
      </c>
      <c r="BB691" t="s">
        <v>92</v>
      </c>
      <c r="BC691" t="s">
        <v>92</v>
      </c>
      <c r="BD691" t="s">
        <v>92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92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92</v>
      </c>
      <c r="BS691" t="s">
        <v>92</v>
      </c>
      <c r="BT691" t="s">
        <v>92</v>
      </c>
      <c r="BU691" t="s">
        <v>92</v>
      </c>
      <c r="BV691" t="s">
        <v>92</v>
      </c>
      <c r="BW691" t="s">
        <v>92</v>
      </c>
      <c r="BX691" t="s">
        <v>92</v>
      </c>
      <c r="BY691" t="str">
        <f>IF(COUNTIF('Data Upload-prod'!E:E,F691)=0,"Missing","Exist")</f>
        <v>Exist</v>
      </c>
    </row>
    <row r="692" hidden="1" spans="1:77">
      <c r="A692" s="16">
        <v>42375</v>
      </c>
      <c r="B692" s="16">
        <v>42454</v>
      </c>
      <c r="C692" t="s">
        <v>178</v>
      </c>
      <c r="D692" t="s">
        <v>120</v>
      </c>
      <c r="E692" t="s">
        <v>870</v>
      </c>
      <c r="F692" t="s">
        <v>1213</v>
      </c>
      <c r="G692" t="s">
        <v>81</v>
      </c>
      <c r="H692" t="s">
        <v>205</v>
      </c>
      <c r="I692" t="s">
        <v>124</v>
      </c>
      <c r="J692" s="17">
        <v>45.11</v>
      </c>
      <c r="K692" s="17">
        <v>1881.13</v>
      </c>
      <c r="L692" s="17">
        <v>1760.13</v>
      </c>
      <c r="M692" t="s">
        <v>84</v>
      </c>
      <c r="N692" t="s">
        <v>84</v>
      </c>
      <c r="O692" t="s">
        <v>84</v>
      </c>
      <c r="P692" t="s">
        <v>84</v>
      </c>
      <c r="Q692" s="17">
        <v>10800000</v>
      </c>
      <c r="R692" s="17">
        <v>16.44</v>
      </c>
      <c r="S692" t="s">
        <v>85</v>
      </c>
      <c r="T692" t="s">
        <v>84</v>
      </c>
      <c r="U692" t="s">
        <v>84</v>
      </c>
      <c r="V692" s="16">
        <v>42380</v>
      </c>
      <c r="W692" s="18">
        <v>42378</v>
      </c>
      <c r="X692" s="18">
        <v>42395.8333333333</v>
      </c>
      <c r="Y692" s="17">
        <v>1744.84</v>
      </c>
      <c r="Z692" t="s">
        <v>87</v>
      </c>
      <c r="AA692" s="17">
        <v>1837.24</v>
      </c>
      <c r="AB692" s="17">
        <v>1770.26</v>
      </c>
      <c r="AC692" t="s">
        <v>84</v>
      </c>
      <c r="AD692" t="s">
        <v>84</v>
      </c>
      <c r="AE692" t="s">
        <v>84</v>
      </c>
      <c r="AF692" t="s">
        <v>84</v>
      </c>
      <c r="AG692" s="17">
        <v>8157732</v>
      </c>
      <c r="AH692" s="17">
        <v>17.92</v>
      </c>
      <c r="AI692" s="17">
        <v>12.85</v>
      </c>
      <c r="AJ692" s="17">
        <v>11.1</v>
      </c>
      <c r="AK692" t="s">
        <v>89</v>
      </c>
      <c r="AM692" s="17">
        <v>2.4</v>
      </c>
      <c r="AN692" s="17"/>
      <c r="AO692" s="17">
        <v>795</v>
      </c>
      <c r="AP692" s="17"/>
      <c r="AQ692" s="17">
        <v>1550</v>
      </c>
      <c r="AR692" s="17"/>
      <c r="AS692" s="17">
        <v>3.02</v>
      </c>
      <c r="AT692" s="17"/>
      <c r="AU692" s="17">
        <v>991</v>
      </c>
      <c r="AV692" s="17"/>
      <c r="AW692" s="17">
        <v>3800</v>
      </c>
      <c r="AX692" s="17"/>
      <c r="AY692" t="s">
        <v>92</v>
      </c>
      <c r="AZ692" t="s">
        <v>92</v>
      </c>
      <c r="BA692" t="s">
        <v>92</v>
      </c>
      <c r="BB692" t="s">
        <v>92</v>
      </c>
      <c r="BC692" t="s">
        <v>92</v>
      </c>
      <c r="BD692" t="s">
        <v>92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92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92</v>
      </c>
      <c r="BS692" t="s">
        <v>92</v>
      </c>
      <c r="BT692" t="s">
        <v>92</v>
      </c>
      <c r="BU692" t="s">
        <v>92</v>
      </c>
      <c r="BV692" t="s">
        <v>92</v>
      </c>
      <c r="BW692" t="s">
        <v>92</v>
      </c>
      <c r="BX692" t="s">
        <v>92</v>
      </c>
      <c r="BY692" t="str">
        <f>IF(COUNTIF('Data Upload-prod'!E:E,F692)=0,"Missing","Exist")</f>
        <v>Exist</v>
      </c>
    </row>
    <row r="693" hidden="1" spans="1:77">
      <c r="A693" s="16">
        <v>42374</v>
      </c>
      <c r="B693" t="s">
        <v>84</v>
      </c>
      <c r="C693" t="s">
        <v>233</v>
      </c>
      <c r="D693" t="s">
        <v>142</v>
      </c>
      <c r="E693" t="s">
        <v>1214</v>
      </c>
      <c r="F693" t="s">
        <v>1215</v>
      </c>
      <c r="G693" t="s">
        <v>145</v>
      </c>
      <c r="H693" t="s">
        <v>1216</v>
      </c>
      <c r="I693" t="s">
        <v>124</v>
      </c>
      <c r="J693" s="17">
        <v>18.5</v>
      </c>
      <c r="K693" s="17">
        <v>1818</v>
      </c>
      <c r="L693" s="17">
        <v>1650</v>
      </c>
      <c r="M693" s="17">
        <v>16215404</v>
      </c>
      <c r="N693" s="17">
        <v>19617160</v>
      </c>
      <c r="O693" s="17">
        <v>34.9</v>
      </c>
      <c r="P693" s="17">
        <v>41.1</v>
      </c>
      <c r="Q693" t="s">
        <v>84</v>
      </c>
      <c r="R693" t="s">
        <v>84</v>
      </c>
      <c r="S693" t="s">
        <v>85</v>
      </c>
      <c r="T693" t="s">
        <v>84</v>
      </c>
      <c r="U693" t="s">
        <v>84</v>
      </c>
      <c r="V693" s="16">
        <v>42388</v>
      </c>
      <c r="W693" s="18">
        <v>42387</v>
      </c>
      <c r="X693" s="18">
        <v>42424</v>
      </c>
      <c r="Y693" s="17">
        <v>1328.5</v>
      </c>
      <c r="Z693" t="s">
        <v>87</v>
      </c>
      <c r="AA693" s="17">
        <v>1381</v>
      </c>
      <c r="AB693" s="17">
        <v>1257.75</v>
      </c>
      <c r="AC693" t="s">
        <v>84</v>
      </c>
      <c r="AD693" s="17">
        <v>14696625</v>
      </c>
      <c r="AE693" t="s">
        <v>84</v>
      </c>
      <c r="AF693" s="17">
        <v>36.8</v>
      </c>
      <c r="AG693" t="s">
        <v>84</v>
      </c>
      <c r="AH693" t="s">
        <v>84</v>
      </c>
      <c r="AI693" s="17">
        <v>1.3</v>
      </c>
      <c r="AJ693" s="17">
        <v>1.3</v>
      </c>
      <c r="AK693" t="s">
        <v>295</v>
      </c>
      <c r="AM693" s="17">
        <v>2.7</v>
      </c>
      <c r="AN693" s="17"/>
      <c r="AO693" s="17">
        <v>1490</v>
      </c>
      <c r="AP693" s="17"/>
      <c r="AQ693" s="17">
        <v>2760</v>
      </c>
      <c r="AR693" s="17"/>
      <c r="AS693" s="13" t="s">
        <v>150</v>
      </c>
      <c r="AT693"/>
      <c r="AU693" s="13" t="s">
        <v>150</v>
      </c>
      <c r="AW693" s="13" t="s">
        <v>150</v>
      </c>
      <c r="AY693" t="s">
        <v>92</v>
      </c>
      <c r="AZ693" t="s">
        <v>92</v>
      </c>
      <c r="BA693" t="s">
        <v>92</v>
      </c>
      <c r="BB693" t="s">
        <v>92</v>
      </c>
      <c r="BC693" t="s">
        <v>92</v>
      </c>
      <c r="BD693" t="s">
        <v>92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92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92</v>
      </c>
      <c r="BS693" t="s">
        <v>92</v>
      </c>
      <c r="BT693" t="s">
        <v>92</v>
      </c>
      <c r="BU693" t="s">
        <v>92</v>
      </c>
      <c r="BV693" t="s">
        <v>92</v>
      </c>
      <c r="BW693" t="s">
        <v>92</v>
      </c>
      <c r="BX693" t="s">
        <v>92</v>
      </c>
      <c r="BY693" t="str">
        <f>IF(COUNTIF('Data Upload-prod'!E:E,F693)=0,"Missing","Exist")</f>
        <v>Exist</v>
      </c>
    </row>
    <row r="694" hidden="1" spans="1:77">
      <c r="A694" s="16">
        <v>42361</v>
      </c>
      <c r="B694" s="16">
        <v>42500</v>
      </c>
      <c r="C694" t="s">
        <v>132</v>
      </c>
      <c r="D694" t="s">
        <v>142</v>
      </c>
      <c r="E694" t="s">
        <v>170</v>
      </c>
      <c r="F694" t="s">
        <v>1217</v>
      </c>
      <c r="G694" t="s">
        <v>81</v>
      </c>
      <c r="H694" t="s">
        <v>162</v>
      </c>
      <c r="I694" t="s">
        <v>124</v>
      </c>
      <c r="J694" s="17">
        <v>10.06</v>
      </c>
      <c r="K694" s="17">
        <v>2263.94</v>
      </c>
      <c r="L694" s="17">
        <v>2160.32</v>
      </c>
      <c r="M694" t="s">
        <v>84</v>
      </c>
      <c r="N694" t="s">
        <v>84</v>
      </c>
      <c r="O694" t="s">
        <v>84</v>
      </c>
      <c r="P694" t="s">
        <v>84</v>
      </c>
      <c r="Q694" s="17">
        <v>14396396.85</v>
      </c>
      <c r="R694" s="17">
        <v>31.54</v>
      </c>
      <c r="S694" t="s">
        <v>85</v>
      </c>
      <c r="T694" t="s">
        <v>84</v>
      </c>
      <c r="U694" t="s">
        <v>84</v>
      </c>
      <c r="V694" s="16">
        <v>42369</v>
      </c>
      <c r="W694" s="18">
        <v>42369.9166666667</v>
      </c>
      <c r="X694" s="18">
        <v>42440.375</v>
      </c>
      <c r="Y694" s="17">
        <v>2360.56</v>
      </c>
      <c r="Z694" t="s">
        <v>87</v>
      </c>
      <c r="AA694" s="17">
        <v>2404.75</v>
      </c>
      <c r="AB694" s="17">
        <v>2295.43</v>
      </c>
      <c r="AC694" t="s">
        <v>84</v>
      </c>
      <c r="AD694" t="s">
        <v>84</v>
      </c>
      <c r="AE694" t="s">
        <v>84</v>
      </c>
      <c r="AF694" t="s">
        <v>84</v>
      </c>
      <c r="AG694" s="17">
        <v>10884080</v>
      </c>
      <c r="AH694" s="17">
        <v>25.48</v>
      </c>
      <c r="AI694" s="17">
        <v>4.17</v>
      </c>
      <c r="AJ694" s="17">
        <v>4.17</v>
      </c>
      <c r="AK694" t="s">
        <v>208</v>
      </c>
      <c r="AM694" s="17">
        <v>1.7</v>
      </c>
      <c r="AN694" s="17"/>
      <c r="AO694" s="17">
        <v>720</v>
      </c>
      <c r="AP694" s="17"/>
      <c r="AQ694" s="17">
        <v>1285</v>
      </c>
      <c r="AR694" s="17"/>
      <c r="AS694" s="17">
        <v>1.41</v>
      </c>
      <c r="AT694" s="17"/>
      <c r="AU694" s="17">
        <v>584.7</v>
      </c>
      <c r="AV694" s="17"/>
      <c r="AW694" s="17">
        <v>1443.51</v>
      </c>
      <c r="AX694" s="17"/>
      <c r="AY694" t="s">
        <v>92</v>
      </c>
      <c r="AZ694" t="s">
        <v>92</v>
      </c>
      <c r="BA694" t="s">
        <v>92</v>
      </c>
      <c r="BB694" t="s">
        <v>92</v>
      </c>
      <c r="BC694" t="s">
        <v>92</v>
      </c>
      <c r="BD694" t="s">
        <v>92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92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92</v>
      </c>
      <c r="BS694" t="s">
        <v>92</v>
      </c>
      <c r="BT694" t="s">
        <v>92</v>
      </c>
      <c r="BU694" t="s">
        <v>92</v>
      </c>
      <c r="BV694" t="s">
        <v>92</v>
      </c>
      <c r="BW694" t="s">
        <v>92</v>
      </c>
      <c r="BX694" t="s">
        <v>92</v>
      </c>
      <c r="BY694" t="str">
        <f>IF(COUNTIF('Data Upload-prod'!E:E,F694)=0,"Missing","Exist")</f>
        <v>Exist</v>
      </c>
    </row>
    <row r="695" hidden="1" spans="1:77">
      <c r="A695" s="16">
        <v>42361</v>
      </c>
      <c r="B695" s="16">
        <v>42489</v>
      </c>
      <c r="C695" t="s">
        <v>132</v>
      </c>
      <c r="D695" t="s">
        <v>142</v>
      </c>
      <c r="E695" t="s">
        <v>170</v>
      </c>
      <c r="F695" t="s">
        <v>1218</v>
      </c>
      <c r="G695" t="s">
        <v>81</v>
      </c>
      <c r="H695" t="s">
        <v>162</v>
      </c>
      <c r="I695" t="s">
        <v>124</v>
      </c>
      <c r="J695" s="17">
        <v>10.06</v>
      </c>
      <c r="K695" s="17">
        <v>2213.35</v>
      </c>
      <c r="L695" s="17">
        <v>2080.77</v>
      </c>
      <c r="M695" t="s">
        <v>84</v>
      </c>
      <c r="N695" t="s">
        <v>84</v>
      </c>
      <c r="O695" t="s">
        <v>84</v>
      </c>
      <c r="P695" t="s">
        <v>84</v>
      </c>
      <c r="Q695" s="17">
        <v>14140240.03</v>
      </c>
      <c r="R695" s="17">
        <v>32.25</v>
      </c>
      <c r="S695" t="s">
        <v>85</v>
      </c>
      <c r="T695" t="s">
        <v>84</v>
      </c>
      <c r="U695" t="s">
        <v>84</v>
      </c>
      <c r="V695" s="16">
        <v>42369</v>
      </c>
      <c r="W695" s="18">
        <v>42369.625</v>
      </c>
      <c r="X695" s="18">
        <v>42430.3125</v>
      </c>
      <c r="Y695" s="17">
        <v>2177.69</v>
      </c>
      <c r="Z695" t="s">
        <v>87</v>
      </c>
      <c r="AA695" s="17">
        <v>2221.88</v>
      </c>
      <c r="AB695" s="17">
        <v>2089.3</v>
      </c>
      <c r="AC695" t="s">
        <v>84</v>
      </c>
      <c r="AD695" t="s">
        <v>84</v>
      </c>
      <c r="AE695" t="s">
        <v>84</v>
      </c>
      <c r="AF695" t="s">
        <v>84</v>
      </c>
      <c r="AG695" s="17">
        <v>12436960</v>
      </c>
      <c r="AH695" s="17">
        <v>23.73</v>
      </c>
      <c r="AI695" s="17">
        <v>15.63</v>
      </c>
      <c r="AJ695" s="17">
        <v>15.63</v>
      </c>
      <c r="AK695" t="s">
        <v>208</v>
      </c>
      <c r="AM695" s="17">
        <v>1.7</v>
      </c>
      <c r="AN695" s="17"/>
      <c r="AO695" s="17">
        <v>720</v>
      </c>
      <c r="AP695" s="17"/>
      <c r="AQ695" s="17">
        <v>1285</v>
      </c>
      <c r="AR695" s="17"/>
      <c r="AS695" s="17">
        <v>1.52</v>
      </c>
      <c r="AT695" s="17"/>
      <c r="AU695" s="17">
        <v>925.99</v>
      </c>
      <c r="AV695" s="17"/>
      <c r="AW695" s="17">
        <v>1792.07</v>
      </c>
      <c r="AX695" s="17"/>
      <c r="AY695" t="s">
        <v>92</v>
      </c>
      <c r="AZ695" t="s">
        <v>92</v>
      </c>
      <c r="BA695" t="s">
        <v>92</v>
      </c>
      <c r="BB695" t="s">
        <v>92</v>
      </c>
      <c r="BC695" t="s">
        <v>92</v>
      </c>
      <c r="BD695" t="s">
        <v>92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92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92</v>
      </c>
      <c r="BS695" t="s">
        <v>92</v>
      </c>
      <c r="BT695" t="s">
        <v>92</v>
      </c>
      <c r="BU695" t="s">
        <v>92</v>
      </c>
      <c r="BV695" t="s">
        <v>92</v>
      </c>
      <c r="BW695" t="s">
        <v>92</v>
      </c>
      <c r="BX695" t="s">
        <v>92</v>
      </c>
      <c r="BY695" t="str">
        <f>IF(COUNTIF('Data Upload-prod'!E:E,F695)=0,"Missing","Exist")</f>
        <v>Exist</v>
      </c>
    </row>
    <row r="696" hidden="1" spans="1:77">
      <c r="A696" s="16">
        <v>42361</v>
      </c>
      <c r="B696" s="16">
        <v>42451</v>
      </c>
      <c r="C696" t="s">
        <v>195</v>
      </c>
      <c r="D696" t="s">
        <v>78</v>
      </c>
      <c r="E696" t="s">
        <v>196</v>
      </c>
      <c r="F696" t="s">
        <v>1219</v>
      </c>
      <c r="G696" t="s">
        <v>81</v>
      </c>
      <c r="H696" t="s">
        <v>198</v>
      </c>
      <c r="I696" t="s">
        <v>83</v>
      </c>
      <c r="J696" s="17">
        <v>63.7</v>
      </c>
      <c r="K696" s="17">
        <v>2555</v>
      </c>
      <c r="L696" s="17">
        <v>2022</v>
      </c>
      <c r="M696" t="s">
        <v>84</v>
      </c>
      <c r="N696" t="s">
        <v>84</v>
      </c>
      <c r="O696" t="s">
        <v>84</v>
      </c>
      <c r="P696" t="s">
        <v>84</v>
      </c>
      <c r="Q696" s="17">
        <v>11300000</v>
      </c>
      <c r="R696" s="17">
        <v>17.26</v>
      </c>
      <c r="S696" t="s">
        <v>85</v>
      </c>
      <c r="T696" t="s">
        <v>84</v>
      </c>
      <c r="U696" t="s">
        <v>84</v>
      </c>
      <c r="V696" s="16">
        <v>42385</v>
      </c>
      <c r="W696" s="18">
        <v>42384.8125</v>
      </c>
      <c r="X696" s="18">
        <v>42409.2083333333</v>
      </c>
      <c r="Y696" s="17">
        <v>2458</v>
      </c>
      <c r="Z696" t="s">
        <v>87</v>
      </c>
      <c r="AA696" s="17">
        <v>2555</v>
      </c>
      <c r="AB696" s="17">
        <v>2033</v>
      </c>
      <c r="AC696" t="s">
        <v>84</v>
      </c>
      <c r="AD696" t="s">
        <v>84</v>
      </c>
      <c r="AE696" t="s">
        <v>84</v>
      </c>
      <c r="AF696" t="s">
        <v>84</v>
      </c>
      <c r="AG696" s="17">
        <v>10800000</v>
      </c>
      <c r="AH696" s="17">
        <v>24.4</v>
      </c>
      <c r="AI696" s="17">
        <v>2.09</v>
      </c>
      <c r="AJ696" s="17">
        <v>1.48</v>
      </c>
      <c r="AK696" t="s">
        <v>298</v>
      </c>
      <c r="AM696" s="17">
        <v>1.8</v>
      </c>
      <c r="AN696" s="17"/>
      <c r="AO696" s="17">
        <v>600</v>
      </c>
      <c r="AP696" s="17"/>
      <c r="AQ696" s="17">
        <v>1160</v>
      </c>
      <c r="AR696" s="17"/>
      <c r="AS696" s="13" t="s">
        <v>150</v>
      </c>
      <c r="AT696"/>
      <c r="AU696" s="13" t="s">
        <v>150</v>
      </c>
      <c r="AW696" s="13" t="s">
        <v>150</v>
      </c>
      <c r="AY696" t="s">
        <v>92</v>
      </c>
      <c r="AZ696" t="s">
        <v>92</v>
      </c>
      <c r="BA696" t="s">
        <v>92</v>
      </c>
      <c r="BB696" t="s">
        <v>92</v>
      </c>
      <c r="BC696" t="s">
        <v>92</v>
      </c>
      <c r="BD696" t="s">
        <v>92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92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92</v>
      </c>
      <c r="BS696" t="s">
        <v>92</v>
      </c>
      <c r="BT696" t="s">
        <v>92</v>
      </c>
      <c r="BU696" t="s">
        <v>92</v>
      </c>
      <c r="BV696" t="s">
        <v>92</v>
      </c>
      <c r="BW696" t="s">
        <v>92</v>
      </c>
      <c r="BX696" t="s">
        <v>92</v>
      </c>
      <c r="BY696" t="str">
        <f>IF(COUNTIF('Data Upload-prod'!E:E,F696)=0,"Missing","Exist")</f>
        <v>Exist</v>
      </c>
    </row>
    <row r="697" hidden="1" spans="1:77">
      <c r="A697" s="16">
        <v>42352</v>
      </c>
      <c r="B697" s="16">
        <v>42473</v>
      </c>
      <c r="C697" t="s">
        <v>360</v>
      </c>
      <c r="D697" t="s">
        <v>120</v>
      </c>
      <c r="E697" t="s">
        <v>715</v>
      </c>
      <c r="F697" t="s">
        <v>1220</v>
      </c>
      <c r="G697" t="s">
        <v>81</v>
      </c>
      <c r="H697" t="s">
        <v>185</v>
      </c>
      <c r="I697" t="s">
        <v>124</v>
      </c>
      <c r="J697" s="17">
        <v>40.85</v>
      </c>
      <c r="K697" s="17">
        <v>3493.3</v>
      </c>
      <c r="L697" s="17">
        <v>1590.38</v>
      </c>
      <c r="M697" t="s">
        <v>84</v>
      </c>
      <c r="N697" t="s">
        <v>84</v>
      </c>
      <c r="O697" t="s">
        <v>84</v>
      </c>
      <c r="P697" t="s">
        <v>84</v>
      </c>
      <c r="Q697" s="17">
        <v>23843781</v>
      </c>
      <c r="R697" s="17">
        <v>49.8</v>
      </c>
      <c r="S697" t="s">
        <v>85</v>
      </c>
      <c r="T697" t="s">
        <v>84</v>
      </c>
      <c r="U697" t="s">
        <v>86</v>
      </c>
      <c r="V697" s="16">
        <v>42373</v>
      </c>
      <c r="W697" s="18">
        <v>42373.625</v>
      </c>
      <c r="X697" s="18">
        <v>42389</v>
      </c>
      <c r="Y697" s="17">
        <v>3247.65</v>
      </c>
      <c r="Z697" t="s">
        <v>87</v>
      </c>
      <c r="AA697" s="17">
        <v>3318.5</v>
      </c>
      <c r="AB697" s="17">
        <v>1550.49</v>
      </c>
      <c r="AC697" t="s">
        <v>84</v>
      </c>
      <c r="AD697" t="s">
        <v>84</v>
      </c>
      <c r="AE697" t="s">
        <v>84</v>
      </c>
      <c r="AF697" t="s">
        <v>84</v>
      </c>
      <c r="AG697" s="17">
        <v>6113744</v>
      </c>
      <c r="AH697" s="17">
        <v>12.17</v>
      </c>
      <c r="AI697" s="17">
        <v>0.51</v>
      </c>
      <c r="AJ697" s="17">
        <v>0.51</v>
      </c>
      <c r="AK697" s="13" t="s">
        <v>149</v>
      </c>
      <c r="AL697" s="13"/>
      <c r="AM697" t="s">
        <v>92</v>
      </c>
      <c r="AO697" t="s">
        <v>92</v>
      </c>
      <c r="AQ697" t="s">
        <v>92</v>
      </c>
      <c r="AS697" s="17">
        <v>1</v>
      </c>
      <c r="AT697" s="17"/>
      <c r="AU697" s="17">
        <v>501</v>
      </c>
      <c r="AV697" s="17"/>
      <c r="AW697" s="17">
        <v>573</v>
      </c>
      <c r="AX697" s="17"/>
      <c r="AY697" t="s">
        <v>92</v>
      </c>
      <c r="AZ697" t="s">
        <v>92</v>
      </c>
      <c r="BA697" t="s">
        <v>92</v>
      </c>
      <c r="BB697" t="s">
        <v>92</v>
      </c>
      <c r="BC697" t="s">
        <v>92</v>
      </c>
      <c r="BD697" s="17">
        <v>1.23</v>
      </c>
      <c r="BE697" s="17">
        <v>789000</v>
      </c>
      <c r="BF697" t="s">
        <v>92</v>
      </c>
      <c r="BG697" t="s">
        <v>92</v>
      </c>
      <c r="BH697" t="s">
        <v>93</v>
      </c>
      <c r="BI697" t="s">
        <v>94</v>
      </c>
      <c r="BJ697" t="s">
        <v>95</v>
      </c>
      <c r="BK697" t="s">
        <v>85</v>
      </c>
      <c r="BL697" t="s">
        <v>85</v>
      </c>
      <c r="BM697" t="s">
        <v>96</v>
      </c>
      <c r="BN697" t="s">
        <v>97</v>
      </c>
      <c r="BO697" t="s">
        <v>98</v>
      </c>
      <c r="BP697" t="s">
        <v>103</v>
      </c>
      <c r="BQ697" s="17">
        <v>60</v>
      </c>
      <c r="BR697" t="s">
        <v>100</v>
      </c>
      <c r="BS697" t="s">
        <v>92</v>
      </c>
      <c r="BT697" t="s">
        <v>103</v>
      </c>
      <c r="BU697" s="17">
        <v>9.5</v>
      </c>
      <c r="BV697" t="s">
        <v>588</v>
      </c>
      <c r="BW697" t="s">
        <v>85</v>
      </c>
      <c r="BX697" t="s">
        <v>85</v>
      </c>
      <c r="BY697" t="str">
        <f>IF(COUNTIF('Data Upload-prod'!E:E,F697)=0,"Missing","Exist")</f>
        <v>Exist</v>
      </c>
    </row>
    <row r="698" hidden="1" spans="1:77">
      <c r="A698" s="16">
        <v>42352</v>
      </c>
      <c r="B698" s="16">
        <v>42473</v>
      </c>
      <c r="C698" t="s">
        <v>360</v>
      </c>
      <c r="D698" t="s">
        <v>120</v>
      </c>
      <c r="E698" t="s">
        <v>715</v>
      </c>
      <c r="F698" t="s">
        <v>1221</v>
      </c>
      <c r="G698" t="s">
        <v>81</v>
      </c>
      <c r="H698" t="s">
        <v>185</v>
      </c>
      <c r="I698" t="s">
        <v>124</v>
      </c>
      <c r="J698" s="17">
        <v>40.85</v>
      </c>
      <c r="K698" s="17">
        <v>2923.31</v>
      </c>
      <c r="L698" s="17">
        <v>1422.98</v>
      </c>
      <c r="M698" t="s">
        <v>84</v>
      </c>
      <c r="N698" t="s">
        <v>84</v>
      </c>
      <c r="O698" t="s">
        <v>84</v>
      </c>
      <c r="P698" t="s">
        <v>84</v>
      </c>
      <c r="Q698" s="17">
        <v>7531809</v>
      </c>
      <c r="R698" s="17">
        <v>15.8</v>
      </c>
      <c r="S698" t="s">
        <v>85</v>
      </c>
      <c r="T698" t="s">
        <v>84</v>
      </c>
      <c r="U698" t="s">
        <v>86</v>
      </c>
      <c r="V698" s="16">
        <v>42379</v>
      </c>
      <c r="W698" s="18">
        <v>42379</v>
      </c>
      <c r="X698" s="18">
        <v>42407</v>
      </c>
      <c r="Y698" s="17">
        <v>2631.15</v>
      </c>
      <c r="Z698" t="s">
        <v>87</v>
      </c>
      <c r="AA698" s="17">
        <v>2702</v>
      </c>
      <c r="AB698" s="17">
        <v>1496.27</v>
      </c>
      <c r="AC698" t="s">
        <v>84</v>
      </c>
      <c r="AD698" t="s">
        <v>84</v>
      </c>
      <c r="AE698" t="s">
        <v>84</v>
      </c>
      <c r="AF698" t="s">
        <v>84</v>
      </c>
      <c r="AG698" s="17">
        <v>8272740</v>
      </c>
      <c r="AH698" s="17">
        <v>14.48</v>
      </c>
      <c r="AI698" s="17">
        <v>0</v>
      </c>
      <c r="AJ698" s="17">
        <v>0</v>
      </c>
      <c r="AK698" t="s">
        <v>497</v>
      </c>
      <c r="AM698" s="17">
        <v>1.4</v>
      </c>
      <c r="AN698" s="17"/>
      <c r="AO698" s="17">
        <v>550</v>
      </c>
      <c r="AP698" s="17"/>
      <c r="AQ698" s="17">
        <v>990</v>
      </c>
      <c r="AR698" s="17"/>
      <c r="AS698" s="17">
        <v>1.36</v>
      </c>
      <c r="AT698" s="17"/>
      <c r="AU698" s="17">
        <v>775</v>
      </c>
      <c r="AV698" s="17"/>
      <c r="AW698" s="17">
        <v>984</v>
      </c>
      <c r="AX698" s="17"/>
      <c r="AY698" t="s">
        <v>92</v>
      </c>
      <c r="AZ698" t="s">
        <v>92</v>
      </c>
      <c r="BA698" t="s">
        <v>92</v>
      </c>
      <c r="BB698" t="s">
        <v>92</v>
      </c>
      <c r="BC698" t="s">
        <v>92</v>
      </c>
      <c r="BD698" s="17">
        <v>2.98</v>
      </c>
      <c r="BE698" s="17">
        <v>3099000</v>
      </c>
      <c r="BF698" t="s">
        <v>92</v>
      </c>
      <c r="BG698" t="s">
        <v>92</v>
      </c>
      <c r="BH698" t="s">
        <v>93</v>
      </c>
      <c r="BI698" t="s">
        <v>94</v>
      </c>
      <c r="BJ698" t="s">
        <v>625</v>
      </c>
      <c r="BK698" t="s">
        <v>85</v>
      </c>
      <c r="BL698" t="s">
        <v>85</v>
      </c>
      <c r="BM698" t="s">
        <v>96</v>
      </c>
      <c r="BN698" t="s">
        <v>97</v>
      </c>
      <c r="BO698" t="s">
        <v>98</v>
      </c>
      <c r="BP698" t="s">
        <v>99</v>
      </c>
      <c r="BQ698" s="17">
        <v>233</v>
      </c>
      <c r="BR698" t="s">
        <v>138</v>
      </c>
      <c r="BS698" t="s">
        <v>92</v>
      </c>
      <c r="BT698" t="s">
        <v>99</v>
      </c>
      <c r="BU698" s="17">
        <v>9.5</v>
      </c>
      <c r="BV698" t="s">
        <v>308</v>
      </c>
      <c r="BW698" t="s">
        <v>85</v>
      </c>
      <c r="BX698" t="s">
        <v>85</v>
      </c>
      <c r="BY698" t="str">
        <f>IF(COUNTIF('Data Upload-prod'!E:E,F698)=0,"Missing","Exist")</f>
        <v>Exist</v>
      </c>
    </row>
    <row r="699" hidden="1" spans="1:77">
      <c r="A699" s="16">
        <v>42352</v>
      </c>
      <c r="B699" s="16">
        <v>42473</v>
      </c>
      <c r="C699" t="s">
        <v>360</v>
      </c>
      <c r="D699" t="s">
        <v>120</v>
      </c>
      <c r="E699" t="s">
        <v>715</v>
      </c>
      <c r="F699" t="s">
        <v>1222</v>
      </c>
      <c r="G699" t="s">
        <v>81</v>
      </c>
      <c r="H699" t="s">
        <v>185</v>
      </c>
      <c r="I699" t="s">
        <v>124</v>
      </c>
      <c r="J699" s="17">
        <v>40.85</v>
      </c>
      <c r="K699" s="17">
        <v>1853.77</v>
      </c>
      <c r="L699" s="17">
        <v>1445</v>
      </c>
      <c r="M699" t="s">
        <v>84</v>
      </c>
      <c r="N699" t="s">
        <v>84</v>
      </c>
      <c r="O699" t="s">
        <v>84</v>
      </c>
      <c r="P699" t="s">
        <v>84</v>
      </c>
      <c r="Q699" s="17">
        <v>8896964</v>
      </c>
      <c r="R699" s="17">
        <v>20</v>
      </c>
      <c r="S699" t="s">
        <v>85</v>
      </c>
      <c r="T699" t="s">
        <v>84</v>
      </c>
      <c r="U699" t="s">
        <v>84</v>
      </c>
      <c r="V699" s="16">
        <v>42377.375</v>
      </c>
      <c r="W699" s="18">
        <v>42377.375</v>
      </c>
      <c r="X699" s="18">
        <v>42411</v>
      </c>
      <c r="Y699" s="17">
        <v>2549.15</v>
      </c>
      <c r="Z699" t="s">
        <v>87</v>
      </c>
      <c r="AA699" s="17">
        <v>2620</v>
      </c>
      <c r="AB699" s="17">
        <v>1713.87</v>
      </c>
      <c r="AC699" t="s">
        <v>84</v>
      </c>
      <c r="AD699" t="s">
        <v>84</v>
      </c>
      <c r="AE699" t="s">
        <v>84</v>
      </c>
      <c r="AF699" t="s">
        <v>84</v>
      </c>
      <c r="AG699" s="17">
        <v>8235939</v>
      </c>
      <c r="AH699" s="17">
        <v>17.23</v>
      </c>
      <c r="AI699" s="17">
        <v>3.02</v>
      </c>
      <c r="AJ699" s="17">
        <v>3.02</v>
      </c>
      <c r="AK699" s="13" t="s">
        <v>149</v>
      </c>
      <c r="AL699" s="13"/>
      <c r="AM699" t="s">
        <v>92</v>
      </c>
      <c r="AO699" t="s">
        <v>92</v>
      </c>
      <c r="AQ699" t="s">
        <v>92</v>
      </c>
      <c r="AS699" s="17">
        <v>1.34</v>
      </c>
      <c r="AT699" s="17"/>
      <c r="AU699" s="17">
        <v>639</v>
      </c>
      <c r="AV699" s="17"/>
      <c r="AW699" s="17">
        <v>835</v>
      </c>
      <c r="AX699" s="17"/>
      <c r="AY699" t="s">
        <v>92</v>
      </c>
      <c r="AZ699" t="s">
        <v>92</v>
      </c>
      <c r="BA699" t="s">
        <v>92</v>
      </c>
      <c r="BB699" t="s">
        <v>92</v>
      </c>
      <c r="BC699" t="s">
        <v>92</v>
      </c>
      <c r="BD699" t="s">
        <v>92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92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92</v>
      </c>
      <c r="BS699" t="s">
        <v>92</v>
      </c>
      <c r="BT699" t="s">
        <v>92</v>
      </c>
      <c r="BU699" t="s">
        <v>92</v>
      </c>
      <c r="BV699" t="s">
        <v>92</v>
      </c>
      <c r="BW699" t="s">
        <v>92</v>
      </c>
      <c r="BX699" t="s">
        <v>92</v>
      </c>
      <c r="BY699" t="str">
        <f>IF(COUNTIF('Data Upload-prod'!E:E,F699)=0,"Missing","Exist")</f>
        <v>Exist</v>
      </c>
    </row>
    <row r="700" hidden="1" spans="1:77">
      <c r="A700" s="16">
        <v>42349</v>
      </c>
      <c r="B700" s="16">
        <v>42486</v>
      </c>
      <c r="C700" t="s">
        <v>178</v>
      </c>
      <c r="D700" t="s">
        <v>120</v>
      </c>
      <c r="E700" t="s">
        <v>870</v>
      </c>
      <c r="F700" t="s">
        <v>1223</v>
      </c>
      <c r="G700" t="s">
        <v>81</v>
      </c>
      <c r="H700" t="s">
        <v>205</v>
      </c>
      <c r="I700" t="s">
        <v>124</v>
      </c>
      <c r="J700" s="17">
        <v>45.11</v>
      </c>
      <c r="K700" s="17">
        <v>3118.87</v>
      </c>
      <c r="L700" s="17">
        <v>1722.95</v>
      </c>
      <c r="M700" t="s">
        <v>84</v>
      </c>
      <c r="N700" t="s">
        <v>84</v>
      </c>
      <c r="O700" t="s">
        <v>84</v>
      </c>
      <c r="P700" t="s">
        <v>84</v>
      </c>
      <c r="Q700" s="17">
        <v>14661000</v>
      </c>
      <c r="R700" s="17">
        <v>18.51</v>
      </c>
      <c r="S700" t="s">
        <v>85</v>
      </c>
      <c r="T700" t="s">
        <v>84</v>
      </c>
      <c r="U700" t="s">
        <v>84</v>
      </c>
      <c r="V700" s="16">
        <v>42397</v>
      </c>
      <c r="W700" s="18">
        <v>42395.8333333333</v>
      </c>
      <c r="X700" s="18">
        <v>42430.6666666667</v>
      </c>
      <c r="Y700" s="17">
        <v>3071.26</v>
      </c>
      <c r="Z700" t="s">
        <v>87</v>
      </c>
      <c r="AA700" s="17">
        <v>3163.67</v>
      </c>
      <c r="AB700" s="17">
        <v>1743.55</v>
      </c>
      <c r="AC700" t="s">
        <v>84</v>
      </c>
      <c r="AD700" t="s">
        <v>84</v>
      </c>
      <c r="AE700" t="s">
        <v>84</v>
      </c>
      <c r="AF700" t="s">
        <v>84</v>
      </c>
      <c r="AG700" s="17">
        <v>10086695</v>
      </c>
      <c r="AH700" s="17">
        <v>18.51</v>
      </c>
      <c r="AI700" s="17">
        <v>16.49</v>
      </c>
      <c r="AJ700" s="17">
        <v>16.49</v>
      </c>
      <c r="AK700" t="s">
        <v>89</v>
      </c>
      <c r="AM700" s="17">
        <v>2.4</v>
      </c>
      <c r="AN700" s="17"/>
      <c r="AO700" s="17">
        <v>795</v>
      </c>
      <c r="AP700" s="17"/>
      <c r="AQ700" s="17">
        <v>1200</v>
      </c>
      <c r="AR700" s="17"/>
      <c r="AS700" s="17">
        <v>2.78</v>
      </c>
      <c r="AT700" s="17"/>
      <c r="AU700" s="17">
        <v>887</v>
      </c>
      <c r="AV700" s="17"/>
      <c r="AW700" s="17">
        <v>1720</v>
      </c>
      <c r="AX700" s="17"/>
      <c r="AY700" t="s">
        <v>92</v>
      </c>
      <c r="AZ700" t="s">
        <v>92</v>
      </c>
      <c r="BA700" t="s">
        <v>92</v>
      </c>
      <c r="BB700" t="s">
        <v>92</v>
      </c>
      <c r="BC700" t="s">
        <v>92</v>
      </c>
      <c r="BD700" t="s">
        <v>92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92</v>
      </c>
      <c r="BM700" t="s">
        <v>92</v>
      </c>
      <c r="BN700" t="s">
        <v>92</v>
      </c>
      <c r="BO700" t="s">
        <v>92</v>
      </c>
      <c r="BP700" t="s">
        <v>92</v>
      </c>
      <c r="BQ700" t="s">
        <v>92</v>
      </c>
      <c r="BR700" t="s">
        <v>92</v>
      </c>
      <c r="BS700" t="s">
        <v>92</v>
      </c>
      <c r="BT700" t="s">
        <v>92</v>
      </c>
      <c r="BU700" t="s">
        <v>92</v>
      </c>
      <c r="BV700" t="s">
        <v>92</v>
      </c>
      <c r="BW700" t="s">
        <v>92</v>
      </c>
      <c r="BX700" t="s">
        <v>92</v>
      </c>
      <c r="BY700" t="str">
        <f>IF(COUNTIF('Data Upload-prod'!E:E,F700)=0,"Missing","Exist")</f>
        <v>Exist</v>
      </c>
    </row>
    <row r="701" hidden="1" spans="1:77">
      <c r="A701" s="16">
        <v>42341</v>
      </c>
      <c r="B701" s="16">
        <v>42424</v>
      </c>
      <c r="C701" t="s">
        <v>233</v>
      </c>
      <c r="D701" t="s">
        <v>142</v>
      </c>
      <c r="E701" t="s">
        <v>1224</v>
      </c>
      <c r="F701" t="s">
        <v>1225</v>
      </c>
      <c r="G701" t="s">
        <v>145</v>
      </c>
      <c r="H701" t="s">
        <v>1216</v>
      </c>
      <c r="I701" t="s">
        <v>124</v>
      </c>
      <c r="J701" s="17">
        <v>39.5</v>
      </c>
      <c r="K701" s="17">
        <v>1234</v>
      </c>
      <c r="L701" s="17">
        <v>1234</v>
      </c>
      <c r="M701" s="17">
        <v>12636057</v>
      </c>
      <c r="N701" s="17">
        <v>15166862</v>
      </c>
      <c r="O701" s="17">
        <v>28</v>
      </c>
      <c r="P701" s="17">
        <v>31.9</v>
      </c>
      <c r="Q701" t="s">
        <v>84</v>
      </c>
      <c r="R701" t="s">
        <v>84</v>
      </c>
      <c r="S701" t="s">
        <v>85</v>
      </c>
      <c r="T701" t="s">
        <v>84</v>
      </c>
      <c r="U701" t="s">
        <v>84</v>
      </c>
      <c r="V701" s="16">
        <v>42374</v>
      </c>
      <c r="W701" s="18">
        <v>42372.7083333333</v>
      </c>
      <c r="X701" s="18">
        <v>42387.1875</v>
      </c>
      <c r="Y701" s="17">
        <v>1310.5</v>
      </c>
      <c r="Z701" t="s">
        <v>87</v>
      </c>
      <c r="AA701" s="17">
        <v>1384</v>
      </c>
      <c r="AB701" s="17">
        <v>1384</v>
      </c>
      <c r="AC701" t="s">
        <v>84</v>
      </c>
      <c r="AD701" s="17">
        <v>8000000</v>
      </c>
      <c r="AE701" t="s">
        <v>84</v>
      </c>
      <c r="AF701" s="17">
        <v>15.4</v>
      </c>
      <c r="AG701" t="s">
        <v>84</v>
      </c>
      <c r="AH701" t="s">
        <v>84</v>
      </c>
      <c r="AI701" s="17">
        <v>0</v>
      </c>
      <c r="AJ701" s="17">
        <v>0</v>
      </c>
      <c r="AK701" t="s">
        <v>300</v>
      </c>
      <c r="AM701" s="17">
        <v>2.6</v>
      </c>
      <c r="AN701" s="17"/>
      <c r="AO701" s="17">
        <v>1010</v>
      </c>
      <c r="AP701" s="17"/>
      <c r="AQ701" s="17">
        <v>2090</v>
      </c>
      <c r="AR701" s="17"/>
      <c r="AS701" s="17">
        <v>2.43</v>
      </c>
      <c r="AT701" s="17"/>
      <c r="AU701" s="17">
        <v>1139</v>
      </c>
      <c r="AV701" s="17"/>
      <c r="AW701" s="17">
        <v>1856</v>
      </c>
      <c r="AX701" s="17"/>
      <c r="AY701" t="s">
        <v>92</v>
      </c>
      <c r="AZ701" t="s">
        <v>92</v>
      </c>
      <c r="BA701" t="s">
        <v>92</v>
      </c>
      <c r="BB701" t="s">
        <v>92</v>
      </c>
      <c r="BC701" t="s">
        <v>92</v>
      </c>
      <c r="BD701" t="s">
        <v>92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92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92</v>
      </c>
      <c r="BS701" t="s">
        <v>92</v>
      </c>
      <c r="BT701" t="s">
        <v>92</v>
      </c>
      <c r="BU701" t="s">
        <v>92</v>
      </c>
      <c r="BV701" t="s">
        <v>92</v>
      </c>
      <c r="BW701" t="s">
        <v>92</v>
      </c>
      <c r="BX701" t="s">
        <v>92</v>
      </c>
      <c r="BY701" t="str">
        <f>IF(COUNTIF('Data Upload-prod'!E:E,F701)=0,"Missing","Exist")</f>
        <v>Exist</v>
      </c>
    </row>
    <row r="702" hidden="1" spans="1:77">
      <c r="A702" s="16">
        <v>42339</v>
      </c>
      <c r="B702" s="16">
        <v>42527</v>
      </c>
      <c r="C702" t="s">
        <v>218</v>
      </c>
      <c r="D702" t="s">
        <v>78</v>
      </c>
      <c r="E702" t="s">
        <v>219</v>
      </c>
      <c r="F702" t="s">
        <v>1226</v>
      </c>
      <c r="G702" t="s">
        <v>81</v>
      </c>
      <c r="H702" t="s">
        <v>790</v>
      </c>
      <c r="I702" t="s">
        <v>124</v>
      </c>
      <c r="J702" s="17">
        <v>72.8</v>
      </c>
      <c r="K702" s="17">
        <v>3636</v>
      </c>
      <c r="L702" s="17">
        <v>1164</v>
      </c>
      <c r="M702" t="s">
        <v>84</v>
      </c>
      <c r="N702" t="s">
        <v>84</v>
      </c>
      <c r="O702" t="s">
        <v>84</v>
      </c>
      <c r="P702" t="s">
        <v>84</v>
      </c>
      <c r="Q702" s="17">
        <v>13125806</v>
      </c>
      <c r="R702" s="17">
        <v>25.4</v>
      </c>
      <c r="S702" t="s">
        <v>85</v>
      </c>
      <c r="T702" t="s">
        <v>84</v>
      </c>
      <c r="U702" t="s">
        <v>84</v>
      </c>
      <c r="V702" s="16">
        <v>42464</v>
      </c>
      <c r="W702" s="18">
        <v>42460.8333333333</v>
      </c>
      <c r="X702" s="18">
        <v>42478.75</v>
      </c>
      <c r="Y702" s="17">
        <v>3519</v>
      </c>
      <c r="Z702" t="s">
        <v>87</v>
      </c>
      <c r="AA702" s="17">
        <v>3637</v>
      </c>
      <c r="AB702" s="17">
        <v>1161.98</v>
      </c>
      <c r="AC702" t="s">
        <v>84</v>
      </c>
      <c r="AD702" t="s">
        <v>84</v>
      </c>
      <c r="AE702" t="s">
        <v>84</v>
      </c>
      <c r="AF702" t="s">
        <v>84</v>
      </c>
      <c r="AG702" s="17">
        <v>9263844</v>
      </c>
      <c r="AH702" s="17">
        <v>17.92</v>
      </c>
      <c r="AI702" s="17">
        <v>2.09</v>
      </c>
      <c r="AJ702" s="17">
        <v>2.09</v>
      </c>
      <c r="AK702" t="s">
        <v>298</v>
      </c>
      <c r="AM702" s="17">
        <v>1.8</v>
      </c>
      <c r="AN702" s="17"/>
      <c r="AO702" s="17">
        <v>600</v>
      </c>
      <c r="AP702" s="17"/>
      <c r="AQ702" s="17">
        <v>1160</v>
      </c>
      <c r="AR702" s="17"/>
      <c r="AS702" s="17">
        <v>0.91</v>
      </c>
      <c r="AT702" s="17"/>
      <c r="AU702" s="17">
        <v>367.86</v>
      </c>
      <c r="AV702" s="17"/>
      <c r="AW702" s="17">
        <v>931.58</v>
      </c>
      <c r="AX702" s="17"/>
      <c r="AY702" t="s">
        <v>92</v>
      </c>
      <c r="AZ702" t="s">
        <v>92</v>
      </c>
      <c r="BA702" t="s">
        <v>92</v>
      </c>
      <c r="BB702" t="s">
        <v>92</v>
      </c>
      <c r="BC702" t="s">
        <v>92</v>
      </c>
      <c r="BD702" t="s">
        <v>92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92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92</v>
      </c>
      <c r="BS702" t="s">
        <v>92</v>
      </c>
      <c r="BT702" t="s">
        <v>92</v>
      </c>
      <c r="BU702" t="s">
        <v>92</v>
      </c>
      <c r="BV702" t="s">
        <v>92</v>
      </c>
      <c r="BW702" t="s">
        <v>92</v>
      </c>
      <c r="BX702" t="s">
        <v>92</v>
      </c>
      <c r="BY702" t="str">
        <f>IF(COUNTIF('Data Upload-prod'!E:E,F702)=0,"Missing","Exist")</f>
        <v>Exist</v>
      </c>
    </row>
    <row r="703" hidden="1" spans="1:77">
      <c r="A703" s="16">
        <v>42339</v>
      </c>
      <c r="B703" s="16">
        <v>42535</v>
      </c>
      <c r="C703" t="s">
        <v>218</v>
      </c>
      <c r="D703" t="s">
        <v>78</v>
      </c>
      <c r="E703" t="s">
        <v>219</v>
      </c>
      <c r="F703" t="s">
        <v>1227</v>
      </c>
      <c r="G703" t="s">
        <v>81</v>
      </c>
      <c r="H703" t="s">
        <v>790</v>
      </c>
      <c r="I703" t="s">
        <v>124</v>
      </c>
      <c r="J703" s="17">
        <v>72.8</v>
      </c>
      <c r="K703" s="17">
        <v>3090</v>
      </c>
      <c r="L703" s="17">
        <v>1164.7</v>
      </c>
      <c r="M703" t="s">
        <v>84</v>
      </c>
      <c r="N703" t="s">
        <v>84</v>
      </c>
      <c r="O703" t="s">
        <v>84</v>
      </c>
      <c r="P703" t="s">
        <v>84</v>
      </c>
      <c r="Q703" s="17">
        <v>11067899</v>
      </c>
      <c r="R703" s="17">
        <v>20.92</v>
      </c>
      <c r="S703" t="s">
        <v>85</v>
      </c>
      <c r="T703" t="s">
        <v>84</v>
      </c>
      <c r="U703" t="s">
        <v>84</v>
      </c>
      <c r="V703" s="16">
        <v>42482</v>
      </c>
      <c r="W703" s="18">
        <v>42478.75</v>
      </c>
      <c r="X703" s="18">
        <v>42493.75</v>
      </c>
      <c r="Y703" s="17">
        <v>3086</v>
      </c>
      <c r="Z703" t="s">
        <v>87</v>
      </c>
      <c r="AA703" s="17">
        <v>3204</v>
      </c>
      <c r="AB703" s="17">
        <v>1164.74</v>
      </c>
      <c r="AC703" t="s">
        <v>84</v>
      </c>
      <c r="AD703" t="s">
        <v>84</v>
      </c>
      <c r="AE703" t="s">
        <v>84</v>
      </c>
      <c r="AF703" t="s">
        <v>84</v>
      </c>
      <c r="AG703" s="17">
        <v>8053568</v>
      </c>
      <c r="AH703" s="17">
        <v>15</v>
      </c>
      <c r="AI703" s="17">
        <v>7.78</v>
      </c>
      <c r="AJ703" s="17">
        <v>7.78</v>
      </c>
      <c r="AK703" t="s">
        <v>298</v>
      </c>
      <c r="AM703" s="17">
        <v>1.8</v>
      </c>
      <c r="AN703" s="17"/>
      <c r="AO703" s="17">
        <v>600</v>
      </c>
      <c r="AP703" s="17"/>
      <c r="AQ703" s="17">
        <v>1160</v>
      </c>
      <c r="AR703" s="17"/>
      <c r="AS703" s="17">
        <v>0.9</v>
      </c>
      <c r="AT703" s="17"/>
      <c r="AU703" s="17">
        <v>382</v>
      </c>
      <c r="AV703" s="17"/>
      <c r="AW703" s="17">
        <v>978</v>
      </c>
      <c r="AX703" s="17"/>
      <c r="AY703" t="s">
        <v>92</v>
      </c>
      <c r="AZ703" t="s">
        <v>92</v>
      </c>
      <c r="BA703" t="s">
        <v>92</v>
      </c>
      <c r="BB703" t="s">
        <v>92</v>
      </c>
      <c r="BC703" t="s">
        <v>92</v>
      </c>
      <c r="BD703" t="s">
        <v>92</v>
      </c>
      <c r="BE703" t="s">
        <v>92</v>
      </c>
      <c r="BF703" t="s">
        <v>92</v>
      </c>
      <c r="BG703" t="s">
        <v>92</v>
      </c>
      <c r="BH703" t="s">
        <v>92</v>
      </c>
      <c r="BI703" t="s">
        <v>92</v>
      </c>
      <c r="BJ703" t="s">
        <v>92</v>
      </c>
      <c r="BK703" t="s">
        <v>92</v>
      </c>
      <c r="BL703" t="s">
        <v>92</v>
      </c>
      <c r="BM703" t="s">
        <v>92</v>
      </c>
      <c r="BN703" t="s">
        <v>92</v>
      </c>
      <c r="BO703" t="s">
        <v>92</v>
      </c>
      <c r="BP703" t="s">
        <v>92</v>
      </c>
      <c r="BQ703" t="s">
        <v>92</v>
      </c>
      <c r="BR703" t="s">
        <v>92</v>
      </c>
      <c r="BS703" t="s">
        <v>92</v>
      </c>
      <c r="BT703" t="s">
        <v>92</v>
      </c>
      <c r="BU703" t="s">
        <v>92</v>
      </c>
      <c r="BV703" t="s">
        <v>92</v>
      </c>
      <c r="BW703" t="s">
        <v>92</v>
      </c>
      <c r="BX703" t="s">
        <v>92</v>
      </c>
      <c r="BY703" t="str">
        <f>IF(COUNTIF('Data Upload-prod'!E:E,F703)=0,"Missing","Exist")</f>
        <v>Exist</v>
      </c>
    </row>
    <row r="704" hidden="1" spans="1:77">
      <c r="A704" s="16">
        <v>42304</v>
      </c>
      <c r="B704" s="16">
        <v>42482</v>
      </c>
      <c r="C704" t="s">
        <v>132</v>
      </c>
      <c r="D704" t="s">
        <v>142</v>
      </c>
      <c r="E704" t="s">
        <v>170</v>
      </c>
      <c r="F704" t="s">
        <v>1228</v>
      </c>
      <c r="G704" t="s">
        <v>81</v>
      </c>
      <c r="H704" t="s">
        <v>162</v>
      </c>
      <c r="I704" t="s">
        <v>124</v>
      </c>
      <c r="J704" s="17">
        <v>10.06</v>
      </c>
      <c r="K704" s="17">
        <v>2737.58</v>
      </c>
      <c r="L704" s="17">
        <v>2169.77</v>
      </c>
      <c r="M704" t="s">
        <v>84</v>
      </c>
      <c r="N704" t="s">
        <v>84</v>
      </c>
      <c r="O704" t="s">
        <v>84</v>
      </c>
      <c r="P704" t="s">
        <v>84</v>
      </c>
      <c r="Q704" s="17">
        <v>13295958.62</v>
      </c>
      <c r="R704" s="17">
        <v>31.11</v>
      </c>
      <c r="S704" t="s">
        <v>85</v>
      </c>
      <c r="T704" t="s">
        <v>84</v>
      </c>
      <c r="U704" t="s">
        <v>84</v>
      </c>
      <c r="V704" s="16">
        <v>42321</v>
      </c>
      <c r="W704" s="18">
        <v>42321.2083333333</v>
      </c>
      <c r="X704" s="18">
        <v>42422.6875</v>
      </c>
      <c r="Y704" s="17">
        <v>2683.63</v>
      </c>
      <c r="Z704" t="s">
        <v>87</v>
      </c>
      <c r="AA704" s="17">
        <v>2727.83</v>
      </c>
      <c r="AB704" s="17">
        <v>2158.18</v>
      </c>
      <c r="AC704" t="s">
        <v>84</v>
      </c>
      <c r="AD704" t="s">
        <v>84</v>
      </c>
      <c r="AE704" t="s">
        <v>84</v>
      </c>
      <c r="AF704" t="s">
        <v>84</v>
      </c>
      <c r="AG704" s="17">
        <v>13476010</v>
      </c>
      <c r="AH704" s="17">
        <v>30.88</v>
      </c>
      <c r="AI704" s="17">
        <v>3</v>
      </c>
      <c r="AJ704" s="17">
        <v>3</v>
      </c>
      <c r="AK704" t="s">
        <v>208</v>
      </c>
      <c r="AM704" s="17">
        <v>1.7</v>
      </c>
      <c r="AN704" s="17"/>
      <c r="AO704" s="17">
        <v>720</v>
      </c>
      <c r="AP704" s="17"/>
      <c r="AQ704" s="17">
        <v>1285</v>
      </c>
      <c r="AR704" s="17"/>
      <c r="AS704" s="17">
        <v>1.78</v>
      </c>
      <c r="AT704" s="17"/>
      <c r="AU704" s="17">
        <v>824.34</v>
      </c>
      <c r="AV704" s="17"/>
      <c r="AW704" s="17">
        <v>1566.98</v>
      </c>
      <c r="AX704" s="17"/>
      <c r="AY704" t="s">
        <v>92</v>
      </c>
      <c r="AZ704" t="s">
        <v>92</v>
      </c>
      <c r="BA704" t="s">
        <v>92</v>
      </c>
      <c r="BB704" t="s">
        <v>92</v>
      </c>
      <c r="BC704" t="s">
        <v>92</v>
      </c>
      <c r="BD704" t="s">
        <v>92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92</v>
      </c>
      <c r="BM704" t="s">
        <v>92</v>
      </c>
      <c r="BN704" t="s">
        <v>92</v>
      </c>
      <c r="BO704" t="s">
        <v>92</v>
      </c>
      <c r="BP704" t="s">
        <v>92</v>
      </c>
      <c r="BQ704" t="s">
        <v>92</v>
      </c>
      <c r="BR704" t="s">
        <v>92</v>
      </c>
      <c r="BS704" t="s">
        <v>92</v>
      </c>
      <c r="BT704" t="s">
        <v>92</v>
      </c>
      <c r="BU704" t="s">
        <v>92</v>
      </c>
      <c r="BV704" t="s">
        <v>92</v>
      </c>
      <c r="BW704" t="s">
        <v>92</v>
      </c>
      <c r="BX704" t="s">
        <v>92</v>
      </c>
      <c r="BY704" t="str">
        <f>IF(COUNTIF('Data Upload-prod'!E:E,F704)=0,"Missing","Exist")</f>
        <v>Exist</v>
      </c>
    </row>
    <row r="705" hidden="1" spans="1:77">
      <c r="A705" s="16">
        <v>42304</v>
      </c>
      <c r="B705" s="16">
        <v>42513</v>
      </c>
      <c r="C705" t="s">
        <v>178</v>
      </c>
      <c r="D705" t="s">
        <v>120</v>
      </c>
      <c r="E705" t="s">
        <v>870</v>
      </c>
      <c r="F705" t="s">
        <v>1229</v>
      </c>
      <c r="G705" t="s">
        <v>81</v>
      </c>
      <c r="H705" t="s">
        <v>205</v>
      </c>
      <c r="I705" t="s">
        <v>124</v>
      </c>
      <c r="J705" s="17">
        <v>45.11</v>
      </c>
      <c r="K705" s="17">
        <v>3200.24</v>
      </c>
      <c r="L705" s="17">
        <v>1604.08</v>
      </c>
      <c r="M705" t="s">
        <v>84</v>
      </c>
      <c r="N705" t="s">
        <v>84</v>
      </c>
      <c r="O705" t="s">
        <v>84</v>
      </c>
      <c r="P705" t="s">
        <v>84</v>
      </c>
      <c r="Q705" s="17">
        <v>16370279</v>
      </c>
      <c r="R705" s="17">
        <v>21.85</v>
      </c>
      <c r="S705" t="s">
        <v>85</v>
      </c>
      <c r="T705" t="s">
        <v>84</v>
      </c>
      <c r="U705" t="s">
        <v>84</v>
      </c>
      <c r="V705" s="16">
        <v>42418</v>
      </c>
      <c r="W705" s="18">
        <v>42417</v>
      </c>
      <c r="X705" s="18">
        <v>42451.5208333333</v>
      </c>
      <c r="Y705" s="17">
        <v>3260.23</v>
      </c>
      <c r="Z705" t="s">
        <v>87</v>
      </c>
      <c r="AA705" s="17">
        <v>3352.64</v>
      </c>
      <c r="AB705" s="17">
        <v>1657.2</v>
      </c>
      <c r="AC705" t="s">
        <v>84</v>
      </c>
      <c r="AD705" t="s">
        <v>84</v>
      </c>
      <c r="AE705" t="s">
        <v>84</v>
      </c>
      <c r="AF705" t="s">
        <v>84</v>
      </c>
      <c r="AG705" s="17">
        <v>7800000</v>
      </c>
      <c r="AH705" s="17">
        <v>45.25</v>
      </c>
      <c r="AI705" s="17">
        <v>22</v>
      </c>
      <c r="AJ705" s="17">
        <v>22</v>
      </c>
      <c r="AK705" s="13" t="s">
        <v>155</v>
      </c>
      <c r="AL705" s="13"/>
      <c r="AM705" t="s">
        <v>92</v>
      </c>
      <c r="AO705" t="s">
        <v>92</v>
      </c>
      <c r="AQ705" t="s">
        <v>92</v>
      </c>
      <c r="AS705" s="17">
        <v>2.79</v>
      </c>
      <c r="AT705" s="17"/>
      <c r="AU705" s="17">
        <v>976</v>
      </c>
      <c r="AV705" s="17"/>
      <c r="AW705" s="17">
        <v>1295</v>
      </c>
      <c r="AX705" s="17"/>
      <c r="AY705" t="s">
        <v>92</v>
      </c>
      <c r="AZ705" t="s">
        <v>92</v>
      </c>
      <c r="BA705" t="s">
        <v>92</v>
      </c>
      <c r="BB705" t="s">
        <v>92</v>
      </c>
      <c r="BC705" t="s">
        <v>92</v>
      </c>
      <c r="BD705" t="s">
        <v>92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92</v>
      </c>
      <c r="BM705" t="s">
        <v>92</v>
      </c>
      <c r="BN705" t="s">
        <v>92</v>
      </c>
      <c r="BO705" t="s">
        <v>92</v>
      </c>
      <c r="BP705" t="s">
        <v>92</v>
      </c>
      <c r="BQ705" t="s">
        <v>92</v>
      </c>
      <c r="BR705" t="s">
        <v>92</v>
      </c>
      <c r="BS705" t="s">
        <v>92</v>
      </c>
      <c r="BT705" t="s">
        <v>92</v>
      </c>
      <c r="BU705" t="s">
        <v>92</v>
      </c>
      <c r="BV705" t="s">
        <v>92</v>
      </c>
      <c r="BW705" t="s">
        <v>92</v>
      </c>
      <c r="BX705" t="s">
        <v>92</v>
      </c>
      <c r="BY705" t="str">
        <f>IF(COUNTIF('Data Upload-prod'!E:E,F705)=0,"Missing","Exist")</f>
        <v>Exist</v>
      </c>
    </row>
    <row r="706" hidden="1" spans="1:77">
      <c r="A706" s="16">
        <v>42304</v>
      </c>
      <c r="B706" s="16">
        <v>42468</v>
      </c>
      <c r="C706" t="s">
        <v>132</v>
      </c>
      <c r="D706" t="s">
        <v>142</v>
      </c>
      <c r="E706" t="s">
        <v>170</v>
      </c>
      <c r="F706" t="s">
        <v>1230</v>
      </c>
      <c r="G706" t="s">
        <v>81</v>
      </c>
      <c r="H706" t="s">
        <v>162</v>
      </c>
      <c r="I706" t="s">
        <v>124</v>
      </c>
      <c r="J706" s="17">
        <v>10.06</v>
      </c>
      <c r="K706" s="17">
        <v>2554.71</v>
      </c>
      <c r="L706" s="17">
        <v>2357.51</v>
      </c>
      <c r="M706" t="s">
        <v>84</v>
      </c>
      <c r="N706" t="s">
        <v>84</v>
      </c>
      <c r="O706" t="s">
        <v>84</v>
      </c>
      <c r="P706" t="s">
        <v>84</v>
      </c>
      <c r="Q706" s="17">
        <v>14580673</v>
      </c>
      <c r="R706" s="17">
        <v>33.85</v>
      </c>
      <c r="S706" t="s">
        <v>85</v>
      </c>
      <c r="T706" t="s">
        <v>84</v>
      </c>
      <c r="U706" t="s">
        <v>84</v>
      </c>
      <c r="V706" s="16">
        <v>42322</v>
      </c>
      <c r="W706" s="18">
        <v>42322.2083333333</v>
      </c>
      <c r="X706" s="18">
        <v>42413.125</v>
      </c>
      <c r="Y706" s="17">
        <v>2424.57</v>
      </c>
      <c r="Z706" t="s">
        <v>87</v>
      </c>
      <c r="AA706" s="17">
        <v>2468.76</v>
      </c>
      <c r="AB706" s="17">
        <v>2295.95</v>
      </c>
      <c r="AC706" t="s">
        <v>84</v>
      </c>
      <c r="AD706" t="s">
        <v>84</v>
      </c>
      <c r="AE706" t="s">
        <v>84</v>
      </c>
      <c r="AF706" t="s">
        <v>84</v>
      </c>
      <c r="AG706" s="17">
        <v>15675130</v>
      </c>
      <c r="AH706" s="17">
        <v>41.08</v>
      </c>
      <c r="AI706" s="17">
        <v>14.61</v>
      </c>
      <c r="AJ706" s="17">
        <v>14.61</v>
      </c>
      <c r="AK706" t="s">
        <v>208</v>
      </c>
      <c r="AM706" s="17">
        <v>1.7</v>
      </c>
      <c r="AN706" s="17"/>
      <c r="AO706" s="17">
        <v>720</v>
      </c>
      <c r="AP706" s="17"/>
      <c r="AQ706" s="17">
        <v>1285</v>
      </c>
      <c r="AR706" s="17"/>
      <c r="AS706" s="17">
        <v>2.21</v>
      </c>
      <c r="AT706" s="17"/>
      <c r="AU706" s="17">
        <v>914.75</v>
      </c>
      <c r="AV706" s="17"/>
      <c r="AW706" s="17">
        <v>2022.6</v>
      </c>
      <c r="AX706" s="17"/>
      <c r="AY706" t="s">
        <v>92</v>
      </c>
      <c r="AZ706" t="s">
        <v>92</v>
      </c>
      <c r="BA706" t="s">
        <v>92</v>
      </c>
      <c r="BB706" t="s">
        <v>92</v>
      </c>
      <c r="BC706" t="s">
        <v>92</v>
      </c>
      <c r="BD706" t="s">
        <v>92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92</v>
      </c>
      <c r="BM706" t="s">
        <v>92</v>
      </c>
      <c r="BN706" t="s">
        <v>92</v>
      </c>
      <c r="BO706" t="s">
        <v>92</v>
      </c>
      <c r="BP706" t="s">
        <v>92</v>
      </c>
      <c r="BQ706" t="s">
        <v>92</v>
      </c>
      <c r="BR706" t="s">
        <v>92</v>
      </c>
      <c r="BS706" t="s">
        <v>92</v>
      </c>
      <c r="BT706" t="s">
        <v>92</v>
      </c>
      <c r="BU706" t="s">
        <v>92</v>
      </c>
      <c r="BV706" t="s">
        <v>92</v>
      </c>
      <c r="BW706" t="s">
        <v>92</v>
      </c>
      <c r="BX706" t="s">
        <v>92</v>
      </c>
      <c r="BY706" t="str">
        <f>IF(COUNTIF('Data Upload-prod'!E:E,F706)=0,"Missing","Exist")</f>
        <v>Exist</v>
      </c>
    </row>
    <row r="707" hidden="1" spans="1:77">
      <c r="A707" s="16">
        <v>42298</v>
      </c>
      <c r="B707" s="16">
        <v>42999</v>
      </c>
      <c r="C707" t="s">
        <v>269</v>
      </c>
      <c r="D707" t="s">
        <v>78</v>
      </c>
      <c r="E707" t="s">
        <v>440</v>
      </c>
      <c r="F707" t="s">
        <v>1231</v>
      </c>
      <c r="G707" t="s">
        <v>81</v>
      </c>
      <c r="H707" t="s">
        <v>181</v>
      </c>
      <c r="I707" t="s">
        <v>124</v>
      </c>
      <c r="J707" s="17">
        <v>55.99</v>
      </c>
      <c r="K707" s="17">
        <v>3063.4</v>
      </c>
      <c r="L707" s="17">
        <v>1202.22</v>
      </c>
      <c r="M707" t="s">
        <v>84</v>
      </c>
      <c r="N707" t="s">
        <v>84</v>
      </c>
      <c r="O707" t="s">
        <v>84</v>
      </c>
      <c r="P707" t="s">
        <v>84</v>
      </c>
      <c r="Q707" s="17">
        <v>16710000</v>
      </c>
      <c r="R707" s="17">
        <v>28</v>
      </c>
      <c r="S707" t="s">
        <v>85</v>
      </c>
      <c r="T707" t="s">
        <v>84</v>
      </c>
      <c r="U707" t="s">
        <v>86</v>
      </c>
      <c r="V707" s="16">
        <v>42346</v>
      </c>
      <c r="W707" s="18">
        <v>42345.5</v>
      </c>
      <c r="X707" s="18">
        <v>42830.8958333333</v>
      </c>
      <c r="Y707" s="17">
        <v>2962.07</v>
      </c>
      <c r="Z707" t="s">
        <v>87</v>
      </c>
      <c r="AA707" s="17">
        <v>3057.91</v>
      </c>
      <c r="AB707" s="17">
        <v>1204.21</v>
      </c>
      <c r="AC707" t="s">
        <v>84</v>
      </c>
      <c r="AD707" t="s">
        <v>84</v>
      </c>
      <c r="AE707" t="s">
        <v>84</v>
      </c>
      <c r="AF707" t="s">
        <v>84</v>
      </c>
      <c r="AG707" s="17">
        <v>9259836.88</v>
      </c>
      <c r="AH707" s="17">
        <v>22.69</v>
      </c>
      <c r="AI707" s="17">
        <v>1.29</v>
      </c>
      <c r="AJ707" s="17">
        <v>1.29</v>
      </c>
      <c r="AK707" t="s">
        <v>208</v>
      </c>
      <c r="AM707" s="17">
        <v>2.1</v>
      </c>
      <c r="AN707" s="17"/>
      <c r="AO707" s="17">
        <v>700</v>
      </c>
      <c r="AP707" s="17"/>
      <c r="AQ707" s="17">
        <v>1220</v>
      </c>
      <c r="AR707" s="17"/>
      <c r="AS707" s="17">
        <v>1.6</v>
      </c>
      <c r="AT707" s="17"/>
      <c r="AU707" s="17">
        <v>649.32</v>
      </c>
      <c r="AV707" s="17"/>
      <c r="AW707" s="17">
        <v>1094.69</v>
      </c>
      <c r="AX707" s="17"/>
      <c r="AY707" t="s">
        <v>92</v>
      </c>
      <c r="AZ707" t="s">
        <v>92</v>
      </c>
      <c r="BA707" t="s">
        <v>92</v>
      </c>
      <c r="BB707" t="s">
        <v>92</v>
      </c>
      <c r="BC707" t="s">
        <v>92</v>
      </c>
      <c r="BD707" s="17">
        <v>4.81</v>
      </c>
      <c r="BE707" s="17">
        <v>1975586</v>
      </c>
      <c r="BF707" t="s">
        <v>92</v>
      </c>
      <c r="BG707" t="s">
        <v>92</v>
      </c>
      <c r="BH707" t="s">
        <v>93</v>
      </c>
      <c r="BI707" t="s">
        <v>94</v>
      </c>
      <c r="BJ707" t="s">
        <v>173</v>
      </c>
      <c r="BK707" t="s">
        <v>85</v>
      </c>
      <c r="BL707" t="s">
        <v>85</v>
      </c>
      <c r="BM707" t="s">
        <v>159</v>
      </c>
      <c r="BN707" t="s">
        <v>97</v>
      </c>
      <c r="BO707" t="s">
        <v>98</v>
      </c>
      <c r="BP707" t="s">
        <v>99</v>
      </c>
      <c r="BQ707" s="17">
        <v>0</v>
      </c>
      <c r="BR707" t="s">
        <v>138</v>
      </c>
      <c r="BS707" t="s">
        <v>92</v>
      </c>
      <c r="BT707" t="s">
        <v>99</v>
      </c>
      <c r="BU707" s="17">
        <v>9.9</v>
      </c>
      <c r="BV707" t="s">
        <v>308</v>
      </c>
      <c r="BW707" t="s">
        <v>85</v>
      </c>
      <c r="BX707" t="s">
        <v>85</v>
      </c>
      <c r="BY707" t="str">
        <f>IF(COUNTIF('Data Upload-prod'!E:E,F707)=0,"Missing","Exist")</f>
        <v>Exist</v>
      </c>
    </row>
    <row r="708" hidden="1" spans="1:77">
      <c r="A708" s="16">
        <v>42298</v>
      </c>
      <c r="B708" s="16">
        <v>42999</v>
      </c>
      <c r="C708" t="s">
        <v>269</v>
      </c>
      <c r="D708" t="s">
        <v>78</v>
      </c>
      <c r="E708" t="s">
        <v>440</v>
      </c>
      <c r="F708" t="s">
        <v>1232</v>
      </c>
      <c r="G708" t="s">
        <v>81</v>
      </c>
      <c r="H708" t="s">
        <v>181</v>
      </c>
      <c r="I708" t="s">
        <v>124</v>
      </c>
      <c r="J708" s="17">
        <v>55.99</v>
      </c>
      <c r="K708" s="17">
        <v>3257.85</v>
      </c>
      <c r="L708" s="17">
        <v>1202.38</v>
      </c>
      <c r="M708" t="s">
        <v>84</v>
      </c>
      <c r="N708" t="s">
        <v>84</v>
      </c>
      <c r="O708" t="s">
        <v>84</v>
      </c>
      <c r="P708" t="s">
        <v>84</v>
      </c>
      <c r="Q708" s="17">
        <v>18340000</v>
      </c>
      <c r="R708" s="17">
        <v>30.6</v>
      </c>
      <c r="S708" t="s">
        <v>85</v>
      </c>
      <c r="T708" t="s">
        <v>84</v>
      </c>
      <c r="U708" t="s">
        <v>86</v>
      </c>
      <c r="V708" s="16">
        <v>42348</v>
      </c>
      <c r="W708" s="18">
        <v>42347.7083333333</v>
      </c>
      <c r="X708" s="18">
        <v>42855.75</v>
      </c>
      <c r="Y708" s="17">
        <v>3158.04</v>
      </c>
      <c r="Z708" t="s">
        <v>87</v>
      </c>
      <c r="AA708" s="17">
        <v>3253.89</v>
      </c>
      <c r="AB708" s="17">
        <v>1204.18</v>
      </c>
      <c r="AC708" t="s">
        <v>84</v>
      </c>
      <c r="AD708" t="s">
        <v>84</v>
      </c>
      <c r="AE708" t="s">
        <v>84</v>
      </c>
      <c r="AF708" t="s">
        <v>84</v>
      </c>
      <c r="AG708" s="17">
        <v>9200192</v>
      </c>
      <c r="AH708" s="17">
        <v>25.95</v>
      </c>
      <c r="AI708" s="17">
        <v>6.15</v>
      </c>
      <c r="AJ708" s="17">
        <v>6.15</v>
      </c>
      <c r="AK708" t="s">
        <v>208</v>
      </c>
      <c r="AM708" s="17">
        <v>2.1</v>
      </c>
      <c r="AN708" s="17"/>
      <c r="AO708" s="17">
        <v>700</v>
      </c>
      <c r="AP708" s="17"/>
      <c r="AQ708" s="17">
        <v>1220</v>
      </c>
      <c r="AR708" s="17"/>
      <c r="AS708" s="17">
        <v>1.3</v>
      </c>
      <c r="AT708" s="17"/>
      <c r="AU708" s="17">
        <v>542</v>
      </c>
      <c r="AV708" s="17"/>
      <c r="AW708" s="17">
        <v>819</v>
      </c>
      <c r="AX708" s="17"/>
      <c r="AY708" t="s">
        <v>92</v>
      </c>
      <c r="AZ708" t="s">
        <v>92</v>
      </c>
      <c r="BA708" t="s">
        <v>92</v>
      </c>
      <c r="BB708" t="s">
        <v>92</v>
      </c>
      <c r="BC708" t="s">
        <v>92</v>
      </c>
      <c r="BD708" s="17">
        <v>4.43</v>
      </c>
      <c r="BE708" s="17">
        <v>1583558</v>
      </c>
      <c r="BF708" t="s">
        <v>92</v>
      </c>
      <c r="BG708" t="s">
        <v>92</v>
      </c>
      <c r="BH708" t="s">
        <v>93</v>
      </c>
      <c r="BI708" t="s">
        <v>94</v>
      </c>
      <c r="BJ708" t="s">
        <v>173</v>
      </c>
      <c r="BK708" t="s">
        <v>85</v>
      </c>
      <c r="BL708" t="s">
        <v>85</v>
      </c>
      <c r="BM708" t="s">
        <v>159</v>
      </c>
      <c r="BN708" t="s">
        <v>97</v>
      </c>
      <c r="BO708" t="s">
        <v>98</v>
      </c>
      <c r="BP708" t="s">
        <v>99</v>
      </c>
      <c r="BQ708" s="17">
        <v>0</v>
      </c>
      <c r="BR708" t="s">
        <v>138</v>
      </c>
      <c r="BS708" t="s">
        <v>92</v>
      </c>
      <c r="BT708" t="s">
        <v>99</v>
      </c>
      <c r="BU708" s="17">
        <v>9.9</v>
      </c>
      <c r="BV708" t="s">
        <v>308</v>
      </c>
      <c r="BW708" t="s">
        <v>85</v>
      </c>
      <c r="BX708" t="s">
        <v>85</v>
      </c>
      <c r="BY708" t="str">
        <f>IF(COUNTIF('Data Upload-prod'!E:E,F708)=0,"Missing","Exist")</f>
        <v>Exist</v>
      </c>
    </row>
    <row r="709" hidden="1" spans="1:77">
      <c r="A709" s="16">
        <v>42298</v>
      </c>
      <c r="B709" s="16">
        <v>42999</v>
      </c>
      <c r="C709" t="s">
        <v>269</v>
      </c>
      <c r="D709" t="s">
        <v>78</v>
      </c>
      <c r="E709" t="s">
        <v>440</v>
      </c>
      <c r="F709" t="s">
        <v>1233</v>
      </c>
      <c r="G709" t="s">
        <v>81</v>
      </c>
      <c r="H709" t="s">
        <v>181</v>
      </c>
      <c r="I709" t="s">
        <v>124</v>
      </c>
      <c r="J709" s="17">
        <v>55.99</v>
      </c>
      <c r="K709" s="17">
        <v>2914.96</v>
      </c>
      <c r="L709" s="17">
        <v>1202.38</v>
      </c>
      <c r="M709" t="s">
        <v>84</v>
      </c>
      <c r="N709" t="s">
        <v>84</v>
      </c>
      <c r="O709" t="s">
        <v>84</v>
      </c>
      <c r="P709" t="s">
        <v>84</v>
      </c>
      <c r="Q709" s="17">
        <v>17480000</v>
      </c>
      <c r="R709" s="17">
        <v>31.8</v>
      </c>
      <c r="S709" t="s">
        <v>85</v>
      </c>
      <c r="T709" t="s">
        <v>84</v>
      </c>
      <c r="U709" t="s">
        <v>86</v>
      </c>
      <c r="V709" s="16">
        <v>42351.625</v>
      </c>
      <c r="W709" s="18">
        <v>42344.4375</v>
      </c>
      <c r="X709" s="18">
        <v>42842.8125</v>
      </c>
      <c r="Y709" s="17">
        <v>2858.44</v>
      </c>
      <c r="Z709" t="s">
        <v>87</v>
      </c>
      <c r="AA709" s="17">
        <v>2954.28</v>
      </c>
      <c r="AB709" s="17">
        <v>1203.9</v>
      </c>
      <c r="AC709" t="s">
        <v>84</v>
      </c>
      <c r="AD709" t="s">
        <v>84</v>
      </c>
      <c r="AE709" t="s">
        <v>84</v>
      </c>
      <c r="AF709" t="s">
        <v>84</v>
      </c>
      <c r="AG709" s="17">
        <v>11780512.52</v>
      </c>
      <c r="AH709" s="17">
        <v>43.45</v>
      </c>
      <c r="AI709" s="17">
        <v>4.19</v>
      </c>
      <c r="AJ709" s="17">
        <v>4.19</v>
      </c>
      <c r="AK709" t="s">
        <v>208</v>
      </c>
      <c r="AM709" s="17">
        <v>2.1</v>
      </c>
      <c r="AN709" s="17"/>
      <c r="AO709" s="17">
        <v>700</v>
      </c>
      <c r="AP709" s="17"/>
      <c r="AQ709" s="17">
        <v>1220</v>
      </c>
      <c r="AR709" s="17"/>
      <c r="AS709" s="17">
        <v>1.3</v>
      </c>
      <c r="AT709" s="17"/>
      <c r="AU709" s="17">
        <v>535</v>
      </c>
      <c r="AV709" s="17"/>
      <c r="AW709" s="17">
        <v>1267</v>
      </c>
      <c r="AX709" s="17"/>
      <c r="AY709" t="s">
        <v>92</v>
      </c>
      <c r="AZ709" t="s">
        <v>92</v>
      </c>
      <c r="BA709" t="s">
        <v>92</v>
      </c>
      <c r="BB709" t="s">
        <v>92</v>
      </c>
      <c r="BC709" t="s">
        <v>92</v>
      </c>
      <c r="BD709" s="17">
        <v>4.1</v>
      </c>
      <c r="BE709" s="17">
        <v>2196238</v>
      </c>
      <c r="BF709" t="s">
        <v>92</v>
      </c>
      <c r="BG709" t="s">
        <v>92</v>
      </c>
      <c r="BH709" t="s">
        <v>93</v>
      </c>
      <c r="BI709" t="s">
        <v>94</v>
      </c>
      <c r="BJ709" t="s">
        <v>173</v>
      </c>
      <c r="BK709" t="s">
        <v>85</v>
      </c>
      <c r="BL709" t="s">
        <v>85</v>
      </c>
      <c r="BM709" t="s">
        <v>159</v>
      </c>
      <c r="BN709" t="s">
        <v>97</v>
      </c>
      <c r="BO709" t="s">
        <v>98</v>
      </c>
      <c r="BP709" t="s">
        <v>99</v>
      </c>
      <c r="BQ709" s="17">
        <v>0</v>
      </c>
      <c r="BR709" t="s">
        <v>138</v>
      </c>
      <c r="BS709" t="s">
        <v>92</v>
      </c>
      <c r="BT709" t="s">
        <v>99</v>
      </c>
      <c r="BU709" s="17">
        <v>9.9</v>
      </c>
      <c r="BV709" t="s">
        <v>308</v>
      </c>
      <c r="BW709" t="s">
        <v>85</v>
      </c>
      <c r="BX709" t="s">
        <v>85</v>
      </c>
      <c r="BY709" t="str">
        <f>IF(COUNTIF('Data Upload-prod'!E:E,F709)=0,"Missing","Exist")</f>
        <v>Exist</v>
      </c>
    </row>
    <row r="710" hidden="1" spans="1:77">
      <c r="A710" s="16">
        <v>42298</v>
      </c>
      <c r="B710" s="16">
        <v>42999</v>
      </c>
      <c r="C710" t="s">
        <v>269</v>
      </c>
      <c r="D710" t="s">
        <v>78</v>
      </c>
      <c r="E710" t="s">
        <v>440</v>
      </c>
      <c r="F710" t="s">
        <v>1234</v>
      </c>
      <c r="G710" t="s">
        <v>81</v>
      </c>
      <c r="H710" t="s">
        <v>181</v>
      </c>
      <c r="I710" t="s">
        <v>124</v>
      </c>
      <c r="J710" s="17">
        <v>55.99</v>
      </c>
      <c r="K710" s="17">
        <v>2463.88</v>
      </c>
      <c r="L710" s="17">
        <v>1202.22</v>
      </c>
      <c r="M710" t="s">
        <v>84</v>
      </c>
      <c r="N710" t="s">
        <v>84</v>
      </c>
      <c r="O710" t="s">
        <v>84</v>
      </c>
      <c r="P710" t="s">
        <v>84</v>
      </c>
      <c r="Q710" s="17">
        <v>21508035.53</v>
      </c>
      <c r="R710" s="17">
        <v>34.1</v>
      </c>
      <c r="S710" t="s">
        <v>85</v>
      </c>
      <c r="T710" t="s">
        <v>84</v>
      </c>
      <c r="U710" t="s">
        <v>86</v>
      </c>
      <c r="V710" s="16">
        <v>42349</v>
      </c>
      <c r="W710" s="18">
        <v>42349.5416666667</v>
      </c>
      <c r="X710" s="18">
        <v>42427.4166666667</v>
      </c>
      <c r="Y710" s="17">
        <v>2349.75</v>
      </c>
      <c r="Z710" t="s">
        <v>87</v>
      </c>
      <c r="AA710" s="17">
        <v>2445.6</v>
      </c>
      <c r="AB710" s="17">
        <v>1204.51</v>
      </c>
      <c r="AC710" t="s">
        <v>84</v>
      </c>
      <c r="AD710" t="s">
        <v>84</v>
      </c>
      <c r="AE710" t="s">
        <v>84</v>
      </c>
      <c r="AF710" t="s">
        <v>84</v>
      </c>
      <c r="AG710" s="17">
        <v>7724125.03</v>
      </c>
      <c r="AH710" s="17">
        <v>19.48</v>
      </c>
      <c r="AI710" s="17">
        <v>12.83</v>
      </c>
      <c r="AJ710" s="17">
        <v>12.83</v>
      </c>
      <c r="AK710" t="s">
        <v>208</v>
      </c>
      <c r="AM710" s="17">
        <v>2.1</v>
      </c>
      <c r="AN710" s="17"/>
      <c r="AO710" s="17">
        <v>700</v>
      </c>
      <c r="AP710" s="17"/>
      <c r="AQ710" s="17">
        <v>1220</v>
      </c>
      <c r="AR710" s="17"/>
      <c r="AS710" s="17">
        <v>1.6</v>
      </c>
      <c r="AT710" s="17"/>
      <c r="AU710" s="17">
        <v>675</v>
      </c>
      <c r="AV710" s="17"/>
      <c r="AW710" s="17">
        <v>1102</v>
      </c>
      <c r="AX710" s="17"/>
      <c r="AY710" t="s">
        <v>92</v>
      </c>
      <c r="AZ710" t="s">
        <v>92</v>
      </c>
      <c r="BA710" t="s">
        <v>92</v>
      </c>
      <c r="BB710" t="s">
        <v>92</v>
      </c>
      <c r="BC710" t="s">
        <v>92</v>
      </c>
      <c r="BD710" s="17">
        <v>5.75</v>
      </c>
      <c r="BE710" s="17">
        <v>2044620</v>
      </c>
      <c r="BF710" t="s">
        <v>92</v>
      </c>
      <c r="BG710" t="s">
        <v>92</v>
      </c>
      <c r="BH710" t="s">
        <v>93</v>
      </c>
      <c r="BI710" t="s">
        <v>94</v>
      </c>
      <c r="BJ710" t="s">
        <v>173</v>
      </c>
      <c r="BK710" t="s">
        <v>85</v>
      </c>
      <c r="BL710" t="s">
        <v>85</v>
      </c>
      <c r="BM710" t="s">
        <v>159</v>
      </c>
      <c r="BN710" t="s">
        <v>97</v>
      </c>
      <c r="BO710" t="s">
        <v>98</v>
      </c>
      <c r="BP710" t="s">
        <v>99</v>
      </c>
      <c r="BQ710" s="17">
        <v>0</v>
      </c>
      <c r="BR710" t="s">
        <v>138</v>
      </c>
      <c r="BS710" t="s">
        <v>92</v>
      </c>
      <c r="BT710" t="s">
        <v>99</v>
      </c>
      <c r="BU710" s="17">
        <v>9.9</v>
      </c>
      <c r="BV710" t="s">
        <v>308</v>
      </c>
      <c r="BW710" t="s">
        <v>85</v>
      </c>
      <c r="BX710" t="s">
        <v>85</v>
      </c>
      <c r="BY710" t="str">
        <f>IF(COUNTIF('Data Upload-prod'!E:E,F710)=0,"Missing","Exist")</f>
        <v>Exist</v>
      </c>
    </row>
    <row r="711" hidden="1" spans="1:77">
      <c r="A711" s="16">
        <v>42297</v>
      </c>
      <c r="B711" s="16">
        <v>42530</v>
      </c>
      <c r="C711" t="s">
        <v>141</v>
      </c>
      <c r="D711" t="s">
        <v>120</v>
      </c>
      <c r="E711" t="s">
        <v>428</v>
      </c>
      <c r="F711" t="s">
        <v>1235</v>
      </c>
      <c r="G711" t="s">
        <v>145</v>
      </c>
      <c r="H711" t="s">
        <v>1171</v>
      </c>
      <c r="I711" t="s">
        <v>1172</v>
      </c>
      <c r="J711" s="17">
        <v>866.35</v>
      </c>
      <c r="K711" s="17">
        <v>2298.08</v>
      </c>
      <c r="L711" s="17">
        <v>2298.08</v>
      </c>
      <c r="M711" s="17">
        <v>63080000</v>
      </c>
      <c r="N711" s="17">
        <v>63080000</v>
      </c>
      <c r="O711" s="17">
        <v>42.57</v>
      </c>
      <c r="P711" s="17">
        <v>42.57</v>
      </c>
      <c r="Q711" t="s">
        <v>84</v>
      </c>
      <c r="R711" t="s">
        <v>84</v>
      </c>
      <c r="S711" t="s">
        <v>85</v>
      </c>
      <c r="T711" t="s">
        <v>84</v>
      </c>
      <c r="U711" t="s">
        <v>84</v>
      </c>
      <c r="V711" s="16">
        <v>42375</v>
      </c>
      <c r="W711" s="18">
        <v>42373.7395833333</v>
      </c>
      <c r="X711" s="18">
        <v>42427.9166666667</v>
      </c>
      <c r="Y711" s="17">
        <v>1378.39</v>
      </c>
      <c r="Z711" t="s">
        <v>148</v>
      </c>
      <c r="AA711" s="17">
        <v>2270.04</v>
      </c>
      <c r="AB711" s="17">
        <v>2270.04</v>
      </c>
      <c r="AC711" t="s">
        <v>84</v>
      </c>
      <c r="AD711" s="17">
        <v>49650000</v>
      </c>
      <c r="AE711" t="s">
        <v>84</v>
      </c>
      <c r="AF711" s="17">
        <v>54.18</v>
      </c>
      <c r="AG711" t="s">
        <v>84</v>
      </c>
      <c r="AH711" t="s">
        <v>84</v>
      </c>
      <c r="AI711" s="17">
        <v>23.18</v>
      </c>
      <c r="AJ711" s="17">
        <v>22.46</v>
      </c>
      <c r="AK711" t="s">
        <v>232</v>
      </c>
      <c r="AM711" s="17">
        <v>4.4</v>
      </c>
      <c r="AN711" s="17"/>
      <c r="AO711" s="17">
        <v>4200</v>
      </c>
      <c r="AP711" s="17"/>
      <c r="AQ711" s="17">
        <v>6400</v>
      </c>
      <c r="AR711" s="17"/>
      <c r="AS711" s="13" t="s">
        <v>150</v>
      </c>
      <c r="AT711"/>
      <c r="AU711" s="13" t="s">
        <v>150</v>
      </c>
      <c r="AW711" s="13" t="s">
        <v>150</v>
      </c>
      <c r="AY711" t="s">
        <v>92</v>
      </c>
      <c r="AZ711" t="s">
        <v>92</v>
      </c>
      <c r="BA711" t="s">
        <v>92</v>
      </c>
      <c r="BB711" t="s">
        <v>92</v>
      </c>
      <c r="BC711" t="s">
        <v>92</v>
      </c>
      <c r="BD711" t="s">
        <v>92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92</v>
      </c>
      <c r="BM711" t="s">
        <v>92</v>
      </c>
      <c r="BN711" t="s">
        <v>92</v>
      </c>
      <c r="BO711" t="s">
        <v>92</v>
      </c>
      <c r="BP711" t="s">
        <v>92</v>
      </c>
      <c r="BQ711" t="s">
        <v>92</v>
      </c>
      <c r="BR711" t="s">
        <v>92</v>
      </c>
      <c r="BS711" t="s">
        <v>92</v>
      </c>
      <c r="BT711" t="s">
        <v>92</v>
      </c>
      <c r="BU711" t="s">
        <v>92</v>
      </c>
      <c r="BV711" t="s">
        <v>92</v>
      </c>
      <c r="BW711" t="s">
        <v>92</v>
      </c>
      <c r="BX711" t="s">
        <v>92</v>
      </c>
      <c r="BY711" t="str">
        <f>IF(COUNTIF('Data Upload-prod'!E:E,F711)=0,"Missing","Exist")</f>
        <v>Exist</v>
      </c>
    </row>
    <row r="712" hidden="1" spans="1:77">
      <c r="A712" s="16">
        <v>42293</v>
      </c>
      <c r="B712" t="s">
        <v>84</v>
      </c>
      <c r="C712" t="s">
        <v>218</v>
      </c>
      <c r="D712" t="s">
        <v>142</v>
      </c>
      <c r="E712" t="s">
        <v>372</v>
      </c>
      <c r="F712" t="s">
        <v>1236</v>
      </c>
      <c r="G712" t="s">
        <v>145</v>
      </c>
      <c r="H712" t="s">
        <v>790</v>
      </c>
      <c r="I712" t="s">
        <v>124</v>
      </c>
      <c r="J712" s="17">
        <v>38.3</v>
      </c>
      <c r="K712" s="17">
        <v>950</v>
      </c>
      <c r="L712" s="17">
        <v>950</v>
      </c>
      <c r="M712" s="17">
        <v>8298261</v>
      </c>
      <c r="N712" s="17">
        <v>8298261</v>
      </c>
      <c r="O712" s="17">
        <v>17.34</v>
      </c>
      <c r="P712" s="17">
        <v>17.34</v>
      </c>
      <c r="Q712" t="s">
        <v>84</v>
      </c>
      <c r="R712" t="s">
        <v>84</v>
      </c>
      <c r="S712" t="s">
        <v>85</v>
      </c>
      <c r="T712" t="s">
        <v>84</v>
      </c>
      <c r="U712" t="s">
        <v>84</v>
      </c>
      <c r="V712" s="16">
        <v>42380</v>
      </c>
      <c r="W712" s="18">
        <v>42373.5833333333</v>
      </c>
      <c r="X712" s="18">
        <v>42398.375</v>
      </c>
      <c r="Y712" s="17">
        <v>877.7</v>
      </c>
      <c r="Z712" t="s">
        <v>87</v>
      </c>
      <c r="AA712" s="17">
        <v>946</v>
      </c>
      <c r="AB712" s="17">
        <v>946</v>
      </c>
      <c r="AC712" s="17">
        <v>8264266.94</v>
      </c>
      <c r="AD712" t="s">
        <v>84</v>
      </c>
      <c r="AE712" s="17">
        <v>24.79</v>
      </c>
      <c r="AF712" t="s">
        <v>84</v>
      </c>
      <c r="AG712" t="s">
        <v>84</v>
      </c>
      <c r="AH712" t="s">
        <v>84</v>
      </c>
      <c r="AI712" s="17">
        <v>20.68</v>
      </c>
      <c r="AJ712" s="17">
        <v>1.82</v>
      </c>
      <c r="AK712" t="s">
        <v>300</v>
      </c>
      <c r="AM712" s="17">
        <v>2.6</v>
      </c>
      <c r="AN712" s="17"/>
      <c r="AO712" s="17">
        <v>1010</v>
      </c>
      <c r="AP712" s="17"/>
      <c r="AQ712" s="17">
        <v>2090</v>
      </c>
      <c r="AR712" s="17"/>
      <c r="AS712" s="17">
        <v>1.6</v>
      </c>
      <c r="AT712" s="17"/>
      <c r="AU712" s="17">
        <v>837.9</v>
      </c>
      <c r="AV712" s="17"/>
      <c r="AW712" s="17">
        <v>2869.8</v>
      </c>
      <c r="AX712" s="17"/>
      <c r="AY712" t="s">
        <v>92</v>
      </c>
      <c r="AZ712" t="s">
        <v>92</v>
      </c>
      <c r="BA712" t="s">
        <v>92</v>
      </c>
      <c r="BB712" t="s">
        <v>92</v>
      </c>
      <c r="BC712" t="s">
        <v>92</v>
      </c>
      <c r="BD712" t="s">
        <v>92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92</v>
      </c>
      <c r="BM712" t="s">
        <v>92</v>
      </c>
      <c r="BN712" t="s">
        <v>92</v>
      </c>
      <c r="BO712" t="s">
        <v>92</v>
      </c>
      <c r="BP712" t="s">
        <v>92</v>
      </c>
      <c r="BQ712" t="s">
        <v>92</v>
      </c>
      <c r="BR712" t="s">
        <v>92</v>
      </c>
      <c r="BS712" t="s">
        <v>92</v>
      </c>
      <c r="BT712" t="s">
        <v>92</v>
      </c>
      <c r="BU712" t="s">
        <v>92</v>
      </c>
      <c r="BV712" t="s">
        <v>92</v>
      </c>
      <c r="BW712" t="s">
        <v>92</v>
      </c>
      <c r="BX712" t="s">
        <v>92</v>
      </c>
      <c r="BY712" t="str">
        <f>IF(COUNTIF('Data Upload-prod'!E:E,F712)=0,"Missing","Exist")</f>
        <v>Exist</v>
      </c>
    </row>
    <row r="713" hidden="1" spans="1:77">
      <c r="A713" s="16">
        <v>42289</v>
      </c>
      <c r="B713" s="16">
        <v>42455</v>
      </c>
      <c r="C713" t="s">
        <v>141</v>
      </c>
      <c r="D713" t="s">
        <v>120</v>
      </c>
      <c r="E713" t="s">
        <v>1237</v>
      </c>
      <c r="F713" t="s">
        <v>1238</v>
      </c>
      <c r="G713" t="s">
        <v>145</v>
      </c>
      <c r="H713" t="s">
        <v>1171</v>
      </c>
      <c r="I713" t="s">
        <v>1172</v>
      </c>
      <c r="J713" s="17">
        <v>1089.3</v>
      </c>
      <c r="K713" s="17">
        <v>3144.77</v>
      </c>
      <c r="L713" s="17">
        <v>3144.77</v>
      </c>
      <c r="M713" s="17">
        <v>27760000</v>
      </c>
      <c r="N713" s="17">
        <v>35600000</v>
      </c>
      <c r="O713" s="17">
        <v>24.3</v>
      </c>
      <c r="P713" s="17">
        <v>30.3</v>
      </c>
      <c r="Q713" t="s">
        <v>84</v>
      </c>
      <c r="R713" t="s">
        <v>84</v>
      </c>
      <c r="S713" t="s">
        <v>85</v>
      </c>
      <c r="T713" t="s">
        <v>84</v>
      </c>
      <c r="U713" t="s">
        <v>84</v>
      </c>
      <c r="V713" s="16">
        <v>42329</v>
      </c>
      <c r="W713" s="18">
        <v>42327</v>
      </c>
      <c r="X713" s="18">
        <v>42373</v>
      </c>
      <c r="Y713" s="17">
        <v>1576.65</v>
      </c>
      <c r="Z713" t="s">
        <v>148</v>
      </c>
      <c r="AA713" s="17">
        <v>2691.25</v>
      </c>
      <c r="AB713" s="17">
        <v>2665.96</v>
      </c>
      <c r="AC713" s="17">
        <v>37000000</v>
      </c>
      <c r="AD713" t="s">
        <v>84</v>
      </c>
      <c r="AE713" s="17">
        <v>46.74</v>
      </c>
      <c r="AF713" t="s">
        <v>84</v>
      </c>
      <c r="AG713" t="s">
        <v>84</v>
      </c>
      <c r="AH713" t="s">
        <v>84</v>
      </c>
      <c r="AI713" s="17">
        <v>30.3</v>
      </c>
      <c r="AJ713" s="17">
        <v>30.3</v>
      </c>
      <c r="AK713" t="s">
        <v>378</v>
      </c>
      <c r="AM713" s="17">
        <v>5.4</v>
      </c>
      <c r="AN713" s="17"/>
      <c r="AO713" s="17">
        <v>5090</v>
      </c>
      <c r="AP713" s="17"/>
      <c r="AQ713" s="17">
        <v>7920</v>
      </c>
      <c r="AR713" s="17"/>
      <c r="AS713" s="17">
        <v>2.94</v>
      </c>
      <c r="AT713" s="17"/>
      <c r="AU713" s="17">
        <v>3530.9</v>
      </c>
      <c r="AV713" s="17"/>
      <c r="AW713" s="17">
        <v>5284.4</v>
      </c>
      <c r="AX713" s="17"/>
      <c r="AY713" t="s">
        <v>92</v>
      </c>
      <c r="AZ713" t="s">
        <v>92</v>
      </c>
      <c r="BA713" t="s">
        <v>92</v>
      </c>
      <c r="BB713" t="s">
        <v>92</v>
      </c>
      <c r="BC713" t="s">
        <v>92</v>
      </c>
      <c r="BD713" t="s">
        <v>92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92</v>
      </c>
      <c r="BM713" t="s">
        <v>92</v>
      </c>
      <c r="BN713" t="s">
        <v>92</v>
      </c>
      <c r="BO713" t="s">
        <v>92</v>
      </c>
      <c r="BP713" t="s">
        <v>92</v>
      </c>
      <c r="BQ713" t="s">
        <v>92</v>
      </c>
      <c r="BR713" t="s">
        <v>92</v>
      </c>
      <c r="BS713" t="s">
        <v>92</v>
      </c>
      <c r="BT713" t="s">
        <v>92</v>
      </c>
      <c r="BU713" t="s">
        <v>92</v>
      </c>
      <c r="BV713" t="s">
        <v>92</v>
      </c>
      <c r="BW713" t="s">
        <v>92</v>
      </c>
      <c r="BX713" t="s">
        <v>92</v>
      </c>
      <c r="BY713" t="str">
        <f>IF(COUNTIF('Data Upload-prod'!E:E,F713)=0,"Missing","Exist")</f>
        <v>Exist</v>
      </c>
    </row>
    <row r="714" hidden="1" spans="1:77">
      <c r="A714" s="16">
        <v>42279</v>
      </c>
      <c r="B714" s="16">
        <v>42431</v>
      </c>
      <c r="C714" t="s">
        <v>360</v>
      </c>
      <c r="D714" t="s">
        <v>120</v>
      </c>
      <c r="E714" t="s">
        <v>715</v>
      </c>
      <c r="F714" t="s">
        <v>1239</v>
      </c>
      <c r="G714" t="s">
        <v>81</v>
      </c>
      <c r="H714" t="s">
        <v>185</v>
      </c>
      <c r="I714" t="s">
        <v>124</v>
      </c>
      <c r="J714" s="17">
        <v>40.85</v>
      </c>
      <c r="K714" s="17">
        <v>1476.83</v>
      </c>
      <c r="L714" s="17">
        <v>1365</v>
      </c>
      <c r="M714" t="s">
        <v>84</v>
      </c>
      <c r="N714" t="s">
        <v>84</v>
      </c>
      <c r="O714" t="s">
        <v>84</v>
      </c>
      <c r="P714" t="s">
        <v>84</v>
      </c>
      <c r="Q714" s="17">
        <v>6193839</v>
      </c>
      <c r="R714" s="17">
        <v>10.5</v>
      </c>
      <c r="S714" t="s">
        <v>85</v>
      </c>
      <c r="T714" t="s">
        <v>84</v>
      </c>
      <c r="U714" t="s">
        <v>86</v>
      </c>
      <c r="V714" s="16">
        <v>42312</v>
      </c>
      <c r="W714" s="18">
        <v>42312.1875</v>
      </c>
      <c r="X714" s="18">
        <v>42373.625</v>
      </c>
      <c r="Y714" s="17">
        <v>1395.65</v>
      </c>
      <c r="Z714" t="s">
        <v>87</v>
      </c>
      <c r="AA714" s="17">
        <v>1466.5</v>
      </c>
      <c r="AB714" s="17">
        <v>1371.43</v>
      </c>
      <c r="AC714" t="s">
        <v>84</v>
      </c>
      <c r="AD714" t="s">
        <v>84</v>
      </c>
      <c r="AE714" t="s">
        <v>84</v>
      </c>
      <c r="AF714" t="s">
        <v>84</v>
      </c>
      <c r="AG714" s="17">
        <v>4920222</v>
      </c>
      <c r="AH714" s="17">
        <v>7.88</v>
      </c>
      <c r="AI714" s="17">
        <v>0</v>
      </c>
      <c r="AJ714" s="17">
        <v>0</v>
      </c>
      <c r="AK714" t="s">
        <v>165</v>
      </c>
      <c r="AM714" s="17">
        <v>2</v>
      </c>
      <c r="AN714" s="17"/>
      <c r="AO714" s="17">
        <v>725</v>
      </c>
      <c r="AP714" s="17"/>
      <c r="AQ714" s="17">
        <v>1295</v>
      </c>
      <c r="AR714" s="17"/>
      <c r="AS714" s="17">
        <v>1.26</v>
      </c>
      <c r="AT714" s="17"/>
      <c r="AU714" s="17">
        <v>791</v>
      </c>
      <c r="AV714" s="17"/>
      <c r="AW714" s="17">
        <v>1127</v>
      </c>
      <c r="AX714" s="17"/>
      <c r="AY714" t="s">
        <v>92</v>
      </c>
      <c r="AZ714" t="s">
        <v>92</v>
      </c>
      <c r="BA714" t="s">
        <v>92</v>
      </c>
      <c r="BB714" t="s">
        <v>92</v>
      </c>
      <c r="BC714" t="s">
        <v>92</v>
      </c>
      <c r="BD714" s="17">
        <v>2.19</v>
      </c>
      <c r="BE714" s="17">
        <v>1665000</v>
      </c>
      <c r="BF714" t="s">
        <v>92</v>
      </c>
      <c r="BG714" t="s">
        <v>92</v>
      </c>
      <c r="BH714" t="s">
        <v>93</v>
      </c>
      <c r="BI714" t="s">
        <v>94</v>
      </c>
      <c r="BJ714" t="s">
        <v>625</v>
      </c>
      <c r="BK714" t="s">
        <v>85</v>
      </c>
      <c r="BL714" t="s">
        <v>85</v>
      </c>
      <c r="BM714" t="s">
        <v>96</v>
      </c>
      <c r="BN714" t="s">
        <v>97</v>
      </c>
      <c r="BO714" t="s">
        <v>98</v>
      </c>
      <c r="BP714" t="s">
        <v>99</v>
      </c>
      <c r="BQ714" s="17">
        <v>56</v>
      </c>
      <c r="BR714" t="s">
        <v>138</v>
      </c>
      <c r="BS714" t="s">
        <v>92</v>
      </c>
      <c r="BT714" t="s">
        <v>99</v>
      </c>
      <c r="BU714" s="17">
        <v>9.7</v>
      </c>
      <c r="BV714" t="s">
        <v>308</v>
      </c>
      <c r="BW714" t="s">
        <v>85</v>
      </c>
      <c r="BX714" t="s">
        <v>85</v>
      </c>
      <c r="BY714" t="str">
        <f>IF(COUNTIF('Data Upload-prod'!E:E,F714)=0,"Missing","Exist")</f>
        <v>Exist</v>
      </c>
    </row>
    <row r="715" hidden="1" spans="1:77">
      <c r="A715" s="16">
        <v>42269</v>
      </c>
      <c r="B715" s="16">
        <v>42423</v>
      </c>
      <c r="C715" t="s">
        <v>269</v>
      </c>
      <c r="D715" t="s">
        <v>78</v>
      </c>
      <c r="E715" t="s">
        <v>270</v>
      </c>
      <c r="F715" t="s">
        <v>1240</v>
      </c>
      <c r="G715" t="s">
        <v>145</v>
      </c>
      <c r="H715" t="s">
        <v>181</v>
      </c>
      <c r="I715" t="s">
        <v>124</v>
      </c>
      <c r="J715" s="17">
        <v>68.3</v>
      </c>
      <c r="K715" s="17">
        <v>2071.32</v>
      </c>
      <c r="L715" s="17">
        <v>2015.85</v>
      </c>
      <c r="M715" s="17">
        <v>23377791</v>
      </c>
      <c r="N715" s="17">
        <v>23377791</v>
      </c>
      <c r="O715" s="17">
        <v>47</v>
      </c>
      <c r="P715" s="17">
        <v>47</v>
      </c>
      <c r="Q715" t="s">
        <v>84</v>
      </c>
      <c r="R715" t="s">
        <v>84</v>
      </c>
      <c r="S715" t="s">
        <v>106</v>
      </c>
      <c r="T715" t="s">
        <v>84</v>
      </c>
      <c r="U715" t="s">
        <v>84</v>
      </c>
      <c r="V715" s="16">
        <v>42310</v>
      </c>
      <c r="W715" s="18">
        <v>42276.9375</v>
      </c>
      <c r="X715" s="18">
        <v>42329</v>
      </c>
      <c r="Y715" s="17">
        <v>2483.39</v>
      </c>
      <c r="Z715" t="s">
        <v>87</v>
      </c>
      <c r="AA715" s="17">
        <v>2585.8</v>
      </c>
      <c r="AB715" s="17">
        <v>1990.23</v>
      </c>
      <c r="AC715" t="s">
        <v>84</v>
      </c>
      <c r="AD715" s="17">
        <v>24834845.48</v>
      </c>
      <c r="AE715" t="s">
        <v>84</v>
      </c>
      <c r="AF715" s="17">
        <v>62.9</v>
      </c>
      <c r="AG715" t="s">
        <v>84</v>
      </c>
      <c r="AH715" t="s">
        <v>84</v>
      </c>
      <c r="AI715" t="s">
        <v>92</v>
      </c>
      <c r="AJ715" t="s">
        <v>92</v>
      </c>
      <c r="AK715" t="s">
        <v>300</v>
      </c>
      <c r="AM715" s="17">
        <v>1.9</v>
      </c>
      <c r="AN715" s="17"/>
      <c r="AO715" s="17">
        <v>720</v>
      </c>
      <c r="AP715" s="17"/>
      <c r="AQ715" s="17">
        <v>1370</v>
      </c>
      <c r="AR715" s="17"/>
      <c r="AS715" s="13" t="s">
        <v>150</v>
      </c>
      <c r="AT715"/>
      <c r="AU715" s="13" t="s">
        <v>150</v>
      </c>
      <c r="AW715" s="13" t="s">
        <v>150</v>
      </c>
      <c r="AY715" t="s">
        <v>92</v>
      </c>
      <c r="AZ715" t="s">
        <v>92</v>
      </c>
      <c r="BA715" t="s">
        <v>92</v>
      </c>
      <c r="BB715" t="s">
        <v>92</v>
      </c>
      <c r="BC715" t="s">
        <v>92</v>
      </c>
      <c r="BD715" t="s">
        <v>92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92</v>
      </c>
      <c r="BM715" t="s">
        <v>92</v>
      </c>
      <c r="BN715" t="s">
        <v>92</v>
      </c>
      <c r="BO715" t="s">
        <v>92</v>
      </c>
      <c r="BP715" t="s">
        <v>92</v>
      </c>
      <c r="BQ715" t="s">
        <v>92</v>
      </c>
      <c r="BR715" t="s">
        <v>92</v>
      </c>
      <c r="BS715" t="s">
        <v>92</v>
      </c>
      <c r="BT715" t="s">
        <v>92</v>
      </c>
      <c r="BU715" t="s">
        <v>92</v>
      </c>
      <c r="BV715" t="s">
        <v>92</v>
      </c>
      <c r="BW715" t="s">
        <v>92</v>
      </c>
      <c r="BX715" t="s">
        <v>92</v>
      </c>
      <c r="BY715" t="str">
        <f>IF(COUNTIF('Data Upload-prod'!E:E,F715)=0,"Missing","Exist")</f>
        <v>Exist</v>
      </c>
    </row>
    <row r="716" hidden="1" spans="1:77">
      <c r="A716" s="16">
        <v>42269</v>
      </c>
      <c r="B716" s="16">
        <v>42333</v>
      </c>
      <c r="C716" t="s">
        <v>233</v>
      </c>
      <c r="D716" t="s">
        <v>78</v>
      </c>
      <c r="E716" t="s">
        <v>239</v>
      </c>
      <c r="F716" t="s">
        <v>1241</v>
      </c>
      <c r="G716" t="s">
        <v>145</v>
      </c>
      <c r="H716" t="s">
        <v>1216</v>
      </c>
      <c r="I716" t="s">
        <v>124</v>
      </c>
      <c r="J716" s="17">
        <v>76.9</v>
      </c>
      <c r="K716" s="17">
        <v>1689</v>
      </c>
      <c r="L716" s="17">
        <v>1689</v>
      </c>
      <c r="M716" s="17">
        <v>8000000</v>
      </c>
      <c r="N716" s="17">
        <v>8600000</v>
      </c>
      <c r="O716" s="17">
        <v>17.2</v>
      </c>
      <c r="P716" s="17">
        <v>18.3</v>
      </c>
      <c r="Q716" t="s">
        <v>84</v>
      </c>
      <c r="R716" t="s">
        <v>84</v>
      </c>
      <c r="S716" t="s">
        <v>85</v>
      </c>
      <c r="T716" t="s">
        <v>84</v>
      </c>
      <c r="U716" t="s">
        <v>84</v>
      </c>
      <c r="V716" s="16">
        <v>42297</v>
      </c>
      <c r="W716" s="18">
        <v>42294.3125</v>
      </c>
      <c r="X716" s="18">
        <v>42309</v>
      </c>
      <c r="Y716" s="17">
        <v>1605.1</v>
      </c>
      <c r="Z716" t="s">
        <v>87</v>
      </c>
      <c r="AA716" s="17">
        <v>1716</v>
      </c>
      <c r="AB716" s="17">
        <v>1682</v>
      </c>
      <c r="AC716" t="s">
        <v>84</v>
      </c>
      <c r="AD716" s="17">
        <v>7900000</v>
      </c>
      <c r="AE716" t="s">
        <v>84</v>
      </c>
      <c r="AF716" s="17">
        <v>16.4</v>
      </c>
      <c r="AG716" t="s">
        <v>84</v>
      </c>
      <c r="AH716" t="s">
        <v>84</v>
      </c>
      <c r="AI716" s="17">
        <v>1.52</v>
      </c>
      <c r="AJ716" s="17">
        <v>1.52</v>
      </c>
      <c r="AK716" t="s">
        <v>300</v>
      </c>
      <c r="AM716" s="17">
        <v>1.9</v>
      </c>
      <c r="AN716" s="17"/>
      <c r="AO716" s="17">
        <v>720</v>
      </c>
      <c r="AP716" s="17"/>
      <c r="AQ716" s="17">
        <v>1370</v>
      </c>
      <c r="AR716" s="17"/>
      <c r="AS716" s="17">
        <v>2.03</v>
      </c>
      <c r="AT716" s="17"/>
      <c r="AU716" s="17">
        <v>675</v>
      </c>
      <c r="AV716" s="17"/>
      <c r="AW716" s="17">
        <v>1504</v>
      </c>
      <c r="AX716" s="17"/>
      <c r="AY716" t="s">
        <v>92</v>
      </c>
      <c r="AZ716" t="s">
        <v>92</v>
      </c>
      <c r="BA716" t="s">
        <v>92</v>
      </c>
      <c r="BB716" t="s">
        <v>92</v>
      </c>
      <c r="BC716" t="s">
        <v>92</v>
      </c>
      <c r="BD716" t="s">
        <v>92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92</v>
      </c>
      <c r="BM716" t="s">
        <v>92</v>
      </c>
      <c r="BN716" t="s">
        <v>92</v>
      </c>
      <c r="BO716" t="s">
        <v>92</v>
      </c>
      <c r="BP716" t="s">
        <v>92</v>
      </c>
      <c r="BQ716" t="s">
        <v>92</v>
      </c>
      <c r="BR716" t="s">
        <v>92</v>
      </c>
      <c r="BS716" t="s">
        <v>92</v>
      </c>
      <c r="BT716" t="s">
        <v>92</v>
      </c>
      <c r="BU716" t="s">
        <v>92</v>
      </c>
      <c r="BV716" t="s">
        <v>92</v>
      </c>
      <c r="BW716" t="s">
        <v>92</v>
      </c>
      <c r="BX716" t="s">
        <v>92</v>
      </c>
      <c r="BY716" t="str">
        <f>IF(COUNTIF('Data Upload-prod'!E:E,F716)=0,"Missing","Exist")</f>
        <v>Exist</v>
      </c>
    </row>
    <row r="717" hidden="1" spans="1:77">
      <c r="A717" s="16">
        <v>42262</v>
      </c>
      <c r="B717" t="s">
        <v>84</v>
      </c>
      <c r="C717" t="s">
        <v>218</v>
      </c>
      <c r="D717" t="s">
        <v>142</v>
      </c>
      <c r="E717" t="s">
        <v>1242</v>
      </c>
      <c r="F717" t="s">
        <v>1243</v>
      </c>
      <c r="G717" t="s">
        <v>145</v>
      </c>
      <c r="H717" t="s">
        <v>790</v>
      </c>
      <c r="I717" t="s">
        <v>124</v>
      </c>
      <c r="J717" s="17">
        <v>42</v>
      </c>
      <c r="K717" s="17">
        <v>1450</v>
      </c>
      <c r="L717" s="17">
        <v>1230</v>
      </c>
      <c r="M717" s="17">
        <v>7759000</v>
      </c>
      <c r="N717" s="17">
        <v>7759000</v>
      </c>
      <c r="O717" s="17">
        <v>17.64</v>
      </c>
      <c r="P717" s="17">
        <v>17.64</v>
      </c>
      <c r="Q717" t="s">
        <v>84</v>
      </c>
      <c r="R717" t="s">
        <v>84</v>
      </c>
      <c r="S717" t="s">
        <v>85</v>
      </c>
      <c r="T717" t="s">
        <v>84</v>
      </c>
      <c r="U717" t="s">
        <v>84</v>
      </c>
      <c r="V717" s="16">
        <v>42401</v>
      </c>
      <c r="W717" s="18">
        <v>42398.375</v>
      </c>
      <c r="X717" s="18">
        <v>42422.375</v>
      </c>
      <c r="Y717" s="17">
        <v>1312.26</v>
      </c>
      <c r="Z717" t="s">
        <v>87</v>
      </c>
      <c r="AA717" s="17">
        <v>1384</v>
      </c>
      <c r="AB717" s="17">
        <v>1179</v>
      </c>
      <c r="AC717" s="17">
        <v>7789000</v>
      </c>
      <c r="AD717" t="s">
        <v>84</v>
      </c>
      <c r="AE717" s="17">
        <v>24</v>
      </c>
      <c r="AF717" t="s">
        <v>84</v>
      </c>
      <c r="AG717" t="s">
        <v>84</v>
      </c>
      <c r="AH717" t="s">
        <v>84</v>
      </c>
      <c r="AI717" s="17">
        <v>17.53</v>
      </c>
      <c r="AJ717" s="17">
        <v>7.34</v>
      </c>
      <c r="AK717" t="s">
        <v>300</v>
      </c>
      <c r="AM717" s="17">
        <v>2.6</v>
      </c>
      <c r="AN717" s="17"/>
      <c r="AO717" s="17">
        <v>1010</v>
      </c>
      <c r="AP717" s="17"/>
      <c r="AQ717" s="17">
        <v>2090</v>
      </c>
      <c r="AR717" s="17"/>
      <c r="AS717" s="17">
        <v>2.69</v>
      </c>
      <c r="AT717" s="17"/>
      <c r="AU717" s="17">
        <v>907.68</v>
      </c>
      <c r="AV717" s="17"/>
      <c r="AW717" s="17">
        <v>1812</v>
      </c>
      <c r="AX717" s="17"/>
      <c r="AY717" t="s">
        <v>92</v>
      </c>
      <c r="AZ717" t="s">
        <v>92</v>
      </c>
      <c r="BA717" t="s">
        <v>92</v>
      </c>
      <c r="BB717" t="s">
        <v>92</v>
      </c>
      <c r="BC717" t="s">
        <v>92</v>
      </c>
      <c r="BD717" t="s">
        <v>92</v>
      </c>
      <c r="BE717" t="s">
        <v>92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92</v>
      </c>
      <c r="BM717" t="s">
        <v>92</v>
      </c>
      <c r="BN717" t="s">
        <v>92</v>
      </c>
      <c r="BO717" t="s">
        <v>92</v>
      </c>
      <c r="BP717" t="s">
        <v>92</v>
      </c>
      <c r="BQ717" t="s">
        <v>92</v>
      </c>
      <c r="BR717" t="s">
        <v>92</v>
      </c>
      <c r="BS717" t="s">
        <v>92</v>
      </c>
      <c r="BT717" t="s">
        <v>92</v>
      </c>
      <c r="BU717" t="s">
        <v>92</v>
      </c>
      <c r="BV717" t="s">
        <v>92</v>
      </c>
      <c r="BW717" t="s">
        <v>92</v>
      </c>
      <c r="BX717" t="s">
        <v>92</v>
      </c>
      <c r="BY717" t="str">
        <f>IF(COUNTIF('Data Upload-prod'!E:E,F717)=0,"Missing","Exist")</f>
        <v>Exist</v>
      </c>
    </row>
    <row r="718" hidden="1" spans="1:77">
      <c r="A718" s="16">
        <v>42257</v>
      </c>
      <c r="B718" s="16">
        <v>42380</v>
      </c>
      <c r="C718" t="s">
        <v>132</v>
      </c>
      <c r="D718" t="s">
        <v>120</v>
      </c>
      <c r="E718" t="s">
        <v>1244</v>
      </c>
      <c r="F718" t="s">
        <v>1245</v>
      </c>
      <c r="G718" t="s">
        <v>81</v>
      </c>
      <c r="H718" t="s">
        <v>202</v>
      </c>
      <c r="I718" t="s">
        <v>124</v>
      </c>
      <c r="J718" s="17">
        <v>94.8</v>
      </c>
      <c r="K718" s="17">
        <v>2461.4</v>
      </c>
      <c r="L718" s="17">
        <v>1344.85</v>
      </c>
      <c r="M718" t="s">
        <v>84</v>
      </c>
      <c r="N718" t="s">
        <v>84</v>
      </c>
      <c r="O718" t="s">
        <v>84</v>
      </c>
      <c r="P718" t="s">
        <v>84</v>
      </c>
      <c r="Q718" s="17">
        <v>26072070</v>
      </c>
      <c r="R718" s="17">
        <v>38</v>
      </c>
      <c r="S718" t="s">
        <v>85</v>
      </c>
      <c r="T718" t="s">
        <v>84</v>
      </c>
      <c r="U718" t="s">
        <v>84</v>
      </c>
      <c r="V718" s="16">
        <v>42304.625</v>
      </c>
      <c r="W718" s="18">
        <v>42303.5</v>
      </c>
      <c r="X718" s="18">
        <v>42338</v>
      </c>
      <c r="Y718" s="17">
        <v>2395.61</v>
      </c>
      <c r="Z718" t="s">
        <v>87</v>
      </c>
      <c r="AA718" s="17">
        <v>2536.4</v>
      </c>
      <c r="AB718" s="17">
        <v>1346.4</v>
      </c>
      <c r="AC718" t="s">
        <v>84</v>
      </c>
      <c r="AD718" t="s">
        <v>84</v>
      </c>
      <c r="AE718" t="s">
        <v>84</v>
      </c>
      <c r="AF718" t="s">
        <v>84</v>
      </c>
      <c r="AG718" s="17">
        <v>20430907</v>
      </c>
      <c r="AH718" s="17">
        <v>34.49</v>
      </c>
      <c r="AI718" s="17">
        <v>14.5</v>
      </c>
      <c r="AJ718" s="17">
        <v>14.5</v>
      </c>
      <c r="AK718" t="s">
        <v>126</v>
      </c>
      <c r="AM718" s="17">
        <v>2.5</v>
      </c>
      <c r="AN718" s="17"/>
      <c r="AO718" s="17">
        <v>1010</v>
      </c>
      <c r="AP718" s="17"/>
      <c r="AQ718" s="17">
        <v>1870</v>
      </c>
      <c r="AR718" s="17"/>
      <c r="AS718" s="17">
        <v>2.53</v>
      </c>
      <c r="AT718" s="17"/>
      <c r="AU718" s="17">
        <v>1252</v>
      </c>
      <c r="AV718" s="17"/>
      <c r="AW718" s="17">
        <v>2155</v>
      </c>
      <c r="AX718" s="17"/>
      <c r="AY718" t="s">
        <v>92</v>
      </c>
      <c r="AZ718" t="s">
        <v>92</v>
      </c>
      <c r="BA718" t="s">
        <v>92</v>
      </c>
      <c r="BB718" t="s">
        <v>92</v>
      </c>
      <c r="BC718" t="s">
        <v>92</v>
      </c>
      <c r="BD718" t="s">
        <v>92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92</v>
      </c>
      <c r="BM718" t="s">
        <v>92</v>
      </c>
      <c r="BN718" t="s">
        <v>92</v>
      </c>
      <c r="BO718" t="s">
        <v>92</v>
      </c>
      <c r="BP718" t="s">
        <v>92</v>
      </c>
      <c r="BQ718" t="s">
        <v>92</v>
      </c>
      <c r="BR718" t="s">
        <v>92</v>
      </c>
      <c r="BS718" t="s">
        <v>92</v>
      </c>
      <c r="BT718" t="s">
        <v>92</v>
      </c>
      <c r="BU718" t="s">
        <v>92</v>
      </c>
      <c r="BV718" t="s">
        <v>92</v>
      </c>
      <c r="BW718" t="s">
        <v>92</v>
      </c>
      <c r="BX718" t="s">
        <v>92</v>
      </c>
      <c r="BY718" t="str">
        <f>IF(COUNTIF('Data Upload-prod'!E:E,F718)=0,"Missing","Exist")</f>
        <v>Exist</v>
      </c>
    </row>
    <row r="719" hidden="1" spans="1:77">
      <c r="A719" s="16">
        <v>42257</v>
      </c>
      <c r="B719" s="16">
        <v>42402</v>
      </c>
      <c r="C719" t="s">
        <v>750</v>
      </c>
      <c r="D719" t="s">
        <v>142</v>
      </c>
      <c r="E719" t="s">
        <v>1131</v>
      </c>
      <c r="F719" t="s">
        <v>1246</v>
      </c>
      <c r="G719" t="s">
        <v>145</v>
      </c>
      <c r="H719" t="s">
        <v>1247</v>
      </c>
      <c r="I719" t="s">
        <v>231</v>
      </c>
      <c r="J719" s="17">
        <v>1106.21</v>
      </c>
      <c r="K719" s="17">
        <v>2348</v>
      </c>
      <c r="L719" s="17">
        <v>2348</v>
      </c>
      <c r="M719" s="17">
        <v>74800000</v>
      </c>
      <c r="N719" s="17">
        <v>74800000</v>
      </c>
      <c r="O719" s="17">
        <v>58.7</v>
      </c>
      <c r="P719" s="17">
        <v>58.7</v>
      </c>
      <c r="Q719" t="s">
        <v>84</v>
      </c>
      <c r="R719" t="s">
        <v>84</v>
      </c>
      <c r="S719" t="s">
        <v>106</v>
      </c>
      <c r="T719" t="s">
        <v>84</v>
      </c>
      <c r="U719" t="s">
        <v>84</v>
      </c>
      <c r="V719" s="16">
        <v>42286</v>
      </c>
      <c r="W719" s="18">
        <v>42285.2916666667</v>
      </c>
      <c r="X719" s="18">
        <v>42334.25</v>
      </c>
      <c r="Y719" s="17">
        <v>1487.59</v>
      </c>
      <c r="Z719" t="s">
        <v>148</v>
      </c>
      <c r="AA719" s="17">
        <v>2620</v>
      </c>
      <c r="AB719" s="17">
        <v>2619.1</v>
      </c>
      <c r="AC719" t="s">
        <v>84</v>
      </c>
      <c r="AD719" s="17">
        <v>58700000</v>
      </c>
      <c r="AE719" t="s">
        <v>84</v>
      </c>
      <c r="AF719" s="17">
        <v>51.9</v>
      </c>
      <c r="AG719" t="s">
        <v>84</v>
      </c>
      <c r="AH719" t="s">
        <v>84</v>
      </c>
      <c r="AI719" s="17">
        <v>7.3</v>
      </c>
      <c r="AJ719" s="17">
        <v>7.3</v>
      </c>
      <c r="AK719" s="13" t="s">
        <v>155</v>
      </c>
      <c r="AL719" s="13"/>
      <c r="AM719" t="s">
        <v>92</v>
      </c>
      <c r="AO719" t="s">
        <v>92</v>
      </c>
      <c r="AQ719" t="s">
        <v>92</v>
      </c>
      <c r="AS719" s="17">
        <v>3.97</v>
      </c>
      <c r="AT719" s="17"/>
      <c r="AU719" s="17">
        <v>4490</v>
      </c>
      <c r="AV719" s="17"/>
      <c r="AW719" s="17">
        <v>7840</v>
      </c>
      <c r="AX719" s="17"/>
      <c r="AY719" t="s">
        <v>92</v>
      </c>
      <c r="AZ719" t="s">
        <v>92</v>
      </c>
      <c r="BA719" t="s">
        <v>92</v>
      </c>
      <c r="BB719" t="s">
        <v>92</v>
      </c>
      <c r="BC719" t="s">
        <v>92</v>
      </c>
      <c r="BD719" t="s">
        <v>92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92</v>
      </c>
      <c r="BM719" t="s">
        <v>92</v>
      </c>
      <c r="BN719" t="s">
        <v>92</v>
      </c>
      <c r="BO719" t="s">
        <v>92</v>
      </c>
      <c r="BP719" t="s">
        <v>92</v>
      </c>
      <c r="BQ719" t="s">
        <v>92</v>
      </c>
      <c r="BR719" t="s">
        <v>92</v>
      </c>
      <c r="BS719" t="s">
        <v>92</v>
      </c>
      <c r="BT719" t="s">
        <v>92</v>
      </c>
      <c r="BU719" t="s">
        <v>92</v>
      </c>
      <c r="BV719" t="s">
        <v>92</v>
      </c>
      <c r="BW719" t="s">
        <v>92</v>
      </c>
      <c r="BX719" t="s">
        <v>92</v>
      </c>
      <c r="BY719" t="str">
        <f>IF(COUNTIF('Data Upload-prod'!E:E,F719)=0,"Missing","Exist")</f>
        <v>Exist</v>
      </c>
    </row>
    <row r="720" hidden="1" spans="1:77">
      <c r="A720" s="16">
        <v>42254</v>
      </c>
      <c r="B720" s="16">
        <v>42402</v>
      </c>
      <c r="C720" t="s">
        <v>218</v>
      </c>
      <c r="D720" t="s">
        <v>120</v>
      </c>
      <c r="E720" t="s">
        <v>1248</v>
      </c>
      <c r="F720" t="s">
        <v>1249</v>
      </c>
      <c r="G720" t="s">
        <v>145</v>
      </c>
      <c r="H720" t="s">
        <v>790</v>
      </c>
      <c r="I720" t="s">
        <v>124</v>
      </c>
      <c r="J720" s="17">
        <v>96</v>
      </c>
      <c r="K720" s="17">
        <v>1981</v>
      </c>
      <c r="L720" s="17">
        <v>1981</v>
      </c>
      <c r="M720" s="17">
        <v>11748955</v>
      </c>
      <c r="N720" s="17">
        <v>14244880</v>
      </c>
      <c r="O720" s="17">
        <v>21.64</v>
      </c>
      <c r="P720" s="17">
        <v>21.64</v>
      </c>
      <c r="Q720" t="s">
        <v>84</v>
      </c>
      <c r="R720" t="s">
        <v>84</v>
      </c>
      <c r="S720" t="s">
        <v>85</v>
      </c>
      <c r="T720" t="s">
        <v>84</v>
      </c>
      <c r="U720" t="s">
        <v>84</v>
      </c>
      <c r="V720" s="16">
        <v>42320</v>
      </c>
      <c r="W720" s="18">
        <v>42316.0833333333</v>
      </c>
      <c r="X720" s="18">
        <v>42343.4166666667</v>
      </c>
      <c r="Y720" s="17">
        <v>2139</v>
      </c>
      <c r="Z720" t="s">
        <v>87</v>
      </c>
      <c r="AA720" s="17">
        <v>2269</v>
      </c>
      <c r="AB720" s="17">
        <v>2268.64</v>
      </c>
      <c r="AC720" t="s">
        <v>84</v>
      </c>
      <c r="AD720" s="17">
        <v>14069370</v>
      </c>
      <c r="AE720" t="s">
        <v>84</v>
      </c>
      <c r="AF720" s="17">
        <v>27.33</v>
      </c>
      <c r="AG720" t="s">
        <v>84</v>
      </c>
      <c r="AH720" t="s">
        <v>84</v>
      </c>
      <c r="AI720" s="17">
        <v>2.97</v>
      </c>
      <c r="AJ720" s="17">
        <v>2.97</v>
      </c>
      <c r="AK720" t="s">
        <v>323</v>
      </c>
      <c r="AM720" s="17">
        <v>4.4</v>
      </c>
      <c r="AN720" s="17"/>
      <c r="AO720" s="17">
        <v>1980</v>
      </c>
      <c r="AP720" s="17"/>
      <c r="AQ720" s="17">
        <v>2760</v>
      </c>
      <c r="AR720" s="17"/>
      <c r="AS720" s="17">
        <v>2.12</v>
      </c>
      <c r="AT720" s="17"/>
      <c r="AU720" s="17">
        <v>1010.5</v>
      </c>
      <c r="AV720" s="17"/>
      <c r="AW720" s="17">
        <v>2004.2</v>
      </c>
      <c r="AX720" s="17"/>
      <c r="AY720" t="s">
        <v>92</v>
      </c>
      <c r="AZ720" t="s">
        <v>92</v>
      </c>
      <c r="BA720" t="s">
        <v>92</v>
      </c>
      <c r="BB720" t="s">
        <v>92</v>
      </c>
      <c r="BC720" t="s">
        <v>92</v>
      </c>
      <c r="BD720" t="s">
        <v>92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92</v>
      </c>
      <c r="BM720" t="s">
        <v>92</v>
      </c>
      <c r="BN720" t="s">
        <v>92</v>
      </c>
      <c r="BO720" t="s">
        <v>92</v>
      </c>
      <c r="BP720" t="s">
        <v>92</v>
      </c>
      <c r="BQ720" t="s">
        <v>92</v>
      </c>
      <c r="BR720" t="s">
        <v>92</v>
      </c>
      <c r="BS720" t="s">
        <v>92</v>
      </c>
      <c r="BT720" t="s">
        <v>92</v>
      </c>
      <c r="BU720" t="s">
        <v>92</v>
      </c>
      <c r="BV720" t="s">
        <v>92</v>
      </c>
      <c r="BW720" t="s">
        <v>92</v>
      </c>
      <c r="BX720" t="s">
        <v>92</v>
      </c>
      <c r="BY720" t="str">
        <f>IF(COUNTIF('Data Upload-prod'!E:E,F720)=0,"Missing","Exist")</f>
        <v>Exist</v>
      </c>
    </row>
    <row r="721" hidden="1" spans="1:77">
      <c r="A721" s="16">
        <v>42254</v>
      </c>
      <c r="B721" s="16">
        <v>42431</v>
      </c>
      <c r="C721" t="s">
        <v>218</v>
      </c>
      <c r="D721" t="s">
        <v>120</v>
      </c>
      <c r="E721" t="s">
        <v>1250</v>
      </c>
      <c r="F721" t="s">
        <v>1251</v>
      </c>
      <c r="G721" t="s">
        <v>145</v>
      </c>
      <c r="H721" t="s">
        <v>790</v>
      </c>
      <c r="I721" t="s">
        <v>124</v>
      </c>
      <c r="J721" s="17">
        <v>99.2</v>
      </c>
      <c r="K721" s="17">
        <v>3171</v>
      </c>
      <c r="L721" s="17">
        <v>3171</v>
      </c>
      <c r="M721" s="17">
        <v>13036386</v>
      </c>
      <c r="N721" s="17">
        <v>13036386</v>
      </c>
      <c r="O721" s="17">
        <v>25.26</v>
      </c>
      <c r="P721" s="17">
        <v>25.26</v>
      </c>
      <c r="Q721" t="s">
        <v>84</v>
      </c>
      <c r="R721" t="s">
        <v>84</v>
      </c>
      <c r="S721" t="s">
        <v>85</v>
      </c>
      <c r="T721" t="s">
        <v>84</v>
      </c>
      <c r="U721" t="s">
        <v>84</v>
      </c>
      <c r="V721" s="16">
        <v>42320</v>
      </c>
      <c r="W721" s="18">
        <v>42320.9166666667</v>
      </c>
      <c r="X721" s="18">
        <v>42373.5833333333</v>
      </c>
      <c r="Y721" s="17">
        <v>2466.8</v>
      </c>
      <c r="Z721" t="s">
        <v>87</v>
      </c>
      <c r="AA721" s="17">
        <v>2600</v>
      </c>
      <c r="AB721" s="17">
        <v>2600</v>
      </c>
      <c r="AC721" s="17">
        <v>14100015.02</v>
      </c>
      <c r="AD721" t="s">
        <v>84</v>
      </c>
      <c r="AE721" s="17">
        <v>30.17</v>
      </c>
      <c r="AF721" t="s">
        <v>84</v>
      </c>
      <c r="AG721" t="s">
        <v>84</v>
      </c>
      <c r="AH721" t="s">
        <v>84</v>
      </c>
      <c r="AI721" s="17">
        <v>13.43</v>
      </c>
      <c r="AJ721" s="17">
        <v>0.76</v>
      </c>
      <c r="AK721" t="s">
        <v>333</v>
      </c>
      <c r="AM721" s="17">
        <v>3.8</v>
      </c>
      <c r="AN721" s="17"/>
      <c r="AO721" s="17">
        <v>2125</v>
      </c>
      <c r="AP721" s="17"/>
      <c r="AQ721" s="17">
        <v>3315</v>
      </c>
      <c r="AR721" s="17"/>
      <c r="AS721" s="17">
        <v>2.18</v>
      </c>
      <c r="AT721" s="17"/>
      <c r="AU721" s="17">
        <v>893.53</v>
      </c>
      <c r="AV721" s="17"/>
      <c r="AW721" s="17">
        <v>1742.1</v>
      </c>
      <c r="AX721" s="17"/>
      <c r="AY721" t="s">
        <v>92</v>
      </c>
      <c r="AZ721" t="s">
        <v>92</v>
      </c>
      <c r="BA721" t="s">
        <v>92</v>
      </c>
      <c r="BB721" t="s">
        <v>92</v>
      </c>
      <c r="BC721" t="s">
        <v>92</v>
      </c>
      <c r="BD721" t="s">
        <v>92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92</v>
      </c>
      <c r="BM721" t="s">
        <v>92</v>
      </c>
      <c r="BN721" t="s">
        <v>92</v>
      </c>
      <c r="BO721" t="s">
        <v>92</v>
      </c>
      <c r="BP721" t="s">
        <v>92</v>
      </c>
      <c r="BQ721" t="s">
        <v>92</v>
      </c>
      <c r="BR721" t="s">
        <v>92</v>
      </c>
      <c r="BS721" t="s">
        <v>92</v>
      </c>
      <c r="BT721" t="s">
        <v>92</v>
      </c>
      <c r="BU721" t="s">
        <v>92</v>
      </c>
      <c r="BV721" t="s">
        <v>92</v>
      </c>
      <c r="BW721" t="s">
        <v>92</v>
      </c>
      <c r="BX721" t="s">
        <v>92</v>
      </c>
      <c r="BY721" t="str">
        <f>IF(COUNTIF('Data Upload-prod'!E:E,F721)=0,"Missing","Exist")</f>
        <v>Exist</v>
      </c>
    </row>
    <row r="722" hidden="1" spans="1:77">
      <c r="A722" s="16">
        <v>42249</v>
      </c>
      <c r="B722" s="16">
        <v>42372</v>
      </c>
      <c r="C722" t="s">
        <v>218</v>
      </c>
      <c r="D722" t="s">
        <v>120</v>
      </c>
      <c r="E722" t="s">
        <v>523</v>
      </c>
      <c r="F722" t="s">
        <v>1252</v>
      </c>
      <c r="G722" t="s">
        <v>145</v>
      </c>
      <c r="H722" t="s">
        <v>790</v>
      </c>
      <c r="I722" t="s">
        <v>124</v>
      </c>
      <c r="J722" s="17">
        <v>87.7</v>
      </c>
      <c r="K722" s="17">
        <v>2370</v>
      </c>
      <c r="L722" s="17">
        <v>2336</v>
      </c>
      <c r="M722" s="17">
        <v>11282545</v>
      </c>
      <c r="N722" s="17">
        <v>17260802</v>
      </c>
      <c r="O722" s="17">
        <v>20.39</v>
      </c>
      <c r="P722" s="17">
        <v>40.01</v>
      </c>
      <c r="Q722" t="s">
        <v>84</v>
      </c>
      <c r="R722" t="s">
        <v>84</v>
      </c>
      <c r="S722" t="s">
        <v>85</v>
      </c>
      <c r="T722" t="s">
        <v>84</v>
      </c>
      <c r="U722" t="s">
        <v>84</v>
      </c>
      <c r="V722" s="16">
        <v>42284.0416666667</v>
      </c>
      <c r="W722" s="18">
        <v>42275.7708333333</v>
      </c>
      <c r="X722" s="18">
        <v>42316.0833333333</v>
      </c>
      <c r="Y722" s="17">
        <v>2279.3</v>
      </c>
      <c r="Z722" t="s">
        <v>87</v>
      </c>
      <c r="AA722" s="17">
        <v>2401</v>
      </c>
      <c r="AB722" s="17">
        <v>2399.5</v>
      </c>
      <c r="AC722" t="s">
        <v>84</v>
      </c>
      <c r="AD722" s="17">
        <v>17305899</v>
      </c>
      <c r="AE722" t="s">
        <v>84</v>
      </c>
      <c r="AF722" s="17">
        <v>41.23</v>
      </c>
      <c r="AG722" t="s">
        <v>84</v>
      </c>
      <c r="AH722" t="s">
        <v>84</v>
      </c>
      <c r="AI722" s="17">
        <v>8.41</v>
      </c>
      <c r="AJ722" s="17">
        <v>5.76</v>
      </c>
      <c r="AK722" t="s">
        <v>114</v>
      </c>
      <c r="AM722" s="17">
        <v>2.2</v>
      </c>
      <c r="AN722" s="17"/>
      <c r="AO722" s="17">
        <v>915</v>
      </c>
      <c r="AP722" s="17"/>
      <c r="AQ722" s="17">
        <v>1520</v>
      </c>
      <c r="AR722" s="17"/>
      <c r="AS722" s="17">
        <v>3.32</v>
      </c>
      <c r="AT722" s="17"/>
      <c r="AU722" s="17">
        <v>1154</v>
      </c>
      <c r="AV722" s="17"/>
      <c r="AW722" s="17">
        <v>2149</v>
      </c>
      <c r="AX722" s="17"/>
      <c r="AY722" t="s">
        <v>92</v>
      </c>
      <c r="AZ722" t="s">
        <v>92</v>
      </c>
      <c r="BA722" t="s">
        <v>92</v>
      </c>
      <c r="BB722" t="s">
        <v>92</v>
      </c>
      <c r="BC722" t="s">
        <v>92</v>
      </c>
      <c r="BD722" t="s">
        <v>92</v>
      </c>
      <c r="BE722" t="s">
        <v>92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92</v>
      </c>
      <c r="BL722" t="s">
        <v>92</v>
      </c>
      <c r="BM722" t="s">
        <v>92</v>
      </c>
      <c r="BN722" t="s">
        <v>92</v>
      </c>
      <c r="BO722" t="s">
        <v>92</v>
      </c>
      <c r="BP722" t="s">
        <v>92</v>
      </c>
      <c r="BQ722" t="s">
        <v>92</v>
      </c>
      <c r="BR722" t="s">
        <v>92</v>
      </c>
      <c r="BS722" t="s">
        <v>92</v>
      </c>
      <c r="BT722" t="s">
        <v>92</v>
      </c>
      <c r="BU722" t="s">
        <v>92</v>
      </c>
      <c r="BV722" t="s">
        <v>92</v>
      </c>
      <c r="BW722" t="s">
        <v>92</v>
      </c>
      <c r="BX722" t="s">
        <v>92</v>
      </c>
      <c r="BY722" t="str">
        <f>IF(COUNTIF('Data Upload-prod'!E:E,F722)=0,"Missing","Exist")</f>
        <v>Exist</v>
      </c>
    </row>
    <row r="723" hidden="1" spans="1:77">
      <c r="A723" s="16">
        <v>42241</v>
      </c>
      <c r="B723" s="16">
        <v>42606</v>
      </c>
      <c r="C723" t="s">
        <v>132</v>
      </c>
      <c r="D723" t="s">
        <v>120</v>
      </c>
      <c r="E723" t="s">
        <v>1184</v>
      </c>
      <c r="F723" t="s">
        <v>1253</v>
      </c>
      <c r="G723" t="s">
        <v>81</v>
      </c>
      <c r="H723" t="s">
        <v>837</v>
      </c>
      <c r="I723" t="s">
        <v>83</v>
      </c>
      <c r="J723" s="17">
        <v>104</v>
      </c>
      <c r="K723" s="17">
        <v>3770.7</v>
      </c>
      <c r="L723" s="17">
        <v>2933</v>
      </c>
      <c r="M723" t="s">
        <v>84</v>
      </c>
      <c r="N723" t="s">
        <v>84</v>
      </c>
      <c r="O723" t="s">
        <v>84</v>
      </c>
      <c r="P723" t="s">
        <v>84</v>
      </c>
      <c r="Q723" s="17">
        <v>43400000</v>
      </c>
      <c r="R723" s="17">
        <v>56.34</v>
      </c>
      <c r="S723" t="s">
        <v>85</v>
      </c>
      <c r="T723" t="s">
        <v>84</v>
      </c>
      <c r="U723" t="s">
        <v>86</v>
      </c>
      <c r="V723" s="16">
        <v>42508</v>
      </c>
      <c r="W723" s="18">
        <v>42508.7083333333</v>
      </c>
      <c r="X723" s="18">
        <v>42548.75</v>
      </c>
      <c r="Y723" s="17">
        <v>3560.1</v>
      </c>
      <c r="Z723" t="s">
        <v>87</v>
      </c>
      <c r="AA723" s="17">
        <v>3697</v>
      </c>
      <c r="AB723" s="17">
        <v>2907</v>
      </c>
      <c r="AC723" t="s">
        <v>84</v>
      </c>
      <c r="AD723" t="s">
        <v>84</v>
      </c>
      <c r="AE723" t="s">
        <v>84</v>
      </c>
      <c r="AF723" t="s">
        <v>84</v>
      </c>
      <c r="AG723" s="17">
        <v>36480000</v>
      </c>
      <c r="AH723" s="17">
        <v>40.04</v>
      </c>
      <c r="AI723" s="17">
        <v>5.52</v>
      </c>
      <c r="AJ723" s="17">
        <v>4.84</v>
      </c>
      <c r="AK723" t="s">
        <v>276</v>
      </c>
      <c r="AM723" s="17">
        <v>3.7</v>
      </c>
      <c r="AN723" s="17"/>
      <c r="AO723" s="17">
        <v>1585</v>
      </c>
      <c r="AP723" s="17"/>
      <c r="AQ723" s="17">
        <v>3400</v>
      </c>
      <c r="AR723" s="17"/>
      <c r="AS723" s="17">
        <v>2.34</v>
      </c>
      <c r="AT723" s="17"/>
      <c r="AU723" s="17">
        <v>1715</v>
      </c>
      <c r="AV723" s="17"/>
      <c r="AW723" s="17">
        <v>3195</v>
      </c>
      <c r="AX723" s="17"/>
      <c r="AY723" t="s">
        <v>92</v>
      </c>
      <c r="AZ723" t="s">
        <v>92</v>
      </c>
      <c r="BA723" t="s">
        <v>92</v>
      </c>
      <c r="BB723" t="s">
        <v>92</v>
      </c>
      <c r="BC723" t="s">
        <v>92</v>
      </c>
      <c r="BD723" s="17">
        <v>13.42</v>
      </c>
      <c r="BE723" s="17">
        <v>14934628.02</v>
      </c>
      <c r="BF723" t="s">
        <v>92</v>
      </c>
      <c r="BG723" t="s">
        <v>92</v>
      </c>
      <c r="BH723" t="s">
        <v>127</v>
      </c>
      <c r="BI723" t="s">
        <v>278</v>
      </c>
      <c r="BJ723" t="s">
        <v>173</v>
      </c>
      <c r="BK723" t="s">
        <v>85</v>
      </c>
      <c r="BL723" t="s">
        <v>85</v>
      </c>
      <c r="BM723" t="s">
        <v>137</v>
      </c>
      <c r="BN723" t="s">
        <v>97</v>
      </c>
      <c r="BO723" t="s">
        <v>98</v>
      </c>
      <c r="BP723" t="s">
        <v>641</v>
      </c>
      <c r="BQ723" s="17">
        <v>704.7588</v>
      </c>
      <c r="BR723" t="s">
        <v>100</v>
      </c>
      <c r="BS723" t="s">
        <v>156</v>
      </c>
      <c r="BT723" t="s">
        <v>255</v>
      </c>
      <c r="BU723" s="17">
        <v>14.8</v>
      </c>
      <c r="BV723" t="s">
        <v>451</v>
      </c>
      <c r="BW723" t="s">
        <v>85</v>
      </c>
      <c r="BX723" t="s">
        <v>85</v>
      </c>
      <c r="BY723" t="str">
        <f>IF(COUNTIF('Data Upload-prod'!E:E,F723)=0,"Missing","Exist")</f>
        <v>Exist</v>
      </c>
    </row>
    <row r="724" hidden="1" spans="1:77">
      <c r="A724" s="16">
        <v>42233</v>
      </c>
      <c r="B724" s="16">
        <v>42402</v>
      </c>
      <c r="C724" t="s">
        <v>132</v>
      </c>
      <c r="D724" t="s">
        <v>120</v>
      </c>
      <c r="E724" t="s">
        <v>326</v>
      </c>
      <c r="F724" t="s">
        <v>1254</v>
      </c>
      <c r="G724" t="s">
        <v>81</v>
      </c>
      <c r="H724" t="s">
        <v>1255</v>
      </c>
      <c r="I724" t="s">
        <v>124</v>
      </c>
      <c r="J724" s="17">
        <v>35.8</v>
      </c>
      <c r="K724" s="17">
        <v>1886.32</v>
      </c>
      <c r="L724" s="17">
        <v>1324.6</v>
      </c>
      <c r="M724" t="s">
        <v>84</v>
      </c>
      <c r="N724" t="s">
        <v>84</v>
      </c>
      <c r="O724" t="s">
        <v>84</v>
      </c>
      <c r="P724" t="s">
        <v>84</v>
      </c>
      <c r="Q724" s="17">
        <v>15760000</v>
      </c>
      <c r="R724" s="17">
        <v>29.1</v>
      </c>
      <c r="S724" t="s">
        <v>85</v>
      </c>
      <c r="T724" t="s">
        <v>84</v>
      </c>
      <c r="U724" t="s">
        <v>84</v>
      </c>
      <c r="V724" s="16">
        <v>42253.71875</v>
      </c>
      <c r="W724" s="18">
        <v>42252.5</v>
      </c>
      <c r="X724" s="18">
        <v>42274.2916666667</v>
      </c>
      <c r="Y724" s="17">
        <v>1814.42</v>
      </c>
      <c r="Z724" t="s">
        <v>87</v>
      </c>
      <c r="AA724" s="17">
        <v>1896.37</v>
      </c>
      <c r="AB724" s="17">
        <v>1331.61</v>
      </c>
      <c r="AC724" t="s">
        <v>84</v>
      </c>
      <c r="AD724" t="s">
        <v>84</v>
      </c>
      <c r="AE724" t="s">
        <v>84</v>
      </c>
      <c r="AF724" t="s">
        <v>84</v>
      </c>
      <c r="AG724" s="17">
        <v>14904630.51</v>
      </c>
      <c r="AH724" s="17">
        <v>33.75</v>
      </c>
      <c r="AI724" s="17">
        <v>13.6</v>
      </c>
      <c r="AJ724" s="17">
        <v>13.6</v>
      </c>
      <c r="AK724" t="s">
        <v>165</v>
      </c>
      <c r="AM724" s="17">
        <v>2</v>
      </c>
      <c r="AN724" s="17"/>
      <c r="AO724" s="17">
        <v>725</v>
      </c>
      <c r="AP724" s="17"/>
      <c r="AQ724" s="17">
        <v>1325</v>
      </c>
      <c r="AR724" s="17"/>
      <c r="AS724" s="17">
        <v>2.57</v>
      </c>
      <c r="AT724" s="17"/>
      <c r="AU724" s="17">
        <v>1007</v>
      </c>
      <c r="AV724" s="17"/>
      <c r="AW724" s="17">
        <v>2503</v>
      </c>
      <c r="AX724" s="17"/>
      <c r="AY724" t="s">
        <v>92</v>
      </c>
      <c r="AZ724" t="s">
        <v>92</v>
      </c>
      <c r="BA724" t="s">
        <v>92</v>
      </c>
      <c r="BB724" t="s">
        <v>92</v>
      </c>
      <c r="BC724" t="s">
        <v>92</v>
      </c>
      <c r="BD724" t="s">
        <v>92</v>
      </c>
      <c r="BE724" t="s">
        <v>92</v>
      </c>
      <c r="BF724" t="s">
        <v>92</v>
      </c>
      <c r="BG724" t="s">
        <v>92</v>
      </c>
      <c r="BH724" t="s">
        <v>92</v>
      </c>
      <c r="BI724" t="s">
        <v>92</v>
      </c>
      <c r="BJ724" t="s">
        <v>92</v>
      </c>
      <c r="BK724" t="s">
        <v>92</v>
      </c>
      <c r="BL724" t="s">
        <v>92</v>
      </c>
      <c r="BM724" t="s">
        <v>92</v>
      </c>
      <c r="BN724" t="s">
        <v>92</v>
      </c>
      <c r="BO724" t="s">
        <v>92</v>
      </c>
      <c r="BP724" t="s">
        <v>92</v>
      </c>
      <c r="BQ724" t="s">
        <v>92</v>
      </c>
      <c r="BR724" t="s">
        <v>92</v>
      </c>
      <c r="BS724" t="s">
        <v>92</v>
      </c>
      <c r="BT724" t="s">
        <v>92</v>
      </c>
      <c r="BU724" t="s">
        <v>92</v>
      </c>
      <c r="BV724" t="s">
        <v>92</v>
      </c>
      <c r="BW724" t="s">
        <v>92</v>
      </c>
      <c r="BX724" t="s">
        <v>92</v>
      </c>
      <c r="BY724" t="str">
        <f>IF(COUNTIF('Data Upload-prod'!E:E,F724)=0,"Missing","Exist")</f>
        <v>Exist</v>
      </c>
    </row>
    <row r="725" hidden="1" spans="1:77">
      <c r="A725" s="16">
        <v>42222</v>
      </c>
      <c r="B725" s="16">
        <v>42282</v>
      </c>
      <c r="C725" t="s">
        <v>360</v>
      </c>
      <c r="D725" t="s">
        <v>142</v>
      </c>
      <c r="E725" t="s">
        <v>486</v>
      </c>
      <c r="F725" t="s">
        <v>1256</v>
      </c>
      <c r="G725" t="s">
        <v>81</v>
      </c>
      <c r="H725" t="s">
        <v>825</v>
      </c>
      <c r="I725" t="s">
        <v>147</v>
      </c>
      <c r="J725" s="17">
        <v>1189</v>
      </c>
      <c r="K725" s="17">
        <v>2120</v>
      </c>
      <c r="L725" s="17">
        <v>2100</v>
      </c>
      <c r="M725" t="s">
        <v>84</v>
      </c>
      <c r="N725" t="s">
        <v>84</v>
      </c>
      <c r="O725" t="s">
        <v>84</v>
      </c>
      <c r="P725" t="s">
        <v>84</v>
      </c>
      <c r="Q725" s="17">
        <v>22889618.39</v>
      </c>
      <c r="R725" s="17">
        <v>17.4</v>
      </c>
      <c r="S725" t="s">
        <v>85</v>
      </c>
      <c r="T725" t="s">
        <v>84</v>
      </c>
      <c r="U725" t="s">
        <v>84</v>
      </c>
      <c r="V725" s="16">
        <v>42248.875</v>
      </c>
      <c r="W725" s="18">
        <v>42247.7083333333</v>
      </c>
      <c r="X725" s="18">
        <v>42264.5</v>
      </c>
      <c r="Y725" s="17">
        <v>796</v>
      </c>
      <c r="Z725" t="s">
        <v>148</v>
      </c>
      <c r="AA725" s="17">
        <v>2009</v>
      </c>
      <c r="AB725" s="17">
        <v>2009</v>
      </c>
      <c r="AC725" t="s">
        <v>84</v>
      </c>
      <c r="AD725" t="s">
        <v>84</v>
      </c>
      <c r="AE725" t="s">
        <v>84</v>
      </c>
      <c r="AF725" t="s">
        <v>84</v>
      </c>
      <c r="AG725" s="17">
        <v>20445809</v>
      </c>
      <c r="AH725" s="17">
        <v>16.8</v>
      </c>
      <c r="AI725" s="17">
        <v>0.25</v>
      </c>
      <c r="AJ725" s="17">
        <v>0.25</v>
      </c>
      <c r="AK725" t="s">
        <v>591</v>
      </c>
      <c r="AM725" s="17">
        <v>4</v>
      </c>
      <c r="AN725" s="17"/>
      <c r="AO725" s="17">
        <v>3640</v>
      </c>
      <c r="AP725" s="17"/>
      <c r="AQ725" s="17">
        <v>8010</v>
      </c>
      <c r="AR725" s="17"/>
      <c r="AS725" s="17">
        <v>2.28</v>
      </c>
      <c r="AT725" s="17"/>
      <c r="AU725" s="17">
        <v>2773</v>
      </c>
      <c r="AV725" s="17"/>
      <c r="AW725" s="17">
        <v>5891</v>
      </c>
      <c r="AX725" s="17"/>
      <c r="AY725" t="s">
        <v>92</v>
      </c>
      <c r="AZ725" t="s">
        <v>92</v>
      </c>
      <c r="BA725" t="s">
        <v>92</v>
      </c>
      <c r="BB725" t="s">
        <v>92</v>
      </c>
      <c r="BC725" t="s">
        <v>92</v>
      </c>
      <c r="BD725" t="s">
        <v>92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92</v>
      </c>
      <c r="BM725" t="s">
        <v>92</v>
      </c>
      <c r="BN725" t="s">
        <v>92</v>
      </c>
      <c r="BO725" t="s">
        <v>92</v>
      </c>
      <c r="BP725" t="s">
        <v>92</v>
      </c>
      <c r="BQ725" t="s">
        <v>92</v>
      </c>
      <c r="BR725" t="s">
        <v>92</v>
      </c>
      <c r="BS725" t="s">
        <v>92</v>
      </c>
      <c r="BT725" t="s">
        <v>92</v>
      </c>
      <c r="BU725" t="s">
        <v>92</v>
      </c>
      <c r="BV725" t="s">
        <v>92</v>
      </c>
      <c r="BW725" t="s">
        <v>92</v>
      </c>
      <c r="BX725" t="s">
        <v>92</v>
      </c>
      <c r="BY725" t="str">
        <f>IF(COUNTIF('Data Upload-prod'!E:E,F725)=0,"Missing","Exist")</f>
        <v>Exist</v>
      </c>
    </row>
    <row r="726" hidden="1" spans="1:77">
      <c r="A726" s="16">
        <v>42205</v>
      </c>
      <c r="B726" s="16">
        <v>42279</v>
      </c>
      <c r="C726" t="s">
        <v>360</v>
      </c>
      <c r="D726" t="s">
        <v>120</v>
      </c>
      <c r="E726" t="s">
        <v>1257</v>
      </c>
      <c r="F726" t="s">
        <v>1258</v>
      </c>
      <c r="G726" t="s">
        <v>145</v>
      </c>
      <c r="H726" t="s">
        <v>185</v>
      </c>
      <c r="I726" t="s">
        <v>124</v>
      </c>
      <c r="J726" s="17">
        <v>34</v>
      </c>
      <c r="K726" s="17">
        <v>2557</v>
      </c>
      <c r="L726" s="17">
        <v>1963</v>
      </c>
      <c r="M726" s="17">
        <v>11489758</v>
      </c>
      <c r="N726" s="17">
        <v>11489758</v>
      </c>
      <c r="O726" s="17">
        <v>24</v>
      </c>
      <c r="P726" s="17">
        <v>24</v>
      </c>
      <c r="Q726" t="s">
        <v>84</v>
      </c>
      <c r="R726" t="s">
        <v>84</v>
      </c>
      <c r="S726" t="s">
        <v>85</v>
      </c>
      <c r="T726" t="s">
        <v>84</v>
      </c>
      <c r="U726" t="s">
        <v>84</v>
      </c>
      <c r="V726" s="16">
        <v>42237.2916666667</v>
      </c>
      <c r="W726" s="18">
        <v>42231.625</v>
      </c>
      <c r="X726" s="18">
        <v>42258.1041666667</v>
      </c>
      <c r="Y726" s="17">
        <v>2096.89</v>
      </c>
      <c r="Z726" t="s">
        <v>87</v>
      </c>
      <c r="AA726" s="17">
        <v>2194</v>
      </c>
      <c r="AB726" s="17">
        <v>1978.09</v>
      </c>
      <c r="AC726" t="s">
        <v>84</v>
      </c>
      <c r="AD726" s="17">
        <v>11195516.87</v>
      </c>
      <c r="AE726" t="s">
        <v>84</v>
      </c>
      <c r="AF726" s="17">
        <v>26.48</v>
      </c>
      <c r="AG726" t="s">
        <v>84</v>
      </c>
      <c r="AH726" t="s">
        <v>84</v>
      </c>
      <c r="AI726" s="17">
        <v>1.573564123</v>
      </c>
      <c r="AJ726" s="17">
        <v>1.573564123</v>
      </c>
      <c r="AK726" t="s">
        <v>544</v>
      </c>
      <c r="AM726" s="17">
        <v>1.2</v>
      </c>
      <c r="AN726" s="17"/>
      <c r="AO726" s="17">
        <v>385</v>
      </c>
      <c r="AP726" s="17"/>
      <c r="AQ726" s="17">
        <v>930</v>
      </c>
      <c r="AR726" s="17"/>
      <c r="AS726" s="17">
        <v>1.08</v>
      </c>
      <c r="AT726" s="17"/>
      <c r="AU726" s="17">
        <v>674.88</v>
      </c>
      <c r="AV726" s="17"/>
      <c r="AW726" s="17">
        <v>899.08</v>
      </c>
      <c r="AX726" s="17"/>
      <c r="AY726" t="s">
        <v>92</v>
      </c>
      <c r="AZ726" t="s">
        <v>92</v>
      </c>
      <c r="BA726" t="s">
        <v>92</v>
      </c>
      <c r="BB726" t="s">
        <v>92</v>
      </c>
      <c r="BC726" t="s">
        <v>92</v>
      </c>
      <c r="BD726" t="s">
        <v>92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92</v>
      </c>
      <c r="BM726" t="s">
        <v>92</v>
      </c>
      <c r="BN726" t="s">
        <v>92</v>
      </c>
      <c r="BO726" t="s">
        <v>92</v>
      </c>
      <c r="BP726" t="s">
        <v>92</v>
      </c>
      <c r="BQ726" t="s">
        <v>92</v>
      </c>
      <c r="BR726" t="s">
        <v>92</v>
      </c>
      <c r="BS726" t="s">
        <v>92</v>
      </c>
      <c r="BT726" t="s">
        <v>92</v>
      </c>
      <c r="BU726" t="s">
        <v>92</v>
      </c>
      <c r="BV726" t="s">
        <v>92</v>
      </c>
      <c r="BW726" t="s">
        <v>92</v>
      </c>
      <c r="BX726" t="s">
        <v>92</v>
      </c>
      <c r="BY726" t="str">
        <f>IF(COUNTIF('Data Upload-prod'!E:E,F726)=0,"Missing","Exist")</f>
        <v>Exist</v>
      </c>
    </row>
    <row r="727" hidden="1" spans="1:77">
      <c r="A727" s="16">
        <v>42194</v>
      </c>
      <c r="B727" s="16">
        <v>42249</v>
      </c>
      <c r="C727" t="s">
        <v>360</v>
      </c>
      <c r="D727" t="s">
        <v>120</v>
      </c>
      <c r="E727" t="s">
        <v>599</v>
      </c>
      <c r="F727" t="s">
        <v>1259</v>
      </c>
      <c r="G727" t="s">
        <v>81</v>
      </c>
      <c r="H727" t="s">
        <v>185</v>
      </c>
      <c r="I727" t="s">
        <v>124</v>
      </c>
      <c r="J727" s="17">
        <v>48.5</v>
      </c>
      <c r="K727" s="17">
        <v>3404</v>
      </c>
      <c r="L727" s="17">
        <v>1901</v>
      </c>
      <c r="M727" t="s">
        <v>84</v>
      </c>
      <c r="N727" t="s">
        <v>84</v>
      </c>
      <c r="O727" t="s">
        <v>84</v>
      </c>
      <c r="P727" t="s">
        <v>84</v>
      </c>
      <c r="Q727" s="17">
        <v>8980844</v>
      </c>
      <c r="R727" s="17">
        <v>14.92</v>
      </c>
      <c r="S727" t="s">
        <v>85</v>
      </c>
      <c r="T727" t="s">
        <v>84</v>
      </c>
      <c r="U727" t="s">
        <v>86</v>
      </c>
      <c r="V727" s="16">
        <v>42206</v>
      </c>
      <c r="W727" s="18">
        <v>42206.8333333333</v>
      </c>
      <c r="X727" s="18">
        <v>42227.25</v>
      </c>
      <c r="Y727" s="17">
        <v>3191.24</v>
      </c>
      <c r="Z727" t="s">
        <v>87</v>
      </c>
      <c r="AA727" s="17">
        <v>3285</v>
      </c>
      <c r="AB727" s="17">
        <v>1946.64</v>
      </c>
      <c r="AC727" t="s">
        <v>84</v>
      </c>
      <c r="AD727" t="s">
        <v>84</v>
      </c>
      <c r="AE727" t="s">
        <v>84</v>
      </c>
      <c r="AF727" t="s">
        <v>84</v>
      </c>
      <c r="AG727" s="17">
        <v>9809134</v>
      </c>
      <c r="AH727" s="17">
        <v>20.42</v>
      </c>
      <c r="AI727" s="17">
        <v>19.38</v>
      </c>
      <c r="AJ727" s="17">
        <v>19.38</v>
      </c>
      <c r="AK727" s="13" t="s">
        <v>149</v>
      </c>
      <c r="AL727" s="13"/>
      <c r="AM727" t="s">
        <v>92</v>
      </c>
      <c r="AO727" t="s">
        <v>92</v>
      </c>
      <c r="AQ727" t="s">
        <v>92</v>
      </c>
      <c r="AS727" s="17">
        <v>1.67</v>
      </c>
      <c r="AT727" s="17"/>
      <c r="AU727" s="17">
        <v>805</v>
      </c>
      <c r="AV727" s="17"/>
      <c r="AW727" s="17">
        <v>955</v>
      </c>
      <c r="AX727" s="17"/>
      <c r="AY727" t="s">
        <v>92</v>
      </c>
      <c r="AZ727" t="s">
        <v>92</v>
      </c>
      <c r="BA727" t="s">
        <v>92</v>
      </c>
      <c r="BB727" t="s">
        <v>92</v>
      </c>
      <c r="BC727" t="s">
        <v>92</v>
      </c>
      <c r="BD727" s="17">
        <v>3.23</v>
      </c>
      <c r="BE727" s="17">
        <v>2293000</v>
      </c>
      <c r="BF727" t="s">
        <v>92</v>
      </c>
      <c r="BG727" t="s">
        <v>92</v>
      </c>
      <c r="BH727" t="s">
        <v>93</v>
      </c>
      <c r="BI727" t="s">
        <v>94</v>
      </c>
      <c r="BJ727" t="s">
        <v>625</v>
      </c>
      <c r="BK727" t="s">
        <v>85</v>
      </c>
      <c r="BL727" t="s">
        <v>85</v>
      </c>
      <c r="BM727" t="s">
        <v>96</v>
      </c>
      <c r="BN727" t="s">
        <v>97</v>
      </c>
      <c r="BO727" t="s">
        <v>98</v>
      </c>
      <c r="BP727" t="s">
        <v>99</v>
      </c>
      <c r="BQ727" s="17">
        <v>390</v>
      </c>
      <c r="BR727" t="s">
        <v>138</v>
      </c>
      <c r="BS727" t="s">
        <v>156</v>
      </c>
      <c r="BT727" t="s">
        <v>99</v>
      </c>
      <c r="BU727" s="17">
        <v>11.8</v>
      </c>
      <c r="BV727" t="s">
        <v>308</v>
      </c>
      <c r="BW727" t="s">
        <v>85</v>
      </c>
      <c r="BX727" t="s">
        <v>85</v>
      </c>
      <c r="BY727" t="str">
        <f>IF(COUNTIF('Data Upload-prod'!E:E,F727)=0,"Missing","Exist")</f>
        <v>Exist</v>
      </c>
    </row>
    <row r="728" hidden="1" spans="1:77">
      <c r="A728" s="16">
        <v>42193</v>
      </c>
      <c r="B728" s="16">
        <v>42303</v>
      </c>
      <c r="C728" t="s">
        <v>77</v>
      </c>
      <c r="D728" t="s">
        <v>78</v>
      </c>
      <c r="E728" t="s">
        <v>1260</v>
      </c>
      <c r="F728" t="s">
        <v>1261</v>
      </c>
      <c r="G728" t="s">
        <v>145</v>
      </c>
      <c r="H728" t="s">
        <v>1262</v>
      </c>
      <c r="I728" t="s">
        <v>124</v>
      </c>
      <c r="J728" s="17">
        <v>63.4</v>
      </c>
      <c r="K728" s="17">
        <v>1500</v>
      </c>
      <c r="L728" s="17">
        <v>1500</v>
      </c>
      <c r="M728" s="17">
        <v>13381276</v>
      </c>
      <c r="N728" s="17">
        <v>13381276</v>
      </c>
      <c r="O728" s="17">
        <v>36.43</v>
      </c>
      <c r="P728" s="17">
        <v>36.43</v>
      </c>
      <c r="Q728" t="s">
        <v>84</v>
      </c>
      <c r="R728" t="s">
        <v>84</v>
      </c>
      <c r="S728" t="s">
        <v>85</v>
      </c>
      <c r="T728" t="s">
        <v>84</v>
      </c>
      <c r="U728" t="s">
        <v>84</v>
      </c>
      <c r="V728" s="16">
        <v>42225.78125</v>
      </c>
      <c r="W728" s="18">
        <v>42221.2916666667</v>
      </c>
      <c r="X728" s="18">
        <v>42246.7708333333</v>
      </c>
      <c r="Y728" s="17">
        <v>2707.25</v>
      </c>
      <c r="Z728" t="s">
        <v>87</v>
      </c>
      <c r="AA728" s="17">
        <v>2799</v>
      </c>
      <c r="AB728" s="17">
        <v>2714.27</v>
      </c>
      <c r="AC728" t="s">
        <v>84</v>
      </c>
      <c r="AD728" s="17">
        <v>8478401</v>
      </c>
      <c r="AE728" t="s">
        <v>84</v>
      </c>
      <c r="AF728" s="17">
        <v>21.45</v>
      </c>
      <c r="AG728" t="s">
        <v>84</v>
      </c>
      <c r="AH728" t="s">
        <v>84</v>
      </c>
      <c r="AI728" s="17">
        <v>2.82</v>
      </c>
      <c r="AJ728" s="17">
        <v>2.82</v>
      </c>
      <c r="AK728" t="s">
        <v>300</v>
      </c>
      <c r="AM728" s="17">
        <v>1.9</v>
      </c>
      <c r="AN728" s="17"/>
      <c r="AO728" s="17">
        <v>720</v>
      </c>
      <c r="AP728" s="17"/>
      <c r="AQ728" s="17">
        <v>1370</v>
      </c>
      <c r="AR728" s="17"/>
      <c r="AS728" s="13" t="s">
        <v>150</v>
      </c>
      <c r="AT728"/>
      <c r="AU728" s="13" t="s">
        <v>150</v>
      </c>
      <c r="AW728" s="13" t="s">
        <v>150</v>
      </c>
      <c r="AY728" t="s">
        <v>92</v>
      </c>
      <c r="AZ728" t="s">
        <v>92</v>
      </c>
      <c r="BA728" t="s">
        <v>92</v>
      </c>
      <c r="BB728" t="s">
        <v>92</v>
      </c>
      <c r="BC728" t="s">
        <v>92</v>
      </c>
      <c r="BD728" t="s">
        <v>92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92</v>
      </c>
      <c r="BM728" t="s">
        <v>92</v>
      </c>
      <c r="BN728" t="s">
        <v>92</v>
      </c>
      <c r="BO728" t="s">
        <v>92</v>
      </c>
      <c r="BP728" t="s">
        <v>92</v>
      </c>
      <c r="BQ728" t="s">
        <v>92</v>
      </c>
      <c r="BR728" t="s">
        <v>92</v>
      </c>
      <c r="BS728" t="s">
        <v>92</v>
      </c>
      <c r="BT728" t="s">
        <v>92</v>
      </c>
      <c r="BU728" t="s">
        <v>92</v>
      </c>
      <c r="BV728" t="s">
        <v>92</v>
      </c>
      <c r="BW728" t="s">
        <v>92</v>
      </c>
      <c r="BX728" t="s">
        <v>92</v>
      </c>
      <c r="BY728" t="str">
        <f>IF(COUNTIF('Data Upload-prod'!E:E,F728)=0,"Missing","Exist")</f>
        <v>Exist</v>
      </c>
    </row>
    <row r="729" hidden="1" spans="1:77">
      <c r="A729" s="16">
        <v>42163</v>
      </c>
      <c r="B729" s="16">
        <v>42402</v>
      </c>
      <c r="C729" t="s">
        <v>132</v>
      </c>
      <c r="D729" t="s">
        <v>120</v>
      </c>
      <c r="E729" t="s">
        <v>326</v>
      </c>
      <c r="F729" t="s">
        <v>1263</v>
      </c>
      <c r="G729" t="s">
        <v>81</v>
      </c>
      <c r="H729" t="s">
        <v>181</v>
      </c>
      <c r="I729" t="s">
        <v>124</v>
      </c>
      <c r="J729" s="17">
        <v>36.5</v>
      </c>
      <c r="K729" s="17">
        <v>1590.98</v>
      </c>
      <c r="L729" s="17">
        <v>1349.59</v>
      </c>
      <c r="M729" t="s">
        <v>84</v>
      </c>
      <c r="N729" t="s">
        <v>84</v>
      </c>
      <c r="O729" t="s">
        <v>84</v>
      </c>
      <c r="P729" t="s">
        <v>84</v>
      </c>
      <c r="Q729" s="17">
        <v>15260736</v>
      </c>
      <c r="R729" s="17">
        <v>30</v>
      </c>
      <c r="S729" t="s">
        <v>85</v>
      </c>
      <c r="T729" t="s">
        <v>84</v>
      </c>
      <c r="U729" t="s">
        <v>84</v>
      </c>
      <c r="V729" s="16">
        <v>42214.6041666667</v>
      </c>
      <c r="W729" s="18">
        <v>42214.5</v>
      </c>
      <c r="X729" s="18">
        <v>42240.5</v>
      </c>
      <c r="Y729" s="17">
        <v>1521.18</v>
      </c>
      <c r="Z729" t="s">
        <v>87</v>
      </c>
      <c r="AA729" s="17">
        <v>1603.17</v>
      </c>
      <c r="AB729" s="17">
        <v>1351.05</v>
      </c>
      <c r="AC729" t="s">
        <v>84</v>
      </c>
      <c r="AD729" t="s">
        <v>84</v>
      </c>
      <c r="AE729" t="s">
        <v>84</v>
      </c>
      <c r="AF729" t="s">
        <v>84</v>
      </c>
      <c r="AG729" s="17">
        <v>11203639.77</v>
      </c>
      <c r="AH729" s="17">
        <v>26</v>
      </c>
      <c r="AI729" s="17">
        <v>4.48</v>
      </c>
      <c r="AJ729" s="17">
        <v>4.48</v>
      </c>
      <c r="AK729" t="s">
        <v>165</v>
      </c>
      <c r="AM729" s="17">
        <v>2</v>
      </c>
      <c r="AN729" s="17"/>
      <c r="AO729" s="17">
        <v>725</v>
      </c>
      <c r="AP729" s="17"/>
      <c r="AQ729" s="17">
        <v>1325</v>
      </c>
      <c r="AR729" s="17"/>
      <c r="AS729" s="17">
        <v>2.3</v>
      </c>
      <c r="AT729" s="17"/>
      <c r="AU729" s="17">
        <v>900</v>
      </c>
      <c r="AV729" s="17"/>
      <c r="AW729" s="17">
        <v>2130</v>
      </c>
      <c r="AX729" s="17"/>
      <c r="AY729" t="s">
        <v>92</v>
      </c>
      <c r="AZ729" t="s">
        <v>92</v>
      </c>
      <c r="BA729" t="s">
        <v>92</v>
      </c>
      <c r="BB729" t="s">
        <v>92</v>
      </c>
      <c r="BC729" t="s">
        <v>92</v>
      </c>
      <c r="BD729" t="s">
        <v>92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92</v>
      </c>
      <c r="BM729" t="s">
        <v>92</v>
      </c>
      <c r="BN729" t="s">
        <v>92</v>
      </c>
      <c r="BO729" t="s">
        <v>92</v>
      </c>
      <c r="BP729" t="s">
        <v>92</v>
      </c>
      <c r="BQ729" t="s">
        <v>92</v>
      </c>
      <c r="BR729" t="s">
        <v>92</v>
      </c>
      <c r="BS729" t="s">
        <v>92</v>
      </c>
      <c r="BT729" t="s">
        <v>92</v>
      </c>
      <c r="BU729" t="s">
        <v>92</v>
      </c>
      <c r="BV729" t="s">
        <v>92</v>
      </c>
      <c r="BW729" t="s">
        <v>92</v>
      </c>
      <c r="BX729" t="s">
        <v>92</v>
      </c>
      <c r="BY729" t="str">
        <f>IF(COUNTIF('Data Upload-prod'!E:E,F729)=0,"Missing","Exist")</f>
        <v>Exist</v>
      </c>
    </row>
    <row r="730" hidden="1" spans="1:77">
      <c r="A730" s="16">
        <v>42159</v>
      </c>
      <c r="B730" s="16">
        <v>42222</v>
      </c>
      <c r="C730" t="s">
        <v>360</v>
      </c>
      <c r="D730" t="s">
        <v>142</v>
      </c>
      <c r="E730" t="s">
        <v>1264</v>
      </c>
      <c r="F730" t="s">
        <v>1265</v>
      </c>
      <c r="G730" t="s">
        <v>145</v>
      </c>
      <c r="H730" t="s">
        <v>1247</v>
      </c>
      <c r="I730" t="s">
        <v>231</v>
      </c>
      <c r="J730" s="17">
        <v>1483.3</v>
      </c>
      <c r="K730" s="17">
        <v>2450</v>
      </c>
      <c r="L730" s="17">
        <v>2450</v>
      </c>
      <c r="M730" s="17">
        <v>24748595</v>
      </c>
      <c r="N730" s="17">
        <v>24748595</v>
      </c>
      <c r="O730" s="17">
        <v>19.3</v>
      </c>
      <c r="P730" s="17">
        <v>19.3</v>
      </c>
      <c r="Q730" t="s">
        <v>84</v>
      </c>
      <c r="R730" t="s">
        <v>84</v>
      </c>
      <c r="S730" t="s">
        <v>85</v>
      </c>
      <c r="T730" t="s">
        <v>84</v>
      </c>
      <c r="U730" t="s">
        <v>84</v>
      </c>
      <c r="V730" s="16">
        <v>42191.8958333333</v>
      </c>
      <c r="W730" s="18">
        <v>42186.625</v>
      </c>
      <c r="X730" s="18">
        <v>42206.125</v>
      </c>
      <c r="Y730" s="17">
        <v>940.5</v>
      </c>
      <c r="Z730" t="s">
        <v>148</v>
      </c>
      <c r="AA730" s="17">
        <v>2450</v>
      </c>
      <c r="AB730" s="17">
        <v>2450</v>
      </c>
      <c r="AC730" t="s">
        <v>84</v>
      </c>
      <c r="AD730" s="17">
        <v>23654446</v>
      </c>
      <c r="AE730" t="s">
        <v>84</v>
      </c>
      <c r="AF730" s="17">
        <v>19.5</v>
      </c>
      <c r="AG730" t="s">
        <v>84</v>
      </c>
      <c r="AH730" t="s">
        <v>84</v>
      </c>
      <c r="AI730" s="17">
        <v>21.79</v>
      </c>
      <c r="AJ730" s="17">
        <v>4.38</v>
      </c>
      <c r="AK730" t="s">
        <v>305</v>
      </c>
      <c r="AM730" s="17">
        <v>2.3</v>
      </c>
      <c r="AN730" s="17"/>
      <c r="AO730" s="17">
        <v>3280</v>
      </c>
      <c r="AP730" s="17"/>
      <c r="AQ730" s="17">
        <v>5760</v>
      </c>
      <c r="AR730" s="17"/>
      <c r="AS730" s="17">
        <v>1.96</v>
      </c>
      <c r="AT730" s="17"/>
      <c r="AU730" s="17">
        <v>2383</v>
      </c>
      <c r="AV730" s="17"/>
      <c r="AW730" s="17">
        <v>7666</v>
      </c>
      <c r="AX730" s="17"/>
      <c r="AY730" t="s">
        <v>92</v>
      </c>
      <c r="AZ730" t="s">
        <v>92</v>
      </c>
      <c r="BA730" t="s">
        <v>92</v>
      </c>
      <c r="BB730" t="s">
        <v>92</v>
      </c>
      <c r="BC730" t="s">
        <v>92</v>
      </c>
      <c r="BD730" t="s">
        <v>92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92</v>
      </c>
      <c r="BM730" t="s">
        <v>92</v>
      </c>
      <c r="BN730" t="s">
        <v>92</v>
      </c>
      <c r="BO730" t="s">
        <v>92</v>
      </c>
      <c r="BP730" t="s">
        <v>92</v>
      </c>
      <c r="BQ730" t="s">
        <v>92</v>
      </c>
      <c r="BR730" t="s">
        <v>92</v>
      </c>
      <c r="BS730" t="s">
        <v>92</v>
      </c>
      <c r="BT730" t="s">
        <v>92</v>
      </c>
      <c r="BU730" t="s">
        <v>92</v>
      </c>
      <c r="BV730" t="s">
        <v>92</v>
      </c>
      <c r="BW730" t="s">
        <v>92</v>
      </c>
      <c r="BX730" t="s">
        <v>92</v>
      </c>
      <c r="BY730" t="str">
        <f>IF(COUNTIF('Data Upload-prod'!E:E,F730)=0,"Missing","Exist")</f>
        <v>Exist</v>
      </c>
    </row>
    <row r="731" hidden="1" spans="1:77">
      <c r="A731" s="16">
        <v>42157</v>
      </c>
      <c r="B731" s="16">
        <v>42521</v>
      </c>
      <c r="C731" t="s">
        <v>132</v>
      </c>
      <c r="D731" t="s">
        <v>120</v>
      </c>
      <c r="E731" t="s">
        <v>1184</v>
      </c>
      <c r="F731" t="s">
        <v>1266</v>
      </c>
      <c r="G731" t="s">
        <v>81</v>
      </c>
      <c r="H731" t="s">
        <v>837</v>
      </c>
      <c r="I731" t="s">
        <v>83</v>
      </c>
      <c r="J731" s="17">
        <v>104</v>
      </c>
      <c r="K731" s="17">
        <v>3807</v>
      </c>
      <c r="L731" s="17">
        <v>2910</v>
      </c>
      <c r="M731" t="s">
        <v>84</v>
      </c>
      <c r="N731" t="s">
        <v>84</v>
      </c>
      <c r="O731" t="s">
        <v>84</v>
      </c>
      <c r="P731" t="s">
        <v>84</v>
      </c>
      <c r="Q731" s="17">
        <v>63100000</v>
      </c>
      <c r="R731" s="17">
        <v>71.9</v>
      </c>
      <c r="S731" t="s">
        <v>85</v>
      </c>
      <c r="T731" t="s">
        <v>84</v>
      </c>
      <c r="U731" t="s">
        <v>86</v>
      </c>
      <c r="V731" s="16">
        <v>42210</v>
      </c>
      <c r="W731" s="18">
        <v>42210.1875</v>
      </c>
      <c r="X731" s="18">
        <v>42404.6666666667</v>
      </c>
      <c r="Y731" s="17">
        <v>3546.1</v>
      </c>
      <c r="Z731" t="s">
        <v>87</v>
      </c>
      <c r="AA731" s="17">
        <v>3683</v>
      </c>
      <c r="AB731" s="17">
        <v>2842</v>
      </c>
      <c r="AC731" t="s">
        <v>84</v>
      </c>
      <c r="AD731" t="s">
        <v>84</v>
      </c>
      <c r="AE731" t="s">
        <v>84</v>
      </c>
      <c r="AF731" t="s">
        <v>84</v>
      </c>
      <c r="AG731" s="17">
        <v>46480000</v>
      </c>
      <c r="AH731" s="17">
        <v>70.11</v>
      </c>
      <c r="AI731" s="17">
        <v>2.45</v>
      </c>
      <c r="AJ731" s="17">
        <v>2.45</v>
      </c>
      <c r="AK731" t="s">
        <v>276</v>
      </c>
      <c r="AM731" s="17">
        <v>3.7</v>
      </c>
      <c r="AN731" s="17"/>
      <c r="AO731" s="17">
        <v>1585</v>
      </c>
      <c r="AP731" s="17"/>
      <c r="AQ731" s="17">
        <v>3400</v>
      </c>
      <c r="AR731" s="17"/>
      <c r="AS731" s="17">
        <v>3.66</v>
      </c>
      <c r="AT731" s="17"/>
      <c r="AU731" s="17">
        <v>2160</v>
      </c>
      <c r="AV731" s="17"/>
      <c r="AW731" s="17">
        <v>3847</v>
      </c>
      <c r="AX731" s="17"/>
      <c r="AY731" t="s">
        <v>92</v>
      </c>
      <c r="AZ731" t="s">
        <v>92</v>
      </c>
      <c r="BA731" t="s">
        <v>92</v>
      </c>
      <c r="BB731" t="s">
        <v>92</v>
      </c>
      <c r="BC731" t="s">
        <v>92</v>
      </c>
      <c r="BD731" s="17">
        <v>25.58</v>
      </c>
      <c r="BE731" s="17">
        <v>18551230.33</v>
      </c>
      <c r="BF731" t="s">
        <v>92</v>
      </c>
      <c r="BG731" t="s">
        <v>92</v>
      </c>
      <c r="BH731" t="s">
        <v>127</v>
      </c>
      <c r="BI731" t="s">
        <v>278</v>
      </c>
      <c r="BJ731" t="s">
        <v>173</v>
      </c>
      <c r="BK731" t="s">
        <v>85</v>
      </c>
      <c r="BL731" t="s">
        <v>85</v>
      </c>
      <c r="BM731" t="s">
        <v>137</v>
      </c>
      <c r="BN731" t="s">
        <v>97</v>
      </c>
      <c r="BO731" t="s">
        <v>98</v>
      </c>
      <c r="BP731" t="s">
        <v>641</v>
      </c>
      <c r="BQ731" s="17">
        <v>509.8674</v>
      </c>
      <c r="BR731" t="s">
        <v>138</v>
      </c>
      <c r="BS731" t="s">
        <v>156</v>
      </c>
      <c r="BT731" t="s">
        <v>255</v>
      </c>
      <c r="BU731" s="17">
        <v>15</v>
      </c>
      <c r="BV731" t="s">
        <v>451</v>
      </c>
      <c r="BW731" t="s">
        <v>85</v>
      </c>
      <c r="BX731" t="s">
        <v>85</v>
      </c>
      <c r="BY731" t="str">
        <f>IF(COUNTIF('Data Upload-prod'!E:E,F731)=0,"Missing","Exist")</f>
        <v>Exist</v>
      </c>
    </row>
    <row r="732" hidden="1" spans="1:77">
      <c r="A732" s="16">
        <v>42156</v>
      </c>
      <c r="B732" s="16">
        <v>42297</v>
      </c>
      <c r="C732" t="s">
        <v>633</v>
      </c>
      <c r="D732" t="s">
        <v>142</v>
      </c>
      <c r="E732" t="s">
        <v>1267</v>
      </c>
      <c r="F732" t="s">
        <v>1268</v>
      </c>
      <c r="G732" t="s">
        <v>145</v>
      </c>
      <c r="H732" t="s">
        <v>1188</v>
      </c>
      <c r="I732" t="s">
        <v>231</v>
      </c>
      <c r="J732" s="17">
        <v>95</v>
      </c>
      <c r="K732" s="17">
        <v>2793</v>
      </c>
      <c r="L732" s="17">
        <v>2793</v>
      </c>
      <c r="M732" s="17">
        <v>41410000</v>
      </c>
      <c r="N732" s="17">
        <v>43860000</v>
      </c>
      <c r="O732" s="17">
        <v>44.4</v>
      </c>
      <c r="P732" s="17">
        <v>47.4</v>
      </c>
      <c r="Q732" t="s">
        <v>84</v>
      </c>
      <c r="R732" t="s">
        <v>84</v>
      </c>
      <c r="S732" t="s">
        <v>85</v>
      </c>
      <c r="T732" t="s">
        <v>84</v>
      </c>
      <c r="U732" t="s">
        <v>84</v>
      </c>
      <c r="V732" s="16">
        <v>42212.46875</v>
      </c>
      <c r="W732" s="18">
        <v>42210.7083333333</v>
      </c>
      <c r="X732" s="18">
        <v>42270.9479166667</v>
      </c>
      <c r="Y732" s="17">
        <v>2532</v>
      </c>
      <c r="Z732" t="s">
        <v>87</v>
      </c>
      <c r="AA732" s="17">
        <v>2655</v>
      </c>
      <c r="AB732" s="17">
        <v>2653.59</v>
      </c>
      <c r="AC732" t="s">
        <v>84</v>
      </c>
      <c r="AD732" s="17">
        <v>42490000</v>
      </c>
      <c r="AE732" t="s">
        <v>84</v>
      </c>
      <c r="AF732" s="17">
        <v>63.73</v>
      </c>
      <c r="AG732" t="s">
        <v>84</v>
      </c>
      <c r="AH732" t="s">
        <v>84</v>
      </c>
      <c r="AI732" s="17">
        <v>24.45</v>
      </c>
      <c r="AJ732" s="17">
        <v>18.49</v>
      </c>
      <c r="AK732" t="s">
        <v>378</v>
      </c>
      <c r="AM732" s="17">
        <v>5.4</v>
      </c>
      <c r="AN732" s="17"/>
      <c r="AO732" s="17">
        <v>5090</v>
      </c>
      <c r="AP732" s="17"/>
      <c r="AQ732" s="17">
        <v>7920</v>
      </c>
      <c r="AR732" s="17"/>
      <c r="AS732" s="13" t="s">
        <v>150</v>
      </c>
      <c r="AT732"/>
      <c r="AU732" s="13" t="s">
        <v>150</v>
      </c>
      <c r="AW732" s="13" t="s">
        <v>150</v>
      </c>
      <c r="AY732" t="s">
        <v>92</v>
      </c>
      <c r="AZ732" t="s">
        <v>92</v>
      </c>
      <c r="BA732" t="s">
        <v>92</v>
      </c>
      <c r="BB732" t="s">
        <v>92</v>
      </c>
      <c r="BC732" t="s">
        <v>92</v>
      </c>
      <c r="BD732" t="s">
        <v>92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92</v>
      </c>
      <c r="BM732" t="s">
        <v>92</v>
      </c>
      <c r="BN732" t="s">
        <v>92</v>
      </c>
      <c r="BO732" t="s">
        <v>92</v>
      </c>
      <c r="BP732" t="s">
        <v>92</v>
      </c>
      <c r="BQ732" t="s">
        <v>92</v>
      </c>
      <c r="BR732" t="s">
        <v>92</v>
      </c>
      <c r="BS732" t="s">
        <v>92</v>
      </c>
      <c r="BT732" t="s">
        <v>92</v>
      </c>
      <c r="BU732" t="s">
        <v>92</v>
      </c>
      <c r="BV732" t="s">
        <v>92</v>
      </c>
      <c r="BW732" t="s">
        <v>92</v>
      </c>
      <c r="BX732" t="s">
        <v>92</v>
      </c>
      <c r="BY732" t="str">
        <f>IF(COUNTIF('Data Upload-prod'!E:E,F732)=0,"Missing","Exist")</f>
        <v>Exist</v>
      </c>
    </row>
    <row r="733" hidden="1" spans="1:77">
      <c r="A733" s="16">
        <v>42156</v>
      </c>
      <c r="B733" s="16">
        <v>42311</v>
      </c>
      <c r="C733" t="s">
        <v>750</v>
      </c>
      <c r="D733" t="s">
        <v>120</v>
      </c>
      <c r="E733" t="s">
        <v>1269</v>
      </c>
      <c r="F733" t="s">
        <v>1270</v>
      </c>
      <c r="G733" t="s">
        <v>145</v>
      </c>
      <c r="H733" t="s">
        <v>1247</v>
      </c>
      <c r="I733" t="s">
        <v>231</v>
      </c>
      <c r="J733" s="17">
        <v>499</v>
      </c>
      <c r="K733" s="17">
        <v>2403.2</v>
      </c>
      <c r="L733" s="17">
        <v>2403.2</v>
      </c>
      <c r="M733" s="17">
        <v>61307000</v>
      </c>
      <c r="N733" s="17">
        <v>75455000</v>
      </c>
      <c r="O733" s="17">
        <v>35.7</v>
      </c>
      <c r="P733" s="17">
        <v>48.3</v>
      </c>
      <c r="Q733" t="s">
        <v>84</v>
      </c>
      <c r="R733" t="s">
        <v>84</v>
      </c>
      <c r="S733" t="s">
        <v>85</v>
      </c>
      <c r="T733" t="s">
        <v>84</v>
      </c>
      <c r="U733" t="s">
        <v>84</v>
      </c>
      <c r="V733" s="16">
        <v>42211</v>
      </c>
      <c r="W733" s="18">
        <v>42210.5</v>
      </c>
      <c r="X733" s="18">
        <v>42240.625</v>
      </c>
      <c r="Y733" s="17">
        <v>1794.8</v>
      </c>
      <c r="Z733" t="s">
        <v>148</v>
      </c>
      <c r="AA733" s="17">
        <v>2320</v>
      </c>
      <c r="AB733" s="17">
        <v>2319.94</v>
      </c>
      <c r="AC733" t="s">
        <v>84</v>
      </c>
      <c r="AD733" s="17">
        <v>39307030</v>
      </c>
      <c r="AE733" t="s">
        <v>84</v>
      </c>
      <c r="AF733" s="17">
        <v>30</v>
      </c>
      <c r="AG733" t="s">
        <v>84</v>
      </c>
      <c r="AH733" t="s">
        <v>84</v>
      </c>
      <c r="AI733" s="17">
        <v>3.65</v>
      </c>
      <c r="AJ733" s="17">
        <v>3.65</v>
      </c>
      <c r="AK733" t="s">
        <v>232</v>
      </c>
      <c r="AM733" s="17">
        <v>4.4</v>
      </c>
      <c r="AN733" s="17"/>
      <c r="AO733" s="17">
        <v>4200</v>
      </c>
      <c r="AP733" s="17"/>
      <c r="AQ733" s="17">
        <v>6400</v>
      </c>
      <c r="AR733" s="17"/>
      <c r="AS733" s="17">
        <v>4.4</v>
      </c>
      <c r="AT733" s="17"/>
      <c r="AU733" s="17">
        <v>5725</v>
      </c>
      <c r="AV733" s="17"/>
      <c r="AW733" s="17">
        <v>6675</v>
      </c>
      <c r="AX733" s="17"/>
      <c r="AY733" t="s">
        <v>92</v>
      </c>
      <c r="AZ733" t="s">
        <v>92</v>
      </c>
      <c r="BA733" t="s">
        <v>92</v>
      </c>
      <c r="BB733" t="s">
        <v>92</v>
      </c>
      <c r="BC733" t="s">
        <v>92</v>
      </c>
      <c r="BD733" t="s">
        <v>92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92</v>
      </c>
      <c r="BM733" t="s">
        <v>92</v>
      </c>
      <c r="BN733" t="s">
        <v>92</v>
      </c>
      <c r="BO733" t="s">
        <v>92</v>
      </c>
      <c r="BP733" t="s">
        <v>92</v>
      </c>
      <c r="BQ733" t="s">
        <v>92</v>
      </c>
      <c r="BR733" t="s">
        <v>92</v>
      </c>
      <c r="BS733" t="s">
        <v>92</v>
      </c>
      <c r="BT733" t="s">
        <v>92</v>
      </c>
      <c r="BU733" t="s">
        <v>92</v>
      </c>
      <c r="BV733" t="s">
        <v>92</v>
      </c>
      <c r="BW733" t="s">
        <v>92</v>
      </c>
      <c r="BX733" t="s">
        <v>92</v>
      </c>
      <c r="BY733" t="str">
        <f>IF(COUNTIF('Data Upload-prod'!E:E,F733)=0,"Missing","Exist")</f>
        <v>Exist</v>
      </c>
    </row>
    <row r="734" hidden="1" spans="1:77">
      <c r="A734" s="16">
        <v>42152</v>
      </c>
      <c r="B734" s="16">
        <v>42214</v>
      </c>
      <c r="C734" t="s">
        <v>360</v>
      </c>
      <c r="D734" t="s">
        <v>120</v>
      </c>
      <c r="E734" t="s">
        <v>599</v>
      </c>
      <c r="F734" t="s">
        <v>1271</v>
      </c>
      <c r="G734" t="s">
        <v>81</v>
      </c>
      <c r="H734" t="s">
        <v>185</v>
      </c>
      <c r="I734" t="s">
        <v>124</v>
      </c>
      <c r="J734" s="17">
        <v>48.5</v>
      </c>
      <c r="K734" s="17">
        <v>1626</v>
      </c>
      <c r="L734" s="17">
        <v>1610</v>
      </c>
      <c r="M734" t="s">
        <v>84</v>
      </c>
      <c r="N734" t="s">
        <v>84</v>
      </c>
      <c r="O734" t="s">
        <v>84</v>
      </c>
      <c r="P734" t="s">
        <v>84</v>
      </c>
      <c r="Q734" s="17">
        <v>6374841</v>
      </c>
      <c r="R734" s="17">
        <v>8</v>
      </c>
      <c r="S734" t="s">
        <v>85</v>
      </c>
      <c r="T734" t="s">
        <v>84</v>
      </c>
      <c r="U734" t="s">
        <v>86</v>
      </c>
      <c r="V734" s="16">
        <v>42165</v>
      </c>
      <c r="W734" s="18">
        <v>42165</v>
      </c>
      <c r="X734" s="18">
        <v>42184</v>
      </c>
      <c r="Y734" s="17">
        <v>1872.24</v>
      </c>
      <c r="Z734" t="s">
        <v>87</v>
      </c>
      <c r="AA734" s="17">
        <v>1966</v>
      </c>
      <c r="AB734" s="17">
        <v>1597.06</v>
      </c>
      <c r="AC734" t="s">
        <v>84</v>
      </c>
      <c r="AD734" t="s">
        <v>84</v>
      </c>
      <c r="AE734" t="s">
        <v>84</v>
      </c>
      <c r="AF734" t="s">
        <v>84</v>
      </c>
      <c r="AG734" s="17">
        <v>5169929</v>
      </c>
      <c r="AH734" s="17">
        <v>8.02</v>
      </c>
      <c r="AI734" s="17">
        <v>2.86</v>
      </c>
      <c r="AJ734" s="17">
        <v>2.86</v>
      </c>
      <c r="AK734" t="s">
        <v>497</v>
      </c>
      <c r="AM734" s="17">
        <v>1.4</v>
      </c>
      <c r="AN734" s="17"/>
      <c r="AO734" s="17">
        <v>550</v>
      </c>
      <c r="AP734" s="17"/>
      <c r="AQ734" s="17">
        <v>555</v>
      </c>
      <c r="AR734" s="17"/>
      <c r="AS734" s="17">
        <v>1.13</v>
      </c>
      <c r="AT734" s="17"/>
      <c r="AU734" s="17">
        <v>730</v>
      </c>
      <c r="AV734" s="17"/>
      <c r="AW734" s="17">
        <v>842</v>
      </c>
      <c r="AX734" s="17"/>
      <c r="AY734" t="s">
        <v>92</v>
      </c>
      <c r="AZ734" t="s">
        <v>92</v>
      </c>
      <c r="BA734" t="s">
        <v>92</v>
      </c>
      <c r="BB734" t="s">
        <v>92</v>
      </c>
      <c r="BC734" t="s">
        <v>92</v>
      </c>
      <c r="BD734" s="17">
        <v>0.75</v>
      </c>
      <c r="BE734" s="17">
        <v>837000</v>
      </c>
      <c r="BF734" t="s">
        <v>92</v>
      </c>
      <c r="BG734" t="s">
        <v>92</v>
      </c>
      <c r="BH734" t="s">
        <v>93</v>
      </c>
      <c r="BI734" t="s">
        <v>94</v>
      </c>
      <c r="BJ734" t="s">
        <v>95</v>
      </c>
      <c r="BK734" t="s">
        <v>85</v>
      </c>
      <c r="BL734" t="s">
        <v>85</v>
      </c>
      <c r="BM734" t="s">
        <v>96</v>
      </c>
      <c r="BN734" t="s">
        <v>97</v>
      </c>
      <c r="BO734" t="s">
        <v>98</v>
      </c>
      <c r="BP734" t="s">
        <v>103</v>
      </c>
      <c r="BQ734" s="17">
        <v>16.405</v>
      </c>
      <c r="BR734" t="s">
        <v>100</v>
      </c>
      <c r="BS734" t="s">
        <v>156</v>
      </c>
      <c r="BT734" t="s">
        <v>103</v>
      </c>
      <c r="BU734" t="s">
        <v>92</v>
      </c>
      <c r="BV734" t="s">
        <v>131</v>
      </c>
      <c r="BW734" t="s">
        <v>85</v>
      </c>
      <c r="BX734" t="s">
        <v>85</v>
      </c>
      <c r="BY734" t="str">
        <f>IF(COUNTIF('Data Upload-prod'!E:E,F734)=0,"Missing","Exist")</f>
        <v>Exist</v>
      </c>
    </row>
    <row r="735" hidden="1" spans="1:77">
      <c r="A735" s="16">
        <v>42152</v>
      </c>
      <c r="B735" t="s">
        <v>84</v>
      </c>
      <c r="C735" t="s">
        <v>360</v>
      </c>
      <c r="D735" t="s">
        <v>120</v>
      </c>
      <c r="E735" t="s">
        <v>599</v>
      </c>
      <c r="F735" t="s">
        <v>1272</v>
      </c>
      <c r="G735" t="s">
        <v>81</v>
      </c>
      <c r="H735" t="s">
        <v>185</v>
      </c>
      <c r="I735" t="s">
        <v>124</v>
      </c>
      <c r="J735" s="17">
        <v>48.5</v>
      </c>
      <c r="K735" s="17">
        <v>1900</v>
      </c>
      <c r="L735" s="17">
        <v>1552</v>
      </c>
      <c r="M735" t="s">
        <v>84</v>
      </c>
      <c r="N735" t="s">
        <v>84</v>
      </c>
      <c r="O735" t="s">
        <v>84</v>
      </c>
      <c r="P735" t="s">
        <v>84</v>
      </c>
      <c r="Q735" s="17">
        <v>8487834</v>
      </c>
      <c r="R735" s="17">
        <v>15.67</v>
      </c>
      <c r="S735" t="s">
        <v>85</v>
      </c>
      <c r="T735" t="s">
        <v>84</v>
      </c>
      <c r="U735" t="s">
        <v>84</v>
      </c>
      <c r="V735" s="16">
        <v>42169</v>
      </c>
      <c r="W735" s="18">
        <v>42169.5416666667</v>
      </c>
      <c r="X735" s="18">
        <v>42204.375</v>
      </c>
      <c r="Y735" s="17">
        <v>1715.74</v>
      </c>
      <c r="Z735" t="s">
        <v>87</v>
      </c>
      <c r="AA735" s="17">
        <v>1809.5</v>
      </c>
      <c r="AB735" s="17">
        <v>1500.85</v>
      </c>
      <c r="AC735" t="s">
        <v>84</v>
      </c>
      <c r="AD735" t="s">
        <v>84</v>
      </c>
      <c r="AE735" t="s">
        <v>84</v>
      </c>
      <c r="AF735" t="s">
        <v>84</v>
      </c>
      <c r="AG735" s="17">
        <v>5409461</v>
      </c>
      <c r="AH735" s="17">
        <v>8.69</v>
      </c>
      <c r="AI735" s="17">
        <v>2.4</v>
      </c>
      <c r="AJ735" s="17">
        <v>2.4</v>
      </c>
      <c r="AK735" s="13" t="s">
        <v>149</v>
      </c>
      <c r="AL735" s="13"/>
      <c r="AM735" t="s">
        <v>92</v>
      </c>
      <c r="AO735" t="s">
        <v>92</v>
      </c>
      <c r="AQ735" t="s">
        <v>92</v>
      </c>
      <c r="AS735" s="17">
        <v>1.2</v>
      </c>
      <c r="AT735" s="17"/>
      <c r="AU735" s="17">
        <v>747</v>
      </c>
      <c r="AV735" s="17"/>
      <c r="AW735" s="17">
        <v>984</v>
      </c>
      <c r="AX735" s="17"/>
      <c r="AY735" t="s">
        <v>92</v>
      </c>
      <c r="AZ735" t="s">
        <v>92</v>
      </c>
      <c r="BA735" t="s">
        <v>92</v>
      </c>
      <c r="BB735" t="s">
        <v>92</v>
      </c>
      <c r="BC735" t="s">
        <v>92</v>
      </c>
      <c r="BD735" t="s">
        <v>92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92</v>
      </c>
      <c r="BM735" t="s">
        <v>92</v>
      </c>
      <c r="BN735" t="s">
        <v>92</v>
      </c>
      <c r="BO735" t="s">
        <v>92</v>
      </c>
      <c r="BP735" t="s">
        <v>92</v>
      </c>
      <c r="BQ735" t="s">
        <v>92</v>
      </c>
      <c r="BR735" t="s">
        <v>92</v>
      </c>
      <c r="BS735" t="s">
        <v>92</v>
      </c>
      <c r="BT735" t="s">
        <v>92</v>
      </c>
      <c r="BU735" t="s">
        <v>92</v>
      </c>
      <c r="BV735" t="s">
        <v>92</v>
      </c>
      <c r="BW735" t="s">
        <v>92</v>
      </c>
      <c r="BX735" t="s">
        <v>92</v>
      </c>
      <c r="BY735" t="str">
        <f>IF(COUNTIF('Data Upload-prod'!E:E,F735)=0,"Missing","Exist")</f>
        <v>Exist</v>
      </c>
    </row>
    <row r="736" hidden="1" spans="1:77">
      <c r="A736" s="16">
        <v>42152</v>
      </c>
      <c r="B736" s="16">
        <v>42214</v>
      </c>
      <c r="C736" t="s">
        <v>1273</v>
      </c>
      <c r="D736" t="s">
        <v>120</v>
      </c>
      <c r="E736" t="s">
        <v>599</v>
      </c>
      <c r="F736" t="s">
        <v>1274</v>
      </c>
      <c r="G736" t="s">
        <v>81</v>
      </c>
      <c r="H736" t="s">
        <v>185</v>
      </c>
      <c r="I736" t="s">
        <v>124</v>
      </c>
      <c r="J736" s="17">
        <v>48.5</v>
      </c>
      <c r="K736" s="17">
        <v>1562.22</v>
      </c>
      <c r="L736" s="17">
        <v>1240.26</v>
      </c>
      <c r="M736" t="s">
        <v>84</v>
      </c>
      <c r="N736" t="s">
        <v>84</v>
      </c>
      <c r="O736" t="s">
        <v>84</v>
      </c>
      <c r="P736" t="s">
        <v>84</v>
      </c>
      <c r="Q736" s="17">
        <v>6211556</v>
      </c>
      <c r="R736" s="17">
        <v>7.67</v>
      </c>
      <c r="S736" t="s">
        <v>85</v>
      </c>
      <c r="T736" t="s">
        <v>84</v>
      </c>
      <c r="U736" t="s">
        <v>84</v>
      </c>
      <c r="V736" s="16">
        <v>42171</v>
      </c>
      <c r="W736" s="18">
        <v>42171</v>
      </c>
      <c r="X736" s="18">
        <v>42179</v>
      </c>
      <c r="Y736" s="17">
        <v>1616.25</v>
      </c>
      <c r="Z736" t="s">
        <v>87</v>
      </c>
      <c r="AA736" s="17">
        <v>1710</v>
      </c>
      <c r="AB736" s="17">
        <v>1651.21</v>
      </c>
      <c r="AC736" t="s">
        <v>84</v>
      </c>
      <c r="AD736" t="s">
        <v>84</v>
      </c>
      <c r="AE736" t="s">
        <v>84</v>
      </c>
      <c r="AF736" t="s">
        <v>84</v>
      </c>
      <c r="AG736" s="17">
        <v>3796184</v>
      </c>
      <c r="AH736" s="17">
        <v>5.04</v>
      </c>
      <c r="AI736" s="17">
        <v>0</v>
      </c>
      <c r="AJ736" s="17">
        <v>0</v>
      </c>
      <c r="AK736" t="s">
        <v>497</v>
      </c>
      <c r="AM736" s="17">
        <v>1.4</v>
      </c>
      <c r="AN736" s="17"/>
      <c r="AO736" s="17">
        <v>550</v>
      </c>
      <c r="AP736" s="17"/>
      <c r="AQ736" s="17">
        <v>770</v>
      </c>
      <c r="AR736" s="17"/>
      <c r="AS736" s="17">
        <v>0.81</v>
      </c>
      <c r="AT736" s="17"/>
      <c r="AU736" s="17">
        <v>601</v>
      </c>
      <c r="AV736" s="17"/>
      <c r="AW736" s="17">
        <v>727</v>
      </c>
      <c r="AX736" s="17"/>
      <c r="AY736" t="s">
        <v>92</v>
      </c>
      <c r="AZ736" t="s">
        <v>92</v>
      </c>
      <c r="BA736" t="s">
        <v>92</v>
      </c>
      <c r="BB736" t="s">
        <v>92</v>
      </c>
      <c r="BC736" t="s">
        <v>92</v>
      </c>
      <c r="BD736" t="s">
        <v>92</v>
      </c>
      <c r="BE736" t="s">
        <v>92</v>
      </c>
      <c r="BF736" t="s">
        <v>92</v>
      </c>
      <c r="BG736" t="s">
        <v>92</v>
      </c>
      <c r="BH736" t="s">
        <v>92</v>
      </c>
      <c r="BI736" t="s">
        <v>92</v>
      </c>
      <c r="BJ736" t="s">
        <v>92</v>
      </c>
      <c r="BK736" t="s">
        <v>92</v>
      </c>
      <c r="BL736" t="s">
        <v>92</v>
      </c>
      <c r="BM736" t="s">
        <v>92</v>
      </c>
      <c r="BN736" t="s">
        <v>92</v>
      </c>
      <c r="BO736" t="s">
        <v>92</v>
      </c>
      <c r="BP736" t="s">
        <v>92</v>
      </c>
      <c r="BQ736" t="s">
        <v>92</v>
      </c>
      <c r="BR736" t="s">
        <v>92</v>
      </c>
      <c r="BS736" t="s">
        <v>92</v>
      </c>
      <c r="BT736" t="s">
        <v>92</v>
      </c>
      <c r="BU736" t="s">
        <v>92</v>
      </c>
      <c r="BV736" t="s">
        <v>92</v>
      </c>
      <c r="BW736" t="s">
        <v>92</v>
      </c>
      <c r="BX736" t="s">
        <v>92</v>
      </c>
      <c r="BY736" t="str">
        <f>IF(COUNTIF('Data Upload-prod'!E:E,F736)=0,"Missing","Exist")</f>
        <v>Exist</v>
      </c>
    </row>
    <row r="737" hidden="1" spans="1:77">
      <c r="A737" s="16">
        <v>42152</v>
      </c>
      <c r="B737" s="16">
        <v>42226</v>
      </c>
      <c r="C737" t="s">
        <v>1273</v>
      </c>
      <c r="D737" t="s">
        <v>120</v>
      </c>
      <c r="E737" t="s">
        <v>599</v>
      </c>
      <c r="F737" t="s">
        <v>1275</v>
      </c>
      <c r="G737" t="s">
        <v>81</v>
      </c>
      <c r="H737" t="s">
        <v>185</v>
      </c>
      <c r="I737" t="s">
        <v>124</v>
      </c>
      <c r="J737" s="17">
        <v>48.5</v>
      </c>
      <c r="K737" s="17">
        <v>2106.18</v>
      </c>
      <c r="L737" s="17">
        <v>1590.26</v>
      </c>
      <c r="M737" t="s">
        <v>84</v>
      </c>
      <c r="N737" t="s">
        <v>84</v>
      </c>
      <c r="O737" t="s">
        <v>84</v>
      </c>
      <c r="P737" t="s">
        <v>84</v>
      </c>
      <c r="Q737" s="17">
        <v>7905129</v>
      </c>
      <c r="R737" s="17">
        <v>13.77</v>
      </c>
      <c r="S737" t="s">
        <v>85</v>
      </c>
      <c r="T737" t="s">
        <v>84</v>
      </c>
      <c r="U737" t="s">
        <v>84</v>
      </c>
      <c r="V737" s="16">
        <v>42166</v>
      </c>
      <c r="W737" s="18">
        <v>42166</v>
      </c>
      <c r="X737" s="18">
        <v>42206</v>
      </c>
      <c r="Y737" s="17">
        <v>1499.74</v>
      </c>
      <c r="Z737" t="s">
        <v>87</v>
      </c>
      <c r="AA737" s="17">
        <v>1593.5</v>
      </c>
      <c r="AB737" s="17">
        <v>1255.38</v>
      </c>
      <c r="AC737" t="s">
        <v>84</v>
      </c>
      <c r="AD737" t="s">
        <v>84</v>
      </c>
      <c r="AE737" t="s">
        <v>84</v>
      </c>
      <c r="AF737" t="s">
        <v>84</v>
      </c>
      <c r="AG737" s="17">
        <v>4725162</v>
      </c>
      <c r="AH737" s="17">
        <v>8.21</v>
      </c>
      <c r="AI737" s="17">
        <v>0</v>
      </c>
      <c r="AJ737" s="17">
        <v>0</v>
      </c>
      <c r="AK737" t="s">
        <v>165</v>
      </c>
      <c r="AM737" s="17">
        <v>2</v>
      </c>
      <c r="AN737" s="17"/>
      <c r="AO737" s="17">
        <v>725</v>
      </c>
      <c r="AP737" s="17"/>
      <c r="AQ737" s="17">
        <v>1295</v>
      </c>
      <c r="AR737" s="17"/>
      <c r="AS737" s="17">
        <v>0.9</v>
      </c>
      <c r="AT737" s="17"/>
      <c r="AU737" s="17">
        <v>643</v>
      </c>
      <c r="AV737" s="17"/>
      <c r="AW737" s="17">
        <v>643</v>
      </c>
      <c r="AX737" s="17"/>
      <c r="AY737" t="s">
        <v>92</v>
      </c>
      <c r="AZ737" t="s">
        <v>92</v>
      </c>
      <c r="BA737" t="s">
        <v>92</v>
      </c>
      <c r="BB737" t="s">
        <v>92</v>
      </c>
      <c r="BC737" t="s">
        <v>92</v>
      </c>
      <c r="BD737" t="s">
        <v>92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92</v>
      </c>
      <c r="BM737" t="s">
        <v>92</v>
      </c>
      <c r="BN737" t="s">
        <v>92</v>
      </c>
      <c r="BO737" t="s">
        <v>92</v>
      </c>
      <c r="BP737" t="s">
        <v>92</v>
      </c>
      <c r="BQ737" t="s">
        <v>92</v>
      </c>
      <c r="BR737" t="s">
        <v>92</v>
      </c>
      <c r="BS737" t="s">
        <v>92</v>
      </c>
      <c r="BT737" t="s">
        <v>92</v>
      </c>
      <c r="BU737" t="s">
        <v>92</v>
      </c>
      <c r="BV737" t="s">
        <v>92</v>
      </c>
      <c r="BW737" t="s">
        <v>92</v>
      </c>
      <c r="BX737" t="s">
        <v>92</v>
      </c>
      <c r="BY737" t="str">
        <f>IF(COUNTIF('Data Upload-prod'!E:E,F737)=0,"Missing","Exist")</f>
        <v>Exist</v>
      </c>
    </row>
    <row r="738" hidden="1" spans="1:77">
      <c r="A738" s="16">
        <v>42151</v>
      </c>
      <c r="B738" s="16">
        <v>42356</v>
      </c>
      <c r="C738" t="s">
        <v>132</v>
      </c>
      <c r="D738" t="s">
        <v>120</v>
      </c>
      <c r="E738" t="s">
        <v>638</v>
      </c>
      <c r="F738" t="s">
        <v>1276</v>
      </c>
      <c r="G738" t="s">
        <v>145</v>
      </c>
      <c r="H738" t="s">
        <v>1277</v>
      </c>
      <c r="I738" t="s">
        <v>124</v>
      </c>
      <c r="J738" s="17">
        <v>92.1</v>
      </c>
      <c r="K738" s="17">
        <v>3530</v>
      </c>
      <c r="L738" s="17">
        <v>3530</v>
      </c>
      <c r="M738" s="17">
        <v>100000000</v>
      </c>
      <c r="N738" s="17">
        <v>100000000</v>
      </c>
      <c r="O738" s="17">
        <v>172</v>
      </c>
      <c r="P738" s="17">
        <v>172</v>
      </c>
      <c r="Q738" t="s">
        <v>84</v>
      </c>
      <c r="R738" t="s">
        <v>84</v>
      </c>
      <c r="S738" t="s">
        <v>85</v>
      </c>
      <c r="T738" t="s">
        <v>84</v>
      </c>
      <c r="U738" t="s">
        <v>84</v>
      </c>
      <c r="V738" s="16">
        <v>42168.7083333333</v>
      </c>
      <c r="W738" s="18">
        <v>42159.625</v>
      </c>
      <c r="X738" s="18">
        <v>42318.4791666667</v>
      </c>
      <c r="Y738" s="17">
        <v>2807.9</v>
      </c>
      <c r="Z738" t="s">
        <v>87</v>
      </c>
      <c r="AA738" s="17">
        <v>2930</v>
      </c>
      <c r="AB738" s="17">
        <v>2930</v>
      </c>
      <c r="AC738" s="17">
        <v>70053058.33</v>
      </c>
      <c r="AD738" t="s">
        <v>84</v>
      </c>
      <c r="AE738" s="17">
        <v>158.61</v>
      </c>
      <c r="AF738" t="s">
        <v>84</v>
      </c>
      <c r="AG738" t="s">
        <v>84</v>
      </c>
      <c r="AH738" t="s">
        <v>84</v>
      </c>
      <c r="AI738" s="17">
        <v>9.93</v>
      </c>
      <c r="AJ738" s="17">
        <v>9.81</v>
      </c>
      <c r="AK738" t="s">
        <v>374</v>
      </c>
      <c r="AM738" s="17">
        <v>5</v>
      </c>
      <c r="AN738" s="17"/>
      <c r="AO738" s="17">
        <v>2360</v>
      </c>
      <c r="AP738" s="17"/>
      <c r="AQ738" s="17">
        <v>4280</v>
      </c>
      <c r="AR738" s="17"/>
      <c r="AS738" s="17">
        <v>10.87</v>
      </c>
      <c r="AT738" s="17"/>
      <c r="AU738" s="17">
        <v>5063.28</v>
      </c>
      <c r="AV738" s="17"/>
      <c r="AW738" s="17">
        <v>6964.06</v>
      </c>
      <c r="AX738" s="17"/>
      <c r="AY738" t="s">
        <v>92</v>
      </c>
      <c r="AZ738" t="s">
        <v>92</v>
      </c>
      <c r="BA738" t="s">
        <v>92</v>
      </c>
      <c r="BB738" t="s">
        <v>92</v>
      </c>
      <c r="BC738" t="s">
        <v>92</v>
      </c>
      <c r="BD738" t="s">
        <v>92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92</v>
      </c>
      <c r="BM738" t="s">
        <v>92</v>
      </c>
      <c r="BN738" t="s">
        <v>92</v>
      </c>
      <c r="BO738" t="s">
        <v>92</v>
      </c>
      <c r="BP738" t="s">
        <v>92</v>
      </c>
      <c r="BQ738" t="s">
        <v>92</v>
      </c>
      <c r="BR738" t="s">
        <v>92</v>
      </c>
      <c r="BS738" t="s">
        <v>92</v>
      </c>
      <c r="BT738" t="s">
        <v>92</v>
      </c>
      <c r="BU738" t="s">
        <v>92</v>
      </c>
      <c r="BV738" t="s">
        <v>92</v>
      </c>
      <c r="BW738" t="s">
        <v>92</v>
      </c>
      <c r="BX738" t="s">
        <v>92</v>
      </c>
      <c r="BY738" t="str">
        <f>IF(COUNTIF('Data Upload-prod'!E:E,F738)=0,"Missing","Exist")</f>
        <v>Exist</v>
      </c>
    </row>
    <row r="739" hidden="1" spans="1:77">
      <c r="A739" s="16">
        <v>42146</v>
      </c>
      <c r="B739" s="16">
        <v>42279</v>
      </c>
      <c r="C739" t="s">
        <v>77</v>
      </c>
      <c r="D739" t="s">
        <v>78</v>
      </c>
      <c r="E739" t="s">
        <v>848</v>
      </c>
      <c r="F739" t="s">
        <v>1278</v>
      </c>
      <c r="G739" t="s">
        <v>81</v>
      </c>
      <c r="H739" t="s">
        <v>1262</v>
      </c>
      <c r="I739" t="s">
        <v>124</v>
      </c>
      <c r="J739" s="17">
        <v>70.7</v>
      </c>
      <c r="K739" s="17">
        <v>3431.4</v>
      </c>
      <c r="L739" s="17">
        <v>2381.6</v>
      </c>
      <c r="M739" t="s">
        <v>84</v>
      </c>
      <c r="N739" t="s">
        <v>84</v>
      </c>
      <c r="O739" t="s">
        <v>84</v>
      </c>
      <c r="P739" t="s">
        <v>84</v>
      </c>
      <c r="Q739" s="17">
        <v>11946960</v>
      </c>
      <c r="R739" s="17">
        <v>26.86</v>
      </c>
      <c r="S739" t="s">
        <v>85</v>
      </c>
      <c r="T739" t="s">
        <v>84</v>
      </c>
      <c r="U739" t="s">
        <v>86</v>
      </c>
      <c r="V739" s="16">
        <v>42166.5104166667</v>
      </c>
      <c r="W739" s="18">
        <v>42165.2291666667</v>
      </c>
      <c r="X739" s="18">
        <v>42215.5520833333</v>
      </c>
      <c r="Y739" s="17">
        <v>3235.68</v>
      </c>
      <c r="Z739" t="s">
        <v>87</v>
      </c>
      <c r="AA739" s="17">
        <v>3346</v>
      </c>
      <c r="AB739" s="17">
        <v>2284.94</v>
      </c>
      <c r="AC739" t="s">
        <v>84</v>
      </c>
      <c r="AD739" t="s">
        <v>84</v>
      </c>
      <c r="AE739" t="s">
        <v>84</v>
      </c>
      <c r="AF739" t="s">
        <v>84</v>
      </c>
      <c r="AG739" s="17">
        <v>9821019</v>
      </c>
      <c r="AH739" s="17">
        <v>25.06</v>
      </c>
      <c r="AI739" s="17">
        <v>1.5</v>
      </c>
      <c r="AJ739" s="17">
        <v>1.5</v>
      </c>
      <c r="AK739" t="s">
        <v>208</v>
      </c>
      <c r="AM739" s="17">
        <v>2.1</v>
      </c>
      <c r="AN739" s="17"/>
      <c r="AO739" s="17">
        <v>700</v>
      </c>
      <c r="AP739" s="17"/>
      <c r="AQ739" s="17">
        <v>1220</v>
      </c>
      <c r="AR739" s="17"/>
      <c r="AS739" s="13" t="s">
        <v>150</v>
      </c>
      <c r="AT739"/>
      <c r="AU739" s="13" t="s">
        <v>150</v>
      </c>
      <c r="AW739" s="13" t="s">
        <v>150</v>
      </c>
      <c r="AY739" t="s">
        <v>92</v>
      </c>
      <c r="AZ739" t="s">
        <v>92</v>
      </c>
      <c r="BA739" t="s">
        <v>92</v>
      </c>
      <c r="BB739" t="s">
        <v>92</v>
      </c>
      <c r="BC739" t="s">
        <v>92</v>
      </c>
      <c r="BD739" s="17">
        <v>6.82</v>
      </c>
      <c r="BE739" s="17">
        <v>3741428</v>
      </c>
      <c r="BF739" t="s">
        <v>92</v>
      </c>
      <c r="BG739" t="s">
        <v>92</v>
      </c>
      <c r="BH739" t="s">
        <v>93</v>
      </c>
      <c r="BI739" t="s">
        <v>94</v>
      </c>
      <c r="BJ739" t="s">
        <v>173</v>
      </c>
      <c r="BK739" t="s">
        <v>85</v>
      </c>
      <c r="BL739" t="s">
        <v>85</v>
      </c>
      <c r="BM739" t="s">
        <v>96</v>
      </c>
      <c r="BN739" t="s">
        <v>253</v>
      </c>
      <c r="BO739" t="s">
        <v>98</v>
      </c>
      <c r="BP739" t="s">
        <v>99</v>
      </c>
      <c r="BQ739" s="17">
        <v>219.1708</v>
      </c>
      <c r="BR739" t="s">
        <v>138</v>
      </c>
      <c r="BS739" t="s">
        <v>92</v>
      </c>
      <c r="BT739" t="s">
        <v>99</v>
      </c>
      <c r="BU739" s="17">
        <v>8.9</v>
      </c>
      <c r="BV739" t="s">
        <v>110</v>
      </c>
      <c r="BW739" t="s">
        <v>85</v>
      </c>
      <c r="BX739" t="s">
        <v>85</v>
      </c>
      <c r="BY739" t="str">
        <f>IF(COUNTIF('Data Upload-prod'!E:E,F739)=0,"Missing","Exist")</f>
        <v>Exist</v>
      </c>
    </row>
    <row r="740" hidden="1" spans="1:77">
      <c r="A740" s="16">
        <v>42118</v>
      </c>
      <c r="B740" s="16">
        <v>42285</v>
      </c>
      <c r="C740" t="s">
        <v>633</v>
      </c>
      <c r="D740" t="s">
        <v>142</v>
      </c>
      <c r="E740" t="s">
        <v>1279</v>
      </c>
      <c r="F740" t="s">
        <v>1280</v>
      </c>
      <c r="G740" t="s">
        <v>145</v>
      </c>
      <c r="H740" t="s">
        <v>1188</v>
      </c>
      <c r="I740" t="s">
        <v>231</v>
      </c>
      <c r="J740" s="17">
        <v>139</v>
      </c>
      <c r="K740" s="17">
        <v>2736</v>
      </c>
      <c r="L740" s="17">
        <v>2736</v>
      </c>
      <c r="M740" s="17">
        <v>36690000</v>
      </c>
      <c r="N740" s="17">
        <v>40150000</v>
      </c>
      <c r="O740" s="17">
        <v>35.2</v>
      </c>
      <c r="P740" s="17">
        <v>41.1</v>
      </c>
      <c r="Q740" t="s">
        <v>84</v>
      </c>
      <c r="R740" t="s">
        <v>84</v>
      </c>
      <c r="S740" t="s">
        <v>85</v>
      </c>
      <c r="T740" t="s">
        <v>84</v>
      </c>
      <c r="U740" t="s">
        <v>84</v>
      </c>
      <c r="V740" s="16">
        <v>42160</v>
      </c>
      <c r="W740" s="18">
        <v>42157.7291666667</v>
      </c>
      <c r="X740" s="18">
        <v>42207.21875</v>
      </c>
      <c r="Y740" s="17">
        <v>2569</v>
      </c>
      <c r="Z740" t="s">
        <v>87</v>
      </c>
      <c r="AA740" s="17">
        <v>2736</v>
      </c>
      <c r="AB740" s="17">
        <v>2735.87</v>
      </c>
      <c r="AC740" s="17">
        <v>36730000</v>
      </c>
      <c r="AD740" t="s">
        <v>84</v>
      </c>
      <c r="AE740" s="17">
        <v>50.78</v>
      </c>
      <c r="AF740" t="s">
        <v>84</v>
      </c>
      <c r="AG740" t="s">
        <v>84</v>
      </c>
      <c r="AH740" t="s">
        <v>84</v>
      </c>
      <c r="AI740" s="17">
        <v>11.32</v>
      </c>
      <c r="AJ740" s="17">
        <v>11.32</v>
      </c>
      <c r="AK740" t="s">
        <v>333</v>
      </c>
      <c r="AM740" s="17">
        <v>3.8</v>
      </c>
      <c r="AN740" s="17"/>
      <c r="AO740" s="17">
        <v>2125</v>
      </c>
      <c r="AP740" s="17"/>
      <c r="AQ740" s="17">
        <v>3315</v>
      </c>
      <c r="AR740" s="17"/>
      <c r="AS740" s="13" t="s">
        <v>150</v>
      </c>
      <c r="AT740"/>
      <c r="AU740" s="13" t="s">
        <v>150</v>
      </c>
      <c r="AW740" s="13" t="s">
        <v>150</v>
      </c>
      <c r="AY740" t="s">
        <v>92</v>
      </c>
      <c r="AZ740" t="s">
        <v>92</v>
      </c>
      <c r="BA740" t="s">
        <v>92</v>
      </c>
      <c r="BB740" t="s">
        <v>92</v>
      </c>
      <c r="BC740" t="s">
        <v>92</v>
      </c>
      <c r="BD740" t="s">
        <v>92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92</v>
      </c>
      <c r="BM740" t="s">
        <v>92</v>
      </c>
      <c r="BN740" t="s">
        <v>92</v>
      </c>
      <c r="BO740" t="s">
        <v>92</v>
      </c>
      <c r="BP740" t="s">
        <v>92</v>
      </c>
      <c r="BQ740" t="s">
        <v>92</v>
      </c>
      <c r="BR740" t="s">
        <v>92</v>
      </c>
      <c r="BS740" t="s">
        <v>92</v>
      </c>
      <c r="BT740" t="s">
        <v>92</v>
      </c>
      <c r="BU740" t="s">
        <v>92</v>
      </c>
      <c r="BV740" t="s">
        <v>92</v>
      </c>
      <c r="BW740" t="s">
        <v>92</v>
      </c>
      <c r="BX740" t="s">
        <v>92</v>
      </c>
      <c r="BY740" t="str">
        <f>IF(COUNTIF('Data Upload-prod'!E:E,F740)=0,"Missing","Exist")</f>
        <v>Exist</v>
      </c>
    </row>
    <row r="741" hidden="1" spans="1:77">
      <c r="A741" s="16">
        <v>42110</v>
      </c>
      <c r="B741" s="16">
        <v>42213</v>
      </c>
      <c r="C741" t="s">
        <v>360</v>
      </c>
      <c r="D741" t="s">
        <v>120</v>
      </c>
      <c r="E741" t="s">
        <v>599</v>
      </c>
      <c r="F741" t="s">
        <v>1281</v>
      </c>
      <c r="G741" t="s">
        <v>81</v>
      </c>
      <c r="H741" t="s">
        <v>185</v>
      </c>
      <c r="I741" t="s">
        <v>124</v>
      </c>
      <c r="J741" s="17">
        <v>48.5</v>
      </c>
      <c r="K741" s="17">
        <v>1292.36</v>
      </c>
      <c r="L741" s="17">
        <v>1277.62</v>
      </c>
      <c r="M741" t="s">
        <v>84</v>
      </c>
      <c r="N741" t="s">
        <v>84</v>
      </c>
      <c r="O741" t="s">
        <v>84</v>
      </c>
      <c r="P741" t="s">
        <v>84</v>
      </c>
      <c r="Q741" s="17">
        <v>6789384</v>
      </c>
      <c r="R741" s="17">
        <v>10.75</v>
      </c>
      <c r="S741" t="s">
        <v>85</v>
      </c>
      <c r="T741" t="s">
        <v>84</v>
      </c>
      <c r="U741" t="s">
        <v>86</v>
      </c>
      <c r="V741" s="16">
        <v>42125</v>
      </c>
      <c r="W741" s="18">
        <v>42125.9166666667</v>
      </c>
      <c r="X741" s="18">
        <v>42161</v>
      </c>
      <c r="Y741" s="17">
        <v>1329.64</v>
      </c>
      <c r="Z741" t="s">
        <v>87</v>
      </c>
      <c r="AA741" s="17">
        <v>1423.4</v>
      </c>
      <c r="AB741" s="17">
        <v>1259.69</v>
      </c>
      <c r="AC741" t="s">
        <v>84</v>
      </c>
      <c r="AD741" t="s">
        <v>84</v>
      </c>
      <c r="AE741" t="s">
        <v>84</v>
      </c>
      <c r="AF741" t="s">
        <v>84</v>
      </c>
      <c r="AG741" s="17">
        <v>7378739</v>
      </c>
      <c r="AH741" s="17">
        <v>15.35</v>
      </c>
      <c r="AI741" s="17">
        <v>2.44</v>
      </c>
      <c r="AJ741" s="17">
        <v>2.44</v>
      </c>
      <c r="AK741" t="s">
        <v>208</v>
      </c>
      <c r="AM741" s="17">
        <v>2.2</v>
      </c>
      <c r="AN741" s="17"/>
      <c r="AO741" s="17">
        <v>830</v>
      </c>
      <c r="AP741" s="17"/>
      <c r="AQ741" s="17">
        <v>1395</v>
      </c>
      <c r="AR741" s="17"/>
      <c r="AS741" s="17">
        <v>2.29</v>
      </c>
      <c r="AT741" s="17"/>
      <c r="AU741" s="17">
        <v>1100</v>
      </c>
      <c r="AV741" s="17"/>
      <c r="AW741" s="17">
        <v>1278</v>
      </c>
      <c r="AX741" s="17"/>
      <c r="AY741" t="s">
        <v>92</v>
      </c>
      <c r="AZ741" t="s">
        <v>92</v>
      </c>
      <c r="BA741" t="s">
        <v>92</v>
      </c>
      <c r="BB741" t="s">
        <v>92</v>
      </c>
      <c r="BC741" t="s">
        <v>92</v>
      </c>
      <c r="BD741" s="17">
        <v>2.07</v>
      </c>
      <c r="BE741" s="17">
        <v>1287000</v>
      </c>
      <c r="BF741" t="s">
        <v>92</v>
      </c>
      <c r="BG741" t="s">
        <v>92</v>
      </c>
      <c r="BH741" t="s">
        <v>93</v>
      </c>
      <c r="BI741" t="s">
        <v>94</v>
      </c>
      <c r="BJ741" t="s">
        <v>625</v>
      </c>
      <c r="BK741" t="s">
        <v>85</v>
      </c>
      <c r="BL741" t="s">
        <v>85</v>
      </c>
      <c r="BM741" t="s">
        <v>96</v>
      </c>
      <c r="BN741" t="s">
        <v>97</v>
      </c>
      <c r="BO741" t="s">
        <v>98</v>
      </c>
      <c r="BP741" t="s">
        <v>99</v>
      </c>
      <c r="BQ741" s="17">
        <v>62.6</v>
      </c>
      <c r="BR741" t="s">
        <v>138</v>
      </c>
      <c r="BS741" t="s">
        <v>92</v>
      </c>
      <c r="BT741" t="s">
        <v>99</v>
      </c>
      <c r="BU741" s="17">
        <v>10.3</v>
      </c>
      <c r="BV741" t="s">
        <v>308</v>
      </c>
      <c r="BW741" t="s">
        <v>85</v>
      </c>
      <c r="BX741" t="s">
        <v>85</v>
      </c>
      <c r="BY741" t="str">
        <f>IF(COUNTIF('Data Upload-prod'!E:E,F741)=0,"Missing","Exist")</f>
        <v>Exist</v>
      </c>
    </row>
    <row r="742" hidden="1" spans="1:77">
      <c r="A742" s="16">
        <v>42110</v>
      </c>
      <c r="B742" s="16">
        <v>42208</v>
      </c>
      <c r="C742" t="s">
        <v>360</v>
      </c>
      <c r="D742" t="s">
        <v>120</v>
      </c>
      <c r="E742" t="s">
        <v>599</v>
      </c>
      <c r="F742" t="s">
        <v>1282</v>
      </c>
      <c r="G742" t="s">
        <v>81</v>
      </c>
      <c r="H742" t="s">
        <v>185</v>
      </c>
      <c r="I742" t="s">
        <v>124</v>
      </c>
      <c r="J742" s="17">
        <v>48.5</v>
      </c>
      <c r="K742" s="17">
        <v>1990</v>
      </c>
      <c r="L742" s="17">
        <v>1498.38</v>
      </c>
      <c r="M742" t="s">
        <v>84</v>
      </c>
      <c r="N742" t="s">
        <v>84</v>
      </c>
      <c r="O742" t="s">
        <v>84</v>
      </c>
      <c r="P742" t="s">
        <v>84</v>
      </c>
      <c r="Q742" s="17">
        <v>8236373</v>
      </c>
      <c r="R742" s="17">
        <v>13.42</v>
      </c>
      <c r="S742" t="s">
        <v>85</v>
      </c>
      <c r="T742" t="s">
        <v>84</v>
      </c>
      <c r="U742" t="s">
        <v>86</v>
      </c>
      <c r="V742" s="16">
        <v>42130</v>
      </c>
      <c r="W742" s="18">
        <v>42127</v>
      </c>
      <c r="X742" s="18">
        <v>42150</v>
      </c>
      <c r="Y742" s="17">
        <v>2767.24</v>
      </c>
      <c r="Z742" t="s">
        <v>87</v>
      </c>
      <c r="AA742" s="17">
        <v>2861</v>
      </c>
      <c r="AB742" s="17">
        <v>1522.74</v>
      </c>
      <c r="AC742" t="s">
        <v>84</v>
      </c>
      <c r="AD742" t="s">
        <v>84</v>
      </c>
      <c r="AE742" t="s">
        <v>84</v>
      </c>
      <c r="AF742" t="s">
        <v>84</v>
      </c>
      <c r="AG742" s="17">
        <v>5972266</v>
      </c>
      <c r="AH742" s="17">
        <v>9.38</v>
      </c>
      <c r="AI742" s="17">
        <v>3.33</v>
      </c>
      <c r="AJ742" s="17">
        <v>3.33</v>
      </c>
      <c r="AK742" t="s">
        <v>497</v>
      </c>
      <c r="AM742" s="17">
        <v>1.4</v>
      </c>
      <c r="AN742" s="17"/>
      <c r="AO742" s="17">
        <v>550</v>
      </c>
      <c r="AP742" s="17"/>
      <c r="AQ742" s="17">
        <v>770</v>
      </c>
      <c r="AR742" s="17"/>
      <c r="AS742" s="17">
        <v>0.87</v>
      </c>
      <c r="AT742" s="17"/>
      <c r="AU742" s="17">
        <v>497</v>
      </c>
      <c r="AV742" s="17"/>
      <c r="AW742" s="17">
        <v>606</v>
      </c>
      <c r="AX742" s="17"/>
      <c r="AY742" t="s">
        <v>92</v>
      </c>
      <c r="AZ742" t="s">
        <v>92</v>
      </c>
      <c r="BA742" t="s">
        <v>92</v>
      </c>
      <c r="BB742" t="s">
        <v>92</v>
      </c>
      <c r="BC742" t="s">
        <v>92</v>
      </c>
      <c r="BD742" s="17">
        <v>1.1</v>
      </c>
      <c r="BE742" s="17">
        <v>1182000</v>
      </c>
      <c r="BF742" t="s">
        <v>92</v>
      </c>
      <c r="BG742" t="s">
        <v>92</v>
      </c>
      <c r="BH742" t="s">
        <v>93</v>
      </c>
      <c r="BI742" t="s">
        <v>94</v>
      </c>
      <c r="BJ742" t="s">
        <v>95</v>
      </c>
      <c r="BK742" t="s">
        <v>85</v>
      </c>
      <c r="BL742" t="s">
        <v>85</v>
      </c>
      <c r="BM742" t="s">
        <v>96</v>
      </c>
      <c r="BN742" t="s">
        <v>97</v>
      </c>
      <c r="BO742" t="s">
        <v>98</v>
      </c>
      <c r="BP742" t="s">
        <v>103</v>
      </c>
      <c r="BQ742" s="17">
        <v>118.12</v>
      </c>
      <c r="BR742" t="s">
        <v>100</v>
      </c>
      <c r="BS742" t="s">
        <v>92</v>
      </c>
      <c r="BT742" t="s">
        <v>103</v>
      </c>
      <c r="BU742" s="17">
        <v>8.3</v>
      </c>
      <c r="BV742" t="s">
        <v>131</v>
      </c>
      <c r="BW742" t="s">
        <v>85</v>
      </c>
      <c r="BX742" t="s">
        <v>85</v>
      </c>
      <c r="BY742" t="str">
        <f>IF(COUNTIF('Data Upload-prod'!E:E,F742)=0,"Missing","Exist")</f>
        <v>Exist</v>
      </c>
    </row>
    <row r="743" hidden="1" spans="1:77">
      <c r="A743" s="16">
        <v>42110</v>
      </c>
      <c r="B743" s="16">
        <v>42213</v>
      </c>
      <c r="C743" t="s">
        <v>360</v>
      </c>
      <c r="D743" t="s">
        <v>120</v>
      </c>
      <c r="E743" t="s">
        <v>599</v>
      </c>
      <c r="F743" t="s">
        <v>1283</v>
      </c>
      <c r="G743" t="s">
        <v>81</v>
      </c>
      <c r="H743" t="s">
        <v>185</v>
      </c>
      <c r="I743" t="s">
        <v>124</v>
      </c>
      <c r="J743" s="17">
        <v>48.5</v>
      </c>
      <c r="K743" s="17">
        <v>2050</v>
      </c>
      <c r="L743" s="17">
        <v>1481</v>
      </c>
      <c r="M743" t="s">
        <v>84</v>
      </c>
      <c r="N743" t="s">
        <v>84</v>
      </c>
      <c r="O743" t="s">
        <v>84</v>
      </c>
      <c r="P743" t="s">
        <v>84</v>
      </c>
      <c r="Q743" s="17">
        <v>6583309.7</v>
      </c>
      <c r="R743" s="17">
        <v>12.25</v>
      </c>
      <c r="S743" t="s">
        <v>106</v>
      </c>
      <c r="T743" t="s">
        <v>84</v>
      </c>
      <c r="U743" t="s">
        <v>86</v>
      </c>
      <c r="V743" s="16">
        <v>42133</v>
      </c>
      <c r="W743" s="18">
        <v>42126.875</v>
      </c>
      <c r="X743" s="18">
        <v>42165.2916666667</v>
      </c>
      <c r="Y743" s="17">
        <v>3431.64</v>
      </c>
      <c r="Z743" t="s">
        <v>87</v>
      </c>
      <c r="AA743" s="17">
        <v>1538</v>
      </c>
      <c r="AB743" s="17">
        <v>1340.29</v>
      </c>
      <c r="AC743" t="s">
        <v>84</v>
      </c>
      <c r="AD743" t="s">
        <v>84</v>
      </c>
      <c r="AE743" t="s">
        <v>84</v>
      </c>
      <c r="AF743" t="s">
        <v>84</v>
      </c>
      <c r="AG743" s="17">
        <v>6743172</v>
      </c>
      <c r="AH743" s="17">
        <v>14.65</v>
      </c>
      <c r="AI743" s="17">
        <v>1.99</v>
      </c>
      <c r="AJ743" s="17">
        <v>1.99</v>
      </c>
      <c r="AK743" t="s">
        <v>165</v>
      </c>
      <c r="AM743" s="17">
        <v>2</v>
      </c>
      <c r="AN743" s="17"/>
      <c r="AO743" s="17">
        <v>725</v>
      </c>
      <c r="AP743" s="17"/>
      <c r="AQ743" s="17">
        <v>1295</v>
      </c>
      <c r="AR743" s="17"/>
      <c r="AS743" s="17">
        <v>1.41</v>
      </c>
      <c r="AT743" s="17"/>
      <c r="AU743" s="17">
        <v>652</v>
      </c>
      <c r="AV743" s="17"/>
      <c r="AW743" s="17">
        <v>788</v>
      </c>
      <c r="AX743" s="17"/>
      <c r="AY743" t="s">
        <v>92</v>
      </c>
      <c r="AZ743" t="s">
        <v>92</v>
      </c>
      <c r="BA743" t="s">
        <v>92</v>
      </c>
      <c r="BB743" t="s">
        <v>92</v>
      </c>
      <c r="BC743" t="s">
        <v>92</v>
      </c>
      <c r="BD743" s="17">
        <v>2.52</v>
      </c>
      <c r="BE743" s="17">
        <v>1691000</v>
      </c>
      <c r="BF743" t="s">
        <v>92</v>
      </c>
      <c r="BG743" t="s">
        <v>92</v>
      </c>
      <c r="BH743" t="s">
        <v>93</v>
      </c>
      <c r="BI743" t="s">
        <v>94</v>
      </c>
      <c r="BJ743" t="s">
        <v>625</v>
      </c>
      <c r="BK743" t="s">
        <v>85</v>
      </c>
      <c r="BL743" t="s">
        <v>85</v>
      </c>
      <c r="BM743" t="s">
        <v>96</v>
      </c>
      <c r="BN743" t="s">
        <v>97</v>
      </c>
      <c r="BO743" t="s">
        <v>98</v>
      </c>
      <c r="BP743" t="s">
        <v>99</v>
      </c>
      <c r="BQ743" s="17">
        <v>19.36</v>
      </c>
      <c r="BR743" t="s">
        <v>138</v>
      </c>
      <c r="BS743" t="s">
        <v>92</v>
      </c>
      <c r="BT743" t="s">
        <v>99</v>
      </c>
      <c r="BU743" s="17">
        <v>10.3</v>
      </c>
      <c r="BV743" t="s">
        <v>308</v>
      </c>
      <c r="BW743" t="s">
        <v>85</v>
      </c>
      <c r="BX743" t="s">
        <v>85</v>
      </c>
      <c r="BY743" t="str">
        <f>IF(COUNTIF('Data Upload-prod'!E:E,F743)=0,"Missing","Exist")</f>
        <v>Exist</v>
      </c>
    </row>
    <row r="744" hidden="1" spans="1:77">
      <c r="A744" s="16">
        <v>42109</v>
      </c>
      <c r="B744" s="16">
        <v>42243</v>
      </c>
      <c r="C744" t="s">
        <v>132</v>
      </c>
      <c r="D744" t="s">
        <v>120</v>
      </c>
      <c r="E744" t="s">
        <v>908</v>
      </c>
      <c r="F744" t="s">
        <v>1284</v>
      </c>
      <c r="G744" t="s">
        <v>81</v>
      </c>
      <c r="H744" t="s">
        <v>202</v>
      </c>
      <c r="I744" t="s">
        <v>124</v>
      </c>
      <c r="J744" s="17">
        <v>29.26</v>
      </c>
      <c r="K744" s="17">
        <v>1965.86</v>
      </c>
      <c r="L744" s="17">
        <v>1423.35</v>
      </c>
      <c r="M744" t="s">
        <v>84</v>
      </c>
      <c r="N744" t="s">
        <v>84</v>
      </c>
      <c r="O744" t="s">
        <v>84</v>
      </c>
      <c r="P744" t="s">
        <v>84</v>
      </c>
      <c r="Q744" s="17">
        <v>20474767</v>
      </c>
      <c r="R744" s="17">
        <v>34.1</v>
      </c>
      <c r="S744" t="s">
        <v>85</v>
      </c>
      <c r="T744" t="s">
        <v>84</v>
      </c>
      <c r="U744" t="s">
        <v>86</v>
      </c>
      <c r="V744" s="16">
        <v>42145</v>
      </c>
      <c r="W744" s="18">
        <v>42131.5416666667</v>
      </c>
      <c r="X744" s="18">
        <v>42185.25</v>
      </c>
      <c r="Y744" s="17">
        <v>1815</v>
      </c>
      <c r="Z744" t="s">
        <v>87</v>
      </c>
      <c r="AA744" s="17">
        <v>1883.27</v>
      </c>
      <c r="AB744" s="17">
        <v>1368.49</v>
      </c>
      <c r="AC744" t="s">
        <v>84</v>
      </c>
      <c r="AD744" t="s">
        <v>84</v>
      </c>
      <c r="AE744" t="s">
        <v>84</v>
      </c>
      <c r="AF744" t="s">
        <v>84</v>
      </c>
      <c r="AG744" s="17">
        <v>12391846</v>
      </c>
      <c r="AH744" s="17">
        <v>20.5</v>
      </c>
      <c r="AI744" s="17">
        <v>0</v>
      </c>
      <c r="AJ744" s="17">
        <v>0</v>
      </c>
      <c r="AK744" t="s">
        <v>208</v>
      </c>
      <c r="AM744" s="17">
        <v>2.2</v>
      </c>
      <c r="AN744" s="17"/>
      <c r="AO744" s="17">
        <v>830</v>
      </c>
      <c r="AP744" s="17"/>
      <c r="AQ744" s="17">
        <v>1790</v>
      </c>
      <c r="AR744" s="17"/>
      <c r="AS744" s="17">
        <v>1.86</v>
      </c>
      <c r="AT744" s="17"/>
      <c r="AU744" s="17">
        <v>765</v>
      </c>
      <c r="AV744" s="17"/>
      <c r="AW744" s="17">
        <v>1683</v>
      </c>
      <c r="AX744" s="17"/>
      <c r="AY744" t="s">
        <v>92</v>
      </c>
      <c r="AZ744" t="s">
        <v>92</v>
      </c>
      <c r="BA744" t="s">
        <v>92</v>
      </c>
      <c r="BB744" t="s">
        <v>92</v>
      </c>
      <c r="BC744" t="s">
        <v>92</v>
      </c>
      <c r="BD744" s="17">
        <v>7.7</v>
      </c>
      <c r="BE744" s="17">
        <v>4079341</v>
      </c>
      <c r="BF744" t="s">
        <v>92</v>
      </c>
      <c r="BG744" t="s">
        <v>92</v>
      </c>
      <c r="BH744" t="s">
        <v>93</v>
      </c>
      <c r="BI744" t="s">
        <v>94</v>
      </c>
      <c r="BJ744" t="s">
        <v>215</v>
      </c>
      <c r="BK744" t="s">
        <v>85</v>
      </c>
      <c r="BL744" t="s">
        <v>85</v>
      </c>
      <c r="BM744" t="s">
        <v>96</v>
      </c>
      <c r="BN744" t="s">
        <v>569</v>
      </c>
      <c r="BO744" t="s">
        <v>98</v>
      </c>
      <c r="BP744" t="s">
        <v>103</v>
      </c>
      <c r="BQ744" s="17">
        <v>18</v>
      </c>
      <c r="BR744" t="s">
        <v>138</v>
      </c>
      <c r="BS744" t="s">
        <v>92</v>
      </c>
      <c r="BT744" t="s">
        <v>550</v>
      </c>
      <c r="BU744" s="17">
        <v>9.4</v>
      </c>
      <c r="BV744" t="s">
        <v>191</v>
      </c>
      <c r="BW744" t="s">
        <v>85</v>
      </c>
      <c r="BX744" t="s">
        <v>85</v>
      </c>
      <c r="BY744" t="str">
        <f>IF(COUNTIF('Data Upload-prod'!E:E,F744)=0,"Missing","Exist")</f>
        <v>Exist</v>
      </c>
    </row>
    <row r="745" hidden="1" spans="1:77">
      <c r="A745" s="16">
        <v>42100</v>
      </c>
      <c r="B745" s="16">
        <v>42244</v>
      </c>
      <c r="C745" t="s">
        <v>750</v>
      </c>
      <c r="D745" t="s">
        <v>142</v>
      </c>
      <c r="E745" t="s">
        <v>1285</v>
      </c>
      <c r="F745" t="s">
        <v>1286</v>
      </c>
      <c r="G745" t="s">
        <v>145</v>
      </c>
      <c r="H745" t="s">
        <v>1247</v>
      </c>
      <c r="I745" t="s">
        <v>231</v>
      </c>
      <c r="J745" s="17">
        <v>397.83</v>
      </c>
      <c r="K745" s="17">
        <v>3969</v>
      </c>
      <c r="L745" s="17">
        <v>3526</v>
      </c>
      <c r="M745" s="17">
        <v>92817000</v>
      </c>
      <c r="N745" s="17">
        <v>92817000</v>
      </c>
      <c r="O745" s="17">
        <v>70.1</v>
      </c>
      <c r="P745" s="17">
        <v>70.1</v>
      </c>
      <c r="Q745" t="s">
        <v>84</v>
      </c>
      <c r="R745" t="s">
        <v>84</v>
      </c>
      <c r="S745" t="s">
        <v>85</v>
      </c>
      <c r="T745" t="s">
        <v>84</v>
      </c>
      <c r="U745" t="s">
        <v>84</v>
      </c>
      <c r="V745" s="16">
        <v>42135</v>
      </c>
      <c r="W745" s="18">
        <v>42134.25</v>
      </c>
      <c r="X745" s="18">
        <v>42185</v>
      </c>
      <c r="Y745" s="17">
        <v>3067.97</v>
      </c>
      <c r="Z745" t="s">
        <v>148</v>
      </c>
      <c r="AA745" s="17">
        <v>3492</v>
      </c>
      <c r="AB745" s="17">
        <v>3197.8</v>
      </c>
      <c r="AC745" t="s">
        <v>84</v>
      </c>
      <c r="AD745" s="17">
        <v>59291250</v>
      </c>
      <c r="AE745" t="s">
        <v>84</v>
      </c>
      <c r="AF745" s="17">
        <v>50.6</v>
      </c>
      <c r="AG745" t="s">
        <v>84</v>
      </c>
      <c r="AH745" t="s">
        <v>84</v>
      </c>
      <c r="AI745" s="17">
        <v>0.8</v>
      </c>
      <c r="AJ745" s="17">
        <v>0.8</v>
      </c>
      <c r="AK745" s="13" t="s">
        <v>149</v>
      </c>
      <c r="AL745" s="13"/>
      <c r="AM745" t="s">
        <v>92</v>
      </c>
      <c r="AO745" t="s">
        <v>92</v>
      </c>
      <c r="AQ745" t="s">
        <v>92</v>
      </c>
      <c r="AS745" s="17">
        <v>3.46</v>
      </c>
      <c r="AT745" s="17"/>
      <c r="AU745" s="17">
        <v>4254</v>
      </c>
      <c r="AV745" s="17"/>
      <c r="AW745" s="17">
        <v>5886</v>
      </c>
      <c r="AX745" s="17"/>
      <c r="AY745" t="s">
        <v>92</v>
      </c>
      <c r="AZ745" t="s">
        <v>92</v>
      </c>
      <c r="BA745" t="s">
        <v>92</v>
      </c>
      <c r="BB745" t="s">
        <v>92</v>
      </c>
      <c r="BC745" t="s">
        <v>92</v>
      </c>
      <c r="BD745" t="s">
        <v>92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92</v>
      </c>
      <c r="BM745" t="s">
        <v>92</v>
      </c>
      <c r="BN745" t="s">
        <v>92</v>
      </c>
      <c r="BO745" t="s">
        <v>92</v>
      </c>
      <c r="BP745" t="s">
        <v>92</v>
      </c>
      <c r="BQ745" t="s">
        <v>92</v>
      </c>
      <c r="BR745" t="s">
        <v>92</v>
      </c>
      <c r="BS745" t="s">
        <v>92</v>
      </c>
      <c r="BT745" t="s">
        <v>92</v>
      </c>
      <c r="BU745" t="s">
        <v>92</v>
      </c>
      <c r="BV745" t="s">
        <v>92</v>
      </c>
      <c r="BW745" t="s">
        <v>92</v>
      </c>
      <c r="BX745" t="s">
        <v>92</v>
      </c>
      <c r="BY745" t="str">
        <f>IF(COUNTIF('Data Upload-prod'!E:E,F745)=0,"Missing","Exist")</f>
        <v>Exist</v>
      </c>
    </row>
    <row r="746" hidden="1" spans="1:77">
      <c r="A746" s="16">
        <v>42088</v>
      </c>
      <c r="B746" s="16">
        <v>42228</v>
      </c>
      <c r="C746" t="s">
        <v>360</v>
      </c>
      <c r="D746" t="s">
        <v>120</v>
      </c>
      <c r="E746" t="s">
        <v>599</v>
      </c>
      <c r="F746" t="s">
        <v>1287</v>
      </c>
      <c r="G746" t="s">
        <v>81</v>
      </c>
      <c r="H746" t="s">
        <v>185</v>
      </c>
      <c r="I746" t="s">
        <v>124</v>
      </c>
      <c r="J746" s="17">
        <v>48.5</v>
      </c>
      <c r="K746" s="17">
        <v>2196</v>
      </c>
      <c r="L746" s="17">
        <v>1620</v>
      </c>
      <c r="M746" t="s">
        <v>84</v>
      </c>
      <c r="N746" t="s">
        <v>84</v>
      </c>
      <c r="O746" t="s">
        <v>84</v>
      </c>
      <c r="P746" t="s">
        <v>84</v>
      </c>
      <c r="Q746" s="17">
        <v>38489455</v>
      </c>
      <c r="R746" s="17">
        <v>13.19</v>
      </c>
      <c r="S746" t="s">
        <v>85</v>
      </c>
      <c r="T746" t="s">
        <v>84</v>
      </c>
      <c r="U746" t="s">
        <v>86</v>
      </c>
      <c r="V746" s="16">
        <v>42175</v>
      </c>
      <c r="W746" s="18">
        <v>42175.1458333333</v>
      </c>
      <c r="X746" s="18">
        <v>42201.2916666667</v>
      </c>
      <c r="Y746" s="17">
        <v>2093.64</v>
      </c>
      <c r="Z746" t="s">
        <v>87</v>
      </c>
      <c r="AA746" s="17">
        <v>2187.4</v>
      </c>
      <c r="AB746" s="17">
        <v>1614.41</v>
      </c>
      <c r="AC746" t="s">
        <v>84</v>
      </c>
      <c r="AD746" t="s">
        <v>84</v>
      </c>
      <c r="AE746" t="s">
        <v>84</v>
      </c>
      <c r="AF746" t="s">
        <v>84</v>
      </c>
      <c r="AG746" s="17">
        <v>6935993</v>
      </c>
      <c r="AH746" s="17">
        <v>11.58</v>
      </c>
      <c r="AI746" s="17">
        <v>5.22</v>
      </c>
      <c r="AJ746" s="17">
        <v>4.86</v>
      </c>
      <c r="AK746" t="s">
        <v>165</v>
      </c>
      <c r="AM746" s="17">
        <v>2</v>
      </c>
      <c r="AN746" s="17"/>
      <c r="AO746" s="17">
        <v>725</v>
      </c>
      <c r="AP746" s="17"/>
      <c r="AQ746" s="17">
        <v>1295</v>
      </c>
      <c r="AR746" s="17"/>
      <c r="AS746" s="17">
        <v>1.25</v>
      </c>
      <c r="AT746" s="17"/>
      <c r="AU746" s="17">
        <v>750</v>
      </c>
      <c r="AV746" s="17"/>
      <c r="AW746" s="17">
        <v>1040</v>
      </c>
      <c r="AX746" s="17"/>
      <c r="AY746" t="s">
        <v>92</v>
      </c>
      <c r="AZ746" t="s">
        <v>92</v>
      </c>
      <c r="BA746" t="s">
        <v>92</v>
      </c>
      <c r="BB746" t="s">
        <v>92</v>
      </c>
      <c r="BC746" t="s">
        <v>92</v>
      </c>
      <c r="BD746" s="17">
        <v>2.95</v>
      </c>
      <c r="BE746" s="17">
        <v>2251000</v>
      </c>
      <c r="BF746" t="s">
        <v>92</v>
      </c>
      <c r="BG746" t="s">
        <v>92</v>
      </c>
      <c r="BH746" t="s">
        <v>93</v>
      </c>
      <c r="BI746" t="s">
        <v>94</v>
      </c>
      <c r="BJ746" t="s">
        <v>625</v>
      </c>
      <c r="BK746" t="s">
        <v>85</v>
      </c>
      <c r="BL746" t="s">
        <v>85</v>
      </c>
      <c r="BM746" t="s">
        <v>96</v>
      </c>
      <c r="BN746" t="s">
        <v>569</v>
      </c>
      <c r="BO746" t="s">
        <v>98</v>
      </c>
      <c r="BP746" t="s">
        <v>99</v>
      </c>
      <c r="BQ746" s="17">
        <v>82.025</v>
      </c>
      <c r="BR746" t="s">
        <v>138</v>
      </c>
      <c r="BS746" t="s">
        <v>156</v>
      </c>
      <c r="BT746" t="s">
        <v>99</v>
      </c>
      <c r="BU746" s="17">
        <v>11.8</v>
      </c>
      <c r="BV746" t="s">
        <v>308</v>
      </c>
      <c r="BW746" t="s">
        <v>85</v>
      </c>
      <c r="BX746" t="s">
        <v>85</v>
      </c>
      <c r="BY746" t="str">
        <f>IF(COUNTIF('Data Upload-prod'!E:E,F746)=0,"Missing","Exist")</f>
        <v>Exist</v>
      </c>
    </row>
    <row r="747" hidden="1" spans="1:77">
      <c r="A747" s="16">
        <v>42083</v>
      </c>
      <c r="B747" s="16">
        <v>42254</v>
      </c>
      <c r="C747" t="s">
        <v>132</v>
      </c>
      <c r="D747" t="s">
        <v>120</v>
      </c>
      <c r="E747" t="s">
        <v>835</v>
      </c>
      <c r="F747" t="s">
        <v>1288</v>
      </c>
      <c r="G747" t="s">
        <v>145</v>
      </c>
      <c r="H747" t="s">
        <v>181</v>
      </c>
      <c r="I747" t="s">
        <v>124</v>
      </c>
      <c r="J747" s="17">
        <v>31.3</v>
      </c>
      <c r="K747" s="17">
        <v>3971.35</v>
      </c>
      <c r="L747" s="17">
        <v>3690.64</v>
      </c>
      <c r="M747" s="17">
        <v>23500000</v>
      </c>
      <c r="N747" s="17">
        <v>24900000</v>
      </c>
      <c r="O747" s="17">
        <v>57.4</v>
      </c>
      <c r="P747" s="17">
        <v>60.9</v>
      </c>
      <c r="Q747" t="s">
        <v>84</v>
      </c>
      <c r="R747" t="s">
        <v>84</v>
      </c>
      <c r="S747" t="s">
        <v>85</v>
      </c>
      <c r="T747" t="s">
        <v>84</v>
      </c>
      <c r="U747" t="s">
        <v>84</v>
      </c>
      <c r="V747" s="16">
        <v>42111.8541666667</v>
      </c>
      <c r="W747" s="18">
        <v>42106.9166666667</v>
      </c>
      <c r="X747" s="18">
        <v>42205.6666666667</v>
      </c>
      <c r="Y747" s="17">
        <v>3414.78</v>
      </c>
      <c r="Z747" t="s">
        <v>87</v>
      </c>
      <c r="AA747" s="17">
        <v>3479.73</v>
      </c>
      <c r="AB747" s="17">
        <v>3307.22</v>
      </c>
      <c r="AC747" t="s">
        <v>84</v>
      </c>
      <c r="AD747" s="17">
        <v>32430132.05</v>
      </c>
      <c r="AE747" t="s">
        <v>84</v>
      </c>
      <c r="AF747" s="17">
        <v>98.75</v>
      </c>
      <c r="AG747" t="s">
        <v>84</v>
      </c>
      <c r="AH747" t="s">
        <v>84</v>
      </c>
      <c r="AI747" s="17">
        <v>4.57</v>
      </c>
      <c r="AJ747" s="17">
        <v>4.57</v>
      </c>
      <c r="AK747" t="s">
        <v>295</v>
      </c>
      <c r="AM747" s="17">
        <v>2.7</v>
      </c>
      <c r="AN747" s="17"/>
      <c r="AO747" s="17">
        <v>1490</v>
      </c>
      <c r="AP747" s="17"/>
      <c r="AQ747" s="17">
        <v>2760</v>
      </c>
      <c r="AR747" s="17"/>
      <c r="AS747" s="17">
        <v>3.63</v>
      </c>
      <c r="AT747" s="17"/>
      <c r="AU747" s="17">
        <v>1320</v>
      </c>
      <c r="AV747" s="17"/>
      <c r="AW747" s="17">
        <v>2321</v>
      </c>
      <c r="AX747" s="17"/>
      <c r="AY747" t="s">
        <v>92</v>
      </c>
      <c r="AZ747" t="s">
        <v>92</v>
      </c>
      <c r="BA747" t="s">
        <v>92</v>
      </c>
      <c r="BB747" t="s">
        <v>92</v>
      </c>
      <c r="BC747" t="s">
        <v>92</v>
      </c>
      <c r="BD747" t="s">
        <v>92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92</v>
      </c>
      <c r="BM747" t="s">
        <v>92</v>
      </c>
      <c r="BN747" t="s">
        <v>92</v>
      </c>
      <c r="BO747" t="s">
        <v>92</v>
      </c>
      <c r="BP747" t="s">
        <v>92</v>
      </c>
      <c r="BQ747" t="s">
        <v>92</v>
      </c>
      <c r="BR747" t="s">
        <v>92</v>
      </c>
      <c r="BS747" t="s">
        <v>92</v>
      </c>
      <c r="BT747" t="s">
        <v>92</v>
      </c>
      <c r="BU747" t="s">
        <v>92</v>
      </c>
      <c r="BV747" t="s">
        <v>92</v>
      </c>
      <c r="BW747" t="s">
        <v>92</v>
      </c>
      <c r="BX747" t="s">
        <v>92</v>
      </c>
      <c r="BY747" t="str">
        <f>IF(COUNTIF('Data Upload-prod'!E:E,F747)=0,"Missing","Exist")</f>
        <v>Exist</v>
      </c>
    </row>
    <row r="748" hidden="1" spans="1:77">
      <c r="A748" s="16">
        <v>42083</v>
      </c>
      <c r="B748" s="16">
        <v>42187</v>
      </c>
      <c r="C748" t="s">
        <v>132</v>
      </c>
      <c r="D748" t="s">
        <v>120</v>
      </c>
      <c r="E748" t="s">
        <v>463</v>
      </c>
      <c r="F748" t="s">
        <v>1289</v>
      </c>
      <c r="G748" t="s">
        <v>145</v>
      </c>
      <c r="H748" t="s">
        <v>202</v>
      </c>
      <c r="I748" t="s">
        <v>124</v>
      </c>
      <c r="J748" s="17">
        <v>70</v>
      </c>
      <c r="K748" s="17">
        <v>2330</v>
      </c>
      <c r="L748" s="17">
        <v>2330</v>
      </c>
      <c r="M748" s="17">
        <v>16223982</v>
      </c>
      <c r="N748" s="17">
        <v>19086064</v>
      </c>
      <c r="O748" s="17">
        <v>23.15</v>
      </c>
      <c r="P748" s="17">
        <v>29.65</v>
      </c>
      <c r="Q748" t="s">
        <v>84</v>
      </c>
      <c r="R748" t="s">
        <v>84</v>
      </c>
      <c r="S748" t="s">
        <v>85</v>
      </c>
      <c r="T748" t="s">
        <v>84</v>
      </c>
      <c r="U748" t="s">
        <v>84</v>
      </c>
      <c r="V748" s="16">
        <v>42090</v>
      </c>
      <c r="W748" s="18">
        <v>42086.25</v>
      </c>
      <c r="X748" s="18">
        <v>42131.7916666667</v>
      </c>
      <c r="Y748" s="17">
        <v>2255</v>
      </c>
      <c r="Z748" t="s">
        <v>87</v>
      </c>
      <c r="AA748" s="17">
        <v>2355</v>
      </c>
      <c r="AB748" s="17">
        <v>2355</v>
      </c>
      <c r="AC748" s="17">
        <v>20820313.35</v>
      </c>
      <c r="AD748" t="s">
        <v>84</v>
      </c>
      <c r="AE748" s="17">
        <v>30.16</v>
      </c>
      <c r="AF748" t="s">
        <v>84</v>
      </c>
      <c r="AG748" t="s">
        <v>84</v>
      </c>
      <c r="AH748" t="s">
        <v>84</v>
      </c>
      <c r="AI748" s="17">
        <v>5.67</v>
      </c>
      <c r="AJ748" s="17">
        <v>5.67</v>
      </c>
      <c r="AK748" t="s">
        <v>300</v>
      </c>
      <c r="AM748" s="17">
        <v>2.4</v>
      </c>
      <c r="AN748" s="17"/>
      <c r="AO748" s="17">
        <v>1375</v>
      </c>
      <c r="AP748" s="17"/>
      <c r="AQ748" s="17">
        <v>3025</v>
      </c>
      <c r="AR748" s="17"/>
      <c r="AS748" s="17">
        <v>3.95</v>
      </c>
      <c r="AT748" s="17"/>
      <c r="AU748" s="17">
        <v>1507</v>
      </c>
      <c r="AV748" s="17"/>
      <c r="AW748" s="17">
        <v>2027</v>
      </c>
      <c r="AX748" s="17"/>
      <c r="AY748" t="s">
        <v>92</v>
      </c>
      <c r="AZ748" t="s">
        <v>92</v>
      </c>
      <c r="BA748" t="s">
        <v>92</v>
      </c>
      <c r="BB748" t="s">
        <v>92</v>
      </c>
      <c r="BC748" t="s">
        <v>92</v>
      </c>
      <c r="BD748" t="s">
        <v>92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92</v>
      </c>
      <c r="BM748" t="s">
        <v>92</v>
      </c>
      <c r="BN748" t="s">
        <v>92</v>
      </c>
      <c r="BO748" t="s">
        <v>92</v>
      </c>
      <c r="BP748" t="s">
        <v>92</v>
      </c>
      <c r="BQ748" t="s">
        <v>92</v>
      </c>
      <c r="BR748" t="s">
        <v>92</v>
      </c>
      <c r="BS748" t="s">
        <v>92</v>
      </c>
      <c r="BT748" t="s">
        <v>92</v>
      </c>
      <c r="BU748" t="s">
        <v>92</v>
      </c>
      <c r="BV748" t="s">
        <v>92</v>
      </c>
      <c r="BW748" t="s">
        <v>92</v>
      </c>
      <c r="BX748" t="s">
        <v>92</v>
      </c>
      <c r="BY748" t="str">
        <f>IF(COUNTIF('Data Upload-prod'!E:E,F748)=0,"Missing","Exist")</f>
        <v>Exist</v>
      </c>
    </row>
    <row r="749" hidden="1" spans="1:77">
      <c r="A749" s="16">
        <v>42073</v>
      </c>
      <c r="B749" s="16">
        <v>42198</v>
      </c>
      <c r="C749" t="s">
        <v>187</v>
      </c>
      <c r="D749" t="s">
        <v>78</v>
      </c>
      <c r="E749" t="s">
        <v>708</v>
      </c>
      <c r="F749" t="s">
        <v>1290</v>
      </c>
      <c r="G749" t="s">
        <v>81</v>
      </c>
      <c r="H749" t="s">
        <v>198</v>
      </c>
      <c r="I749" t="s">
        <v>83</v>
      </c>
      <c r="J749" s="17">
        <v>62.3</v>
      </c>
      <c r="K749" s="17">
        <v>3346</v>
      </c>
      <c r="L749" s="17">
        <v>1448.47</v>
      </c>
      <c r="M749" t="s">
        <v>84</v>
      </c>
      <c r="N749" t="s">
        <v>84</v>
      </c>
      <c r="O749" t="s">
        <v>84</v>
      </c>
      <c r="P749" t="s">
        <v>84</v>
      </c>
      <c r="Q749" s="17">
        <v>11623528.44</v>
      </c>
      <c r="R749" s="17">
        <v>21.33</v>
      </c>
      <c r="S749" t="s">
        <v>85</v>
      </c>
      <c r="T749" t="s">
        <v>84</v>
      </c>
      <c r="U749" t="s">
        <v>86</v>
      </c>
      <c r="V749" s="16">
        <v>42103.75</v>
      </c>
      <c r="W749" s="18">
        <v>42102</v>
      </c>
      <c r="X749" s="18">
        <v>42139.7916666667</v>
      </c>
      <c r="Y749" s="17">
        <v>3136.4</v>
      </c>
      <c r="Z749" t="s">
        <v>87</v>
      </c>
      <c r="AA749" s="17">
        <v>3240</v>
      </c>
      <c r="AB749" s="17">
        <v>1398.53</v>
      </c>
      <c r="AC749" t="s">
        <v>84</v>
      </c>
      <c r="AD749" t="s">
        <v>84</v>
      </c>
      <c r="AE749" t="s">
        <v>84</v>
      </c>
      <c r="AF749" t="s">
        <v>84</v>
      </c>
      <c r="AG749" s="17">
        <v>9319001</v>
      </c>
      <c r="AH749" s="17">
        <v>23.08</v>
      </c>
      <c r="AI749" s="17">
        <v>15.16</v>
      </c>
      <c r="AJ749" s="17">
        <v>15.16</v>
      </c>
      <c r="AK749" t="s">
        <v>208</v>
      </c>
      <c r="AM749" s="17">
        <v>2.1</v>
      </c>
      <c r="AN749" s="17"/>
      <c r="AO749" s="17">
        <v>700</v>
      </c>
      <c r="AP749" s="17"/>
      <c r="AQ749" s="17">
        <v>1620</v>
      </c>
      <c r="AR749" s="17"/>
      <c r="AS749" s="13" t="s">
        <v>150</v>
      </c>
      <c r="AT749"/>
      <c r="AU749" s="13" t="s">
        <v>150</v>
      </c>
      <c r="AW749" s="13" t="s">
        <v>150</v>
      </c>
      <c r="AY749" t="s">
        <v>92</v>
      </c>
      <c r="AZ749" t="s">
        <v>92</v>
      </c>
      <c r="BA749" t="s">
        <v>92</v>
      </c>
      <c r="BB749" t="s">
        <v>92</v>
      </c>
      <c r="BC749" t="s">
        <v>92</v>
      </c>
      <c r="BD749" s="17">
        <v>5.48</v>
      </c>
      <c r="BE749" s="17">
        <v>1863311</v>
      </c>
      <c r="BF749" t="s">
        <v>92</v>
      </c>
      <c r="BG749" t="s">
        <v>92</v>
      </c>
      <c r="BH749" t="s">
        <v>93</v>
      </c>
      <c r="BI749" t="s">
        <v>94</v>
      </c>
      <c r="BJ749" t="s">
        <v>173</v>
      </c>
      <c r="BK749" t="s">
        <v>85</v>
      </c>
      <c r="BL749" t="s">
        <v>85</v>
      </c>
      <c r="BM749" t="s">
        <v>96</v>
      </c>
      <c r="BN749" t="s">
        <v>97</v>
      </c>
      <c r="BO749" t="s">
        <v>98</v>
      </c>
      <c r="BP749" t="s">
        <v>99</v>
      </c>
      <c r="BQ749" s="17">
        <v>0</v>
      </c>
      <c r="BR749" t="s">
        <v>138</v>
      </c>
      <c r="BS749" t="s">
        <v>92</v>
      </c>
      <c r="BT749" t="s">
        <v>99</v>
      </c>
      <c r="BU749" s="17">
        <v>8.6</v>
      </c>
      <c r="BV749" t="s">
        <v>131</v>
      </c>
      <c r="BW749" t="s">
        <v>129</v>
      </c>
      <c r="BX749" t="s">
        <v>85</v>
      </c>
      <c r="BY749" t="str">
        <f>IF(COUNTIF('Data Upload-prod'!E:E,F749)=0,"Missing","Exist")</f>
        <v>Exist</v>
      </c>
    </row>
    <row r="750" hidden="1" spans="1:77">
      <c r="A750" s="16">
        <v>42062</v>
      </c>
      <c r="B750" s="16">
        <v>42229</v>
      </c>
      <c r="C750" t="s">
        <v>132</v>
      </c>
      <c r="D750" t="s">
        <v>120</v>
      </c>
      <c r="E750" t="s">
        <v>203</v>
      </c>
      <c r="F750" t="s">
        <v>1291</v>
      </c>
      <c r="G750" t="s">
        <v>81</v>
      </c>
      <c r="H750" t="s">
        <v>205</v>
      </c>
      <c r="I750" t="s">
        <v>124</v>
      </c>
      <c r="J750" s="17">
        <v>29.26</v>
      </c>
      <c r="K750" s="17">
        <v>2263.33</v>
      </c>
      <c r="L750" s="17">
        <v>1326.73</v>
      </c>
      <c r="M750" t="s">
        <v>84</v>
      </c>
      <c r="N750" t="s">
        <v>84</v>
      </c>
      <c r="O750" t="s">
        <v>84</v>
      </c>
      <c r="P750" t="s">
        <v>84</v>
      </c>
      <c r="Q750" s="17">
        <v>20740000</v>
      </c>
      <c r="R750" s="17">
        <v>28</v>
      </c>
      <c r="S750" t="s">
        <v>85</v>
      </c>
      <c r="T750" t="s">
        <v>84</v>
      </c>
      <c r="U750" t="s">
        <v>86</v>
      </c>
      <c r="V750" s="16">
        <v>42131</v>
      </c>
      <c r="W750" s="18">
        <v>42130</v>
      </c>
      <c r="X750" s="18">
        <v>42192</v>
      </c>
      <c r="Y750" s="17">
        <v>2174.34</v>
      </c>
      <c r="Z750" t="s">
        <v>87</v>
      </c>
      <c r="AA750" s="17">
        <v>2282.84</v>
      </c>
      <c r="AB750" s="17">
        <v>1428.22</v>
      </c>
      <c r="AC750" t="s">
        <v>84</v>
      </c>
      <c r="AD750" t="s">
        <v>84</v>
      </c>
      <c r="AE750" t="s">
        <v>84</v>
      </c>
      <c r="AF750" t="s">
        <v>84</v>
      </c>
      <c r="AG750" s="17">
        <v>6529000</v>
      </c>
      <c r="AH750" s="17">
        <v>28.86</v>
      </c>
      <c r="AI750" s="17">
        <v>8.63</v>
      </c>
      <c r="AJ750" s="17">
        <v>8.63</v>
      </c>
      <c r="AK750" t="s">
        <v>208</v>
      </c>
      <c r="AM750" s="17">
        <v>2.2</v>
      </c>
      <c r="AN750" s="17"/>
      <c r="AO750" s="17">
        <v>830</v>
      </c>
      <c r="AP750" s="17"/>
      <c r="AQ750" s="17">
        <v>1395</v>
      </c>
      <c r="AR750" s="17"/>
      <c r="AS750" s="13" t="s">
        <v>150</v>
      </c>
      <c r="AT750" s="13"/>
      <c r="AU750" s="13" t="s">
        <v>150</v>
      </c>
      <c r="AW750" s="13" t="s">
        <v>150</v>
      </c>
      <c r="AY750" t="s">
        <v>92</v>
      </c>
      <c r="AZ750" t="s">
        <v>92</v>
      </c>
      <c r="BA750" t="s">
        <v>92</v>
      </c>
      <c r="BB750" t="s">
        <v>92</v>
      </c>
      <c r="BC750" t="s">
        <v>92</v>
      </c>
      <c r="BD750" t="s">
        <v>92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92</v>
      </c>
      <c r="BM750" t="s">
        <v>92</v>
      </c>
      <c r="BN750" t="s">
        <v>92</v>
      </c>
      <c r="BO750" t="s">
        <v>92</v>
      </c>
      <c r="BP750" t="s">
        <v>92</v>
      </c>
      <c r="BQ750" t="s">
        <v>92</v>
      </c>
      <c r="BR750" t="s">
        <v>92</v>
      </c>
      <c r="BS750" t="s">
        <v>92</v>
      </c>
      <c r="BT750" t="s">
        <v>92</v>
      </c>
      <c r="BU750" t="s">
        <v>92</v>
      </c>
      <c r="BV750" t="s">
        <v>92</v>
      </c>
      <c r="BW750" t="s">
        <v>92</v>
      </c>
      <c r="BX750" t="s">
        <v>92</v>
      </c>
      <c r="BY750" t="str">
        <f>IF(COUNTIF('Data Upload-prod'!E:E,F750)=0,"Missing","Exist")</f>
        <v>Exist</v>
      </c>
    </row>
    <row r="751" hidden="1" spans="1:77">
      <c r="A751" s="16">
        <v>42047</v>
      </c>
      <c r="B751" s="16">
        <v>42349</v>
      </c>
      <c r="C751" t="s">
        <v>132</v>
      </c>
      <c r="D751" t="s">
        <v>120</v>
      </c>
      <c r="E751" t="s">
        <v>326</v>
      </c>
      <c r="F751" t="s">
        <v>1292</v>
      </c>
      <c r="G751" t="s">
        <v>81</v>
      </c>
      <c r="H751" t="s">
        <v>1293</v>
      </c>
      <c r="I751" t="s">
        <v>124</v>
      </c>
      <c r="J751" s="17">
        <v>36.57</v>
      </c>
      <c r="K751" s="17">
        <v>1658.03</v>
      </c>
      <c r="L751" s="17">
        <v>1330.69</v>
      </c>
      <c r="M751" t="s">
        <v>84</v>
      </c>
      <c r="N751" t="s">
        <v>84</v>
      </c>
      <c r="O751" t="s">
        <v>84</v>
      </c>
      <c r="P751" t="s">
        <v>84</v>
      </c>
      <c r="Q751" s="17">
        <v>14890407</v>
      </c>
      <c r="R751" s="17">
        <v>25.7</v>
      </c>
      <c r="S751" t="s">
        <v>85</v>
      </c>
      <c r="T751" t="s">
        <v>84</v>
      </c>
      <c r="U751" t="s">
        <v>84</v>
      </c>
      <c r="V751" s="16">
        <v>42069</v>
      </c>
      <c r="W751" s="18">
        <v>42068.5416666667</v>
      </c>
      <c r="X751" s="18">
        <v>42131.1041666667</v>
      </c>
      <c r="Y751" s="17">
        <v>1642.18</v>
      </c>
      <c r="Z751" t="s">
        <v>87</v>
      </c>
      <c r="AA751" s="17">
        <v>1716.55</v>
      </c>
      <c r="AB751" s="17">
        <v>1338.01</v>
      </c>
      <c r="AC751" t="s">
        <v>84</v>
      </c>
      <c r="AD751" t="s">
        <v>84</v>
      </c>
      <c r="AE751" t="s">
        <v>84</v>
      </c>
      <c r="AF751" t="s">
        <v>84</v>
      </c>
      <c r="AG751" s="17">
        <v>12443037</v>
      </c>
      <c r="AH751" s="17">
        <v>28.9</v>
      </c>
      <c r="AI751" s="17">
        <v>1.5</v>
      </c>
      <c r="AJ751" s="17">
        <v>1.5</v>
      </c>
      <c r="AK751" t="s">
        <v>208</v>
      </c>
      <c r="AM751" s="17">
        <v>2.2</v>
      </c>
      <c r="AN751" s="17"/>
      <c r="AO751" s="17">
        <v>830</v>
      </c>
      <c r="AP751" s="17"/>
      <c r="AQ751" s="17">
        <v>1395</v>
      </c>
      <c r="AR751" s="17"/>
      <c r="AS751" s="17">
        <v>2.6</v>
      </c>
      <c r="AT751" s="17"/>
      <c r="AU751" s="17">
        <v>1019</v>
      </c>
      <c r="AV751" s="17"/>
      <c r="AW751" s="17">
        <v>2305</v>
      </c>
      <c r="AX751" s="17"/>
      <c r="AY751" t="s">
        <v>92</v>
      </c>
      <c r="AZ751" t="s">
        <v>92</v>
      </c>
      <c r="BA751" t="s">
        <v>92</v>
      </c>
      <c r="BB751" t="s">
        <v>92</v>
      </c>
      <c r="BC751" t="s">
        <v>92</v>
      </c>
      <c r="BD751" t="s">
        <v>92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92</v>
      </c>
      <c r="BM751" t="s">
        <v>92</v>
      </c>
      <c r="BN751" t="s">
        <v>92</v>
      </c>
      <c r="BO751" t="s">
        <v>92</v>
      </c>
      <c r="BP751" t="s">
        <v>92</v>
      </c>
      <c r="BQ751" t="s">
        <v>92</v>
      </c>
      <c r="BR751" t="s">
        <v>92</v>
      </c>
      <c r="BS751" t="s">
        <v>92</v>
      </c>
      <c r="BT751" t="s">
        <v>92</v>
      </c>
      <c r="BU751" t="s">
        <v>92</v>
      </c>
      <c r="BV751" t="s">
        <v>92</v>
      </c>
      <c r="BW751" t="s">
        <v>92</v>
      </c>
      <c r="BX751" t="s">
        <v>92</v>
      </c>
      <c r="BY751" t="str">
        <f>IF(COUNTIF('Data Upload-prod'!E:E,F751)=0,"Missing","Exist")</f>
        <v>Exist</v>
      </c>
    </row>
    <row r="752" hidden="1" spans="1:77">
      <c r="A752" s="16">
        <v>42047</v>
      </c>
      <c r="B752" s="16">
        <v>42349</v>
      </c>
      <c r="C752" t="s">
        <v>132</v>
      </c>
      <c r="D752" t="s">
        <v>120</v>
      </c>
      <c r="E752" t="s">
        <v>326</v>
      </c>
      <c r="F752" t="s">
        <v>1294</v>
      </c>
      <c r="G752" t="s">
        <v>81</v>
      </c>
      <c r="H752" t="s">
        <v>1293</v>
      </c>
      <c r="I752" t="s">
        <v>124</v>
      </c>
      <c r="J752" s="17">
        <v>36.57</v>
      </c>
      <c r="K752" s="17">
        <v>2573</v>
      </c>
      <c r="L752" s="17">
        <v>1301.74</v>
      </c>
      <c r="M752" t="s">
        <v>84</v>
      </c>
      <c r="N752" t="s">
        <v>84</v>
      </c>
      <c r="O752" t="s">
        <v>84</v>
      </c>
      <c r="P752" t="s">
        <v>84</v>
      </c>
      <c r="Q752" s="17">
        <v>16373510.15</v>
      </c>
      <c r="R752" s="17">
        <v>32</v>
      </c>
      <c r="S752" t="s">
        <v>85</v>
      </c>
      <c r="T752" t="s">
        <v>84</v>
      </c>
      <c r="U752" t="s">
        <v>84</v>
      </c>
      <c r="V752" s="16">
        <v>42056</v>
      </c>
      <c r="W752" s="18">
        <v>42055</v>
      </c>
      <c r="X752" s="18">
        <v>42182</v>
      </c>
      <c r="Y752" s="17">
        <v>2509.6</v>
      </c>
      <c r="Z752" t="s">
        <v>87</v>
      </c>
      <c r="AA752" s="17">
        <v>2583.97</v>
      </c>
      <c r="AB752" s="17">
        <v>1299.91</v>
      </c>
      <c r="AC752" t="s">
        <v>84</v>
      </c>
      <c r="AD752" t="s">
        <v>84</v>
      </c>
      <c r="AE752" t="s">
        <v>84</v>
      </c>
      <c r="AF752" t="s">
        <v>84</v>
      </c>
      <c r="AG752" s="17">
        <v>17001419.58</v>
      </c>
      <c r="AH752" s="17">
        <v>39.37</v>
      </c>
      <c r="AI752" s="17">
        <v>2</v>
      </c>
      <c r="AJ752" s="17">
        <v>1.8</v>
      </c>
      <c r="AK752" t="s">
        <v>208</v>
      </c>
      <c r="AM752" s="17">
        <v>2.2</v>
      </c>
      <c r="AN752" s="17"/>
      <c r="AO752" s="17">
        <v>830</v>
      </c>
      <c r="AP752" s="17"/>
      <c r="AQ752" s="17">
        <v>1220</v>
      </c>
      <c r="AR752" s="17"/>
      <c r="AS752" s="17">
        <v>2.39</v>
      </c>
      <c r="AT752" s="17"/>
      <c r="AU752" s="17">
        <v>844</v>
      </c>
      <c r="AV752" s="17"/>
      <c r="AW752" s="17">
        <v>2062</v>
      </c>
      <c r="AX752" s="17"/>
      <c r="AY752" t="s">
        <v>92</v>
      </c>
      <c r="AZ752" t="s">
        <v>92</v>
      </c>
      <c r="BA752" t="s">
        <v>92</v>
      </c>
      <c r="BB752" t="s">
        <v>92</v>
      </c>
      <c r="BC752" t="s">
        <v>92</v>
      </c>
      <c r="BD752" t="s">
        <v>92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92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92</v>
      </c>
      <c r="BS752" t="s">
        <v>92</v>
      </c>
      <c r="BT752" t="s">
        <v>92</v>
      </c>
      <c r="BU752" t="s">
        <v>92</v>
      </c>
      <c r="BV752" t="s">
        <v>92</v>
      </c>
      <c r="BW752" t="s">
        <v>92</v>
      </c>
      <c r="BX752" t="s">
        <v>92</v>
      </c>
      <c r="BY752" t="str">
        <f>IF(COUNTIF('Data Upload-prod'!E:E,F752)=0,"Missing","Exist")</f>
        <v>Exist</v>
      </c>
    </row>
    <row r="753" hidden="1" spans="1:77">
      <c r="A753" s="16">
        <v>42047</v>
      </c>
      <c r="B753" s="16">
        <v>42181</v>
      </c>
      <c r="C753" t="s">
        <v>132</v>
      </c>
      <c r="D753" t="s">
        <v>78</v>
      </c>
      <c r="E753" t="s">
        <v>1295</v>
      </c>
      <c r="F753" t="s">
        <v>1296</v>
      </c>
      <c r="G753" t="s">
        <v>145</v>
      </c>
      <c r="H753" t="s">
        <v>1255</v>
      </c>
      <c r="I753" t="s">
        <v>124</v>
      </c>
      <c r="J753" s="17">
        <v>74.5</v>
      </c>
      <c r="K753" s="17">
        <v>3838</v>
      </c>
      <c r="L753" s="17">
        <v>3227</v>
      </c>
      <c r="M753" s="17">
        <v>58930000</v>
      </c>
      <c r="N753" s="17">
        <v>88960000</v>
      </c>
      <c r="O753" s="17">
        <v>77.4</v>
      </c>
      <c r="P753" s="17">
        <v>132.6</v>
      </c>
      <c r="Q753" t="s">
        <v>84</v>
      </c>
      <c r="R753" t="s">
        <v>84</v>
      </c>
      <c r="S753" t="s">
        <v>85</v>
      </c>
      <c r="T753" t="s">
        <v>84</v>
      </c>
      <c r="U753" t="s">
        <v>84</v>
      </c>
      <c r="V753" s="16">
        <v>42057</v>
      </c>
      <c r="W753" s="18">
        <v>42052.3333333333</v>
      </c>
      <c r="X753" s="18">
        <v>42127.1458333333</v>
      </c>
      <c r="Y753" s="17">
        <v>3490.17</v>
      </c>
      <c r="Z753" t="s">
        <v>87</v>
      </c>
      <c r="AA753" s="17">
        <v>3601</v>
      </c>
      <c r="AB753" s="17">
        <v>3080</v>
      </c>
      <c r="AC753" s="17">
        <v>50890000</v>
      </c>
      <c r="AD753" t="s">
        <v>84</v>
      </c>
      <c r="AE753" s="17">
        <v>74.81</v>
      </c>
      <c r="AF753" t="s">
        <v>84</v>
      </c>
      <c r="AG753" t="s">
        <v>84</v>
      </c>
      <c r="AH753" t="s">
        <v>84</v>
      </c>
      <c r="AI753" s="17">
        <v>4.72</v>
      </c>
      <c r="AJ753" s="17">
        <v>4.72</v>
      </c>
      <c r="AK753" t="s">
        <v>295</v>
      </c>
      <c r="AM753" s="17">
        <v>2.7</v>
      </c>
      <c r="AN753" s="17"/>
      <c r="AO753" s="17">
        <v>1490</v>
      </c>
      <c r="AP753" s="17"/>
      <c r="AQ753" s="17">
        <v>2760</v>
      </c>
      <c r="AR753" s="17"/>
      <c r="AS753" s="17">
        <v>4.61</v>
      </c>
      <c r="AT753" s="17"/>
      <c r="AU753" s="17">
        <v>3433.3</v>
      </c>
      <c r="AV753" s="17"/>
      <c r="AW753" s="17">
        <v>4068.2</v>
      </c>
      <c r="AX753" s="17"/>
      <c r="AY753" t="s">
        <v>92</v>
      </c>
      <c r="AZ753" t="s">
        <v>92</v>
      </c>
      <c r="BA753" t="s">
        <v>92</v>
      </c>
      <c r="BB753" t="s">
        <v>92</v>
      </c>
      <c r="BC753" t="s">
        <v>92</v>
      </c>
      <c r="BD753" t="s">
        <v>92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92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92</v>
      </c>
      <c r="BS753" t="s">
        <v>92</v>
      </c>
      <c r="BT753" t="s">
        <v>92</v>
      </c>
      <c r="BU753" t="s">
        <v>92</v>
      </c>
      <c r="BV753" t="s">
        <v>92</v>
      </c>
      <c r="BW753" t="s">
        <v>92</v>
      </c>
      <c r="BX753" t="s">
        <v>92</v>
      </c>
      <c r="BY753" t="str">
        <f>IF(COUNTIF('Data Upload-prod'!E:E,F753)=0,"Missing","Exist")</f>
        <v>Exist</v>
      </c>
    </row>
    <row r="754" hidden="1" spans="1:77">
      <c r="A754" s="16">
        <v>42044</v>
      </c>
      <c r="B754" s="16">
        <v>42159</v>
      </c>
      <c r="C754" t="s">
        <v>360</v>
      </c>
      <c r="D754" t="s">
        <v>120</v>
      </c>
      <c r="E754" t="s">
        <v>1297</v>
      </c>
      <c r="F754" t="s">
        <v>1298</v>
      </c>
      <c r="G754" t="s">
        <v>81</v>
      </c>
      <c r="H754" t="s">
        <v>185</v>
      </c>
      <c r="I754" t="s">
        <v>124</v>
      </c>
      <c r="J754" s="17">
        <v>27</v>
      </c>
      <c r="K754" s="17">
        <v>2043</v>
      </c>
      <c r="L754" s="17">
        <v>1920</v>
      </c>
      <c r="M754" t="s">
        <v>84</v>
      </c>
      <c r="N754" t="s">
        <v>84</v>
      </c>
      <c r="O754" t="s">
        <v>84</v>
      </c>
      <c r="P754" t="s">
        <v>84</v>
      </c>
      <c r="Q754" s="17">
        <v>6116494.01</v>
      </c>
      <c r="R754" s="17">
        <v>6.8</v>
      </c>
      <c r="S754" t="s">
        <v>85</v>
      </c>
      <c r="T754" t="s">
        <v>84</v>
      </c>
      <c r="U754" t="s">
        <v>86</v>
      </c>
      <c r="V754" s="16">
        <v>42095.9375</v>
      </c>
      <c r="W754" s="18">
        <v>42090.2083333333</v>
      </c>
      <c r="X754" s="18">
        <v>42116.0416666667</v>
      </c>
      <c r="Y754" s="17">
        <v>1977.8</v>
      </c>
      <c r="Z754" t="s">
        <v>87</v>
      </c>
      <c r="AA754" s="17">
        <v>2037</v>
      </c>
      <c r="AB754" s="17">
        <v>1936.84</v>
      </c>
      <c r="AC754" t="s">
        <v>84</v>
      </c>
      <c r="AD754" t="s">
        <v>84</v>
      </c>
      <c r="AE754" t="s">
        <v>84</v>
      </c>
      <c r="AF754" t="s">
        <v>84</v>
      </c>
      <c r="AG754" s="17">
        <v>3600220</v>
      </c>
      <c r="AH754" s="17">
        <v>6.13</v>
      </c>
      <c r="AI754" s="17">
        <v>6.46</v>
      </c>
      <c r="AJ754" s="17">
        <v>6.46</v>
      </c>
      <c r="AK754" t="s">
        <v>497</v>
      </c>
      <c r="AM754" s="17">
        <v>1.4</v>
      </c>
      <c r="AN754" s="17"/>
      <c r="AO754" s="17">
        <v>550</v>
      </c>
      <c r="AP754" s="17"/>
      <c r="AQ754" s="17">
        <v>990</v>
      </c>
      <c r="AR754" s="17"/>
      <c r="AS754" s="17">
        <v>0.84</v>
      </c>
      <c r="AT754" s="17"/>
      <c r="AU754" s="17">
        <v>489</v>
      </c>
      <c r="AV754" s="17"/>
      <c r="AW754" s="17">
        <v>572</v>
      </c>
      <c r="AX754" s="17"/>
      <c r="AY754" t="s">
        <v>92</v>
      </c>
      <c r="AZ754" t="s">
        <v>92</v>
      </c>
      <c r="BA754" t="s">
        <v>92</v>
      </c>
      <c r="BB754" t="s">
        <v>92</v>
      </c>
      <c r="BC754" t="s">
        <v>92</v>
      </c>
      <c r="BD754" s="17">
        <v>0.87</v>
      </c>
      <c r="BE754" s="17">
        <v>1050000</v>
      </c>
      <c r="BF754" t="s">
        <v>92</v>
      </c>
      <c r="BG754" t="s">
        <v>92</v>
      </c>
      <c r="BH754" t="s">
        <v>93</v>
      </c>
      <c r="BI754" t="s">
        <v>94</v>
      </c>
      <c r="BJ754" t="s">
        <v>95</v>
      </c>
      <c r="BK754" t="s">
        <v>85</v>
      </c>
      <c r="BL754" t="s">
        <v>85</v>
      </c>
      <c r="BM754" t="s">
        <v>96</v>
      </c>
      <c r="BN754" t="s">
        <v>97</v>
      </c>
      <c r="BO754" t="s">
        <v>98</v>
      </c>
      <c r="BP754" t="s">
        <v>99</v>
      </c>
      <c r="BQ754" s="17">
        <v>31.719</v>
      </c>
      <c r="BR754" t="s">
        <v>100</v>
      </c>
      <c r="BS754" t="s">
        <v>156</v>
      </c>
      <c r="BT754" t="s">
        <v>99</v>
      </c>
      <c r="BU754" s="17">
        <v>6.68</v>
      </c>
      <c r="BV754" t="s">
        <v>101</v>
      </c>
      <c r="BW754" t="s">
        <v>85</v>
      </c>
      <c r="BX754" t="s">
        <v>85</v>
      </c>
      <c r="BY754" t="str">
        <f>IF(COUNTIF('Data Upload-prod'!E:E,F754)=0,"Missing","Exist")</f>
        <v>Exist</v>
      </c>
    </row>
    <row r="755" hidden="1" spans="1:77">
      <c r="A755" s="16">
        <v>42044</v>
      </c>
      <c r="B755" s="16">
        <v>42159</v>
      </c>
      <c r="C755" t="s">
        <v>360</v>
      </c>
      <c r="D755" t="s">
        <v>120</v>
      </c>
      <c r="E755" t="s">
        <v>1297</v>
      </c>
      <c r="F755" t="s">
        <v>1299</v>
      </c>
      <c r="G755" t="s">
        <v>81</v>
      </c>
      <c r="H755" t="s">
        <v>185</v>
      </c>
      <c r="I755" t="s">
        <v>124</v>
      </c>
      <c r="J755" s="17">
        <v>27</v>
      </c>
      <c r="K755" s="17">
        <v>1930.36</v>
      </c>
      <c r="L755" s="17">
        <v>1003.34</v>
      </c>
      <c r="M755" t="s">
        <v>84</v>
      </c>
      <c r="N755" t="s">
        <v>84</v>
      </c>
      <c r="O755" t="s">
        <v>84</v>
      </c>
      <c r="P755" t="s">
        <v>84</v>
      </c>
      <c r="Q755" s="17">
        <v>4934852.78</v>
      </c>
      <c r="R755" s="17">
        <v>7.6</v>
      </c>
      <c r="S755" t="s">
        <v>85</v>
      </c>
      <c r="T755" t="s">
        <v>84</v>
      </c>
      <c r="U755" t="s">
        <v>86</v>
      </c>
      <c r="V755" t="s">
        <v>84</v>
      </c>
      <c r="W755" s="18">
        <v>42089.8125</v>
      </c>
      <c r="X755" s="18">
        <v>42103.2916666667</v>
      </c>
      <c r="Y755" s="17">
        <v>1790.8</v>
      </c>
      <c r="Z755" t="s">
        <v>87</v>
      </c>
      <c r="AA755" s="17">
        <v>1850</v>
      </c>
      <c r="AB755" s="17">
        <v>1040.93</v>
      </c>
      <c r="AC755" t="s">
        <v>84</v>
      </c>
      <c r="AD755" t="s">
        <v>84</v>
      </c>
      <c r="AE755" t="s">
        <v>84</v>
      </c>
      <c r="AF755" t="s">
        <v>84</v>
      </c>
      <c r="AG755" s="17">
        <v>4079821</v>
      </c>
      <c r="AH755" s="17">
        <v>6.19</v>
      </c>
      <c r="AI755" s="17">
        <v>6.73</v>
      </c>
      <c r="AJ755" s="17">
        <v>6.73</v>
      </c>
      <c r="AK755" t="s">
        <v>497</v>
      </c>
      <c r="AM755" s="17">
        <v>1.4</v>
      </c>
      <c r="AN755" s="17"/>
      <c r="AO755" s="17">
        <v>550</v>
      </c>
      <c r="AP755" s="17"/>
      <c r="AQ755" s="17">
        <v>770</v>
      </c>
      <c r="AR755" s="17"/>
      <c r="AS755" s="17">
        <v>0.86</v>
      </c>
      <c r="AT755" s="17"/>
      <c r="AU755" s="17">
        <v>564</v>
      </c>
      <c r="AV755" s="17"/>
      <c r="AW755" s="17">
        <v>725</v>
      </c>
      <c r="AX755" s="17"/>
      <c r="AY755" t="s">
        <v>92</v>
      </c>
      <c r="AZ755" t="s">
        <v>92</v>
      </c>
      <c r="BA755" t="s">
        <v>92</v>
      </c>
      <c r="BB755" t="s">
        <v>92</v>
      </c>
      <c r="BC755" t="s">
        <v>92</v>
      </c>
      <c r="BD755" s="17">
        <v>0.98</v>
      </c>
      <c r="BE755" s="17">
        <v>1407000</v>
      </c>
      <c r="BF755" t="s">
        <v>92</v>
      </c>
      <c r="BG755" t="s">
        <v>92</v>
      </c>
      <c r="BH755" t="s">
        <v>93</v>
      </c>
      <c r="BI755" t="s">
        <v>94</v>
      </c>
      <c r="BJ755" t="s">
        <v>95</v>
      </c>
      <c r="BK755" t="s">
        <v>85</v>
      </c>
      <c r="BL755" t="s">
        <v>85</v>
      </c>
      <c r="BM755" t="s">
        <v>96</v>
      </c>
      <c r="BN755" t="s">
        <v>97</v>
      </c>
      <c r="BO755" t="s">
        <v>98</v>
      </c>
      <c r="BP755" t="s">
        <v>99</v>
      </c>
      <c r="BQ755" s="17">
        <v>311.695</v>
      </c>
      <c r="BR755" t="s">
        <v>100</v>
      </c>
      <c r="BS755" t="s">
        <v>156</v>
      </c>
      <c r="BT755" t="s">
        <v>99</v>
      </c>
      <c r="BU755" s="17">
        <v>6.68</v>
      </c>
      <c r="BV755" t="s">
        <v>101</v>
      </c>
      <c r="BW755" t="s">
        <v>85</v>
      </c>
      <c r="BX755" t="s">
        <v>85</v>
      </c>
      <c r="BY755" t="str">
        <f>IF(COUNTIF('Data Upload-prod'!E:E,F755)=0,"Missing","Exist")</f>
        <v>Exist</v>
      </c>
    </row>
    <row r="756" hidden="1" spans="1:77">
      <c r="A756" s="16">
        <v>42044</v>
      </c>
      <c r="B756" s="16">
        <v>42159</v>
      </c>
      <c r="C756" t="s">
        <v>360</v>
      </c>
      <c r="D756" t="s">
        <v>120</v>
      </c>
      <c r="E756" t="s">
        <v>1297</v>
      </c>
      <c r="F756" t="s">
        <v>1300</v>
      </c>
      <c r="G756" t="s">
        <v>81</v>
      </c>
      <c r="H756" t="s">
        <v>185</v>
      </c>
      <c r="I756" t="s">
        <v>124</v>
      </c>
      <c r="J756" s="17">
        <v>27</v>
      </c>
      <c r="K756" s="17">
        <v>1444.65</v>
      </c>
      <c r="L756" s="17">
        <v>1008.22</v>
      </c>
      <c r="M756" t="s">
        <v>84</v>
      </c>
      <c r="N756" t="s">
        <v>84</v>
      </c>
      <c r="O756" t="s">
        <v>84</v>
      </c>
      <c r="P756" t="s">
        <v>84</v>
      </c>
      <c r="Q756" s="17">
        <v>5056009.95</v>
      </c>
      <c r="R756" s="17">
        <v>6.8</v>
      </c>
      <c r="S756" t="s">
        <v>85</v>
      </c>
      <c r="T756" t="s">
        <v>84</v>
      </c>
      <c r="U756" t="s">
        <v>86</v>
      </c>
      <c r="V756" s="16">
        <v>42088</v>
      </c>
      <c r="W756" s="18">
        <v>42088</v>
      </c>
      <c r="X756" s="18">
        <v>42106</v>
      </c>
      <c r="Y756" s="17">
        <v>1460.8</v>
      </c>
      <c r="Z756" t="s">
        <v>87</v>
      </c>
      <c r="AA756" s="17">
        <v>1520</v>
      </c>
      <c r="AB756" s="17">
        <v>1069.09</v>
      </c>
      <c r="AC756" t="s">
        <v>84</v>
      </c>
      <c r="AD756" t="s">
        <v>84</v>
      </c>
      <c r="AE756" t="s">
        <v>84</v>
      </c>
      <c r="AF756" t="s">
        <v>84</v>
      </c>
      <c r="AG756" s="17">
        <v>3571037.08</v>
      </c>
      <c r="AH756" s="17">
        <v>6.4</v>
      </c>
      <c r="AI756" s="17">
        <v>0.65</v>
      </c>
      <c r="AJ756" s="17">
        <v>0.65</v>
      </c>
      <c r="AK756" t="s">
        <v>497</v>
      </c>
      <c r="AM756" s="17">
        <v>1.4</v>
      </c>
      <c r="AN756" s="17"/>
      <c r="AO756" s="17">
        <v>550</v>
      </c>
      <c r="AP756" s="17"/>
      <c r="AQ756" s="17">
        <v>770</v>
      </c>
      <c r="AR756" s="17"/>
      <c r="AS756" s="17">
        <v>1.16</v>
      </c>
      <c r="AT756" s="17"/>
      <c r="AU756" s="17">
        <v>645</v>
      </c>
      <c r="AV756" s="17"/>
      <c r="AW756" s="17">
        <v>745</v>
      </c>
      <c r="AX756" s="17"/>
      <c r="AY756" t="s">
        <v>92</v>
      </c>
      <c r="AZ756" t="s">
        <v>92</v>
      </c>
      <c r="BA756" t="s">
        <v>92</v>
      </c>
      <c r="BB756" t="s">
        <v>92</v>
      </c>
      <c r="BC756" t="s">
        <v>92</v>
      </c>
      <c r="BD756" s="17">
        <v>0.83</v>
      </c>
      <c r="BE756" s="17">
        <v>1100000</v>
      </c>
      <c r="BF756" t="s">
        <v>92</v>
      </c>
      <c r="BG756" t="s">
        <v>92</v>
      </c>
      <c r="BH756" t="s">
        <v>93</v>
      </c>
      <c r="BI756" t="s">
        <v>94</v>
      </c>
      <c r="BJ756" t="s">
        <v>95</v>
      </c>
      <c r="BK756" t="s">
        <v>85</v>
      </c>
      <c r="BL756" t="s">
        <v>85</v>
      </c>
      <c r="BM756" t="s">
        <v>96</v>
      </c>
      <c r="BN756" t="s">
        <v>97</v>
      </c>
      <c r="BO756" t="s">
        <v>98</v>
      </c>
      <c r="BP756" t="s">
        <v>99</v>
      </c>
      <c r="BQ756" s="17">
        <v>154.207</v>
      </c>
      <c r="BR756" t="s">
        <v>100</v>
      </c>
      <c r="BS756" t="s">
        <v>156</v>
      </c>
      <c r="BT756" t="s">
        <v>99</v>
      </c>
      <c r="BU756" s="17">
        <v>6.68</v>
      </c>
      <c r="BV756" t="s">
        <v>101</v>
      </c>
      <c r="BW756" t="s">
        <v>85</v>
      </c>
      <c r="BX756" t="s">
        <v>85</v>
      </c>
      <c r="BY756" t="str">
        <f>IF(COUNTIF('Data Upload-prod'!E:E,F756)=0,"Missing","Exist")</f>
        <v>Exist</v>
      </c>
    </row>
    <row r="757" hidden="1" spans="1:77">
      <c r="A757" s="16">
        <v>42026</v>
      </c>
      <c r="B757" s="16">
        <v>42326</v>
      </c>
      <c r="C757" t="s">
        <v>132</v>
      </c>
      <c r="D757" t="s">
        <v>120</v>
      </c>
      <c r="E757" t="s">
        <v>548</v>
      </c>
      <c r="F757" t="s">
        <v>1301</v>
      </c>
      <c r="G757" t="s">
        <v>81</v>
      </c>
      <c r="H757" t="s">
        <v>198</v>
      </c>
      <c r="I757" t="s">
        <v>83</v>
      </c>
      <c r="J757" s="17">
        <v>61.57</v>
      </c>
      <c r="K757" s="17">
        <v>3097.23</v>
      </c>
      <c r="L757" s="17">
        <v>2978.06</v>
      </c>
      <c r="M757" t="s">
        <v>84</v>
      </c>
      <c r="N757" t="s">
        <v>84</v>
      </c>
      <c r="O757" t="s">
        <v>84</v>
      </c>
      <c r="P757" t="s">
        <v>84</v>
      </c>
      <c r="Q757" s="17">
        <v>31610000</v>
      </c>
      <c r="R757" s="17">
        <v>62.81</v>
      </c>
      <c r="S757" t="s">
        <v>106</v>
      </c>
      <c r="T757" t="s">
        <v>84</v>
      </c>
      <c r="U757" t="s">
        <v>84</v>
      </c>
      <c r="V757" t="s">
        <v>84</v>
      </c>
      <c r="W757" s="18">
        <v>42066</v>
      </c>
      <c r="X757" s="18">
        <v>42143.1041666667</v>
      </c>
      <c r="Y757" s="17">
        <v>3011.73</v>
      </c>
      <c r="Z757" t="s">
        <v>87</v>
      </c>
      <c r="AA757" s="17">
        <v>3100.27</v>
      </c>
      <c r="AB757" s="17">
        <v>2891.68</v>
      </c>
      <c r="AC757" t="s">
        <v>84</v>
      </c>
      <c r="AD757" t="s">
        <v>84</v>
      </c>
      <c r="AE757" t="s">
        <v>84</v>
      </c>
      <c r="AF757" t="s">
        <v>84</v>
      </c>
      <c r="AG757" s="17">
        <v>29320000</v>
      </c>
      <c r="AH757" s="17">
        <v>87.31</v>
      </c>
      <c r="AI757" s="17">
        <v>7.33</v>
      </c>
      <c r="AJ757" s="17">
        <v>7.33</v>
      </c>
      <c r="AK757" t="s">
        <v>208</v>
      </c>
      <c r="AM757" s="17">
        <v>2.2</v>
      </c>
      <c r="AN757" s="17"/>
      <c r="AO757" s="17">
        <v>830</v>
      </c>
      <c r="AP757" s="17"/>
      <c r="AQ757" s="17">
        <v>1790</v>
      </c>
      <c r="AR757" s="17"/>
      <c r="AS757" s="13" t="s">
        <v>150</v>
      </c>
      <c r="AT757" s="13"/>
      <c r="AU757" s="13" t="s">
        <v>150</v>
      </c>
      <c r="AW757" s="13" t="s">
        <v>150</v>
      </c>
      <c r="AY757" t="s">
        <v>92</v>
      </c>
      <c r="AZ757" t="s">
        <v>92</v>
      </c>
      <c r="BA757" t="s">
        <v>92</v>
      </c>
      <c r="BB757" t="s">
        <v>92</v>
      </c>
      <c r="BC757" t="s">
        <v>92</v>
      </c>
      <c r="BD757" t="s">
        <v>92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92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92</v>
      </c>
      <c r="BS757" t="s">
        <v>92</v>
      </c>
      <c r="BT757" t="s">
        <v>92</v>
      </c>
      <c r="BU757" t="s">
        <v>92</v>
      </c>
      <c r="BV757" t="s">
        <v>92</v>
      </c>
      <c r="BW757" t="s">
        <v>92</v>
      </c>
      <c r="BX757" t="s">
        <v>92</v>
      </c>
      <c r="BY757" t="str">
        <f>IF(COUNTIF('Data Upload-prod'!E:E,F757)=0,"Missing","Exist")</f>
        <v>Exist</v>
      </c>
    </row>
    <row r="758" hidden="1" spans="1:77">
      <c r="A758" s="16">
        <v>42004</v>
      </c>
      <c r="B758" s="16">
        <v>42146</v>
      </c>
      <c r="C758" t="s">
        <v>132</v>
      </c>
      <c r="D758" t="s">
        <v>120</v>
      </c>
      <c r="E758" t="s">
        <v>1302</v>
      </c>
      <c r="F758" t="s">
        <v>1303</v>
      </c>
      <c r="G758" t="s">
        <v>145</v>
      </c>
      <c r="H758" t="s">
        <v>1304</v>
      </c>
      <c r="I758" t="s">
        <v>124</v>
      </c>
      <c r="J758" s="17">
        <v>38.2</v>
      </c>
      <c r="K758" s="17">
        <v>1230</v>
      </c>
      <c r="L758" s="17">
        <v>1230</v>
      </c>
      <c r="M758" s="17">
        <v>27337484.27</v>
      </c>
      <c r="N758" s="17">
        <v>35404480.47</v>
      </c>
      <c r="O758" s="17">
        <v>43.8</v>
      </c>
      <c r="P758" s="17">
        <v>61.6</v>
      </c>
      <c r="Q758" t="s">
        <v>84</v>
      </c>
      <c r="R758" t="s">
        <v>84</v>
      </c>
      <c r="S758" t="s">
        <v>85</v>
      </c>
      <c r="T758" t="s">
        <v>84</v>
      </c>
      <c r="U758" t="s">
        <v>84</v>
      </c>
      <c r="V758" s="16">
        <v>42032.1979166667</v>
      </c>
      <c r="W758" s="18">
        <v>42011</v>
      </c>
      <c r="X758" s="18">
        <v>42079.625</v>
      </c>
      <c r="Y758" s="17">
        <v>1162.3</v>
      </c>
      <c r="Z758" t="s">
        <v>87</v>
      </c>
      <c r="AA758" s="17">
        <v>1234</v>
      </c>
      <c r="AB758" s="17">
        <v>1234</v>
      </c>
      <c r="AC758" t="s">
        <v>84</v>
      </c>
      <c r="AD758" s="17">
        <v>35400000</v>
      </c>
      <c r="AE758" t="s">
        <v>84</v>
      </c>
      <c r="AF758" s="17">
        <v>68.63</v>
      </c>
      <c r="AG758" t="s">
        <v>84</v>
      </c>
      <c r="AH758" t="s">
        <v>84</v>
      </c>
      <c r="AI758" s="17">
        <v>50.33</v>
      </c>
      <c r="AJ758" s="17">
        <v>24.81</v>
      </c>
      <c r="AK758" t="s">
        <v>323</v>
      </c>
      <c r="AM758" s="17">
        <v>4.4</v>
      </c>
      <c r="AN758" s="17"/>
      <c r="AO758" s="17">
        <v>1980</v>
      </c>
      <c r="AP758" s="17"/>
      <c r="AQ758" s="17">
        <v>2760</v>
      </c>
      <c r="AR758" s="17"/>
      <c r="AS758" s="17">
        <v>5.77</v>
      </c>
      <c r="AT758" s="17"/>
      <c r="AU758" s="17">
        <v>2369.5</v>
      </c>
      <c r="AV758" s="17"/>
      <c r="AW758" s="17">
        <v>5391</v>
      </c>
      <c r="AX758" s="17"/>
      <c r="AY758" t="s">
        <v>92</v>
      </c>
      <c r="AZ758" t="s">
        <v>92</v>
      </c>
      <c r="BA758" t="s">
        <v>92</v>
      </c>
      <c r="BB758" t="s">
        <v>92</v>
      </c>
      <c r="BC758" t="s">
        <v>92</v>
      </c>
      <c r="BD758" t="s">
        <v>92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92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92</v>
      </c>
      <c r="BS758" t="s">
        <v>92</v>
      </c>
      <c r="BT758" t="s">
        <v>92</v>
      </c>
      <c r="BU758" t="s">
        <v>92</v>
      </c>
      <c r="BV758" t="s">
        <v>92</v>
      </c>
      <c r="BW758" t="s">
        <v>92</v>
      </c>
      <c r="BX758" t="s">
        <v>92</v>
      </c>
      <c r="BY758" t="str">
        <f>IF(COUNTIF('Data Upload-prod'!E:E,F758)=0,"Missing","Exist")</f>
        <v>Exist</v>
      </c>
    </row>
    <row r="759" hidden="1" spans="1:77">
      <c r="A759" s="16">
        <v>41989</v>
      </c>
      <c r="B759" s="16">
        <v>42285</v>
      </c>
      <c r="C759" t="s">
        <v>132</v>
      </c>
      <c r="D759" t="s">
        <v>120</v>
      </c>
      <c r="E759" t="s">
        <v>1305</v>
      </c>
      <c r="F759" t="s">
        <v>1306</v>
      </c>
      <c r="G759" t="s">
        <v>145</v>
      </c>
      <c r="H759" t="s">
        <v>319</v>
      </c>
      <c r="I759" t="s">
        <v>231</v>
      </c>
      <c r="J759" s="17">
        <v>79</v>
      </c>
      <c r="K759" s="17">
        <v>2500</v>
      </c>
      <c r="L759" s="17">
        <v>2500</v>
      </c>
      <c r="M759" s="17">
        <v>70955994.97</v>
      </c>
      <c r="N759" s="17">
        <v>75472844.41</v>
      </c>
      <c r="O759" s="17">
        <v>122</v>
      </c>
      <c r="P759" s="17">
        <v>139</v>
      </c>
      <c r="Q759" t="s">
        <v>84</v>
      </c>
      <c r="R759" t="s">
        <v>84</v>
      </c>
      <c r="S759" t="s">
        <v>85</v>
      </c>
      <c r="T759" t="s">
        <v>84</v>
      </c>
      <c r="U759" t="s">
        <v>84</v>
      </c>
      <c r="V759" s="16">
        <v>42084</v>
      </c>
      <c r="W759" s="18">
        <v>42081.5625</v>
      </c>
      <c r="X759" s="18">
        <v>42212.0833333333</v>
      </c>
      <c r="Y759" s="17">
        <v>2267</v>
      </c>
      <c r="Z759" t="s">
        <v>87</v>
      </c>
      <c r="AA759" s="17">
        <v>2373</v>
      </c>
      <c r="AB759" s="17">
        <v>2372.9</v>
      </c>
      <c r="AC759" t="s">
        <v>84</v>
      </c>
      <c r="AD759" s="17">
        <v>72104129</v>
      </c>
      <c r="AE759" t="s">
        <v>84</v>
      </c>
      <c r="AF759" s="17">
        <v>130.52</v>
      </c>
      <c r="AG759" t="s">
        <v>84</v>
      </c>
      <c r="AH759" t="s">
        <v>84</v>
      </c>
      <c r="AI759" s="17">
        <v>8.72</v>
      </c>
      <c r="AJ759" s="17">
        <v>8.64</v>
      </c>
      <c r="AK759" t="s">
        <v>323</v>
      </c>
      <c r="AM759" s="17">
        <v>4.4</v>
      </c>
      <c r="AN759" s="17"/>
      <c r="AO759" s="17">
        <v>1980</v>
      </c>
      <c r="AP759" s="17"/>
      <c r="AQ759" s="17">
        <v>2760</v>
      </c>
      <c r="AR759" s="17"/>
      <c r="AS759" s="17">
        <v>3.38</v>
      </c>
      <c r="AT759" s="17"/>
      <c r="AU759" s="17">
        <v>1650</v>
      </c>
      <c r="AV759" s="17"/>
      <c r="AW759" s="17">
        <v>5403.58</v>
      </c>
      <c r="AX759" s="17"/>
      <c r="AY759" t="s">
        <v>92</v>
      </c>
      <c r="AZ759" t="s">
        <v>92</v>
      </c>
      <c r="BA759" t="s">
        <v>92</v>
      </c>
      <c r="BB759" t="s">
        <v>92</v>
      </c>
      <c r="BC759" t="s">
        <v>92</v>
      </c>
      <c r="BD759" t="s">
        <v>92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92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92</v>
      </c>
      <c r="BS759" t="s">
        <v>92</v>
      </c>
      <c r="BT759" t="s">
        <v>92</v>
      </c>
      <c r="BU759" t="s">
        <v>92</v>
      </c>
      <c r="BV759" t="s">
        <v>92</v>
      </c>
      <c r="BW759" t="s">
        <v>92</v>
      </c>
      <c r="BX759" t="s">
        <v>92</v>
      </c>
      <c r="BY759" t="str">
        <f>IF(COUNTIF('Data Upload-prod'!E:E,F759)=0,"Missing","Exist")</f>
        <v>Exist</v>
      </c>
    </row>
    <row r="760" hidden="1" spans="1:77">
      <c r="A760" s="16">
        <v>41989</v>
      </c>
      <c r="B760" s="16">
        <v>42108</v>
      </c>
      <c r="C760" t="s">
        <v>233</v>
      </c>
      <c r="D760" t="s">
        <v>78</v>
      </c>
      <c r="E760" t="s">
        <v>239</v>
      </c>
      <c r="F760" t="s">
        <v>1307</v>
      </c>
      <c r="G760" t="s">
        <v>81</v>
      </c>
      <c r="H760" t="s">
        <v>1216</v>
      </c>
      <c r="I760" t="s">
        <v>124</v>
      </c>
      <c r="J760" s="17">
        <v>74.7</v>
      </c>
      <c r="K760" s="17">
        <v>3430</v>
      </c>
      <c r="L760" s="17">
        <v>1652</v>
      </c>
      <c r="M760" t="s">
        <v>84</v>
      </c>
      <c r="N760" t="s">
        <v>84</v>
      </c>
      <c r="O760" t="s">
        <v>84</v>
      </c>
      <c r="P760" t="s">
        <v>84</v>
      </c>
      <c r="Q760" s="17">
        <v>20374278</v>
      </c>
      <c r="R760" s="17">
        <v>36</v>
      </c>
      <c r="S760" t="s">
        <v>85</v>
      </c>
      <c r="T760" t="s">
        <v>84</v>
      </c>
      <c r="U760" t="s">
        <v>86</v>
      </c>
      <c r="V760" s="16">
        <v>42010</v>
      </c>
      <c r="W760" s="18">
        <v>42010</v>
      </c>
      <c r="X760" s="18">
        <v>42038.75</v>
      </c>
      <c r="Y760" s="17">
        <v>3311.26</v>
      </c>
      <c r="Z760" t="s">
        <v>87</v>
      </c>
      <c r="AA760" s="17">
        <v>3430</v>
      </c>
      <c r="AB760" s="17">
        <v>1652.15</v>
      </c>
      <c r="AC760" t="s">
        <v>84</v>
      </c>
      <c r="AD760" t="s">
        <v>84</v>
      </c>
      <c r="AE760" t="s">
        <v>84</v>
      </c>
      <c r="AF760" t="s">
        <v>84</v>
      </c>
      <c r="AG760" s="17">
        <v>21388852</v>
      </c>
      <c r="AH760" s="17">
        <v>39.1</v>
      </c>
      <c r="AI760" s="17">
        <v>8.53</v>
      </c>
      <c r="AJ760" s="17">
        <v>8.53</v>
      </c>
      <c r="AK760" t="s">
        <v>114</v>
      </c>
      <c r="AM760" s="17">
        <v>2.2</v>
      </c>
      <c r="AN760" s="17"/>
      <c r="AO760" s="17">
        <v>915</v>
      </c>
      <c r="AP760" s="17"/>
      <c r="AQ760" s="17">
        <v>1450</v>
      </c>
      <c r="AR760" s="17"/>
      <c r="AS760" s="17">
        <v>2.68</v>
      </c>
      <c r="AT760" s="17"/>
      <c r="AU760" s="17">
        <v>1338.31</v>
      </c>
      <c r="AV760" s="17"/>
      <c r="AW760" s="17">
        <v>1900.68</v>
      </c>
      <c r="AX760" s="17"/>
      <c r="AY760" t="s">
        <v>92</v>
      </c>
      <c r="AZ760" t="s">
        <v>92</v>
      </c>
      <c r="BA760" t="s">
        <v>92</v>
      </c>
      <c r="BB760" t="s">
        <v>92</v>
      </c>
      <c r="BC760" t="s">
        <v>92</v>
      </c>
      <c r="BD760" s="17">
        <v>7.7</v>
      </c>
      <c r="BE760" s="17">
        <v>5400000</v>
      </c>
      <c r="BF760" t="s">
        <v>92</v>
      </c>
      <c r="BG760" t="s">
        <v>92</v>
      </c>
      <c r="BH760" t="s">
        <v>93</v>
      </c>
      <c r="BI760" t="s">
        <v>94</v>
      </c>
      <c r="BJ760" t="s">
        <v>128</v>
      </c>
      <c r="BK760" t="s">
        <v>85</v>
      </c>
      <c r="BL760" t="s">
        <v>129</v>
      </c>
      <c r="BM760" t="s">
        <v>96</v>
      </c>
      <c r="BN760" t="s">
        <v>97</v>
      </c>
      <c r="BO760" t="s">
        <v>98</v>
      </c>
      <c r="BP760" t="s">
        <v>103</v>
      </c>
      <c r="BQ760" s="17">
        <v>2744.510566</v>
      </c>
      <c r="BR760" t="s">
        <v>138</v>
      </c>
      <c r="BS760" t="s">
        <v>130</v>
      </c>
      <c r="BT760" t="s">
        <v>103</v>
      </c>
      <c r="BU760" s="17">
        <v>10.4</v>
      </c>
      <c r="BV760" t="s">
        <v>101</v>
      </c>
      <c r="BW760" t="s">
        <v>129</v>
      </c>
      <c r="BX760" t="s">
        <v>85</v>
      </c>
      <c r="BY760" t="str">
        <f>IF(COUNTIF('Data Upload-prod'!E:E,F760)=0,"Missing","Exist")</f>
        <v>Exist</v>
      </c>
    </row>
    <row r="761" hidden="1" spans="1:77">
      <c r="A761" s="16">
        <v>41988</v>
      </c>
      <c r="B761" s="16">
        <v>42200</v>
      </c>
      <c r="C761" t="s">
        <v>750</v>
      </c>
      <c r="D761" t="s">
        <v>142</v>
      </c>
      <c r="E761" t="s">
        <v>1308</v>
      </c>
      <c r="F761" t="s">
        <v>1309</v>
      </c>
      <c r="G761" t="s">
        <v>145</v>
      </c>
      <c r="H761" t="s">
        <v>1247</v>
      </c>
      <c r="I761" t="s">
        <v>231</v>
      </c>
      <c r="J761" s="17">
        <v>666.4</v>
      </c>
      <c r="K761" s="17">
        <v>3626</v>
      </c>
      <c r="L761" s="17">
        <v>3626</v>
      </c>
      <c r="M761" s="17">
        <v>85620000</v>
      </c>
      <c r="N761" s="17">
        <v>85620000</v>
      </c>
      <c r="O761" s="17">
        <v>61.25</v>
      </c>
      <c r="P761" s="17">
        <v>61.25</v>
      </c>
      <c r="Q761" t="s">
        <v>84</v>
      </c>
      <c r="R761" t="s">
        <v>84</v>
      </c>
      <c r="S761" t="s">
        <v>85</v>
      </c>
      <c r="T761" t="s">
        <v>84</v>
      </c>
      <c r="U761" t="s">
        <v>84</v>
      </c>
      <c r="V761" s="16">
        <v>42094.1875</v>
      </c>
      <c r="W761" s="18">
        <v>42092.7916666667</v>
      </c>
      <c r="X761" s="18">
        <v>42134.0520833333</v>
      </c>
      <c r="Y761" s="17">
        <v>2890.4</v>
      </c>
      <c r="Z761" t="s">
        <v>148</v>
      </c>
      <c r="AA761" s="17">
        <v>3583</v>
      </c>
      <c r="AB761" s="17">
        <v>3583</v>
      </c>
      <c r="AC761" t="s">
        <v>84</v>
      </c>
      <c r="AD761" s="17">
        <v>47000000</v>
      </c>
      <c r="AE761" t="s">
        <v>84</v>
      </c>
      <c r="AF761" s="17">
        <v>41.3</v>
      </c>
      <c r="AG761" t="s">
        <v>84</v>
      </c>
      <c r="AH761" t="s">
        <v>84</v>
      </c>
      <c r="AI761" s="17">
        <v>13.2</v>
      </c>
      <c r="AJ761" s="17">
        <v>13.2</v>
      </c>
      <c r="AK761" t="s">
        <v>232</v>
      </c>
      <c r="AM761" s="17">
        <v>4.4</v>
      </c>
      <c r="AN761" s="17"/>
      <c r="AO761" s="17">
        <v>4200</v>
      </c>
      <c r="AP761" s="17"/>
      <c r="AQ761" s="17">
        <v>6400</v>
      </c>
      <c r="AR761" s="17"/>
      <c r="AS761" s="17">
        <v>3.11</v>
      </c>
      <c r="AT761" s="17"/>
      <c r="AU761" s="17">
        <v>3668</v>
      </c>
      <c r="AV761" s="17"/>
      <c r="AW761" s="17">
        <v>4952</v>
      </c>
      <c r="AX761" s="17"/>
      <c r="AY761" t="s">
        <v>92</v>
      </c>
      <c r="AZ761" t="s">
        <v>92</v>
      </c>
      <c r="BA761" t="s">
        <v>92</v>
      </c>
      <c r="BB761" t="s">
        <v>92</v>
      </c>
      <c r="BC761" t="s">
        <v>92</v>
      </c>
      <c r="BD761" t="s">
        <v>92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92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92</v>
      </c>
      <c r="BS761" t="s">
        <v>92</v>
      </c>
      <c r="BT761" t="s">
        <v>92</v>
      </c>
      <c r="BU761" t="s">
        <v>92</v>
      </c>
      <c r="BV761" t="s">
        <v>92</v>
      </c>
      <c r="BW761" t="s">
        <v>92</v>
      </c>
      <c r="BX761" t="s">
        <v>92</v>
      </c>
      <c r="BY761" t="str">
        <f>IF(COUNTIF('Data Upload-prod'!E:E,F761)=0,"Missing","Exist")</f>
        <v>Exist</v>
      </c>
    </row>
    <row r="762" hidden="1" spans="1:77">
      <c r="A762" s="16">
        <v>41984</v>
      </c>
      <c r="B762" s="16">
        <v>42081</v>
      </c>
      <c r="C762" t="s">
        <v>360</v>
      </c>
      <c r="D762" t="s">
        <v>120</v>
      </c>
      <c r="E762" t="s">
        <v>715</v>
      </c>
      <c r="F762" t="s">
        <v>1310</v>
      </c>
      <c r="G762" t="s">
        <v>81</v>
      </c>
      <c r="H762" t="s">
        <v>185</v>
      </c>
      <c r="I762" t="s">
        <v>124</v>
      </c>
      <c r="J762" s="17">
        <v>35</v>
      </c>
      <c r="K762" s="17">
        <v>3873.36</v>
      </c>
      <c r="L762" s="17">
        <v>1554.24</v>
      </c>
      <c r="M762" t="s">
        <v>84</v>
      </c>
      <c r="N762" t="s">
        <v>84</v>
      </c>
      <c r="O762" t="s">
        <v>84</v>
      </c>
      <c r="P762" t="s">
        <v>84</v>
      </c>
      <c r="Q762" s="17">
        <v>10770220</v>
      </c>
      <c r="R762" s="17">
        <v>12.66</v>
      </c>
      <c r="S762" t="s">
        <v>85</v>
      </c>
      <c r="T762" t="s">
        <v>84</v>
      </c>
      <c r="U762" t="s">
        <v>86</v>
      </c>
      <c r="V762" t="s">
        <v>84</v>
      </c>
      <c r="W762" s="18">
        <v>41990</v>
      </c>
      <c r="X762" s="18">
        <v>42054.6458333333</v>
      </c>
      <c r="Y762" s="17">
        <v>3945.16</v>
      </c>
      <c r="Z762" t="s">
        <v>87</v>
      </c>
      <c r="AA762" s="17">
        <v>4023</v>
      </c>
      <c r="AB762" s="17">
        <v>1608.05</v>
      </c>
      <c r="AC762" t="s">
        <v>84</v>
      </c>
      <c r="AD762" t="s">
        <v>84</v>
      </c>
      <c r="AE762" t="s">
        <v>84</v>
      </c>
      <c r="AF762" t="s">
        <v>84</v>
      </c>
      <c r="AG762" s="17">
        <v>11424978</v>
      </c>
      <c r="AH762" s="17">
        <v>25.34</v>
      </c>
      <c r="AI762" s="17">
        <v>5.59</v>
      </c>
      <c r="AJ762" s="17">
        <v>5.59</v>
      </c>
      <c r="AK762" t="s">
        <v>497</v>
      </c>
      <c r="AM762" s="17">
        <v>1.4</v>
      </c>
      <c r="AN762" s="17"/>
      <c r="AO762" s="17">
        <v>550</v>
      </c>
      <c r="AP762" s="17"/>
      <c r="AQ762" s="17">
        <v>770</v>
      </c>
      <c r="AR762" s="17"/>
      <c r="AS762" s="17">
        <v>2.1</v>
      </c>
      <c r="AT762" s="17"/>
      <c r="AU762" s="17">
        <v>700</v>
      </c>
      <c r="AV762" s="17"/>
      <c r="AW762" s="17">
        <v>1140</v>
      </c>
      <c r="AX762" s="17"/>
      <c r="AY762" t="s">
        <v>92</v>
      </c>
      <c r="AZ762" t="s">
        <v>92</v>
      </c>
      <c r="BA762" t="s">
        <v>92</v>
      </c>
      <c r="BB762" t="s">
        <v>92</v>
      </c>
      <c r="BC762" t="s">
        <v>92</v>
      </c>
      <c r="BD762" s="17">
        <v>11.02</v>
      </c>
      <c r="BE762" s="17">
        <v>3586000</v>
      </c>
      <c r="BF762" t="s">
        <v>92</v>
      </c>
      <c r="BG762" t="s">
        <v>92</v>
      </c>
      <c r="BH762" t="s">
        <v>93</v>
      </c>
      <c r="BI762" t="s">
        <v>94</v>
      </c>
      <c r="BJ762" t="s">
        <v>95</v>
      </c>
      <c r="BK762" t="s">
        <v>85</v>
      </c>
      <c r="BL762" t="s">
        <v>85</v>
      </c>
      <c r="BM762" t="s">
        <v>96</v>
      </c>
      <c r="BN762" t="s">
        <v>97</v>
      </c>
      <c r="BO762" t="s">
        <v>98</v>
      </c>
      <c r="BP762" t="s">
        <v>103</v>
      </c>
      <c r="BQ762" s="17">
        <v>250</v>
      </c>
      <c r="BR762" t="s">
        <v>100</v>
      </c>
      <c r="BS762" t="s">
        <v>92</v>
      </c>
      <c r="BT762" t="s">
        <v>103</v>
      </c>
      <c r="BU762" s="17">
        <v>6.6</v>
      </c>
      <c r="BV762" t="s">
        <v>588</v>
      </c>
      <c r="BW762" t="s">
        <v>85</v>
      </c>
      <c r="BX762" t="s">
        <v>85</v>
      </c>
      <c r="BY762" t="str">
        <f>IF(COUNTIF('Data Upload-prod'!E:E,F762)=0,"Missing","Exist")</f>
        <v>Exist</v>
      </c>
    </row>
    <row r="763" hidden="1" spans="1:77">
      <c r="A763" s="16">
        <v>41984</v>
      </c>
      <c r="B763" s="16">
        <v>42097</v>
      </c>
      <c r="C763" t="s">
        <v>360</v>
      </c>
      <c r="D763" t="s">
        <v>120</v>
      </c>
      <c r="E763" t="s">
        <v>715</v>
      </c>
      <c r="F763" t="s">
        <v>1311</v>
      </c>
      <c r="G763" t="s">
        <v>81</v>
      </c>
      <c r="H763" t="s">
        <v>185</v>
      </c>
      <c r="I763" t="s">
        <v>124</v>
      </c>
      <c r="J763" s="17">
        <v>35</v>
      </c>
      <c r="K763" s="17">
        <v>2632.82</v>
      </c>
      <c r="L763" s="17">
        <v>1566.21</v>
      </c>
      <c r="M763" t="s">
        <v>84</v>
      </c>
      <c r="N763" t="s">
        <v>84</v>
      </c>
      <c r="O763" t="s">
        <v>84</v>
      </c>
      <c r="P763" t="s">
        <v>84</v>
      </c>
      <c r="Q763" s="17">
        <v>7287154</v>
      </c>
      <c r="R763" s="17">
        <v>10.92</v>
      </c>
      <c r="S763" t="s">
        <v>85</v>
      </c>
      <c r="T763" t="s">
        <v>84</v>
      </c>
      <c r="U763" t="s">
        <v>84</v>
      </c>
      <c r="V763" s="16">
        <v>41991.8541666667</v>
      </c>
      <c r="W763" s="18">
        <v>41991.3541666667</v>
      </c>
      <c r="X763" s="18">
        <v>42071</v>
      </c>
      <c r="Y763" s="17">
        <v>2192.16</v>
      </c>
      <c r="Z763" t="s">
        <v>87</v>
      </c>
      <c r="AA763" s="17">
        <v>2270</v>
      </c>
      <c r="AB763" s="17">
        <v>1524.24</v>
      </c>
      <c r="AC763" t="s">
        <v>84</v>
      </c>
      <c r="AD763" t="s">
        <v>84</v>
      </c>
      <c r="AE763" t="s">
        <v>84</v>
      </c>
      <c r="AF763" t="s">
        <v>84</v>
      </c>
      <c r="AG763" s="17">
        <v>6829823</v>
      </c>
      <c r="AH763" s="17">
        <v>12.96</v>
      </c>
      <c r="AI763" s="17">
        <v>0</v>
      </c>
      <c r="AJ763" s="17">
        <v>0</v>
      </c>
      <c r="AK763" t="s">
        <v>208</v>
      </c>
      <c r="AM763" s="17">
        <v>2.2</v>
      </c>
      <c r="AN763" s="17"/>
      <c r="AO763" s="17">
        <v>830</v>
      </c>
      <c r="AP763" s="17"/>
      <c r="AQ763" s="17">
        <v>1380</v>
      </c>
      <c r="AR763" s="17"/>
      <c r="AS763" s="17">
        <v>1.15</v>
      </c>
      <c r="AT763" s="17"/>
      <c r="AU763" s="17">
        <v>604</v>
      </c>
      <c r="AV763" s="17"/>
      <c r="AW763" s="17">
        <v>772</v>
      </c>
      <c r="AX763" s="17"/>
      <c r="AY763" t="s">
        <v>92</v>
      </c>
      <c r="AZ763" t="s">
        <v>92</v>
      </c>
      <c r="BA763" t="s">
        <v>92</v>
      </c>
      <c r="BB763" t="s">
        <v>92</v>
      </c>
      <c r="BC763" t="s">
        <v>92</v>
      </c>
      <c r="BD763" t="s">
        <v>92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92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92</v>
      </c>
      <c r="BS763" t="s">
        <v>92</v>
      </c>
      <c r="BT763" t="s">
        <v>92</v>
      </c>
      <c r="BU763" t="s">
        <v>92</v>
      </c>
      <c r="BV763" t="s">
        <v>92</v>
      </c>
      <c r="BW763" t="s">
        <v>92</v>
      </c>
      <c r="BX763" t="s">
        <v>92</v>
      </c>
      <c r="BY763" t="str">
        <f>IF(COUNTIF('Data Upload-prod'!E:E,F763)=0,"Missing","Exist")</f>
        <v>Exist</v>
      </c>
    </row>
    <row r="764" hidden="1" spans="1:77">
      <c r="A764" s="16">
        <v>41983</v>
      </c>
      <c r="B764" s="16">
        <v>42157</v>
      </c>
      <c r="C764" t="s">
        <v>132</v>
      </c>
      <c r="D764" t="s">
        <v>120</v>
      </c>
      <c r="E764" t="s">
        <v>1312</v>
      </c>
      <c r="F764" t="s">
        <v>1313</v>
      </c>
      <c r="G764" t="s">
        <v>145</v>
      </c>
      <c r="H764" t="s">
        <v>1188</v>
      </c>
      <c r="I764" t="s">
        <v>231</v>
      </c>
      <c r="J764" s="17">
        <v>196.6</v>
      </c>
      <c r="K764" s="17">
        <v>3411</v>
      </c>
      <c r="L764" s="17">
        <v>3411</v>
      </c>
      <c r="M764" s="17">
        <v>34200000</v>
      </c>
      <c r="N764" s="17">
        <v>43500000</v>
      </c>
      <c r="O764" s="17">
        <v>60.5</v>
      </c>
      <c r="P764" s="17">
        <v>78.5</v>
      </c>
      <c r="Q764" t="s">
        <v>84</v>
      </c>
      <c r="R764" t="s">
        <v>84</v>
      </c>
      <c r="S764" t="s">
        <v>85</v>
      </c>
      <c r="T764" t="s">
        <v>84</v>
      </c>
      <c r="U764" t="s">
        <v>84</v>
      </c>
      <c r="V764" s="16">
        <v>42020</v>
      </c>
      <c r="W764" s="18">
        <v>42014.7916666667</v>
      </c>
      <c r="X764" s="18">
        <v>42101.1666666667</v>
      </c>
      <c r="Y764" s="17">
        <v>3193</v>
      </c>
      <c r="Z764" t="s">
        <v>87</v>
      </c>
      <c r="AA764" s="17">
        <v>3417.6</v>
      </c>
      <c r="AB764" s="17">
        <v>3411</v>
      </c>
      <c r="AC764" t="s">
        <v>84</v>
      </c>
      <c r="AD764" s="17">
        <v>34277408.45</v>
      </c>
      <c r="AE764" t="s">
        <v>84</v>
      </c>
      <c r="AF764" s="17">
        <v>86.38</v>
      </c>
      <c r="AG764" t="s">
        <v>84</v>
      </c>
      <c r="AH764" t="s">
        <v>84</v>
      </c>
      <c r="AI764" s="17">
        <v>15.59</v>
      </c>
      <c r="AJ764" s="17">
        <v>13.17</v>
      </c>
      <c r="AK764" t="s">
        <v>323</v>
      </c>
      <c r="AM764" s="17">
        <v>4.4</v>
      </c>
      <c r="AN764" s="17"/>
      <c r="AO764" s="17">
        <v>1980</v>
      </c>
      <c r="AP764" s="17"/>
      <c r="AQ764" s="17">
        <v>2760</v>
      </c>
      <c r="AR764" s="17"/>
      <c r="AS764" s="17">
        <v>4.53</v>
      </c>
      <c r="AT764" s="17"/>
      <c r="AU764" s="17">
        <v>2135</v>
      </c>
      <c r="AV764" s="17"/>
      <c r="AW764" s="17">
        <v>3496</v>
      </c>
      <c r="AX764" s="17"/>
      <c r="AY764" t="s">
        <v>92</v>
      </c>
      <c r="AZ764" t="s">
        <v>92</v>
      </c>
      <c r="BA764" t="s">
        <v>92</v>
      </c>
      <c r="BB764" t="s">
        <v>92</v>
      </c>
      <c r="BC764" t="s">
        <v>92</v>
      </c>
      <c r="BD764" t="s">
        <v>92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92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92</v>
      </c>
      <c r="BS764" t="s">
        <v>92</v>
      </c>
      <c r="BT764" t="s">
        <v>92</v>
      </c>
      <c r="BU764" t="s">
        <v>92</v>
      </c>
      <c r="BV764" t="s">
        <v>92</v>
      </c>
      <c r="BW764" t="s">
        <v>92</v>
      </c>
      <c r="BX764" t="s">
        <v>92</v>
      </c>
      <c r="BY764" t="str">
        <f>IF(COUNTIF('Data Upload-prod'!E:E,F764)=0,"Missing","Exist")</f>
        <v>Exist</v>
      </c>
    </row>
    <row r="765" hidden="1" spans="1:77">
      <c r="A765" s="16">
        <v>41983</v>
      </c>
      <c r="B765" s="16">
        <v>42048</v>
      </c>
      <c r="C765" t="s">
        <v>360</v>
      </c>
      <c r="D765" t="s">
        <v>120</v>
      </c>
      <c r="E765" t="s">
        <v>715</v>
      </c>
      <c r="F765" t="s">
        <v>1314</v>
      </c>
      <c r="G765" t="s">
        <v>81</v>
      </c>
      <c r="H765" t="s">
        <v>185</v>
      </c>
      <c r="I765" t="s">
        <v>124</v>
      </c>
      <c r="J765" s="17">
        <v>35</v>
      </c>
      <c r="K765" s="17">
        <v>3124.56</v>
      </c>
      <c r="L765" s="17">
        <v>1464.4</v>
      </c>
      <c r="M765" t="s">
        <v>84</v>
      </c>
      <c r="N765" t="s">
        <v>84</v>
      </c>
      <c r="O765" t="s">
        <v>84</v>
      </c>
      <c r="P765" t="s">
        <v>84</v>
      </c>
      <c r="Q765" s="17">
        <v>11580639</v>
      </c>
      <c r="R765" s="17">
        <v>13.65</v>
      </c>
      <c r="S765" t="s">
        <v>85</v>
      </c>
      <c r="T765" t="s">
        <v>84</v>
      </c>
      <c r="U765" t="s">
        <v>84</v>
      </c>
      <c r="V765" s="16">
        <v>41995.125</v>
      </c>
      <c r="W765" s="18">
        <v>41994.75</v>
      </c>
      <c r="X765" s="18">
        <v>42025.9375</v>
      </c>
      <c r="Y765" s="17">
        <v>2036.16</v>
      </c>
      <c r="Z765" t="s">
        <v>87</v>
      </c>
      <c r="AA765" s="17">
        <v>2149</v>
      </c>
      <c r="AB765" s="17">
        <v>1364</v>
      </c>
      <c r="AC765" t="s">
        <v>84</v>
      </c>
      <c r="AD765" t="s">
        <v>84</v>
      </c>
      <c r="AE765" t="s">
        <v>84</v>
      </c>
      <c r="AF765" t="s">
        <v>84</v>
      </c>
      <c r="AG765" s="17">
        <v>18676712</v>
      </c>
      <c r="AH765" s="17">
        <v>29.6</v>
      </c>
      <c r="AI765" s="17">
        <v>25.76</v>
      </c>
      <c r="AJ765" s="17">
        <v>25.76</v>
      </c>
      <c r="AK765" t="s">
        <v>497</v>
      </c>
      <c r="AM765" s="17">
        <v>1.4</v>
      </c>
      <c r="AN765" s="17"/>
      <c r="AO765" s="17">
        <v>550</v>
      </c>
      <c r="AP765" s="17"/>
      <c r="AQ765" s="17">
        <v>770</v>
      </c>
      <c r="AR765" s="17"/>
      <c r="AS765" s="17">
        <v>1.02</v>
      </c>
      <c r="AT765" s="17"/>
      <c r="AU765" s="17">
        <v>603.09</v>
      </c>
      <c r="AV765" s="17"/>
      <c r="AW765" s="17">
        <v>1038.12</v>
      </c>
      <c r="AX765" s="17"/>
      <c r="AY765" t="s">
        <v>92</v>
      </c>
      <c r="AZ765" t="s">
        <v>92</v>
      </c>
      <c r="BA765" t="s">
        <v>92</v>
      </c>
      <c r="BB765" t="s">
        <v>92</v>
      </c>
      <c r="BC765" t="s">
        <v>92</v>
      </c>
      <c r="BD765" t="s">
        <v>92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92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92</v>
      </c>
      <c r="BS765" t="s">
        <v>92</v>
      </c>
      <c r="BT765" t="s">
        <v>92</v>
      </c>
      <c r="BU765" t="s">
        <v>92</v>
      </c>
      <c r="BV765" t="s">
        <v>92</v>
      </c>
      <c r="BW765" t="s">
        <v>92</v>
      </c>
      <c r="BX765" t="s">
        <v>92</v>
      </c>
      <c r="BY765" t="str">
        <f>IF(COUNTIF('Data Upload-prod'!E:E,F765)=0,"Missing","Exist")</f>
        <v>Exist</v>
      </c>
    </row>
    <row r="766" hidden="1" spans="1:77">
      <c r="A766" s="16">
        <v>41969</v>
      </c>
      <c r="B766" s="16">
        <v>42115</v>
      </c>
      <c r="C766" t="s">
        <v>195</v>
      </c>
      <c r="D766" t="s">
        <v>78</v>
      </c>
      <c r="E766" t="s">
        <v>212</v>
      </c>
      <c r="F766" t="s">
        <v>1315</v>
      </c>
      <c r="G766" t="s">
        <v>81</v>
      </c>
      <c r="H766" t="s">
        <v>214</v>
      </c>
      <c r="I766" t="s">
        <v>124</v>
      </c>
      <c r="J766" s="17">
        <v>63.6</v>
      </c>
      <c r="K766" s="17">
        <v>4279</v>
      </c>
      <c r="L766" s="17">
        <v>2160</v>
      </c>
      <c r="M766" t="s">
        <v>84</v>
      </c>
      <c r="N766" t="s">
        <v>84</v>
      </c>
      <c r="O766" t="s">
        <v>84</v>
      </c>
      <c r="P766" t="s">
        <v>84</v>
      </c>
      <c r="Q766" s="17">
        <v>30000000</v>
      </c>
      <c r="R766" s="17">
        <v>50.68</v>
      </c>
      <c r="S766" t="s">
        <v>85</v>
      </c>
      <c r="T766" t="s">
        <v>84</v>
      </c>
      <c r="U766" t="s">
        <v>86</v>
      </c>
      <c r="V766" s="16">
        <v>41986</v>
      </c>
      <c r="W766" s="18">
        <v>41986.2083333333</v>
      </c>
      <c r="X766" s="18">
        <v>42073.5</v>
      </c>
      <c r="Y766" s="17">
        <v>4122.53</v>
      </c>
      <c r="Z766" t="s">
        <v>87</v>
      </c>
      <c r="AA766" s="17">
        <v>4231</v>
      </c>
      <c r="AB766" s="17">
        <v>2137.08</v>
      </c>
      <c r="AC766" t="s">
        <v>84</v>
      </c>
      <c r="AD766" t="s">
        <v>84</v>
      </c>
      <c r="AE766" t="s">
        <v>84</v>
      </c>
      <c r="AF766" t="s">
        <v>84</v>
      </c>
      <c r="AG766" s="17">
        <v>26068600</v>
      </c>
      <c r="AH766" s="17">
        <v>42.29</v>
      </c>
      <c r="AI766" s="17">
        <v>9.17</v>
      </c>
      <c r="AJ766" s="17">
        <v>9.17</v>
      </c>
      <c r="AK766" t="s">
        <v>208</v>
      </c>
      <c r="AM766" s="17">
        <v>2.1</v>
      </c>
      <c r="AN766" s="17"/>
      <c r="AO766" s="17">
        <v>700</v>
      </c>
      <c r="AP766" s="17"/>
      <c r="AQ766" s="17">
        <v>1220</v>
      </c>
      <c r="AR766" s="17"/>
      <c r="AS766" s="13" t="s">
        <v>150</v>
      </c>
      <c r="AT766" s="13"/>
      <c r="AU766" s="13" t="s">
        <v>150</v>
      </c>
      <c r="AW766" s="13" t="s">
        <v>150</v>
      </c>
      <c r="AY766" t="s">
        <v>92</v>
      </c>
      <c r="AZ766" t="s">
        <v>92</v>
      </c>
      <c r="BA766" t="s">
        <v>92</v>
      </c>
      <c r="BB766" t="s">
        <v>92</v>
      </c>
      <c r="BC766" t="s">
        <v>92</v>
      </c>
      <c r="BD766" s="17">
        <v>7.16</v>
      </c>
      <c r="BE766" s="17">
        <v>6389747.5</v>
      </c>
      <c r="BF766" t="s">
        <v>92</v>
      </c>
      <c r="BG766" t="s">
        <v>92</v>
      </c>
      <c r="BH766" t="s">
        <v>93</v>
      </c>
      <c r="BI766" t="s">
        <v>94</v>
      </c>
      <c r="BJ766" t="s">
        <v>173</v>
      </c>
      <c r="BK766" t="s">
        <v>85</v>
      </c>
      <c r="BL766" t="s">
        <v>85</v>
      </c>
      <c r="BM766" t="s">
        <v>96</v>
      </c>
      <c r="BN766" t="s">
        <v>253</v>
      </c>
      <c r="BO766" t="s">
        <v>216</v>
      </c>
      <c r="BP766" t="s">
        <v>99</v>
      </c>
      <c r="BQ766" s="17">
        <v>292</v>
      </c>
      <c r="BR766" t="s">
        <v>138</v>
      </c>
      <c r="BS766" t="s">
        <v>156</v>
      </c>
      <c r="BT766" t="s">
        <v>99</v>
      </c>
      <c r="BU766" s="17">
        <v>9.3</v>
      </c>
      <c r="BV766" t="s">
        <v>191</v>
      </c>
      <c r="BW766" t="s">
        <v>85</v>
      </c>
      <c r="BX766" t="s">
        <v>85</v>
      </c>
      <c r="BY766" t="str">
        <f>IF(COUNTIF('Data Upload-prod'!E:E,F766)=0,"Missing","Exist")</f>
        <v>Exist</v>
      </c>
    </row>
    <row r="767" hidden="1" spans="1:77">
      <c r="A767" s="16">
        <v>41967</v>
      </c>
      <c r="B767" s="16">
        <v>42151</v>
      </c>
      <c r="C767" t="s">
        <v>132</v>
      </c>
      <c r="D767" t="s">
        <v>142</v>
      </c>
      <c r="E767" t="s">
        <v>1316</v>
      </c>
      <c r="F767" t="s">
        <v>1317</v>
      </c>
      <c r="G767" t="s">
        <v>145</v>
      </c>
      <c r="H767" t="s">
        <v>1318</v>
      </c>
      <c r="I767" t="s">
        <v>231</v>
      </c>
      <c r="J767" s="17">
        <v>208</v>
      </c>
      <c r="K767" s="17">
        <v>3327</v>
      </c>
      <c r="L767" s="17">
        <v>3327</v>
      </c>
      <c r="M767" s="17">
        <v>44671060.38</v>
      </c>
      <c r="N767" s="17">
        <v>44671060.38</v>
      </c>
      <c r="O767" s="17">
        <v>57</v>
      </c>
      <c r="P767" s="17">
        <v>57</v>
      </c>
      <c r="Q767" t="s">
        <v>84</v>
      </c>
      <c r="R767" t="s">
        <v>84</v>
      </c>
      <c r="S767" t="s">
        <v>85</v>
      </c>
      <c r="T767" t="s">
        <v>84</v>
      </c>
      <c r="U767" t="s">
        <v>84</v>
      </c>
      <c r="V767" s="16">
        <v>42004</v>
      </c>
      <c r="W767" s="18">
        <v>42001.6666666667</v>
      </c>
      <c r="X767" s="18">
        <v>42078.2291666667</v>
      </c>
      <c r="Y767" s="17">
        <v>2811.1</v>
      </c>
      <c r="Z767" t="s">
        <v>87</v>
      </c>
      <c r="AA767" s="17">
        <v>3045</v>
      </c>
      <c r="AB767" s="17">
        <v>3045</v>
      </c>
      <c r="AC767" t="s">
        <v>84</v>
      </c>
      <c r="AD767" s="17">
        <v>62650430.58</v>
      </c>
      <c r="AE767" t="s">
        <v>84</v>
      </c>
      <c r="AF767" s="17">
        <v>115.6</v>
      </c>
      <c r="AG767" t="s">
        <v>84</v>
      </c>
      <c r="AH767" t="s">
        <v>84</v>
      </c>
      <c r="AI767" s="17">
        <v>23.1</v>
      </c>
      <c r="AJ767" s="17">
        <v>15.7</v>
      </c>
      <c r="AK767" t="s">
        <v>333</v>
      </c>
      <c r="AM767" s="17">
        <v>3.8</v>
      </c>
      <c r="AN767" s="17"/>
      <c r="AO767" s="17">
        <v>2125</v>
      </c>
      <c r="AP767" s="17"/>
      <c r="AQ767" s="17">
        <v>3315</v>
      </c>
      <c r="AR767" s="17"/>
      <c r="AS767" s="17">
        <v>8.57</v>
      </c>
      <c r="AT767" s="17"/>
      <c r="AU767" s="17">
        <v>4201</v>
      </c>
      <c r="AV767" s="17"/>
      <c r="AW767" s="17">
        <v>5446</v>
      </c>
      <c r="AX767" s="17"/>
      <c r="AY767" t="s">
        <v>92</v>
      </c>
      <c r="AZ767" t="s">
        <v>92</v>
      </c>
      <c r="BA767" t="s">
        <v>92</v>
      </c>
      <c r="BB767" t="s">
        <v>92</v>
      </c>
      <c r="BC767" t="s">
        <v>92</v>
      </c>
      <c r="BD767" t="s">
        <v>92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92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92</v>
      </c>
      <c r="BS767" t="s">
        <v>92</v>
      </c>
      <c r="BT767" t="s">
        <v>92</v>
      </c>
      <c r="BU767" t="s">
        <v>92</v>
      </c>
      <c r="BV767" t="s">
        <v>92</v>
      </c>
      <c r="BW767" t="s">
        <v>92</v>
      </c>
      <c r="BX767" t="s">
        <v>92</v>
      </c>
      <c r="BY767" t="str">
        <f>IF(COUNTIF('Data Upload-prod'!E:E,F767)=0,"Missing","Exist")</f>
        <v>Exist</v>
      </c>
    </row>
    <row r="768" hidden="1" spans="1:77">
      <c r="A768" s="16">
        <v>41956</v>
      </c>
      <c r="B768" s="16">
        <v>42067</v>
      </c>
      <c r="C768" t="s">
        <v>132</v>
      </c>
      <c r="D768" t="s">
        <v>142</v>
      </c>
      <c r="E768" t="s">
        <v>1319</v>
      </c>
      <c r="F768" t="s">
        <v>1320</v>
      </c>
      <c r="G768" t="s">
        <v>145</v>
      </c>
      <c r="H768" t="s">
        <v>319</v>
      </c>
      <c r="I768" t="s">
        <v>231</v>
      </c>
      <c r="J768" s="17">
        <v>70.4</v>
      </c>
      <c r="K768" s="17">
        <v>1555</v>
      </c>
      <c r="L768" s="17">
        <v>1555</v>
      </c>
      <c r="M768" s="17">
        <v>17540000</v>
      </c>
      <c r="N768" s="17">
        <v>25416338.95</v>
      </c>
      <c r="O768" s="17">
        <v>25.28</v>
      </c>
      <c r="P768" s="17">
        <v>38.03</v>
      </c>
      <c r="Q768" t="s">
        <v>84</v>
      </c>
      <c r="R768" t="s">
        <v>84</v>
      </c>
      <c r="S768" t="s">
        <v>85</v>
      </c>
      <c r="T768" t="s">
        <v>84</v>
      </c>
      <c r="U768" t="s">
        <v>84</v>
      </c>
      <c r="V768" s="16">
        <v>41979</v>
      </c>
      <c r="W768" s="18">
        <v>41977.9166666667</v>
      </c>
      <c r="X768" s="18">
        <v>42010.6666666667</v>
      </c>
      <c r="Y768" s="17">
        <v>1461.6</v>
      </c>
      <c r="Z768" t="s">
        <v>87</v>
      </c>
      <c r="AA768" s="17">
        <v>1560</v>
      </c>
      <c r="AB768" s="17">
        <v>1558</v>
      </c>
      <c r="AC768" s="17">
        <v>15323425</v>
      </c>
      <c r="AD768" t="s">
        <v>84</v>
      </c>
      <c r="AE768" s="17">
        <v>32.75</v>
      </c>
      <c r="AF768" t="s">
        <v>84</v>
      </c>
      <c r="AG768" t="s">
        <v>84</v>
      </c>
      <c r="AH768" t="s">
        <v>84</v>
      </c>
      <c r="AI768" s="17">
        <v>32.86</v>
      </c>
      <c r="AJ768" s="17">
        <v>11.45</v>
      </c>
      <c r="AK768" t="s">
        <v>295</v>
      </c>
      <c r="AM768" s="17">
        <v>2.7</v>
      </c>
      <c r="AN768" s="17"/>
      <c r="AO768" s="17">
        <v>1490</v>
      </c>
      <c r="AP768" s="17"/>
      <c r="AQ768" s="17">
        <v>2760</v>
      </c>
      <c r="AR768" s="17"/>
      <c r="AS768" s="17">
        <v>1.94</v>
      </c>
      <c r="AT768" s="17"/>
      <c r="AU768" s="17">
        <v>813</v>
      </c>
      <c r="AV768" s="17"/>
      <c r="AW768" s="17">
        <v>1385</v>
      </c>
      <c r="AX768" s="17"/>
      <c r="AY768" t="s">
        <v>92</v>
      </c>
      <c r="AZ768" t="s">
        <v>92</v>
      </c>
      <c r="BA768" t="s">
        <v>92</v>
      </c>
      <c r="BB768" t="s">
        <v>92</v>
      </c>
      <c r="BC768" t="s">
        <v>92</v>
      </c>
      <c r="BD768" t="s">
        <v>92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92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92</v>
      </c>
      <c r="BS768" t="s">
        <v>92</v>
      </c>
      <c r="BT768" t="s">
        <v>92</v>
      </c>
      <c r="BU768" t="s">
        <v>92</v>
      </c>
      <c r="BV768" t="s">
        <v>92</v>
      </c>
      <c r="BW768" t="s">
        <v>92</v>
      </c>
      <c r="BX768" t="s">
        <v>92</v>
      </c>
      <c r="BY768" t="str">
        <f>IF(COUNTIF('Data Upload-prod'!E:E,F768)=0,"Missing","Exist")</f>
        <v>Exist</v>
      </c>
    </row>
    <row r="769" hidden="1" spans="1:77">
      <c r="A769" s="16">
        <v>41954</v>
      </c>
      <c r="B769" s="16">
        <v>42289</v>
      </c>
      <c r="C769" t="s">
        <v>132</v>
      </c>
      <c r="D769" t="s">
        <v>120</v>
      </c>
      <c r="E769" t="s">
        <v>326</v>
      </c>
      <c r="F769" t="s">
        <v>1321</v>
      </c>
      <c r="G769" t="s">
        <v>81</v>
      </c>
      <c r="H769" t="s">
        <v>1293</v>
      </c>
      <c r="I769" t="s">
        <v>124</v>
      </c>
      <c r="J769" s="17">
        <v>36.57</v>
      </c>
      <c r="K769" s="17">
        <v>1684.55</v>
      </c>
      <c r="L769" s="17">
        <v>1325.51</v>
      </c>
      <c r="M769" t="s">
        <v>84</v>
      </c>
      <c r="N769" t="s">
        <v>84</v>
      </c>
      <c r="O769" t="s">
        <v>84</v>
      </c>
      <c r="P769" t="s">
        <v>84</v>
      </c>
      <c r="Q769" s="17">
        <v>15740000</v>
      </c>
      <c r="R769" s="17">
        <v>25</v>
      </c>
      <c r="S769" t="s">
        <v>85</v>
      </c>
      <c r="T769" t="s">
        <v>84</v>
      </c>
      <c r="U769" t="s">
        <v>84</v>
      </c>
      <c r="V769" s="16">
        <v>42020</v>
      </c>
      <c r="W769" s="18">
        <v>42009</v>
      </c>
      <c r="X769" s="18">
        <v>42055.25</v>
      </c>
      <c r="Y769" s="17">
        <v>1605.3</v>
      </c>
      <c r="Z769" t="s">
        <v>87</v>
      </c>
      <c r="AA769" s="17">
        <v>1679.67</v>
      </c>
      <c r="AB769" s="17">
        <v>1324.6</v>
      </c>
      <c r="AC769" t="s">
        <v>84</v>
      </c>
      <c r="AD769" t="s">
        <v>84</v>
      </c>
      <c r="AE769" t="s">
        <v>84</v>
      </c>
      <c r="AF769" t="s">
        <v>84</v>
      </c>
      <c r="AG769" s="17">
        <v>17073609.33</v>
      </c>
      <c r="AH769" s="17">
        <v>36.31</v>
      </c>
      <c r="AI769" s="17">
        <v>11.3</v>
      </c>
      <c r="AJ769" s="17">
        <v>5.9</v>
      </c>
      <c r="AK769" t="s">
        <v>208</v>
      </c>
      <c r="AM769" s="17">
        <v>2.2</v>
      </c>
      <c r="AN769" s="17"/>
      <c r="AO769" s="17">
        <v>830</v>
      </c>
      <c r="AP769" s="17"/>
      <c r="AQ769" s="17">
        <v>1395</v>
      </c>
      <c r="AR769" s="17"/>
      <c r="AS769" s="17">
        <v>3.18</v>
      </c>
      <c r="AT769" s="17"/>
      <c r="AU769" s="17">
        <v>1389</v>
      </c>
      <c r="AV769" s="17"/>
      <c r="AW769" s="17">
        <v>3235</v>
      </c>
      <c r="AX769" s="17"/>
      <c r="AY769" t="s">
        <v>92</v>
      </c>
      <c r="AZ769" t="s">
        <v>92</v>
      </c>
      <c r="BA769" t="s">
        <v>92</v>
      </c>
      <c r="BB769" t="s">
        <v>92</v>
      </c>
      <c r="BC769" t="s">
        <v>92</v>
      </c>
      <c r="BD769" t="s">
        <v>92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92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92</v>
      </c>
      <c r="BS769" t="s">
        <v>92</v>
      </c>
      <c r="BT769" t="s">
        <v>92</v>
      </c>
      <c r="BU769" t="s">
        <v>92</v>
      </c>
      <c r="BV769" t="s">
        <v>92</v>
      </c>
      <c r="BW769" t="s">
        <v>92</v>
      </c>
      <c r="BX769" t="s">
        <v>92</v>
      </c>
      <c r="BY769" t="str">
        <f>IF(COUNTIF('Data Upload-prod'!E:E,F769)=0,"Missing","Exist")</f>
        <v>Exist</v>
      </c>
    </row>
    <row r="770" hidden="1" spans="1:77">
      <c r="A770" s="16">
        <v>41954</v>
      </c>
      <c r="B770" s="16">
        <v>42310</v>
      </c>
      <c r="C770" t="s">
        <v>132</v>
      </c>
      <c r="D770" t="s">
        <v>120</v>
      </c>
      <c r="E770" t="s">
        <v>326</v>
      </c>
      <c r="F770" t="s">
        <v>1322</v>
      </c>
      <c r="G770" t="s">
        <v>81</v>
      </c>
      <c r="H770" t="s">
        <v>1293</v>
      </c>
      <c r="I770" t="s">
        <v>124</v>
      </c>
      <c r="J770" s="17">
        <v>36.57</v>
      </c>
      <c r="K770" s="17">
        <v>2026.82</v>
      </c>
      <c r="L770" s="17">
        <v>1320.33</v>
      </c>
      <c r="M770" t="s">
        <v>84</v>
      </c>
      <c r="N770" t="s">
        <v>84</v>
      </c>
      <c r="O770" t="s">
        <v>84</v>
      </c>
      <c r="P770" t="s">
        <v>84</v>
      </c>
      <c r="Q770" s="17">
        <v>14890401.62</v>
      </c>
      <c r="R770" s="17">
        <v>30</v>
      </c>
      <c r="S770" t="s">
        <v>85</v>
      </c>
      <c r="T770" t="s">
        <v>84</v>
      </c>
      <c r="U770" t="s">
        <v>84</v>
      </c>
      <c r="V770" s="16">
        <v>42012</v>
      </c>
      <c r="W770" s="18">
        <v>42010</v>
      </c>
      <c r="X770" s="18">
        <v>42111</v>
      </c>
      <c r="Y770" s="17">
        <v>1951.54</v>
      </c>
      <c r="Z770" t="s">
        <v>87</v>
      </c>
      <c r="AA770" s="17">
        <v>2025.91</v>
      </c>
      <c r="AB770" s="17">
        <v>1338.62</v>
      </c>
      <c r="AC770" t="s">
        <v>84</v>
      </c>
      <c r="AD770" t="s">
        <v>84</v>
      </c>
      <c r="AE770" t="s">
        <v>84</v>
      </c>
      <c r="AF770" t="s">
        <v>84</v>
      </c>
      <c r="AG770" s="17">
        <v>17232400.11</v>
      </c>
      <c r="AH770" s="17">
        <v>41.8</v>
      </c>
      <c r="AI770" s="17">
        <v>16.3</v>
      </c>
      <c r="AJ770" s="17">
        <v>16.3</v>
      </c>
      <c r="AK770" t="s">
        <v>165</v>
      </c>
      <c r="AM770" s="17">
        <v>2</v>
      </c>
      <c r="AN770" s="17"/>
      <c r="AO770" s="17">
        <v>725</v>
      </c>
      <c r="AP770" s="17"/>
      <c r="AQ770" s="17">
        <v>1295</v>
      </c>
      <c r="AR770" s="17"/>
      <c r="AS770" s="17">
        <v>2.69</v>
      </c>
      <c r="AT770" s="17"/>
      <c r="AU770" s="17">
        <v>968</v>
      </c>
      <c r="AV770" s="17"/>
      <c r="AW770" s="17">
        <v>2687</v>
      </c>
      <c r="AX770" s="17"/>
      <c r="AY770" t="s">
        <v>92</v>
      </c>
      <c r="AZ770" t="s">
        <v>92</v>
      </c>
      <c r="BA770" t="s">
        <v>92</v>
      </c>
      <c r="BB770" t="s">
        <v>92</v>
      </c>
      <c r="BC770" t="s">
        <v>92</v>
      </c>
      <c r="BD770" t="s">
        <v>92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92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92</v>
      </c>
      <c r="BS770" t="s">
        <v>92</v>
      </c>
      <c r="BT770" t="s">
        <v>92</v>
      </c>
      <c r="BU770" t="s">
        <v>92</v>
      </c>
      <c r="BV770" t="s">
        <v>92</v>
      </c>
      <c r="BW770" t="s">
        <v>92</v>
      </c>
      <c r="BX770" t="s">
        <v>92</v>
      </c>
      <c r="BY770" t="str">
        <f>IF(COUNTIF('Data Upload-prod'!E:E,F770)=0,"Missing","Exist")</f>
        <v>Exist</v>
      </c>
    </row>
    <row r="771" hidden="1" spans="1:77">
      <c r="A771" s="16">
        <v>41948</v>
      </c>
      <c r="B771" s="16">
        <v>42019</v>
      </c>
      <c r="C771" t="s">
        <v>132</v>
      </c>
      <c r="D771" t="s">
        <v>142</v>
      </c>
      <c r="E771" t="s">
        <v>1323</v>
      </c>
      <c r="F771" t="s">
        <v>1324</v>
      </c>
      <c r="G771" t="s">
        <v>145</v>
      </c>
      <c r="H771" t="s">
        <v>181</v>
      </c>
      <c r="I771" t="s">
        <v>124</v>
      </c>
      <c r="J771" s="17">
        <v>40</v>
      </c>
      <c r="K771" s="17">
        <v>3179</v>
      </c>
      <c r="L771" s="17">
        <v>2632</v>
      </c>
      <c r="M771" s="17">
        <v>21570316.29</v>
      </c>
      <c r="N771" s="17">
        <v>21570316.29</v>
      </c>
      <c r="O771" s="17">
        <v>35.25</v>
      </c>
      <c r="P771" s="17">
        <v>35.25</v>
      </c>
      <c r="Q771" t="s">
        <v>84</v>
      </c>
      <c r="R771" t="s">
        <v>84</v>
      </c>
      <c r="S771" t="s">
        <v>85</v>
      </c>
      <c r="T771" t="s">
        <v>84</v>
      </c>
      <c r="U771" t="s">
        <v>84</v>
      </c>
      <c r="V771" s="16">
        <v>41960</v>
      </c>
      <c r="W771" s="18">
        <v>41950.7708333333</v>
      </c>
      <c r="X771" s="18">
        <v>41994.9166666667</v>
      </c>
      <c r="Y771" s="17">
        <v>2988.1</v>
      </c>
      <c r="Z771" t="s">
        <v>87</v>
      </c>
      <c r="AA771" s="17">
        <v>3063</v>
      </c>
      <c r="AB771" s="17">
        <v>2545</v>
      </c>
      <c r="AC771" s="17">
        <v>23105898.83</v>
      </c>
      <c r="AD771" t="s">
        <v>84</v>
      </c>
      <c r="AE771" s="17">
        <v>44.23</v>
      </c>
      <c r="AF771" t="s">
        <v>84</v>
      </c>
      <c r="AG771" t="s">
        <v>84</v>
      </c>
      <c r="AH771" t="s">
        <v>84</v>
      </c>
      <c r="AI771" s="17">
        <v>7.35</v>
      </c>
      <c r="AJ771" s="17">
        <v>3.44</v>
      </c>
      <c r="AK771" t="s">
        <v>300</v>
      </c>
      <c r="AM771" s="17">
        <v>2.6</v>
      </c>
      <c r="AN771" s="17"/>
      <c r="AO771" s="17">
        <v>1010</v>
      </c>
      <c r="AP771" s="17"/>
      <c r="AQ771" s="17">
        <v>2090</v>
      </c>
      <c r="AR771" s="17"/>
      <c r="AS771" s="17">
        <v>2.45</v>
      </c>
      <c r="AT771" s="17"/>
      <c r="AU771" s="17">
        <v>1261</v>
      </c>
      <c r="AV771" s="17"/>
      <c r="AW771" s="17">
        <v>1923</v>
      </c>
      <c r="AX771" s="17"/>
      <c r="AY771" t="s">
        <v>92</v>
      </c>
      <c r="AZ771" t="s">
        <v>92</v>
      </c>
      <c r="BA771" t="s">
        <v>92</v>
      </c>
      <c r="BB771" t="s">
        <v>92</v>
      </c>
      <c r="BC771" t="s">
        <v>92</v>
      </c>
      <c r="BD771" t="s">
        <v>92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92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92</v>
      </c>
      <c r="BS771" t="s">
        <v>92</v>
      </c>
      <c r="BT771" t="s">
        <v>92</v>
      </c>
      <c r="BU771" t="s">
        <v>92</v>
      </c>
      <c r="BV771" t="s">
        <v>92</v>
      </c>
      <c r="BW771" t="s">
        <v>92</v>
      </c>
      <c r="BX771" t="s">
        <v>92</v>
      </c>
      <c r="BY771" t="str">
        <f>IF(COUNTIF('Data Upload-prod'!E:E,F771)=0,"Missing","Exist")</f>
        <v>Exist</v>
      </c>
    </row>
    <row r="772" hidden="1" spans="1:77">
      <c r="A772" s="16">
        <v>41935</v>
      </c>
      <c r="B772" s="16">
        <v>42004</v>
      </c>
      <c r="C772" t="s">
        <v>132</v>
      </c>
      <c r="D772" t="s">
        <v>120</v>
      </c>
      <c r="E772" t="s">
        <v>1325</v>
      </c>
      <c r="F772" t="s">
        <v>1326</v>
      </c>
      <c r="G772" t="s">
        <v>145</v>
      </c>
      <c r="H772" t="s">
        <v>1304</v>
      </c>
      <c r="I772" t="s">
        <v>124</v>
      </c>
      <c r="J772" s="17">
        <v>66</v>
      </c>
      <c r="K772" s="17">
        <v>3252</v>
      </c>
      <c r="L772" s="17">
        <v>2800</v>
      </c>
      <c r="M772" s="17">
        <v>15308845</v>
      </c>
      <c r="N772" s="17">
        <v>23550709</v>
      </c>
      <c r="O772" s="17">
        <v>31</v>
      </c>
      <c r="P772" s="17">
        <v>44</v>
      </c>
      <c r="Q772" t="s">
        <v>84</v>
      </c>
      <c r="R772" t="s">
        <v>84</v>
      </c>
      <c r="S772" t="s">
        <v>85</v>
      </c>
      <c r="T772" t="s">
        <v>84</v>
      </c>
      <c r="U772" t="s">
        <v>84</v>
      </c>
      <c r="V772" s="16">
        <v>41942</v>
      </c>
      <c r="W772" s="18">
        <v>41938.09375</v>
      </c>
      <c r="X772" s="18">
        <v>41969.2083333333</v>
      </c>
      <c r="Y772" s="17">
        <v>3198</v>
      </c>
      <c r="Z772" t="s">
        <v>87</v>
      </c>
      <c r="AA772" s="17">
        <v>3300</v>
      </c>
      <c r="AB772" s="17">
        <v>2836</v>
      </c>
      <c r="AC772" s="17">
        <v>13518523.11</v>
      </c>
      <c r="AD772" t="s">
        <v>84</v>
      </c>
      <c r="AE772" s="17">
        <v>30.1</v>
      </c>
      <c r="AF772" t="s">
        <v>84</v>
      </c>
      <c r="AG772" t="s">
        <v>84</v>
      </c>
      <c r="AH772" t="s">
        <v>84</v>
      </c>
      <c r="AI772" s="17">
        <v>5.8</v>
      </c>
      <c r="AJ772" s="17">
        <v>5.8</v>
      </c>
      <c r="AK772" t="s">
        <v>300</v>
      </c>
      <c r="AM772" s="17">
        <v>2.4</v>
      </c>
      <c r="AN772" s="17"/>
      <c r="AO772" s="17">
        <v>1375</v>
      </c>
      <c r="AP772" s="17"/>
      <c r="AQ772" s="17">
        <v>3025</v>
      </c>
      <c r="AR772" s="17"/>
      <c r="AS772" s="17">
        <v>1.34</v>
      </c>
      <c r="AT772" s="17"/>
      <c r="AU772" s="17">
        <v>593</v>
      </c>
      <c r="AV772" s="17"/>
      <c r="AW772" s="17">
        <v>879</v>
      </c>
      <c r="AX772" s="17"/>
      <c r="AY772" t="s">
        <v>92</v>
      </c>
      <c r="AZ772" t="s">
        <v>92</v>
      </c>
      <c r="BA772" t="s">
        <v>92</v>
      </c>
      <c r="BB772" t="s">
        <v>92</v>
      </c>
      <c r="BC772" t="s">
        <v>92</v>
      </c>
      <c r="BD772" t="s">
        <v>92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92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92</v>
      </c>
      <c r="BS772" t="s">
        <v>92</v>
      </c>
      <c r="BT772" t="s">
        <v>92</v>
      </c>
      <c r="BU772" t="s">
        <v>92</v>
      </c>
      <c r="BV772" t="s">
        <v>92</v>
      </c>
      <c r="BW772" t="s">
        <v>92</v>
      </c>
      <c r="BX772" t="s">
        <v>92</v>
      </c>
      <c r="BY772" t="str">
        <f>IF(COUNTIF('Data Upload-prod'!E:E,F772)=0,"Missing","Exist")</f>
        <v>Exist</v>
      </c>
    </row>
    <row r="773" hidden="1" spans="1:77">
      <c r="A773" s="16">
        <v>41933</v>
      </c>
      <c r="B773" s="16">
        <v>42325</v>
      </c>
      <c r="C773" t="s">
        <v>233</v>
      </c>
      <c r="D773" t="s">
        <v>78</v>
      </c>
      <c r="E773" t="s">
        <v>1327</v>
      </c>
      <c r="F773" t="s">
        <v>1328</v>
      </c>
      <c r="G773" t="s">
        <v>145</v>
      </c>
      <c r="H773" t="s">
        <v>1216</v>
      </c>
      <c r="I773" t="s">
        <v>124</v>
      </c>
      <c r="J773" s="17">
        <v>69.3</v>
      </c>
      <c r="K773" s="17">
        <v>1299</v>
      </c>
      <c r="L773" s="17">
        <v>1299</v>
      </c>
      <c r="M773" s="17">
        <v>13600000</v>
      </c>
      <c r="N773" s="17">
        <v>16700000</v>
      </c>
      <c r="O773" s="17">
        <v>21.7</v>
      </c>
      <c r="P773" s="17">
        <v>27</v>
      </c>
      <c r="Q773" t="s">
        <v>84</v>
      </c>
      <c r="R773" t="s">
        <v>84</v>
      </c>
      <c r="S773" t="s">
        <v>85</v>
      </c>
      <c r="T773" t="s">
        <v>84</v>
      </c>
      <c r="U773" t="s">
        <v>84</v>
      </c>
      <c r="V773" s="16">
        <v>42278</v>
      </c>
      <c r="W773" s="18">
        <v>42269.375</v>
      </c>
      <c r="X773" s="18">
        <v>42293.5833333333</v>
      </c>
      <c r="Y773" s="17">
        <v>1189.7</v>
      </c>
      <c r="Z773" t="s">
        <v>87</v>
      </c>
      <c r="AA773" s="17">
        <v>1293</v>
      </c>
      <c r="AB773" s="17">
        <v>1292.9</v>
      </c>
      <c r="AC773" t="s">
        <v>84</v>
      </c>
      <c r="AD773" s="17">
        <v>10700000</v>
      </c>
      <c r="AE773" t="s">
        <v>84</v>
      </c>
      <c r="AF773" s="17">
        <v>20.9</v>
      </c>
      <c r="AG773" t="s">
        <v>84</v>
      </c>
      <c r="AH773" t="s">
        <v>84</v>
      </c>
      <c r="AI773" s="17">
        <v>14.08</v>
      </c>
      <c r="AJ773" s="17">
        <v>14.08</v>
      </c>
      <c r="AK773" t="s">
        <v>300</v>
      </c>
      <c r="AM773" s="17">
        <v>1.9</v>
      </c>
      <c r="AN773" s="17"/>
      <c r="AO773" s="17">
        <v>720</v>
      </c>
      <c r="AP773" s="17"/>
      <c r="AQ773" s="17">
        <v>1370</v>
      </c>
      <c r="AR773" s="17"/>
      <c r="AS773" s="17">
        <v>2.52</v>
      </c>
      <c r="AT773" s="17"/>
      <c r="AU773" s="17">
        <v>1158.12</v>
      </c>
      <c r="AV773" s="17"/>
      <c r="AW773" s="17">
        <v>2739.18</v>
      </c>
      <c r="AX773" s="17"/>
      <c r="AY773" t="s">
        <v>92</v>
      </c>
      <c r="AZ773" t="s">
        <v>92</v>
      </c>
      <c r="BA773" t="s">
        <v>92</v>
      </c>
      <c r="BB773" t="s">
        <v>92</v>
      </c>
      <c r="BC773" t="s">
        <v>92</v>
      </c>
      <c r="BD773" t="s">
        <v>92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92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92</v>
      </c>
      <c r="BS773" t="s">
        <v>92</v>
      </c>
      <c r="BT773" t="s">
        <v>92</v>
      </c>
      <c r="BU773" t="s">
        <v>92</v>
      </c>
      <c r="BV773" t="s">
        <v>92</v>
      </c>
      <c r="BW773" t="s">
        <v>92</v>
      </c>
      <c r="BX773" t="s">
        <v>92</v>
      </c>
      <c r="BY773" t="str">
        <f>IF(COUNTIF('Data Upload-prod'!E:E,F773)=0,"Missing","Exist")</f>
        <v>Exist</v>
      </c>
    </row>
    <row r="774" hidden="1" spans="1:77">
      <c r="A774" s="16">
        <v>41929</v>
      </c>
      <c r="B774" s="16">
        <v>42136</v>
      </c>
      <c r="C774" t="s">
        <v>187</v>
      </c>
      <c r="D774" t="s">
        <v>78</v>
      </c>
      <c r="E774" t="s">
        <v>188</v>
      </c>
      <c r="F774" t="s">
        <v>1329</v>
      </c>
      <c r="G774" t="s">
        <v>81</v>
      </c>
      <c r="H774" t="s">
        <v>252</v>
      </c>
      <c r="I774" t="s">
        <v>124</v>
      </c>
      <c r="J774" s="17">
        <v>64.8</v>
      </c>
      <c r="K774" s="17">
        <v>3402.5</v>
      </c>
      <c r="L774" s="17">
        <v>1482.96</v>
      </c>
      <c r="M774" t="s">
        <v>84</v>
      </c>
      <c r="N774" t="s">
        <v>84</v>
      </c>
      <c r="O774" t="s">
        <v>84</v>
      </c>
      <c r="P774" t="s">
        <v>84</v>
      </c>
      <c r="Q774" s="17">
        <v>15563430.55</v>
      </c>
      <c r="R774" s="17">
        <v>37.5</v>
      </c>
      <c r="S774" t="s">
        <v>85</v>
      </c>
      <c r="T774" t="s">
        <v>84</v>
      </c>
      <c r="U774" t="s">
        <v>86</v>
      </c>
      <c r="V774" s="16">
        <v>41946</v>
      </c>
      <c r="W774" s="18">
        <v>41941.875</v>
      </c>
      <c r="X774" s="18">
        <v>42056.6666666667</v>
      </c>
      <c r="Y774" s="17">
        <v>3279.4</v>
      </c>
      <c r="Z774" t="s">
        <v>87</v>
      </c>
      <c r="AA774" s="17">
        <v>3387</v>
      </c>
      <c r="AB774" s="17">
        <v>1559.22</v>
      </c>
      <c r="AC774" t="s">
        <v>84</v>
      </c>
      <c r="AD774" t="s">
        <v>84</v>
      </c>
      <c r="AE774" t="s">
        <v>84</v>
      </c>
      <c r="AF774" t="s">
        <v>84</v>
      </c>
      <c r="AG774" s="17">
        <v>14660252.57</v>
      </c>
      <c r="AH774" s="17">
        <v>27.62</v>
      </c>
      <c r="AI774" s="17">
        <v>6</v>
      </c>
      <c r="AJ774" s="17">
        <v>6</v>
      </c>
      <c r="AK774" t="s">
        <v>114</v>
      </c>
      <c r="AM774" s="17">
        <v>2.2</v>
      </c>
      <c r="AN774" s="17"/>
      <c r="AO774" s="17">
        <v>915</v>
      </c>
      <c r="AP774" s="17"/>
      <c r="AQ774" s="17">
        <v>1520</v>
      </c>
      <c r="AR774" s="17"/>
      <c r="AS774" s="13" t="s">
        <v>150</v>
      </c>
      <c r="AT774" s="13"/>
      <c r="AU774" s="13" t="s">
        <v>150</v>
      </c>
      <c r="AW774" s="13" t="s">
        <v>150</v>
      </c>
      <c r="AY774" t="s">
        <v>92</v>
      </c>
      <c r="AZ774" t="s">
        <v>92</v>
      </c>
      <c r="BA774" t="s">
        <v>92</v>
      </c>
      <c r="BB774" t="s">
        <v>92</v>
      </c>
      <c r="BC774" t="s">
        <v>92</v>
      </c>
      <c r="BD774" s="17">
        <v>4.29</v>
      </c>
      <c r="BE774" s="17">
        <v>2853762</v>
      </c>
      <c r="BF774" t="s">
        <v>92</v>
      </c>
      <c r="BG774" t="s">
        <v>92</v>
      </c>
      <c r="BH774" t="s">
        <v>93</v>
      </c>
      <c r="BI774" t="s">
        <v>94</v>
      </c>
      <c r="BJ774" t="s">
        <v>173</v>
      </c>
      <c r="BK774" t="s">
        <v>85</v>
      </c>
      <c r="BL774" t="s">
        <v>85</v>
      </c>
      <c r="BM774" t="s">
        <v>96</v>
      </c>
      <c r="BN774" t="s">
        <v>97</v>
      </c>
      <c r="BO774" t="s">
        <v>98</v>
      </c>
      <c r="BP774" t="s">
        <v>254</v>
      </c>
      <c r="BQ774" s="17">
        <v>0</v>
      </c>
      <c r="BR774" t="s">
        <v>100</v>
      </c>
      <c r="BS774" t="s">
        <v>92</v>
      </c>
      <c r="BT774" t="s">
        <v>255</v>
      </c>
      <c r="BU774" s="17">
        <v>8.6</v>
      </c>
      <c r="BV774" t="s">
        <v>131</v>
      </c>
      <c r="BW774" t="s">
        <v>85</v>
      </c>
      <c r="BX774" t="s">
        <v>85</v>
      </c>
      <c r="BY774" t="str">
        <f>IF(COUNTIF('Data Upload-prod'!E:E,F774)=0,"Missing","Exist")</f>
        <v>Exist</v>
      </c>
    </row>
    <row r="775" hidden="1" spans="1:77">
      <c r="A775" s="16">
        <v>41915</v>
      </c>
      <c r="B775" s="16">
        <v>42009</v>
      </c>
      <c r="C775" t="s">
        <v>132</v>
      </c>
      <c r="D775" t="s">
        <v>142</v>
      </c>
      <c r="E775" t="s">
        <v>1330</v>
      </c>
      <c r="F775" t="s">
        <v>1331</v>
      </c>
      <c r="G775" t="s">
        <v>145</v>
      </c>
      <c r="H775" t="s">
        <v>181</v>
      </c>
      <c r="I775" t="s">
        <v>124</v>
      </c>
      <c r="J775" s="17">
        <v>13</v>
      </c>
      <c r="K775" s="17">
        <v>1710</v>
      </c>
      <c r="L775" s="17">
        <v>1710</v>
      </c>
      <c r="M775" s="17">
        <v>16363942.79</v>
      </c>
      <c r="N775" s="17">
        <v>26436778.72</v>
      </c>
      <c r="O775" s="17">
        <v>30.41</v>
      </c>
      <c r="P775" s="17">
        <v>54.05</v>
      </c>
      <c r="Q775" t="s">
        <v>84</v>
      </c>
      <c r="R775" t="s">
        <v>84</v>
      </c>
      <c r="S775" t="s">
        <v>85</v>
      </c>
      <c r="T775" t="s">
        <v>84</v>
      </c>
      <c r="U775" t="s">
        <v>84</v>
      </c>
      <c r="V775" s="16">
        <v>41931.5</v>
      </c>
      <c r="W775" s="18">
        <v>41925</v>
      </c>
      <c r="X775" s="18">
        <v>41950.7708333333</v>
      </c>
      <c r="Y775" s="17">
        <v>1817.1</v>
      </c>
      <c r="Z775" t="s">
        <v>87</v>
      </c>
      <c r="AA775" s="17">
        <v>1865</v>
      </c>
      <c r="AB775" s="17">
        <v>1865</v>
      </c>
      <c r="AC775" s="17">
        <v>12583111.25</v>
      </c>
      <c r="AD775" t="s">
        <v>84</v>
      </c>
      <c r="AE775" s="17">
        <v>25.77</v>
      </c>
      <c r="AF775" t="s">
        <v>84</v>
      </c>
      <c r="AG775" t="s">
        <v>84</v>
      </c>
      <c r="AH775" t="s">
        <v>84</v>
      </c>
      <c r="AI775" s="17">
        <v>3.36</v>
      </c>
      <c r="AJ775" s="17">
        <v>3.36</v>
      </c>
      <c r="AK775" t="s">
        <v>544</v>
      </c>
      <c r="AM775" s="17">
        <v>1.2</v>
      </c>
      <c r="AN775" s="17"/>
      <c r="AO775" s="17">
        <v>385</v>
      </c>
      <c r="AP775" s="17"/>
      <c r="AQ775" s="17">
        <v>930</v>
      </c>
      <c r="AR775" s="17"/>
      <c r="AS775" s="17">
        <v>2.02</v>
      </c>
      <c r="AT775" s="17"/>
      <c r="AU775" s="17">
        <v>961</v>
      </c>
      <c r="AV775" s="17"/>
      <c r="AW775" s="17">
        <v>1869</v>
      </c>
      <c r="AX775" s="17"/>
      <c r="AY775" t="s">
        <v>92</v>
      </c>
      <c r="AZ775" t="s">
        <v>92</v>
      </c>
      <c r="BA775" t="s">
        <v>92</v>
      </c>
      <c r="BB775" t="s">
        <v>92</v>
      </c>
      <c r="BC775" t="s">
        <v>92</v>
      </c>
      <c r="BD775" t="s">
        <v>92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92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92</v>
      </c>
      <c r="BS775" t="s">
        <v>92</v>
      </c>
      <c r="BT775" t="s">
        <v>92</v>
      </c>
      <c r="BU775" t="s">
        <v>92</v>
      </c>
      <c r="BV775" t="s">
        <v>92</v>
      </c>
      <c r="BW775" t="s">
        <v>92</v>
      </c>
      <c r="BX775" t="s">
        <v>92</v>
      </c>
      <c r="BY775" t="str">
        <f>IF(COUNTIF('Data Upload-prod'!E:E,F775)=0,"Missing","Exist")</f>
        <v>Exist</v>
      </c>
    </row>
    <row r="776" hidden="1" spans="1:77">
      <c r="A776" s="16">
        <v>41911</v>
      </c>
      <c r="B776" s="16">
        <v>41977</v>
      </c>
      <c r="C776" t="s">
        <v>132</v>
      </c>
      <c r="D776" t="s">
        <v>120</v>
      </c>
      <c r="E776" t="s">
        <v>1332</v>
      </c>
      <c r="F776" t="s">
        <v>1333</v>
      </c>
      <c r="G776" t="s">
        <v>145</v>
      </c>
      <c r="H776" t="s">
        <v>1304</v>
      </c>
      <c r="I776" t="s">
        <v>124</v>
      </c>
      <c r="J776" s="17">
        <v>66.4</v>
      </c>
      <c r="K776" s="17">
        <v>1305</v>
      </c>
      <c r="L776" s="17">
        <v>1305</v>
      </c>
      <c r="M776" s="17">
        <v>16770000</v>
      </c>
      <c r="N776" s="17">
        <v>22860000</v>
      </c>
      <c r="O776" s="17">
        <v>27</v>
      </c>
      <c r="P776" s="17">
        <v>38</v>
      </c>
      <c r="Q776" t="s">
        <v>84</v>
      </c>
      <c r="R776" t="s">
        <v>84</v>
      </c>
      <c r="S776" t="s">
        <v>85</v>
      </c>
      <c r="T776" t="s">
        <v>84</v>
      </c>
      <c r="U776" t="s">
        <v>84</v>
      </c>
      <c r="V776" s="16">
        <v>41921.3125</v>
      </c>
      <c r="W776" s="18">
        <v>41914.71875</v>
      </c>
      <c r="X776" s="18">
        <v>41938.09375</v>
      </c>
      <c r="Y776" s="17">
        <v>1250.75</v>
      </c>
      <c r="Z776" t="s">
        <v>87</v>
      </c>
      <c r="AA776" s="17">
        <v>1353</v>
      </c>
      <c r="AB776" s="17">
        <v>1353</v>
      </c>
      <c r="AC776" s="17">
        <v>11140000</v>
      </c>
      <c r="AD776" t="s">
        <v>84</v>
      </c>
      <c r="AE776" s="17">
        <v>23.36</v>
      </c>
      <c r="AF776" t="s">
        <v>84</v>
      </c>
      <c r="AG776" t="s">
        <v>84</v>
      </c>
      <c r="AH776" t="s">
        <v>84</v>
      </c>
      <c r="AI776" s="17">
        <v>0.89</v>
      </c>
      <c r="AJ776" s="17">
        <v>0.89</v>
      </c>
      <c r="AK776" t="s">
        <v>323</v>
      </c>
      <c r="AM776" s="17">
        <v>4.4</v>
      </c>
      <c r="AN776" s="17"/>
      <c r="AO776" s="17">
        <v>1980</v>
      </c>
      <c r="AP776" s="17"/>
      <c r="AQ776" s="17">
        <v>2760</v>
      </c>
      <c r="AR776" s="17"/>
      <c r="AS776" s="17">
        <v>1.54</v>
      </c>
      <c r="AT776" s="17"/>
      <c r="AU776" s="17">
        <v>789</v>
      </c>
      <c r="AV776" s="17"/>
      <c r="AW776" s="17">
        <v>1157</v>
      </c>
      <c r="AX776" s="17"/>
      <c r="AY776" t="s">
        <v>92</v>
      </c>
      <c r="AZ776" t="s">
        <v>92</v>
      </c>
      <c r="BA776" t="s">
        <v>92</v>
      </c>
      <c r="BB776" t="s">
        <v>92</v>
      </c>
      <c r="BC776" t="s">
        <v>92</v>
      </c>
      <c r="BD776" t="s">
        <v>92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92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92</v>
      </c>
      <c r="BS776" t="s">
        <v>92</v>
      </c>
      <c r="BT776" t="s">
        <v>92</v>
      </c>
      <c r="BU776" t="s">
        <v>92</v>
      </c>
      <c r="BV776" t="s">
        <v>92</v>
      </c>
      <c r="BW776" t="s">
        <v>92</v>
      </c>
      <c r="BX776" t="s">
        <v>92</v>
      </c>
      <c r="BY776" t="str">
        <f>IF(COUNTIF('Data Upload-prod'!E:E,F776)=0,"Missing","Exist")</f>
        <v>Exist</v>
      </c>
    </row>
    <row r="777" spans="1:77">
      <c r="A777" s="16">
        <v>41911</v>
      </c>
      <c r="B777" s="16">
        <v>41995</v>
      </c>
      <c r="C777" t="s">
        <v>218</v>
      </c>
      <c r="D777" t="s">
        <v>78</v>
      </c>
      <c r="E777" t="s">
        <v>1334</v>
      </c>
      <c r="F777" t="s">
        <v>1335</v>
      </c>
      <c r="G777" t="s">
        <v>81</v>
      </c>
      <c r="H777" t="s">
        <v>1336</v>
      </c>
      <c r="I777" t="s">
        <v>124</v>
      </c>
      <c r="J777" s="17">
        <v>66.77</v>
      </c>
      <c r="K777" s="17">
        <v>1827</v>
      </c>
      <c r="L777" s="17">
        <v>1328</v>
      </c>
      <c r="M777" t="s">
        <v>84</v>
      </c>
      <c r="N777" t="s">
        <v>84</v>
      </c>
      <c r="O777" t="s">
        <v>84</v>
      </c>
      <c r="P777" t="s">
        <v>84</v>
      </c>
      <c r="Q777" s="17">
        <v>20935590</v>
      </c>
      <c r="R777" s="17">
        <v>49.13</v>
      </c>
      <c r="S777" t="s">
        <v>85</v>
      </c>
      <c r="T777" t="s">
        <v>84</v>
      </c>
      <c r="U777" t="s">
        <v>84</v>
      </c>
      <c r="V777" s="16">
        <v>41925.7083333333</v>
      </c>
      <c r="W777" s="18">
        <v>41924.9166666667</v>
      </c>
      <c r="X777" s="18">
        <v>41969</v>
      </c>
      <c r="Y777" s="17">
        <v>1700.16</v>
      </c>
      <c r="Z777" t="s">
        <v>87</v>
      </c>
      <c r="AA777" s="17">
        <v>1806.4</v>
      </c>
      <c r="AB777" s="17">
        <v>1798.52</v>
      </c>
      <c r="AC777" t="s">
        <v>84</v>
      </c>
      <c r="AD777" t="s">
        <v>84</v>
      </c>
      <c r="AE777" t="s">
        <v>84</v>
      </c>
      <c r="AF777" t="s">
        <v>84</v>
      </c>
      <c r="AG777" s="17">
        <v>21574000</v>
      </c>
      <c r="AH777" s="17">
        <v>44.08</v>
      </c>
      <c r="AI777" s="17">
        <v>45.09</v>
      </c>
      <c r="AJ777" s="17">
        <v>45.09</v>
      </c>
      <c r="AK777" t="s">
        <v>208</v>
      </c>
      <c r="AL777" t="s">
        <v>208</v>
      </c>
      <c r="AM777" s="17">
        <v>2.1</v>
      </c>
      <c r="AN777" s="17">
        <v>2.1</v>
      </c>
      <c r="AO777" s="17">
        <v>700</v>
      </c>
      <c r="AP777" s="17">
        <v>700</v>
      </c>
      <c r="AQ777" s="17">
        <v>1620</v>
      </c>
      <c r="AR777" s="17">
        <v>1620</v>
      </c>
      <c r="AS777" s="13" t="s">
        <v>90</v>
      </c>
      <c r="AT777" s="19">
        <v>2.29</v>
      </c>
      <c r="AU777" s="13" t="s">
        <v>90</v>
      </c>
      <c r="AV777" s="13">
        <v>839</v>
      </c>
      <c r="AW777" s="13" t="s">
        <v>90</v>
      </c>
      <c r="AX777" s="13">
        <v>3858</v>
      </c>
      <c r="AY777" t="s">
        <v>92</v>
      </c>
      <c r="AZ777" t="s">
        <v>92</v>
      </c>
      <c r="BA777" t="s">
        <v>92</v>
      </c>
      <c r="BB777" t="s">
        <v>92</v>
      </c>
      <c r="BC777" t="s">
        <v>92</v>
      </c>
      <c r="BD777" t="s">
        <v>92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92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92</v>
      </c>
      <c r="BS777" t="s">
        <v>92</v>
      </c>
      <c r="BT777" t="s">
        <v>92</v>
      </c>
      <c r="BU777" t="s">
        <v>92</v>
      </c>
      <c r="BV777" t="s">
        <v>92</v>
      </c>
      <c r="BW777" t="s">
        <v>92</v>
      </c>
      <c r="BX777" t="s">
        <v>92</v>
      </c>
      <c r="BY777" t="str">
        <f>IF(COUNTIF('Data Upload-prod'!E:E,F777)=0,"Missing","Exist")</f>
        <v>Exist</v>
      </c>
    </row>
    <row r="778" hidden="1" spans="1:77">
      <c r="A778" s="16">
        <v>41907</v>
      </c>
      <c r="B778" s="16">
        <v>42151</v>
      </c>
      <c r="C778" t="s">
        <v>750</v>
      </c>
      <c r="D778" t="s">
        <v>142</v>
      </c>
      <c r="E778" t="s">
        <v>1131</v>
      </c>
      <c r="F778" t="s">
        <v>1337</v>
      </c>
      <c r="G778" t="s">
        <v>145</v>
      </c>
      <c r="H778" t="s">
        <v>1247</v>
      </c>
      <c r="I778" t="s">
        <v>231</v>
      </c>
      <c r="J778" s="17">
        <v>1156.2</v>
      </c>
      <c r="K778" s="17">
        <v>3250.63</v>
      </c>
      <c r="L778" s="17">
        <v>3226.2</v>
      </c>
      <c r="M778" s="17">
        <v>76485000</v>
      </c>
      <c r="N778" s="17">
        <v>76485000</v>
      </c>
      <c r="O778" s="17">
        <v>57</v>
      </c>
      <c r="P778" s="17">
        <v>57</v>
      </c>
      <c r="Q778" t="s">
        <v>84</v>
      </c>
      <c r="R778" t="s">
        <v>84</v>
      </c>
      <c r="S778" t="s">
        <v>85</v>
      </c>
      <c r="T778" t="s">
        <v>84</v>
      </c>
      <c r="U778" t="s">
        <v>84</v>
      </c>
      <c r="V778" s="16">
        <v>42032</v>
      </c>
      <c r="W778" s="18">
        <v>42030.7708333333</v>
      </c>
      <c r="X778" s="18">
        <v>42092.5</v>
      </c>
      <c r="Y778" s="17">
        <v>1662.6</v>
      </c>
      <c r="Z778" t="s">
        <v>148</v>
      </c>
      <c r="AA778" s="17">
        <v>2845</v>
      </c>
      <c r="AB778" s="17">
        <v>2819.9</v>
      </c>
      <c r="AC778" t="s">
        <v>84</v>
      </c>
      <c r="AD778" s="17">
        <v>73100000</v>
      </c>
      <c r="AE778" t="s">
        <v>84</v>
      </c>
      <c r="AF778" s="17">
        <v>61.7</v>
      </c>
      <c r="AG778" t="s">
        <v>84</v>
      </c>
      <c r="AH778" t="s">
        <v>84</v>
      </c>
      <c r="AI778" s="17">
        <v>2.58</v>
      </c>
      <c r="AJ778" s="17">
        <v>2.48</v>
      </c>
      <c r="AK778" s="13" t="s">
        <v>155</v>
      </c>
      <c r="AM778" t="s">
        <v>92</v>
      </c>
      <c r="AO778" t="s">
        <v>92</v>
      </c>
      <c r="AQ778" t="s">
        <v>92</v>
      </c>
      <c r="AS778" s="17">
        <v>6.2</v>
      </c>
      <c r="AT778" s="17"/>
      <c r="AU778" s="17">
        <v>9073</v>
      </c>
      <c r="AV778" s="17"/>
      <c r="AW778" s="17">
        <v>13402</v>
      </c>
      <c r="AX778" s="17"/>
      <c r="AY778" t="s">
        <v>92</v>
      </c>
      <c r="AZ778" t="s">
        <v>92</v>
      </c>
      <c r="BA778" t="s">
        <v>92</v>
      </c>
      <c r="BB778" t="s">
        <v>92</v>
      </c>
      <c r="BC778" t="s">
        <v>92</v>
      </c>
      <c r="BD778" t="s">
        <v>92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92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92</v>
      </c>
      <c r="BS778" t="s">
        <v>92</v>
      </c>
      <c r="BT778" t="s">
        <v>92</v>
      </c>
      <c r="BU778" t="s">
        <v>92</v>
      </c>
      <c r="BV778" t="s">
        <v>92</v>
      </c>
      <c r="BW778" t="s">
        <v>92</v>
      </c>
      <c r="BX778" t="s">
        <v>92</v>
      </c>
      <c r="BY778" t="str">
        <f>IF(COUNTIF('Data Upload-prod'!E:E,F778)=0,"Missing","Exist")</f>
        <v>Exist</v>
      </c>
    </row>
    <row r="779" hidden="1" spans="1:77">
      <c r="A779" s="16">
        <v>41906</v>
      </c>
      <c r="B779" s="16">
        <v>42065</v>
      </c>
      <c r="C779" t="s">
        <v>360</v>
      </c>
      <c r="D779" t="s">
        <v>142</v>
      </c>
      <c r="E779" t="s">
        <v>589</v>
      </c>
      <c r="F779" t="s">
        <v>1338</v>
      </c>
      <c r="G779" t="s">
        <v>81</v>
      </c>
      <c r="H779" t="s">
        <v>1247</v>
      </c>
      <c r="I779" t="s">
        <v>231</v>
      </c>
      <c r="J779" s="17">
        <v>1306.5</v>
      </c>
      <c r="K779" s="17">
        <v>4370</v>
      </c>
      <c r="L779" s="17">
        <v>3056</v>
      </c>
      <c r="M779" t="s">
        <v>84</v>
      </c>
      <c r="N779" t="s">
        <v>84</v>
      </c>
      <c r="O779" t="s">
        <v>84</v>
      </c>
      <c r="P779" t="s">
        <v>84</v>
      </c>
      <c r="Q779" s="17">
        <v>66937239</v>
      </c>
      <c r="R779" s="17">
        <v>52.8</v>
      </c>
      <c r="S779" t="s">
        <v>106</v>
      </c>
      <c r="T779" t="s">
        <v>84</v>
      </c>
      <c r="U779" t="s">
        <v>84</v>
      </c>
      <c r="V779" s="16">
        <v>41989</v>
      </c>
      <c r="W779" s="18">
        <v>41971</v>
      </c>
      <c r="X779" s="18">
        <v>42030.3333333333</v>
      </c>
      <c r="Y779" s="17">
        <v>2462.3</v>
      </c>
      <c r="Z779" t="s">
        <v>148</v>
      </c>
      <c r="AA779" s="17">
        <v>3795</v>
      </c>
      <c r="AB779" s="17">
        <v>2885</v>
      </c>
      <c r="AC779" t="s">
        <v>84</v>
      </c>
      <c r="AD779" t="s">
        <v>84</v>
      </c>
      <c r="AE779" t="s">
        <v>84</v>
      </c>
      <c r="AF779" t="s">
        <v>84</v>
      </c>
      <c r="AG779" s="17">
        <v>64898942</v>
      </c>
      <c r="AH779" s="17">
        <v>59.33</v>
      </c>
      <c r="AI779" s="17">
        <v>1.09</v>
      </c>
      <c r="AJ779" s="17">
        <v>0.46</v>
      </c>
      <c r="AK779" t="s">
        <v>767</v>
      </c>
      <c r="AM779" s="17">
        <v>3.1</v>
      </c>
      <c r="AN779" s="17"/>
      <c r="AO779" s="17">
        <v>1500</v>
      </c>
      <c r="AP779" s="17"/>
      <c r="AQ779" s="17">
        <v>3540</v>
      </c>
      <c r="AR779" s="17"/>
      <c r="AS779" s="17">
        <v>11.86</v>
      </c>
      <c r="AT779" s="17"/>
      <c r="AU779" s="17">
        <v>12975</v>
      </c>
      <c r="AV779" s="17"/>
      <c r="AW779" s="17">
        <v>29676</v>
      </c>
      <c r="AX779" s="17"/>
      <c r="AY779" t="s">
        <v>92</v>
      </c>
      <c r="AZ779" t="s">
        <v>92</v>
      </c>
      <c r="BA779" t="s">
        <v>92</v>
      </c>
      <c r="BB779" t="s">
        <v>92</v>
      </c>
      <c r="BC779" t="s">
        <v>92</v>
      </c>
      <c r="BD779" t="s">
        <v>92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92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92</v>
      </c>
      <c r="BS779" t="s">
        <v>92</v>
      </c>
      <c r="BT779" t="s">
        <v>92</v>
      </c>
      <c r="BU779" t="s">
        <v>92</v>
      </c>
      <c r="BV779" t="s">
        <v>92</v>
      </c>
      <c r="BW779" t="s">
        <v>92</v>
      </c>
      <c r="BX779" t="s">
        <v>92</v>
      </c>
      <c r="BY779" t="str">
        <f>IF(COUNTIF('Data Upload-prod'!E:E,F779)=0,"Missing","Exist")</f>
        <v>Exist</v>
      </c>
    </row>
    <row r="780" hidden="1" spans="1:77">
      <c r="A780" s="16">
        <v>41899</v>
      </c>
      <c r="B780" s="16">
        <v>42094</v>
      </c>
      <c r="C780" t="s">
        <v>360</v>
      </c>
      <c r="D780" t="s">
        <v>120</v>
      </c>
      <c r="E780" t="s">
        <v>715</v>
      </c>
      <c r="F780" t="s">
        <v>1339</v>
      </c>
      <c r="G780" t="s">
        <v>81</v>
      </c>
      <c r="H780" t="s">
        <v>185</v>
      </c>
      <c r="I780" t="s">
        <v>124</v>
      </c>
      <c r="J780" s="17">
        <v>35</v>
      </c>
      <c r="K780" s="17">
        <v>1783</v>
      </c>
      <c r="L780" s="17">
        <v>1198</v>
      </c>
      <c r="M780" t="s">
        <v>84</v>
      </c>
      <c r="N780" t="s">
        <v>84</v>
      </c>
      <c r="O780" t="s">
        <v>84</v>
      </c>
      <c r="P780" t="s">
        <v>84</v>
      </c>
      <c r="Q780" s="17">
        <v>7400000</v>
      </c>
      <c r="R780" s="17">
        <v>13.5</v>
      </c>
      <c r="S780" t="s">
        <v>85</v>
      </c>
      <c r="T780" t="s">
        <v>84</v>
      </c>
      <c r="U780" t="s">
        <v>84</v>
      </c>
      <c r="V780" s="16">
        <v>41993.4791666667</v>
      </c>
      <c r="W780" s="18">
        <v>41993.1875</v>
      </c>
      <c r="X780" s="18">
        <v>42066.2083333333</v>
      </c>
      <c r="Y780" s="17">
        <v>2317.16</v>
      </c>
      <c r="Z780" t="s">
        <v>87</v>
      </c>
      <c r="AA780" s="17">
        <v>2395</v>
      </c>
      <c r="AB780" s="17">
        <v>1428.04</v>
      </c>
      <c r="AC780" t="s">
        <v>84</v>
      </c>
      <c r="AD780" t="s">
        <v>84</v>
      </c>
      <c r="AE780" t="s">
        <v>84</v>
      </c>
      <c r="AF780" t="s">
        <v>84</v>
      </c>
      <c r="AG780" s="17">
        <v>6695903</v>
      </c>
      <c r="AH780" s="17">
        <v>13.1</v>
      </c>
      <c r="AI780" s="17">
        <v>3.98</v>
      </c>
      <c r="AJ780" s="17">
        <v>3.98</v>
      </c>
      <c r="AK780" t="s">
        <v>208</v>
      </c>
      <c r="AM780" s="17">
        <v>2.2</v>
      </c>
      <c r="AN780" s="17"/>
      <c r="AO780" s="17">
        <v>830</v>
      </c>
      <c r="AP780" s="17"/>
      <c r="AQ780" s="17">
        <v>1395</v>
      </c>
      <c r="AR780" s="17"/>
      <c r="AS780" s="17">
        <v>1.02</v>
      </c>
      <c r="AT780" s="17"/>
      <c r="AU780" s="17">
        <v>487</v>
      </c>
      <c r="AV780" s="17"/>
      <c r="AW780" s="17">
        <v>503</v>
      </c>
      <c r="AX780" s="17"/>
      <c r="AY780" t="s">
        <v>92</v>
      </c>
      <c r="AZ780" t="s">
        <v>92</v>
      </c>
      <c r="BA780" t="s">
        <v>92</v>
      </c>
      <c r="BB780" t="s">
        <v>92</v>
      </c>
      <c r="BC780" t="s">
        <v>92</v>
      </c>
      <c r="BD780" t="s">
        <v>92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92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92</v>
      </c>
      <c r="BS780" t="s">
        <v>92</v>
      </c>
      <c r="BT780" t="s">
        <v>92</v>
      </c>
      <c r="BU780" t="s">
        <v>92</v>
      </c>
      <c r="BV780" t="s">
        <v>92</v>
      </c>
      <c r="BW780" t="s">
        <v>92</v>
      </c>
      <c r="BX780" t="s">
        <v>92</v>
      </c>
      <c r="BY780" t="str">
        <f>IF(COUNTIF('Data Upload-prod'!E:E,F780)=0,"Missing","Exist")</f>
        <v>Exist</v>
      </c>
    </row>
    <row r="781" hidden="1" spans="1:77">
      <c r="A781" s="16">
        <v>41899</v>
      </c>
      <c r="B781" s="16">
        <v>42040</v>
      </c>
      <c r="C781" t="s">
        <v>360</v>
      </c>
      <c r="D781" t="s">
        <v>120</v>
      </c>
      <c r="E781" t="s">
        <v>715</v>
      </c>
      <c r="F781" t="s">
        <v>1340</v>
      </c>
      <c r="G781" t="s">
        <v>81</v>
      </c>
      <c r="H781" t="s">
        <v>185</v>
      </c>
      <c r="I781" t="s">
        <v>124</v>
      </c>
      <c r="J781" s="17">
        <v>42.8</v>
      </c>
      <c r="K781" s="17">
        <v>2211</v>
      </c>
      <c r="L781" s="17">
        <v>1557</v>
      </c>
      <c r="M781" t="s">
        <v>84</v>
      </c>
      <c r="N781" t="s">
        <v>84</v>
      </c>
      <c r="O781" t="s">
        <v>84</v>
      </c>
      <c r="P781" t="s">
        <v>84</v>
      </c>
      <c r="Q781" s="17">
        <v>7828912</v>
      </c>
      <c r="R781" s="17">
        <v>12.67</v>
      </c>
      <c r="S781" t="s">
        <v>85</v>
      </c>
      <c r="T781" t="s">
        <v>84</v>
      </c>
      <c r="U781" t="s">
        <v>84</v>
      </c>
      <c r="V781" s="16">
        <v>41974.9583333333</v>
      </c>
      <c r="W781" s="18">
        <v>41974.375</v>
      </c>
      <c r="X781" s="18">
        <v>41986.7083333333</v>
      </c>
      <c r="Y781" s="17">
        <v>2025.36</v>
      </c>
      <c r="Z781" t="s">
        <v>87</v>
      </c>
      <c r="AA781" s="17">
        <v>2111</v>
      </c>
      <c r="AB781" s="17">
        <v>1552.82</v>
      </c>
      <c r="AC781" t="s">
        <v>84</v>
      </c>
      <c r="AD781" t="s">
        <v>84</v>
      </c>
      <c r="AE781" t="s">
        <v>84</v>
      </c>
      <c r="AF781" t="s">
        <v>84</v>
      </c>
      <c r="AG781" s="17">
        <v>5972274</v>
      </c>
      <c r="AH781" s="17">
        <v>10.6</v>
      </c>
      <c r="AI781" s="17">
        <v>33.81</v>
      </c>
      <c r="AJ781" s="17">
        <v>33.81</v>
      </c>
      <c r="AK781" t="s">
        <v>497</v>
      </c>
      <c r="AM781" s="17">
        <v>1.4</v>
      </c>
      <c r="AN781" s="17"/>
      <c r="AO781" s="17">
        <v>550</v>
      </c>
      <c r="AP781" s="17"/>
      <c r="AQ781" s="17">
        <v>990</v>
      </c>
      <c r="AR781" s="17"/>
      <c r="AS781" s="17">
        <v>1.39</v>
      </c>
      <c r="AT781" s="17"/>
      <c r="AU781" s="17">
        <v>783</v>
      </c>
      <c r="AV781" s="17"/>
      <c r="AW781" s="17">
        <v>929</v>
      </c>
      <c r="AX781" s="17"/>
      <c r="AY781" t="s">
        <v>92</v>
      </c>
      <c r="AZ781" t="s">
        <v>92</v>
      </c>
      <c r="BA781" t="s">
        <v>92</v>
      </c>
      <c r="BB781" t="s">
        <v>92</v>
      </c>
      <c r="BC781" t="s">
        <v>92</v>
      </c>
      <c r="BD781" t="s">
        <v>92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92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92</v>
      </c>
      <c r="BS781" t="s">
        <v>92</v>
      </c>
      <c r="BT781" t="s">
        <v>92</v>
      </c>
      <c r="BU781" t="s">
        <v>92</v>
      </c>
      <c r="BV781" t="s">
        <v>92</v>
      </c>
      <c r="BW781" t="s">
        <v>92</v>
      </c>
      <c r="BX781" t="s">
        <v>92</v>
      </c>
      <c r="BY781" t="str">
        <f>IF(COUNTIF('Data Upload-prod'!E:E,F781)=0,"Missing","Exist")</f>
        <v>Exist</v>
      </c>
    </row>
    <row r="782" hidden="1" spans="1:77">
      <c r="A782" s="16">
        <v>41893</v>
      </c>
      <c r="B782" s="16">
        <v>41936</v>
      </c>
      <c r="C782" t="s">
        <v>218</v>
      </c>
      <c r="D782" t="s">
        <v>78</v>
      </c>
      <c r="E782" t="s">
        <v>219</v>
      </c>
      <c r="F782" t="s">
        <v>1341</v>
      </c>
      <c r="G782" t="s">
        <v>81</v>
      </c>
      <c r="H782" t="s">
        <v>221</v>
      </c>
      <c r="I782" t="s">
        <v>124</v>
      </c>
      <c r="J782" s="17">
        <v>72</v>
      </c>
      <c r="K782" s="17">
        <v>4186.6</v>
      </c>
      <c r="L782" s="17">
        <v>1167.7</v>
      </c>
      <c r="M782" t="s">
        <v>84</v>
      </c>
      <c r="N782" t="s">
        <v>84</v>
      </c>
      <c r="O782" t="s">
        <v>84</v>
      </c>
      <c r="P782" t="s">
        <v>84</v>
      </c>
      <c r="Q782" s="17">
        <v>17642691</v>
      </c>
      <c r="R782" s="17">
        <v>30.8</v>
      </c>
      <c r="S782" t="s">
        <v>85</v>
      </c>
      <c r="T782" t="s">
        <v>84</v>
      </c>
      <c r="U782" t="s">
        <v>84</v>
      </c>
      <c r="V782" s="16">
        <v>41898</v>
      </c>
      <c r="W782" s="18">
        <v>41898</v>
      </c>
      <c r="X782" s="18">
        <v>41919.3125</v>
      </c>
      <c r="Y782" s="17">
        <v>3504.3</v>
      </c>
      <c r="Z782" t="s">
        <v>87</v>
      </c>
      <c r="AA782" s="17">
        <v>3621</v>
      </c>
      <c r="AB782" s="17">
        <v>1166.2</v>
      </c>
      <c r="AC782" t="s">
        <v>84</v>
      </c>
      <c r="AD782" t="s">
        <v>84</v>
      </c>
      <c r="AE782" t="s">
        <v>84</v>
      </c>
      <c r="AF782" t="s">
        <v>84</v>
      </c>
      <c r="AG782" s="17">
        <v>10991294.66</v>
      </c>
      <c r="AH782" s="17">
        <v>20.81</v>
      </c>
      <c r="AI782" s="17">
        <v>2.4</v>
      </c>
      <c r="AJ782" s="17">
        <v>2.4</v>
      </c>
      <c r="AK782" t="s">
        <v>298</v>
      </c>
      <c r="AM782" s="17">
        <v>1.8</v>
      </c>
      <c r="AN782" s="17"/>
      <c r="AO782" s="17">
        <v>600</v>
      </c>
      <c r="AP782" s="17"/>
      <c r="AQ782" s="17">
        <v>1160</v>
      </c>
      <c r="AR782" s="17"/>
      <c r="AS782" s="13" t="s">
        <v>150</v>
      </c>
      <c r="AT782" s="13"/>
      <c r="AU782" s="13" t="s">
        <v>150</v>
      </c>
      <c r="AW782" s="13" t="s">
        <v>150</v>
      </c>
      <c r="AY782" t="s">
        <v>92</v>
      </c>
      <c r="AZ782" t="s">
        <v>92</v>
      </c>
      <c r="BA782" t="s">
        <v>92</v>
      </c>
      <c r="BB782" t="s">
        <v>92</v>
      </c>
      <c r="BC782" t="s">
        <v>92</v>
      </c>
      <c r="BD782" t="s">
        <v>92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92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92</v>
      </c>
      <c r="BS782" t="s">
        <v>92</v>
      </c>
      <c r="BT782" t="s">
        <v>92</v>
      </c>
      <c r="BU782" t="s">
        <v>92</v>
      </c>
      <c r="BV782" t="s">
        <v>92</v>
      </c>
      <c r="BW782" t="s">
        <v>92</v>
      </c>
      <c r="BX782" t="s">
        <v>92</v>
      </c>
      <c r="BY782" t="str">
        <f>IF(COUNTIF('Data Upload-prod'!E:E,F782)=0,"Missing","Exist")</f>
        <v>Exist</v>
      </c>
    </row>
    <row r="783" hidden="1" spans="1:77">
      <c r="A783" s="16">
        <v>41892</v>
      </c>
      <c r="B783" s="16">
        <v>42073</v>
      </c>
      <c r="C783" t="s">
        <v>132</v>
      </c>
      <c r="D783" t="s">
        <v>120</v>
      </c>
      <c r="E783" t="s">
        <v>1342</v>
      </c>
      <c r="F783" t="s">
        <v>1343</v>
      </c>
      <c r="G783" t="s">
        <v>145</v>
      </c>
      <c r="H783" t="s">
        <v>1188</v>
      </c>
      <c r="I783" t="s">
        <v>231</v>
      </c>
      <c r="J783" s="17">
        <v>77</v>
      </c>
      <c r="K783" s="17">
        <v>2620</v>
      </c>
      <c r="L783" s="17">
        <v>2515</v>
      </c>
      <c r="M783" s="17">
        <v>25205030</v>
      </c>
      <c r="N783" s="17">
        <v>38713944</v>
      </c>
      <c r="O783" s="17">
        <v>45.03</v>
      </c>
      <c r="P783" s="17">
        <v>59.03</v>
      </c>
      <c r="Q783" t="s">
        <v>84</v>
      </c>
      <c r="R783" t="s">
        <v>84</v>
      </c>
      <c r="S783" t="s">
        <v>85</v>
      </c>
      <c r="T783" t="s">
        <v>84</v>
      </c>
      <c r="U783" t="s">
        <v>84</v>
      </c>
      <c r="V783" s="16">
        <v>41944</v>
      </c>
      <c r="W783" s="18">
        <v>41940</v>
      </c>
      <c r="X783" s="18">
        <v>42014</v>
      </c>
      <c r="Y783" s="17">
        <v>2545</v>
      </c>
      <c r="Z783" t="s">
        <v>87</v>
      </c>
      <c r="AA783" s="17">
        <v>2650</v>
      </c>
      <c r="AB783" s="17">
        <v>2521.6</v>
      </c>
      <c r="AC783" t="s">
        <v>84</v>
      </c>
      <c r="AD783" s="17">
        <v>38464353</v>
      </c>
      <c r="AE783" t="s">
        <v>84</v>
      </c>
      <c r="AF783" s="17">
        <v>74.29</v>
      </c>
      <c r="AG783" t="s">
        <v>84</v>
      </c>
      <c r="AH783" t="s">
        <v>84</v>
      </c>
      <c r="AI783" s="17">
        <v>6.76</v>
      </c>
      <c r="AJ783" s="17">
        <v>4.95</v>
      </c>
      <c r="AK783" t="s">
        <v>323</v>
      </c>
      <c r="AM783" s="17">
        <v>4.4</v>
      </c>
      <c r="AN783" s="17"/>
      <c r="AO783" s="17">
        <v>1980</v>
      </c>
      <c r="AP783" s="17"/>
      <c r="AQ783" s="17">
        <v>2760</v>
      </c>
      <c r="AR783" s="17"/>
      <c r="AS783" s="17">
        <v>4.04</v>
      </c>
      <c r="AT783" s="17"/>
      <c r="AU783" s="17">
        <v>2896</v>
      </c>
      <c r="AV783" s="17"/>
      <c r="AW783" s="17">
        <v>4623</v>
      </c>
      <c r="AX783" s="17"/>
      <c r="AY783" t="s">
        <v>92</v>
      </c>
      <c r="AZ783" t="s">
        <v>92</v>
      </c>
      <c r="BA783" t="s">
        <v>92</v>
      </c>
      <c r="BB783" t="s">
        <v>92</v>
      </c>
      <c r="BC783" t="s">
        <v>92</v>
      </c>
      <c r="BD783" t="s">
        <v>92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92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92</v>
      </c>
      <c r="BS783" t="s">
        <v>92</v>
      </c>
      <c r="BT783" t="s">
        <v>92</v>
      </c>
      <c r="BU783" t="s">
        <v>92</v>
      </c>
      <c r="BV783" t="s">
        <v>92</v>
      </c>
      <c r="BW783" t="s">
        <v>92</v>
      </c>
      <c r="BX783" t="s">
        <v>92</v>
      </c>
      <c r="BY783" t="str">
        <f>IF(COUNTIF('Data Upload-prod'!E:E,F783)=0,"Missing","Exist")</f>
        <v>Exist</v>
      </c>
    </row>
    <row r="784" hidden="1" spans="1:77">
      <c r="A784" s="16">
        <v>41892</v>
      </c>
      <c r="B784" s="16">
        <v>41984</v>
      </c>
      <c r="C784" t="s">
        <v>132</v>
      </c>
      <c r="D784" t="s">
        <v>120</v>
      </c>
      <c r="E784" t="s">
        <v>262</v>
      </c>
      <c r="F784" t="s">
        <v>1344</v>
      </c>
      <c r="G784" t="s">
        <v>145</v>
      </c>
      <c r="H784" t="s">
        <v>181</v>
      </c>
      <c r="I784" t="s">
        <v>124</v>
      </c>
      <c r="J784" s="17">
        <v>85</v>
      </c>
      <c r="K784" s="17">
        <v>1530</v>
      </c>
      <c r="L784" s="17">
        <v>1530</v>
      </c>
      <c r="M784" s="17">
        <v>12970000</v>
      </c>
      <c r="N784" s="17">
        <v>21150000</v>
      </c>
      <c r="O784" s="17">
        <v>19.5</v>
      </c>
      <c r="P784" s="17">
        <v>32.95</v>
      </c>
      <c r="Q784" t="s">
        <v>84</v>
      </c>
      <c r="R784" t="s">
        <v>84</v>
      </c>
      <c r="S784" t="s">
        <v>85</v>
      </c>
      <c r="T784" t="s">
        <v>84</v>
      </c>
      <c r="U784" t="s">
        <v>84</v>
      </c>
      <c r="V784" s="16">
        <v>41907.0416666667</v>
      </c>
      <c r="W784" s="18">
        <v>41896.7083333333</v>
      </c>
      <c r="X784" s="18">
        <v>41925</v>
      </c>
      <c r="Y784" s="17">
        <v>1465</v>
      </c>
      <c r="Z784" t="s">
        <v>87</v>
      </c>
      <c r="AA784" s="17">
        <v>1580</v>
      </c>
      <c r="AB784" s="17">
        <v>1580</v>
      </c>
      <c r="AC784" s="17">
        <v>10076225.92</v>
      </c>
      <c r="AD784" t="s">
        <v>84</v>
      </c>
      <c r="AE784" s="17">
        <v>28.29</v>
      </c>
      <c r="AF784" t="s">
        <v>84</v>
      </c>
      <c r="AG784" t="s">
        <v>84</v>
      </c>
      <c r="AH784" t="s">
        <v>84</v>
      </c>
      <c r="AI784" s="17">
        <v>14.46</v>
      </c>
      <c r="AJ784" s="17">
        <v>2.71</v>
      </c>
      <c r="AK784" t="s">
        <v>544</v>
      </c>
      <c r="AM784" s="17">
        <v>1.2</v>
      </c>
      <c r="AN784" s="17"/>
      <c r="AO784" s="17">
        <v>385</v>
      </c>
      <c r="AP784" s="17"/>
      <c r="AQ784" s="17">
        <v>930</v>
      </c>
      <c r="AR784" s="17"/>
      <c r="AS784" s="17">
        <v>1.36</v>
      </c>
      <c r="AT784" s="17"/>
      <c r="AU784" s="17">
        <v>656</v>
      </c>
      <c r="AV784" s="17"/>
      <c r="AW784" s="17">
        <v>1678</v>
      </c>
      <c r="AX784" s="17"/>
      <c r="AY784" t="s">
        <v>92</v>
      </c>
      <c r="AZ784" t="s">
        <v>92</v>
      </c>
      <c r="BA784" t="s">
        <v>92</v>
      </c>
      <c r="BB784" t="s">
        <v>92</v>
      </c>
      <c r="BC784" t="s">
        <v>92</v>
      </c>
      <c r="BD784" t="s">
        <v>92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92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92</v>
      </c>
      <c r="BS784" t="s">
        <v>92</v>
      </c>
      <c r="BT784" t="s">
        <v>92</v>
      </c>
      <c r="BU784" t="s">
        <v>92</v>
      </c>
      <c r="BV784" t="s">
        <v>92</v>
      </c>
      <c r="BW784" t="s">
        <v>92</v>
      </c>
      <c r="BX784" t="s">
        <v>92</v>
      </c>
      <c r="BY784" t="str">
        <f>IF(COUNTIF('Data Upload-prod'!E:E,F784)=0,"Missing","Exist")</f>
        <v>Exist</v>
      </c>
    </row>
    <row r="785" hidden="1" spans="1:77">
      <c r="A785" s="16">
        <v>41886</v>
      </c>
      <c r="B785" s="16">
        <v>42178</v>
      </c>
      <c r="C785" t="s">
        <v>132</v>
      </c>
      <c r="D785" t="s">
        <v>120</v>
      </c>
      <c r="E785" t="s">
        <v>548</v>
      </c>
      <c r="F785" t="s">
        <v>1345</v>
      </c>
      <c r="G785" t="s">
        <v>81</v>
      </c>
      <c r="H785" t="s">
        <v>198</v>
      </c>
      <c r="I785" t="s">
        <v>83</v>
      </c>
      <c r="J785" s="17">
        <v>61.57</v>
      </c>
      <c r="K785" s="17">
        <v>2938.43</v>
      </c>
      <c r="L785" s="17">
        <v>2642.79</v>
      </c>
      <c r="M785" t="s">
        <v>84</v>
      </c>
      <c r="N785" t="s">
        <v>84</v>
      </c>
      <c r="O785" t="s">
        <v>84</v>
      </c>
      <c r="P785" t="s">
        <v>84</v>
      </c>
      <c r="Q785" s="17">
        <v>26361638</v>
      </c>
      <c r="R785" s="17">
        <v>71</v>
      </c>
      <c r="S785" t="s">
        <v>85</v>
      </c>
      <c r="T785" t="s">
        <v>84</v>
      </c>
      <c r="U785" t="s">
        <v>84</v>
      </c>
      <c r="V785" s="16">
        <v>41904.9791666667</v>
      </c>
      <c r="W785" s="18">
        <v>41904.6875</v>
      </c>
      <c r="X785" s="18">
        <v>41991.5625</v>
      </c>
      <c r="Y785" s="17">
        <v>2852.64</v>
      </c>
      <c r="Z785" t="s">
        <v>87</v>
      </c>
      <c r="AA785" s="17">
        <v>2941.18</v>
      </c>
      <c r="AB785" s="17">
        <v>2643.71</v>
      </c>
      <c r="AC785" t="s">
        <v>84</v>
      </c>
      <c r="AD785" t="s">
        <v>84</v>
      </c>
      <c r="AE785" t="s">
        <v>84</v>
      </c>
      <c r="AF785" t="s">
        <v>84</v>
      </c>
      <c r="AG785" s="17">
        <v>25204674.88</v>
      </c>
      <c r="AH785" s="17">
        <v>87.13</v>
      </c>
      <c r="AI785" s="17">
        <v>31</v>
      </c>
      <c r="AJ785" s="17">
        <v>23.77</v>
      </c>
      <c r="AK785" t="s">
        <v>165</v>
      </c>
      <c r="AM785" s="17">
        <v>2</v>
      </c>
      <c r="AN785" s="17"/>
      <c r="AO785" s="17">
        <v>725</v>
      </c>
      <c r="AP785" s="17"/>
      <c r="AQ785" s="17">
        <v>1325</v>
      </c>
      <c r="AR785" s="17"/>
      <c r="AS785" s="17">
        <v>2.33</v>
      </c>
      <c r="AT785" s="17"/>
      <c r="AU785" s="17">
        <v>1107.74</v>
      </c>
      <c r="AV785" s="17"/>
      <c r="AW785" s="17">
        <v>2863</v>
      </c>
      <c r="AX785" s="17"/>
      <c r="AY785" t="s">
        <v>92</v>
      </c>
      <c r="AZ785" t="s">
        <v>92</v>
      </c>
      <c r="BA785" t="s">
        <v>92</v>
      </c>
      <c r="BB785" t="s">
        <v>92</v>
      </c>
      <c r="BC785" t="s">
        <v>92</v>
      </c>
      <c r="BD785" t="s">
        <v>92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92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92</v>
      </c>
      <c r="BS785" t="s">
        <v>92</v>
      </c>
      <c r="BT785" t="s">
        <v>92</v>
      </c>
      <c r="BU785" t="s">
        <v>92</v>
      </c>
      <c r="BV785" t="s">
        <v>92</v>
      </c>
      <c r="BW785" t="s">
        <v>92</v>
      </c>
      <c r="BX785" t="s">
        <v>92</v>
      </c>
      <c r="BY785" t="str">
        <f>IF(COUNTIF('Data Upload-prod'!E:E,F785)=0,"Missing","Exist")</f>
        <v>Exist</v>
      </c>
    </row>
    <row r="786" spans="1:77">
      <c r="A786" s="16">
        <v>41884</v>
      </c>
      <c r="B786" s="16">
        <v>42009</v>
      </c>
      <c r="C786" t="s">
        <v>360</v>
      </c>
      <c r="D786" t="s">
        <v>120</v>
      </c>
      <c r="E786" t="s">
        <v>715</v>
      </c>
      <c r="F786" t="s">
        <v>1346</v>
      </c>
      <c r="G786" t="s">
        <v>81</v>
      </c>
      <c r="H786" t="s">
        <v>185</v>
      </c>
      <c r="I786" t="s">
        <v>124</v>
      </c>
      <c r="J786" s="17">
        <v>35</v>
      </c>
      <c r="K786" s="17">
        <v>3117</v>
      </c>
      <c r="L786" s="17">
        <v>1525</v>
      </c>
      <c r="M786" t="s">
        <v>84</v>
      </c>
      <c r="N786" t="s">
        <v>84</v>
      </c>
      <c r="O786" t="s">
        <v>84</v>
      </c>
      <c r="P786" t="s">
        <v>84</v>
      </c>
      <c r="Q786" s="17">
        <v>6107953</v>
      </c>
      <c r="R786" s="17">
        <v>7.5</v>
      </c>
      <c r="S786" t="s">
        <v>85</v>
      </c>
      <c r="T786" t="s">
        <v>84</v>
      </c>
      <c r="U786" t="s">
        <v>84</v>
      </c>
      <c r="V786" s="16">
        <v>41903</v>
      </c>
      <c r="W786" s="18">
        <v>41903</v>
      </c>
      <c r="X786" s="18">
        <v>41949</v>
      </c>
      <c r="Y786" s="17">
        <v>2995.2</v>
      </c>
      <c r="Z786" t="s">
        <v>87</v>
      </c>
      <c r="AA786" s="17">
        <v>3073</v>
      </c>
      <c r="AB786" s="17">
        <v>1587.07</v>
      </c>
      <c r="AC786" t="s">
        <v>84</v>
      </c>
      <c r="AD786" t="s">
        <v>84</v>
      </c>
      <c r="AE786" t="s">
        <v>84</v>
      </c>
      <c r="AF786" t="s">
        <v>84</v>
      </c>
      <c r="AG786" s="17">
        <v>6489631.67</v>
      </c>
      <c r="AH786" s="17">
        <v>9.25</v>
      </c>
      <c r="AI786" s="17">
        <v>0.45</v>
      </c>
      <c r="AJ786" s="17">
        <v>0.45</v>
      </c>
      <c r="AK786" t="s">
        <v>208</v>
      </c>
      <c r="AL786" t="s">
        <v>208</v>
      </c>
      <c r="AM786" s="17">
        <v>2.2</v>
      </c>
      <c r="AN786" s="17">
        <v>2.2</v>
      </c>
      <c r="AO786" s="17">
        <v>830</v>
      </c>
      <c r="AP786" s="17">
        <v>830</v>
      </c>
      <c r="AQ786" s="17">
        <v>1395</v>
      </c>
      <c r="AR786" s="17">
        <v>1395</v>
      </c>
      <c r="AS786" s="13" t="s">
        <v>90</v>
      </c>
      <c r="AT786" s="19">
        <v>0.74</v>
      </c>
      <c r="AU786" s="13" t="s">
        <v>90</v>
      </c>
      <c r="AV786" s="13">
        <v>544</v>
      </c>
      <c r="AW786" s="13" t="s">
        <v>90</v>
      </c>
      <c r="AX786" s="13">
        <v>644</v>
      </c>
      <c r="AY786" t="s">
        <v>92</v>
      </c>
      <c r="AZ786" t="s">
        <v>92</v>
      </c>
      <c r="BA786" t="s">
        <v>92</v>
      </c>
      <c r="BB786" t="s">
        <v>92</v>
      </c>
      <c r="BC786" t="s">
        <v>92</v>
      </c>
      <c r="BD786" t="s">
        <v>92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92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92</v>
      </c>
      <c r="BS786" t="s">
        <v>92</v>
      </c>
      <c r="BT786" t="s">
        <v>92</v>
      </c>
      <c r="BU786" t="s">
        <v>92</v>
      </c>
      <c r="BV786" t="s">
        <v>92</v>
      </c>
      <c r="BW786" t="s">
        <v>92</v>
      </c>
      <c r="BX786" t="s">
        <v>92</v>
      </c>
      <c r="BY786" t="str">
        <f>IF(COUNTIF('Data Upload-prod'!E:E,F786)=0,"Missing","Exist")</f>
        <v>Exist</v>
      </c>
    </row>
    <row r="787" hidden="1" spans="1:77">
      <c r="A787" s="16">
        <v>41884</v>
      </c>
      <c r="B787" s="16">
        <v>42205</v>
      </c>
      <c r="C787" t="s">
        <v>132</v>
      </c>
      <c r="D787" t="s">
        <v>142</v>
      </c>
      <c r="E787" t="s">
        <v>166</v>
      </c>
      <c r="F787" t="s">
        <v>1347</v>
      </c>
      <c r="G787" t="s">
        <v>81</v>
      </c>
      <c r="H787" t="s">
        <v>1277</v>
      </c>
      <c r="I787" t="s">
        <v>124</v>
      </c>
      <c r="J787" s="17">
        <v>59.1</v>
      </c>
      <c r="K787" s="17">
        <v>4724.78</v>
      </c>
      <c r="L787" s="17">
        <v>4629.69</v>
      </c>
      <c r="M787" t="s">
        <v>84</v>
      </c>
      <c r="N787" t="s">
        <v>84</v>
      </c>
      <c r="O787" t="s">
        <v>84</v>
      </c>
      <c r="P787" t="s">
        <v>84</v>
      </c>
      <c r="Q787" s="17">
        <v>118730920.68</v>
      </c>
      <c r="R787" s="17">
        <v>137.98</v>
      </c>
      <c r="S787" t="s">
        <v>85</v>
      </c>
      <c r="T787" t="s">
        <v>84</v>
      </c>
      <c r="U787" t="s">
        <v>84</v>
      </c>
      <c r="V787" s="16">
        <v>41979</v>
      </c>
      <c r="W787" s="18">
        <v>41978</v>
      </c>
      <c r="X787" s="18">
        <v>42155.1458333333</v>
      </c>
      <c r="Y787" s="17">
        <v>4658.37</v>
      </c>
      <c r="Z787" t="s">
        <v>87</v>
      </c>
      <c r="AA787" s="17">
        <v>4774.15</v>
      </c>
      <c r="AB787" s="17">
        <v>4673.88</v>
      </c>
      <c r="AC787" t="s">
        <v>84</v>
      </c>
      <c r="AD787" t="s">
        <v>84</v>
      </c>
      <c r="AE787" t="s">
        <v>84</v>
      </c>
      <c r="AF787" t="s">
        <v>84</v>
      </c>
      <c r="AG787" s="17">
        <v>108956298</v>
      </c>
      <c r="AH787" s="17">
        <v>180.4</v>
      </c>
      <c r="AI787" s="17">
        <v>25.3</v>
      </c>
      <c r="AJ787" s="17">
        <v>25</v>
      </c>
      <c r="AK787" t="s">
        <v>276</v>
      </c>
      <c r="AM787" s="17">
        <v>3.7</v>
      </c>
      <c r="AN787" s="17"/>
      <c r="AO787" s="17">
        <v>1585</v>
      </c>
      <c r="AP787" s="17"/>
      <c r="AQ787" s="17">
        <v>3400</v>
      </c>
      <c r="AR787" s="17"/>
      <c r="AS787" s="17">
        <v>9.78</v>
      </c>
      <c r="AT787" s="17"/>
      <c r="AU787" s="17">
        <v>4674</v>
      </c>
      <c r="AV787" s="17"/>
      <c r="AW787" s="17">
        <v>5895</v>
      </c>
      <c r="AX787" s="17"/>
      <c r="AY787" t="s">
        <v>92</v>
      </c>
      <c r="AZ787" t="s">
        <v>92</v>
      </c>
      <c r="BA787" t="s">
        <v>92</v>
      </c>
      <c r="BB787" t="s">
        <v>92</v>
      </c>
      <c r="BC787" t="s">
        <v>92</v>
      </c>
      <c r="BD787" t="s">
        <v>92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92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92</v>
      </c>
      <c r="BS787" t="s">
        <v>92</v>
      </c>
      <c r="BT787" t="s">
        <v>92</v>
      </c>
      <c r="BU787" t="s">
        <v>92</v>
      </c>
      <c r="BV787" t="s">
        <v>92</v>
      </c>
      <c r="BW787" t="s">
        <v>92</v>
      </c>
      <c r="BX787" t="s">
        <v>92</v>
      </c>
      <c r="BY787" t="str">
        <f>IF(COUNTIF('Data Upload-prod'!E:E,F787)=0,"Missing","Exist")</f>
        <v>Exist</v>
      </c>
    </row>
    <row r="788" spans="1:77">
      <c r="A788" s="16">
        <v>41884</v>
      </c>
      <c r="B788" s="16">
        <v>42019</v>
      </c>
      <c r="C788" t="s">
        <v>1273</v>
      </c>
      <c r="D788" t="s">
        <v>120</v>
      </c>
      <c r="E788" t="s">
        <v>715</v>
      </c>
      <c r="F788" t="s">
        <v>1348</v>
      </c>
      <c r="G788" t="s">
        <v>81</v>
      </c>
      <c r="H788" t="s">
        <v>185</v>
      </c>
      <c r="I788" t="s">
        <v>124</v>
      </c>
      <c r="J788" s="17">
        <v>35</v>
      </c>
      <c r="K788" s="17">
        <v>2689</v>
      </c>
      <c r="L788" s="17">
        <v>1383</v>
      </c>
      <c r="M788" t="s">
        <v>84</v>
      </c>
      <c r="N788" t="s">
        <v>84</v>
      </c>
      <c r="O788" t="s">
        <v>84</v>
      </c>
      <c r="P788" t="s">
        <v>84</v>
      </c>
      <c r="Q788" s="17">
        <v>8729998</v>
      </c>
      <c r="R788" s="17">
        <v>18.8</v>
      </c>
      <c r="S788" t="s">
        <v>106</v>
      </c>
      <c r="T788" t="s">
        <v>84</v>
      </c>
      <c r="U788" t="s">
        <v>84</v>
      </c>
      <c r="V788" s="16">
        <v>41904</v>
      </c>
      <c r="W788" s="18">
        <v>41904</v>
      </c>
      <c r="X788" s="18">
        <v>41966</v>
      </c>
      <c r="Y788" s="17">
        <v>3075.2</v>
      </c>
      <c r="Z788" t="s">
        <v>87</v>
      </c>
      <c r="AA788" s="17">
        <v>3153</v>
      </c>
      <c r="AB788" s="17">
        <v>1447.96</v>
      </c>
      <c r="AC788" t="s">
        <v>84</v>
      </c>
      <c r="AD788" t="s">
        <v>84</v>
      </c>
      <c r="AE788" t="s">
        <v>84</v>
      </c>
      <c r="AF788" t="s">
        <v>84</v>
      </c>
      <c r="AG788" s="17">
        <v>10359462</v>
      </c>
      <c r="AH788" s="17">
        <v>21.35</v>
      </c>
      <c r="AI788" s="17">
        <v>1.17</v>
      </c>
      <c r="AJ788" s="17">
        <v>1.17</v>
      </c>
      <c r="AK788" t="s">
        <v>208</v>
      </c>
      <c r="AL788" t="s">
        <v>208</v>
      </c>
      <c r="AM788" s="17">
        <v>2.2</v>
      </c>
      <c r="AN788" s="17">
        <v>2.2</v>
      </c>
      <c r="AO788" s="17">
        <v>830</v>
      </c>
      <c r="AP788" s="17">
        <v>830</v>
      </c>
      <c r="AQ788" s="17">
        <v>1380</v>
      </c>
      <c r="AR788" s="17">
        <v>1380</v>
      </c>
      <c r="AS788" s="13" t="s">
        <v>90</v>
      </c>
      <c r="AT788" s="19">
        <v>1.5</v>
      </c>
      <c r="AU788" s="13" t="s">
        <v>90</v>
      </c>
      <c r="AV788" s="13">
        <v>752</v>
      </c>
      <c r="AW788" s="13" t="s">
        <v>90</v>
      </c>
      <c r="AX788" s="13">
        <v>897</v>
      </c>
      <c r="AY788" t="s">
        <v>92</v>
      </c>
      <c r="AZ788" t="s">
        <v>92</v>
      </c>
      <c r="BA788" t="s">
        <v>92</v>
      </c>
      <c r="BB788" t="s">
        <v>92</v>
      </c>
      <c r="BC788" t="s">
        <v>92</v>
      </c>
      <c r="BD788" t="s">
        <v>92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92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92</v>
      </c>
      <c r="BS788" t="s">
        <v>92</v>
      </c>
      <c r="BT788" t="s">
        <v>92</v>
      </c>
      <c r="BU788" t="s">
        <v>92</v>
      </c>
      <c r="BV788" t="s">
        <v>92</v>
      </c>
      <c r="BW788" t="s">
        <v>92</v>
      </c>
      <c r="BX788" t="s">
        <v>92</v>
      </c>
      <c r="BY788" t="str">
        <f>IF(COUNTIF('Data Upload-prod'!E:E,F788)=0,"Missing","Exist")</f>
        <v>Exist</v>
      </c>
    </row>
    <row r="789" hidden="1" spans="1:77">
      <c r="A789" s="16">
        <v>41884</v>
      </c>
      <c r="B789" s="16">
        <v>42018</v>
      </c>
      <c r="C789" t="s">
        <v>360</v>
      </c>
      <c r="D789" t="s">
        <v>120</v>
      </c>
      <c r="E789" t="s">
        <v>1349</v>
      </c>
      <c r="F789" t="s">
        <v>1350</v>
      </c>
      <c r="G789" t="s">
        <v>81</v>
      </c>
      <c r="H789" t="s">
        <v>185</v>
      </c>
      <c r="I789" t="s">
        <v>124</v>
      </c>
      <c r="J789" s="17">
        <v>35</v>
      </c>
      <c r="K789" s="17">
        <v>2612</v>
      </c>
      <c r="L789" s="17">
        <v>1490</v>
      </c>
      <c r="M789" t="s">
        <v>84</v>
      </c>
      <c r="N789" t="s">
        <v>84</v>
      </c>
      <c r="O789" t="s">
        <v>84</v>
      </c>
      <c r="P789" t="s">
        <v>84</v>
      </c>
      <c r="Q789" s="17">
        <v>7296729.12</v>
      </c>
      <c r="R789" s="17">
        <v>14.4</v>
      </c>
      <c r="S789" t="s">
        <v>106</v>
      </c>
      <c r="T789" t="s">
        <v>84</v>
      </c>
      <c r="U789" t="s">
        <v>86</v>
      </c>
      <c r="V789" s="16">
        <v>41899</v>
      </c>
      <c r="W789" s="18">
        <v>41899</v>
      </c>
      <c r="X789" s="18">
        <v>41960</v>
      </c>
      <c r="Y789" s="17">
        <v>2156.16</v>
      </c>
      <c r="Z789" t="s">
        <v>87</v>
      </c>
      <c r="AA789" s="17">
        <v>2234</v>
      </c>
      <c r="AB789" s="17">
        <v>1460.37</v>
      </c>
      <c r="AC789" t="s">
        <v>84</v>
      </c>
      <c r="AD789" t="s">
        <v>84</v>
      </c>
      <c r="AE789" t="s">
        <v>84</v>
      </c>
      <c r="AF789" t="s">
        <v>84</v>
      </c>
      <c r="AG789" s="17">
        <v>9799111.91</v>
      </c>
      <c r="AH789" s="17">
        <v>20.15</v>
      </c>
      <c r="AI789" s="17">
        <v>3.83</v>
      </c>
      <c r="AJ789" s="17">
        <v>3.83</v>
      </c>
      <c r="AK789" t="s">
        <v>208</v>
      </c>
      <c r="AM789" s="17">
        <v>2.2</v>
      </c>
      <c r="AN789" s="17"/>
      <c r="AO789" s="17">
        <v>830</v>
      </c>
      <c r="AP789" s="17"/>
      <c r="AQ789" s="17">
        <v>1395</v>
      </c>
      <c r="AR789" s="17"/>
      <c r="AS789" s="17">
        <v>0.93</v>
      </c>
      <c r="AT789" s="17"/>
      <c r="AU789" s="17">
        <v>499.23</v>
      </c>
      <c r="AV789" s="17"/>
      <c r="AW789" s="17">
        <v>690.66</v>
      </c>
      <c r="AX789" s="17"/>
      <c r="AY789" t="s">
        <v>92</v>
      </c>
      <c r="AZ789" t="s">
        <v>92</v>
      </c>
      <c r="BA789" t="s">
        <v>92</v>
      </c>
      <c r="BB789" t="s">
        <v>92</v>
      </c>
      <c r="BC789" t="s">
        <v>92</v>
      </c>
      <c r="BD789" s="17">
        <v>3.35</v>
      </c>
      <c r="BE789" s="17">
        <v>2329588.95</v>
      </c>
      <c r="BF789" t="s">
        <v>92</v>
      </c>
      <c r="BG789" t="s">
        <v>92</v>
      </c>
      <c r="BH789" t="s">
        <v>93</v>
      </c>
      <c r="BI789" t="s">
        <v>94</v>
      </c>
      <c r="BJ789" t="s">
        <v>625</v>
      </c>
      <c r="BK789" t="s">
        <v>85</v>
      </c>
      <c r="BL789" t="s">
        <v>85</v>
      </c>
      <c r="BM789" t="s">
        <v>96</v>
      </c>
      <c r="BN789" t="s">
        <v>97</v>
      </c>
      <c r="BO789" t="s">
        <v>98</v>
      </c>
      <c r="BP789" t="s">
        <v>99</v>
      </c>
      <c r="BQ789" s="17">
        <v>106.6325</v>
      </c>
      <c r="BR789" t="s">
        <v>138</v>
      </c>
      <c r="BS789" t="s">
        <v>156</v>
      </c>
      <c r="BT789" t="s">
        <v>99</v>
      </c>
      <c r="BU789" s="17">
        <v>9.6</v>
      </c>
      <c r="BV789" t="s">
        <v>308</v>
      </c>
      <c r="BW789" t="s">
        <v>85</v>
      </c>
      <c r="BX789" t="s">
        <v>85</v>
      </c>
      <c r="BY789" t="str">
        <f>IF(COUNTIF('Data Upload-prod'!E:E,F789)=0,"Missing","Exist")</f>
        <v>Exist</v>
      </c>
    </row>
    <row r="790" hidden="1" spans="1:77">
      <c r="A790" s="16">
        <v>41879</v>
      </c>
      <c r="B790" s="16">
        <v>42010</v>
      </c>
      <c r="C790" t="s">
        <v>132</v>
      </c>
      <c r="D790" t="s">
        <v>78</v>
      </c>
      <c r="E790" t="s">
        <v>1001</v>
      </c>
      <c r="F790" t="s">
        <v>1351</v>
      </c>
      <c r="G790" t="s">
        <v>81</v>
      </c>
      <c r="H790" t="s">
        <v>837</v>
      </c>
      <c r="I790" t="s">
        <v>83</v>
      </c>
      <c r="J790" s="17">
        <v>69</v>
      </c>
      <c r="K790" s="17">
        <v>4370</v>
      </c>
      <c r="L790" s="17">
        <v>1706</v>
      </c>
      <c r="M790" t="s">
        <v>84</v>
      </c>
      <c r="N790" t="s">
        <v>84</v>
      </c>
      <c r="O790" t="s">
        <v>84</v>
      </c>
      <c r="P790" t="s">
        <v>84</v>
      </c>
      <c r="Q790" s="17">
        <v>28663200</v>
      </c>
      <c r="R790" s="17">
        <v>47.02</v>
      </c>
      <c r="S790" t="s">
        <v>85</v>
      </c>
      <c r="T790" t="s">
        <v>84</v>
      </c>
      <c r="U790" t="s">
        <v>86</v>
      </c>
      <c r="V790" s="16">
        <v>41910</v>
      </c>
      <c r="W790" s="18">
        <v>41907</v>
      </c>
      <c r="X790" s="18">
        <v>41978.25</v>
      </c>
      <c r="Y790" s="17">
        <v>4208.82</v>
      </c>
      <c r="Z790" t="s">
        <v>87</v>
      </c>
      <c r="AA790" s="17">
        <v>4312</v>
      </c>
      <c r="AB790" s="17">
        <v>1712</v>
      </c>
      <c r="AC790" t="s">
        <v>84</v>
      </c>
      <c r="AD790" t="s">
        <v>84</v>
      </c>
      <c r="AE790" t="s">
        <v>84</v>
      </c>
      <c r="AF790" t="s">
        <v>84</v>
      </c>
      <c r="AG790" s="17">
        <v>27968113.95</v>
      </c>
      <c r="AH790" s="17">
        <v>52.77</v>
      </c>
      <c r="AI790" s="17">
        <v>10.22</v>
      </c>
      <c r="AJ790" s="17">
        <v>10.07</v>
      </c>
      <c r="AK790" s="13" t="s">
        <v>149</v>
      </c>
      <c r="AM790" t="s">
        <v>92</v>
      </c>
      <c r="AO790" t="s">
        <v>92</v>
      </c>
      <c r="AQ790" t="s">
        <v>92</v>
      </c>
      <c r="AS790" s="17">
        <v>2.17</v>
      </c>
      <c r="AT790" s="17"/>
      <c r="AU790" s="17">
        <v>1785.23</v>
      </c>
      <c r="AV790" s="17"/>
      <c r="AW790" s="17">
        <v>1999.11</v>
      </c>
      <c r="AX790" s="17"/>
      <c r="AY790" t="s">
        <v>92</v>
      </c>
      <c r="AZ790" t="s">
        <v>92</v>
      </c>
      <c r="BA790" t="s">
        <v>92</v>
      </c>
      <c r="BB790" t="s">
        <v>92</v>
      </c>
      <c r="BC790" t="s">
        <v>92</v>
      </c>
      <c r="BD790" s="17">
        <v>6.86</v>
      </c>
      <c r="BE790" s="17">
        <v>3732483.86</v>
      </c>
      <c r="BF790" t="s">
        <v>92</v>
      </c>
      <c r="BG790" t="s">
        <v>92</v>
      </c>
      <c r="BH790" t="s">
        <v>93</v>
      </c>
      <c r="BI790" t="s">
        <v>94</v>
      </c>
      <c r="BJ790" t="s">
        <v>128</v>
      </c>
      <c r="BK790" t="s">
        <v>85</v>
      </c>
      <c r="BL790" t="s">
        <v>85</v>
      </c>
      <c r="BM790" t="s">
        <v>96</v>
      </c>
      <c r="BN790" t="s">
        <v>97</v>
      </c>
      <c r="BO790" t="s">
        <v>98</v>
      </c>
      <c r="BP790" t="s">
        <v>103</v>
      </c>
      <c r="BQ790" s="17">
        <v>318.257</v>
      </c>
      <c r="BR790" t="s">
        <v>138</v>
      </c>
      <c r="BS790" t="s">
        <v>156</v>
      </c>
      <c r="BT790" t="s">
        <v>550</v>
      </c>
      <c r="BU790" s="17">
        <v>9.8</v>
      </c>
      <c r="BV790" t="s">
        <v>191</v>
      </c>
      <c r="BW790" t="s">
        <v>85</v>
      </c>
      <c r="BX790" t="s">
        <v>85</v>
      </c>
      <c r="BY790" t="str">
        <f>IF(COUNTIF('Data Upload-prod'!E:E,F790)=0,"Missing","Exist")</f>
        <v>Exist</v>
      </c>
    </row>
    <row r="791" hidden="1" spans="1:77">
      <c r="A791" s="16">
        <v>41878</v>
      </c>
      <c r="B791" s="16">
        <v>41992</v>
      </c>
      <c r="C791" t="s">
        <v>233</v>
      </c>
      <c r="D791" t="s">
        <v>142</v>
      </c>
      <c r="E791" t="s">
        <v>1352</v>
      </c>
      <c r="F791" t="s">
        <v>1353</v>
      </c>
      <c r="G791" t="s">
        <v>145</v>
      </c>
      <c r="H791" t="s">
        <v>1216</v>
      </c>
      <c r="I791" t="s">
        <v>124</v>
      </c>
      <c r="J791" s="17">
        <v>48.9</v>
      </c>
      <c r="K791" s="17">
        <v>2270</v>
      </c>
      <c r="L791" s="17">
        <v>2270</v>
      </c>
      <c r="M791" s="17">
        <v>19987000</v>
      </c>
      <c r="N791" s="17">
        <v>32506000</v>
      </c>
      <c r="O791" s="17">
        <v>41</v>
      </c>
      <c r="P791" s="17">
        <v>64</v>
      </c>
      <c r="Q791" t="s">
        <v>84</v>
      </c>
      <c r="R791" t="s">
        <v>84</v>
      </c>
      <c r="S791" t="s">
        <v>85</v>
      </c>
      <c r="T791" t="s">
        <v>84</v>
      </c>
      <c r="U791" t="s">
        <v>84</v>
      </c>
      <c r="V791" s="16">
        <v>41936.5833333333</v>
      </c>
      <c r="W791" s="18">
        <v>41925.6875</v>
      </c>
      <c r="X791" s="18">
        <v>41957.6041666667</v>
      </c>
      <c r="Y791" s="17">
        <v>2187.1</v>
      </c>
      <c r="Z791" t="s">
        <v>87</v>
      </c>
      <c r="AA791" s="17">
        <v>2270</v>
      </c>
      <c r="AB791" s="17">
        <v>2268</v>
      </c>
      <c r="AC791" s="17">
        <v>17200000</v>
      </c>
      <c r="AD791" t="s">
        <v>84</v>
      </c>
      <c r="AE791" s="17">
        <v>39</v>
      </c>
      <c r="AF791" t="s">
        <v>84</v>
      </c>
      <c r="AG791" t="s">
        <v>84</v>
      </c>
      <c r="AH791" t="s">
        <v>84</v>
      </c>
      <c r="AI791" s="17">
        <v>0.21</v>
      </c>
      <c r="AJ791" s="17">
        <v>0.21</v>
      </c>
      <c r="AK791" t="s">
        <v>295</v>
      </c>
      <c r="AM791" s="17">
        <v>2.7</v>
      </c>
      <c r="AN791" s="17"/>
      <c r="AO791" s="17">
        <v>1490</v>
      </c>
      <c r="AP791" s="17"/>
      <c r="AQ791" s="17">
        <v>2760</v>
      </c>
      <c r="AR791" s="17"/>
      <c r="AS791" s="13" t="s">
        <v>150</v>
      </c>
      <c r="AT791" s="13"/>
      <c r="AU791" s="13" t="s">
        <v>150</v>
      </c>
      <c r="AW791" s="13" t="s">
        <v>150</v>
      </c>
      <c r="AY791" t="s">
        <v>92</v>
      </c>
      <c r="AZ791" t="s">
        <v>92</v>
      </c>
      <c r="BA791" t="s">
        <v>92</v>
      </c>
      <c r="BB791" t="s">
        <v>92</v>
      </c>
      <c r="BC791" t="s">
        <v>92</v>
      </c>
      <c r="BD791" t="s">
        <v>92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92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92</v>
      </c>
      <c r="BS791" t="s">
        <v>92</v>
      </c>
      <c r="BT791" t="s">
        <v>92</v>
      </c>
      <c r="BU791" t="s">
        <v>92</v>
      </c>
      <c r="BV791" t="s">
        <v>92</v>
      </c>
      <c r="BW791" t="s">
        <v>92</v>
      </c>
      <c r="BX791" t="s">
        <v>92</v>
      </c>
      <c r="BY791" t="str">
        <f>IF(COUNTIF('Data Upload-prod'!E:E,F791)=0,"Missing","Exist")</f>
        <v>Exist</v>
      </c>
    </row>
    <row r="792" hidden="1" spans="1:77">
      <c r="A792" s="16">
        <v>41873</v>
      </c>
      <c r="B792" s="16">
        <v>41975</v>
      </c>
      <c r="C792" t="s">
        <v>218</v>
      </c>
      <c r="D792" t="s">
        <v>78</v>
      </c>
      <c r="E792" t="s">
        <v>723</v>
      </c>
      <c r="F792" t="s">
        <v>1354</v>
      </c>
      <c r="G792" t="s">
        <v>81</v>
      </c>
      <c r="H792" t="s">
        <v>1336</v>
      </c>
      <c r="I792" t="s">
        <v>124</v>
      </c>
      <c r="J792" s="17">
        <v>59</v>
      </c>
      <c r="K792" s="17">
        <v>2970</v>
      </c>
      <c r="L792" s="17">
        <v>2084</v>
      </c>
      <c r="M792" t="s">
        <v>84</v>
      </c>
      <c r="N792" t="s">
        <v>84</v>
      </c>
      <c r="O792" t="s">
        <v>84</v>
      </c>
      <c r="P792" t="s">
        <v>84</v>
      </c>
      <c r="Q792" s="17">
        <v>24960000</v>
      </c>
      <c r="R792" s="17">
        <v>55.5</v>
      </c>
      <c r="S792" t="s">
        <v>85</v>
      </c>
      <c r="T792" t="s">
        <v>84</v>
      </c>
      <c r="U792" t="s">
        <v>84</v>
      </c>
      <c r="V792" s="16">
        <v>41888.3645833333</v>
      </c>
      <c r="W792" s="18">
        <v>41880</v>
      </c>
      <c r="X792" s="18">
        <v>41912.6666666667</v>
      </c>
      <c r="Y792" s="17">
        <v>2956</v>
      </c>
      <c r="Z792" t="s">
        <v>87</v>
      </c>
      <c r="AA792" s="17">
        <v>3060</v>
      </c>
      <c r="AB792" s="17">
        <v>2079</v>
      </c>
      <c r="AC792" t="s">
        <v>84</v>
      </c>
      <c r="AD792" t="s">
        <v>84</v>
      </c>
      <c r="AE792" t="s">
        <v>84</v>
      </c>
      <c r="AF792" t="s">
        <v>84</v>
      </c>
      <c r="AG792" s="17">
        <v>17877461</v>
      </c>
      <c r="AH792" s="17">
        <v>39.77</v>
      </c>
      <c r="AI792" s="17">
        <v>7.2</v>
      </c>
      <c r="AJ792" s="17">
        <v>7.02</v>
      </c>
      <c r="AK792" t="s">
        <v>208</v>
      </c>
      <c r="AM792" s="17">
        <v>2.1</v>
      </c>
      <c r="AN792" s="17"/>
      <c r="AO792" s="17">
        <v>700</v>
      </c>
      <c r="AP792" s="17"/>
      <c r="AQ792" s="17">
        <v>1220</v>
      </c>
      <c r="AR792" s="17"/>
      <c r="AS792" s="17">
        <v>1.04</v>
      </c>
      <c r="AT792" s="17"/>
      <c r="AU792" s="17">
        <v>444</v>
      </c>
      <c r="AV792" s="17"/>
      <c r="AW792" s="17">
        <v>1287</v>
      </c>
      <c r="AX792" s="17"/>
      <c r="AY792" t="s">
        <v>92</v>
      </c>
      <c r="AZ792" t="s">
        <v>92</v>
      </c>
      <c r="BA792" t="s">
        <v>92</v>
      </c>
      <c r="BB792" t="s">
        <v>92</v>
      </c>
      <c r="BC792" t="s">
        <v>92</v>
      </c>
      <c r="BD792" t="s">
        <v>92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92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92</v>
      </c>
      <c r="BS792" t="s">
        <v>92</v>
      </c>
      <c r="BT792" t="s">
        <v>92</v>
      </c>
      <c r="BU792" t="s">
        <v>92</v>
      </c>
      <c r="BV792" t="s">
        <v>92</v>
      </c>
      <c r="BW792" t="s">
        <v>92</v>
      </c>
      <c r="BX792" t="s">
        <v>92</v>
      </c>
      <c r="BY792" t="str">
        <f>IF(COUNTIF('Data Upload-prod'!E:E,F792)=0,"Missing","Exist")</f>
        <v>Exist</v>
      </c>
    </row>
    <row r="793" hidden="1" spans="1:77">
      <c r="A793" s="16">
        <v>41863</v>
      </c>
      <c r="B793" s="16">
        <v>42181</v>
      </c>
      <c r="C793" t="s">
        <v>132</v>
      </c>
      <c r="D793" t="s">
        <v>78</v>
      </c>
      <c r="E793" t="s">
        <v>274</v>
      </c>
      <c r="F793" t="s">
        <v>1355</v>
      </c>
      <c r="G793" t="s">
        <v>145</v>
      </c>
      <c r="H793" t="s">
        <v>1255</v>
      </c>
      <c r="I793" t="s">
        <v>124</v>
      </c>
      <c r="J793" s="17">
        <v>75</v>
      </c>
      <c r="K793" s="17">
        <v>4243.89</v>
      </c>
      <c r="L793" s="17">
        <v>3812</v>
      </c>
      <c r="M793" s="17">
        <v>77470000</v>
      </c>
      <c r="N793" s="17">
        <v>119700000</v>
      </c>
      <c r="O793" s="17">
        <v>77</v>
      </c>
      <c r="P793" s="17">
        <v>146.2</v>
      </c>
      <c r="Q793" t="s">
        <v>84</v>
      </c>
      <c r="R793" t="s">
        <v>84</v>
      </c>
      <c r="S793" t="s">
        <v>85</v>
      </c>
      <c r="T793" t="s">
        <v>84</v>
      </c>
      <c r="U793" t="s">
        <v>84</v>
      </c>
      <c r="V793" s="16">
        <v>41869</v>
      </c>
      <c r="W793" s="18">
        <v>41864</v>
      </c>
      <c r="X793" s="18">
        <v>42052</v>
      </c>
      <c r="Y793" s="17">
        <v>3163</v>
      </c>
      <c r="Z793" t="s">
        <v>87</v>
      </c>
      <c r="AA793" s="17">
        <v>3270</v>
      </c>
      <c r="AB793" s="17">
        <v>3101</v>
      </c>
      <c r="AC793" t="s">
        <v>84</v>
      </c>
      <c r="AD793" s="17">
        <v>121661953.81</v>
      </c>
      <c r="AE793" t="s">
        <v>84</v>
      </c>
      <c r="AF793" s="17">
        <v>188.3</v>
      </c>
      <c r="AG793" t="s">
        <v>84</v>
      </c>
      <c r="AH793" t="s">
        <v>84</v>
      </c>
      <c r="AI793" s="17">
        <v>28.22</v>
      </c>
      <c r="AJ793" s="17">
        <v>28.22</v>
      </c>
      <c r="AK793" t="s">
        <v>333</v>
      </c>
      <c r="AM793" s="17">
        <v>3.8</v>
      </c>
      <c r="AN793" s="17"/>
      <c r="AO793" s="17">
        <v>2125</v>
      </c>
      <c r="AP793" s="17"/>
      <c r="AQ793" s="17">
        <v>3315</v>
      </c>
      <c r="AR793" s="17"/>
      <c r="AS793" s="17">
        <v>11.4</v>
      </c>
      <c r="AT793" s="17"/>
      <c r="AU793" s="17">
        <v>8102.78</v>
      </c>
      <c r="AV793" s="17"/>
      <c r="AW793" s="17">
        <v>9605.88</v>
      </c>
      <c r="AX793" s="17"/>
      <c r="AY793" t="s">
        <v>92</v>
      </c>
      <c r="AZ793" t="s">
        <v>92</v>
      </c>
      <c r="BA793" t="s">
        <v>92</v>
      </c>
      <c r="BB793" t="s">
        <v>92</v>
      </c>
      <c r="BC793" t="s">
        <v>92</v>
      </c>
      <c r="BD793" t="s">
        <v>92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92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92</v>
      </c>
      <c r="BS793" t="s">
        <v>92</v>
      </c>
      <c r="BT793" t="s">
        <v>92</v>
      </c>
      <c r="BU793" t="s">
        <v>92</v>
      </c>
      <c r="BV793" t="s">
        <v>92</v>
      </c>
      <c r="BW793" t="s">
        <v>92</v>
      </c>
      <c r="BX793" t="s">
        <v>92</v>
      </c>
      <c r="BY793" t="str">
        <f>IF(COUNTIF('Data Upload-prod'!E:E,F793)=0,"Missing","Exist")</f>
        <v>Exist</v>
      </c>
    </row>
    <row r="794" hidden="1" spans="1:77">
      <c r="A794" s="16">
        <v>41859</v>
      </c>
      <c r="B794" s="16">
        <v>42026</v>
      </c>
      <c r="C794" t="s">
        <v>132</v>
      </c>
      <c r="D794" t="s">
        <v>78</v>
      </c>
      <c r="E794" t="s">
        <v>1356</v>
      </c>
      <c r="F794" t="s">
        <v>1357</v>
      </c>
      <c r="G794" t="s">
        <v>145</v>
      </c>
      <c r="H794" t="s">
        <v>1358</v>
      </c>
      <c r="I794" t="s">
        <v>124</v>
      </c>
      <c r="J794" s="17">
        <v>68.1</v>
      </c>
      <c r="K794" s="17">
        <v>2685</v>
      </c>
      <c r="L794" s="17">
        <v>2685</v>
      </c>
      <c r="M794" s="17">
        <v>55400000</v>
      </c>
      <c r="N794" s="17">
        <v>66900000</v>
      </c>
      <c r="O794" s="17">
        <v>77.73</v>
      </c>
      <c r="P794" s="17">
        <v>94.83</v>
      </c>
      <c r="Q794" t="s">
        <v>84</v>
      </c>
      <c r="R794" t="s">
        <v>84</v>
      </c>
      <c r="S794" t="s">
        <v>85</v>
      </c>
      <c r="T794" t="s">
        <v>84</v>
      </c>
      <c r="U794" t="s">
        <v>84</v>
      </c>
      <c r="V794" s="16">
        <v>41871</v>
      </c>
      <c r="W794" s="18">
        <v>41860.5</v>
      </c>
      <c r="X794" s="18">
        <v>41968.375</v>
      </c>
      <c r="Y794" s="17">
        <v>2375.95</v>
      </c>
      <c r="Z794" t="s">
        <v>87</v>
      </c>
      <c r="AA794" s="17">
        <v>2477</v>
      </c>
      <c r="AB794" s="17">
        <v>2476.82</v>
      </c>
      <c r="AC794" t="s">
        <v>84</v>
      </c>
      <c r="AD794" s="17">
        <v>62080000</v>
      </c>
      <c r="AE794" t="s">
        <v>84</v>
      </c>
      <c r="AF794" s="17">
        <v>107.88</v>
      </c>
      <c r="AG794" t="s">
        <v>84</v>
      </c>
      <c r="AH794" t="s">
        <v>84</v>
      </c>
      <c r="AI794" s="17">
        <v>14.31</v>
      </c>
      <c r="AJ794" s="17">
        <v>12.45</v>
      </c>
      <c r="AK794" t="s">
        <v>374</v>
      </c>
      <c r="AM794" s="17">
        <v>5</v>
      </c>
      <c r="AN794" s="17"/>
      <c r="AO794" s="17">
        <v>2360</v>
      </c>
      <c r="AP794" s="17"/>
      <c r="AQ794" s="17">
        <v>4280</v>
      </c>
      <c r="AR794" s="17"/>
      <c r="AS794" s="17">
        <v>5.31</v>
      </c>
      <c r="AT794" s="17"/>
      <c r="AU794" s="17">
        <v>3758.14</v>
      </c>
      <c r="AV794" s="17"/>
      <c r="AW794" s="17">
        <v>5771.78</v>
      </c>
      <c r="AX794" s="17"/>
      <c r="AY794" t="s">
        <v>92</v>
      </c>
      <c r="AZ794" t="s">
        <v>92</v>
      </c>
      <c r="BA794" t="s">
        <v>92</v>
      </c>
      <c r="BB794" t="s">
        <v>92</v>
      </c>
      <c r="BC794" t="s">
        <v>92</v>
      </c>
      <c r="BD794" t="s">
        <v>92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92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92</v>
      </c>
      <c r="BS794" t="s">
        <v>92</v>
      </c>
      <c r="BT794" t="s">
        <v>92</v>
      </c>
      <c r="BU794" t="s">
        <v>92</v>
      </c>
      <c r="BV794" t="s">
        <v>92</v>
      </c>
      <c r="BW794" t="s">
        <v>92</v>
      </c>
      <c r="BX794" t="s">
        <v>92</v>
      </c>
      <c r="BY794" t="str">
        <f>IF(COUNTIF('Data Upload-prod'!E:E,F794)=0,"Missing","Exist")</f>
        <v>Exist</v>
      </c>
    </row>
    <row r="795" hidden="1" spans="1:77">
      <c r="A795" s="16">
        <v>41856</v>
      </c>
      <c r="B795" s="16">
        <v>42257</v>
      </c>
      <c r="C795" t="s">
        <v>187</v>
      </c>
      <c r="D795" t="s">
        <v>78</v>
      </c>
      <c r="E795" t="s">
        <v>708</v>
      </c>
      <c r="F795" t="s">
        <v>1359</v>
      </c>
      <c r="G795" t="s">
        <v>81</v>
      </c>
      <c r="H795" t="s">
        <v>252</v>
      </c>
      <c r="I795" t="s">
        <v>124</v>
      </c>
      <c r="J795" s="17">
        <v>62.3</v>
      </c>
      <c r="K795" s="17">
        <v>3661.16</v>
      </c>
      <c r="L795" s="17">
        <v>1488.9</v>
      </c>
      <c r="M795" t="s">
        <v>84</v>
      </c>
      <c r="N795" t="s">
        <v>84</v>
      </c>
      <c r="O795" t="s">
        <v>84</v>
      </c>
      <c r="P795" t="s">
        <v>84</v>
      </c>
      <c r="Q795" s="17">
        <v>15576883</v>
      </c>
      <c r="R795" s="17">
        <v>30.16</v>
      </c>
      <c r="S795" t="s">
        <v>85</v>
      </c>
      <c r="T795" t="s">
        <v>84</v>
      </c>
      <c r="U795" t="s">
        <v>84</v>
      </c>
      <c r="V795" s="16">
        <v>41924</v>
      </c>
      <c r="W795" s="18">
        <v>41923.6666666667</v>
      </c>
      <c r="X795" s="18">
        <v>42151.7604166667</v>
      </c>
      <c r="Y795" s="17">
        <v>3281.4</v>
      </c>
      <c r="Z795" t="s">
        <v>87</v>
      </c>
      <c r="AA795" s="17">
        <v>3385</v>
      </c>
      <c r="AB795" s="17">
        <v>1417.94</v>
      </c>
      <c r="AC795" t="s">
        <v>84</v>
      </c>
      <c r="AD795" t="s">
        <v>84</v>
      </c>
      <c r="AE795" t="s">
        <v>84</v>
      </c>
      <c r="AF795" t="s">
        <v>84</v>
      </c>
      <c r="AG795" s="17">
        <v>13876431</v>
      </c>
      <c r="AH795" s="17">
        <v>38.74</v>
      </c>
      <c r="AI795" s="17">
        <v>32.2</v>
      </c>
      <c r="AJ795" s="17">
        <v>32.2</v>
      </c>
      <c r="AK795" t="s">
        <v>208</v>
      </c>
      <c r="AM795" s="17">
        <v>2.1</v>
      </c>
      <c r="AN795" s="17"/>
      <c r="AO795" s="17">
        <v>700</v>
      </c>
      <c r="AP795" s="17"/>
      <c r="AQ795" s="17">
        <v>1225</v>
      </c>
      <c r="AR795" s="17"/>
      <c r="AS795" s="13" t="s">
        <v>150</v>
      </c>
      <c r="AT795" s="13"/>
      <c r="AU795" s="13" t="s">
        <v>150</v>
      </c>
      <c r="AW795" s="13" t="s">
        <v>150</v>
      </c>
      <c r="AY795" t="s">
        <v>92</v>
      </c>
      <c r="AZ795" t="s">
        <v>92</v>
      </c>
      <c r="BA795" t="s">
        <v>92</v>
      </c>
      <c r="BB795" t="s">
        <v>92</v>
      </c>
      <c r="BC795" t="s">
        <v>92</v>
      </c>
      <c r="BD795" t="s">
        <v>92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92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92</v>
      </c>
      <c r="BS795" t="s">
        <v>92</v>
      </c>
      <c r="BT795" t="s">
        <v>92</v>
      </c>
      <c r="BU795" t="s">
        <v>92</v>
      </c>
      <c r="BV795" t="s">
        <v>92</v>
      </c>
      <c r="BW795" t="s">
        <v>92</v>
      </c>
      <c r="BX795" t="s">
        <v>92</v>
      </c>
      <c r="BY795" t="str">
        <f>IF(COUNTIF('Data Upload-prod'!E:E,F795)=0,"Missing","Exist")</f>
        <v>Exist</v>
      </c>
    </row>
    <row r="796" hidden="1" spans="1:77">
      <c r="A796" s="16">
        <v>41847</v>
      </c>
      <c r="B796" s="16">
        <v>42062</v>
      </c>
      <c r="C796" t="s">
        <v>233</v>
      </c>
      <c r="D796" t="s">
        <v>78</v>
      </c>
      <c r="E796" t="s">
        <v>239</v>
      </c>
      <c r="F796" t="s">
        <v>1360</v>
      </c>
      <c r="G796" t="s">
        <v>81</v>
      </c>
      <c r="H796" t="s">
        <v>1216</v>
      </c>
      <c r="I796" t="s">
        <v>124</v>
      </c>
      <c r="J796" s="17">
        <v>74.7</v>
      </c>
      <c r="K796" s="17">
        <v>3455</v>
      </c>
      <c r="L796" s="17">
        <v>1643</v>
      </c>
      <c r="M796" t="s">
        <v>84</v>
      </c>
      <c r="N796" t="s">
        <v>84</v>
      </c>
      <c r="O796" t="s">
        <v>84</v>
      </c>
      <c r="P796" t="s">
        <v>84</v>
      </c>
      <c r="Q796" s="17">
        <v>24200000</v>
      </c>
      <c r="R796" s="17">
        <v>46.7</v>
      </c>
      <c r="S796" t="s">
        <v>85</v>
      </c>
      <c r="T796" t="s">
        <v>84</v>
      </c>
      <c r="U796" t="s">
        <v>84</v>
      </c>
      <c r="V796" s="16">
        <v>41860</v>
      </c>
      <c r="W796" s="18">
        <v>41859</v>
      </c>
      <c r="X796" s="18">
        <v>42005.875</v>
      </c>
      <c r="Y796" s="17">
        <v>3117.96</v>
      </c>
      <c r="Z796" t="s">
        <v>87</v>
      </c>
      <c r="AA796" s="17">
        <v>3230</v>
      </c>
      <c r="AB796" s="17">
        <v>1654.53</v>
      </c>
      <c r="AC796" t="s">
        <v>84</v>
      </c>
      <c r="AD796" t="s">
        <v>84</v>
      </c>
      <c r="AE796" t="s">
        <v>84</v>
      </c>
      <c r="AF796" t="s">
        <v>84</v>
      </c>
      <c r="AG796" s="17">
        <v>18900000</v>
      </c>
      <c r="AH796" s="17">
        <v>34.2</v>
      </c>
      <c r="AI796" s="17">
        <v>4.15</v>
      </c>
      <c r="AJ796" s="17">
        <v>4.15</v>
      </c>
      <c r="AK796" t="s">
        <v>165</v>
      </c>
      <c r="AM796" s="17">
        <v>3.2</v>
      </c>
      <c r="AN796" s="17"/>
      <c r="AO796" s="17">
        <v>1300</v>
      </c>
      <c r="AP796" s="17"/>
      <c r="AQ796" s="17">
        <v>1830</v>
      </c>
      <c r="AR796" s="17"/>
      <c r="AS796" s="17">
        <v>2.28</v>
      </c>
      <c r="AT796" s="17"/>
      <c r="AU796" s="17">
        <v>1184.12</v>
      </c>
      <c r="AV796" s="17"/>
      <c r="AW796" s="17">
        <v>1626.68</v>
      </c>
      <c r="AX796" s="17"/>
      <c r="AY796" t="s">
        <v>92</v>
      </c>
      <c r="AZ796" t="s">
        <v>92</v>
      </c>
      <c r="BA796" t="s">
        <v>92</v>
      </c>
      <c r="BB796" t="s">
        <v>92</v>
      </c>
      <c r="BC796" t="s">
        <v>92</v>
      </c>
      <c r="BD796" t="s">
        <v>92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92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92</v>
      </c>
      <c r="BS796" t="s">
        <v>92</v>
      </c>
      <c r="BT796" t="s">
        <v>92</v>
      </c>
      <c r="BU796" t="s">
        <v>92</v>
      </c>
      <c r="BV796" t="s">
        <v>92</v>
      </c>
      <c r="BW796" t="s">
        <v>92</v>
      </c>
      <c r="BX796" t="s">
        <v>92</v>
      </c>
      <c r="BY796" t="str">
        <f>IF(COUNTIF('Data Upload-prod'!E:E,F796)=0,"Missing","Exist")</f>
        <v>Exist</v>
      </c>
    </row>
    <row r="797" hidden="1" spans="1:77">
      <c r="A797" s="16">
        <v>41845</v>
      </c>
      <c r="B797" s="16">
        <v>41914</v>
      </c>
      <c r="C797" t="s">
        <v>132</v>
      </c>
      <c r="D797" t="s">
        <v>78</v>
      </c>
      <c r="E797" t="s">
        <v>1361</v>
      </c>
      <c r="F797" t="s">
        <v>1362</v>
      </c>
      <c r="G797" t="s">
        <v>145</v>
      </c>
      <c r="H797" t="s">
        <v>181</v>
      </c>
      <c r="I797" t="s">
        <v>124</v>
      </c>
      <c r="J797" s="17">
        <v>75</v>
      </c>
      <c r="K797" s="17">
        <v>2232</v>
      </c>
      <c r="L797" s="17">
        <v>2232</v>
      </c>
      <c r="M797" s="17">
        <v>20900000</v>
      </c>
      <c r="N797" s="17">
        <v>27470000</v>
      </c>
      <c r="O797" s="17">
        <v>35.55</v>
      </c>
      <c r="P797" s="17">
        <v>48.52</v>
      </c>
      <c r="Q797" t="s">
        <v>84</v>
      </c>
      <c r="R797" t="s">
        <v>84</v>
      </c>
      <c r="S797" t="s">
        <v>85</v>
      </c>
      <c r="T797" t="s">
        <v>84</v>
      </c>
      <c r="U797" t="s">
        <v>84</v>
      </c>
      <c r="V797" s="16">
        <v>41859.875</v>
      </c>
      <c r="W797" t="s">
        <v>84</v>
      </c>
      <c r="X797" s="18">
        <v>41896.7083333333</v>
      </c>
      <c r="Y797" s="17">
        <v>2179.1</v>
      </c>
      <c r="Z797" t="s">
        <v>87</v>
      </c>
      <c r="AA797" s="17">
        <v>2289</v>
      </c>
      <c r="AB797" s="17">
        <v>2289</v>
      </c>
      <c r="AC797" t="s">
        <v>84</v>
      </c>
      <c r="AD797" s="17">
        <v>19570000</v>
      </c>
      <c r="AE797" t="s">
        <v>84</v>
      </c>
      <c r="AF797" s="17">
        <v>38.71</v>
      </c>
      <c r="AG797" t="s">
        <v>84</v>
      </c>
      <c r="AH797" t="s">
        <v>84</v>
      </c>
      <c r="AI797" s="17">
        <v>7.87</v>
      </c>
      <c r="AJ797" s="17">
        <v>7.87</v>
      </c>
      <c r="AK797" t="s">
        <v>295</v>
      </c>
      <c r="AM797" s="17">
        <v>2.7</v>
      </c>
      <c r="AN797" s="17"/>
      <c r="AO797" s="17">
        <v>1490</v>
      </c>
      <c r="AP797" s="17"/>
      <c r="AQ797" s="17">
        <v>2760</v>
      </c>
      <c r="AR797" s="17"/>
      <c r="AS797" s="13" t="s">
        <v>150</v>
      </c>
      <c r="AT797" s="13"/>
      <c r="AU797" s="13" t="s">
        <v>150</v>
      </c>
      <c r="AW797" s="13" t="s">
        <v>150</v>
      </c>
      <c r="AY797" t="s">
        <v>92</v>
      </c>
      <c r="AZ797" t="s">
        <v>92</v>
      </c>
      <c r="BA797" t="s">
        <v>92</v>
      </c>
      <c r="BB797" t="s">
        <v>92</v>
      </c>
      <c r="BC797" t="s">
        <v>92</v>
      </c>
      <c r="BD797" t="s">
        <v>92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92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92</v>
      </c>
      <c r="BS797" t="s">
        <v>92</v>
      </c>
      <c r="BT797" t="s">
        <v>92</v>
      </c>
      <c r="BU797" t="s">
        <v>92</v>
      </c>
      <c r="BV797" t="s">
        <v>92</v>
      </c>
      <c r="BW797" t="s">
        <v>92</v>
      </c>
      <c r="BX797" t="s">
        <v>92</v>
      </c>
      <c r="BY797" t="str">
        <f>IF(COUNTIF('Data Upload-prod'!E:E,F797)=0,"Missing","Exist")</f>
        <v>Exist</v>
      </c>
    </row>
    <row r="798" hidden="1" spans="1:77">
      <c r="A798" s="16">
        <v>41844</v>
      </c>
      <c r="B798" s="16">
        <v>42198</v>
      </c>
      <c r="C798" t="s">
        <v>233</v>
      </c>
      <c r="D798" t="s">
        <v>78</v>
      </c>
      <c r="E798" t="s">
        <v>239</v>
      </c>
      <c r="F798" t="s">
        <v>1363</v>
      </c>
      <c r="G798" t="s">
        <v>81</v>
      </c>
      <c r="H798" t="s">
        <v>1216</v>
      </c>
      <c r="I798" t="s">
        <v>124</v>
      </c>
      <c r="J798" s="17">
        <v>74.7</v>
      </c>
      <c r="K798" s="17">
        <v>2580</v>
      </c>
      <c r="L798" s="17">
        <v>1654.37</v>
      </c>
      <c r="M798" t="s">
        <v>84</v>
      </c>
      <c r="N798" t="s">
        <v>84</v>
      </c>
      <c r="O798" t="s">
        <v>84</v>
      </c>
      <c r="P798" t="s">
        <v>84</v>
      </c>
      <c r="Q798" s="17">
        <v>18587403</v>
      </c>
      <c r="R798" s="17">
        <v>30.7</v>
      </c>
      <c r="S798" t="s">
        <v>85</v>
      </c>
      <c r="T798" t="s">
        <v>84</v>
      </c>
      <c r="U798" t="s">
        <v>86</v>
      </c>
      <c r="V798" s="16">
        <v>41862</v>
      </c>
      <c r="W798" s="18">
        <v>41859</v>
      </c>
      <c r="X798" s="18">
        <v>42164.4583333333</v>
      </c>
      <c r="Y798" s="17">
        <v>2401.78</v>
      </c>
      <c r="Z798" t="s">
        <v>87</v>
      </c>
      <c r="AA798" s="17">
        <v>2520.52</v>
      </c>
      <c r="AB798" s="17">
        <v>1654.76</v>
      </c>
      <c r="AC798" t="s">
        <v>84</v>
      </c>
      <c r="AD798" t="s">
        <v>84</v>
      </c>
      <c r="AE798" t="s">
        <v>84</v>
      </c>
      <c r="AF798" t="s">
        <v>84</v>
      </c>
      <c r="AG798" s="17">
        <v>16251899</v>
      </c>
      <c r="AH798" s="17">
        <v>25.7</v>
      </c>
      <c r="AI798" s="17">
        <v>2.51</v>
      </c>
      <c r="AJ798" s="17">
        <v>2.51</v>
      </c>
      <c r="AK798" t="s">
        <v>165</v>
      </c>
      <c r="AM798" s="17">
        <v>3.2</v>
      </c>
      <c r="AN798" s="17"/>
      <c r="AO798" s="17">
        <v>1300</v>
      </c>
      <c r="AP798" s="17"/>
      <c r="AQ798" s="17">
        <v>1890</v>
      </c>
      <c r="AR798" s="17"/>
      <c r="AS798" s="17">
        <v>2.19</v>
      </c>
      <c r="AT798" s="17"/>
      <c r="AU798" s="17">
        <v>1249.6</v>
      </c>
      <c r="AV798" s="17"/>
      <c r="AW798" s="17">
        <v>1958.72</v>
      </c>
      <c r="AX798" s="17"/>
      <c r="AY798" t="s">
        <v>92</v>
      </c>
      <c r="AZ798" t="s">
        <v>92</v>
      </c>
      <c r="BA798" t="s">
        <v>92</v>
      </c>
      <c r="BB798" t="s">
        <v>92</v>
      </c>
      <c r="BC798" t="s">
        <v>92</v>
      </c>
      <c r="BD798" s="17">
        <v>5</v>
      </c>
      <c r="BE798" s="17">
        <v>4700000</v>
      </c>
      <c r="BF798" t="s">
        <v>92</v>
      </c>
      <c r="BG798" t="s">
        <v>92</v>
      </c>
      <c r="BH798" t="s">
        <v>93</v>
      </c>
      <c r="BI798" t="s">
        <v>94</v>
      </c>
      <c r="BJ798" t="s">
        <v>128</v>
      </c>
      <c r="BK798" t="s">
        <v>85</v>
      </c>
      <c r="BL798" t="s">
        <v>129</v>
      </c>
      <c r="BM798" t="s">
        <v>96</v>
      </c>
      <c r="BN798" t="s">
        <v>97</v>
      </c>
      <c r="BO798" t="s">
        <v>98</v>
      </c>
      <c r="BP798" t="s">
        <v>103</v>
      </c>
      <c r="BQ798" s="17">
        <v>1362.274481</v>
      </c>
      <c r="BR798" t="s">
        <v>138</v>
      </c>
      <c r="BS798" t="s">
        <v>130</v>
      </c>
      <c r="BT798" t="s">
        <v>103</v>
      </c>
      <c r="BU798" s="17">
        <v>10</v>
      </c>
      <c r="BV798" t="s">
        <v>101</v>
      </c>
      <c r="BW798" t="s">
        <v>129</v>
      </c>
      <c r="BX798" t="s">
        <v>85</v>
      </c>
      <c r="BY798" t="str">
        <f>IF(COUNTIF('Data Upload-prod'!E:E,F798)=0,"Missing","Exist")</f>
        <v>Exist</v>
      </c>
    </row>
    <row r="799" hidden="1" spans="1:77">
      <c r="A799" s="16">
        <v>41840</v>
      </c>
      <c r="B799" s="16">
        <v>42048</v>
      </c>
      <c r="C799" t="s">
        <v>233</v>
      </c>
      <c r="D799" t="s">
        <v>78</v>
      </c>
      <c r="E799" t="s">
        <v>239</v>
      </c>
      <c r="F799" t="s">
        <v>1364</v>
      </c>
      <c r="G799" t="s">
        <v>81</v>
      </c>
      <c r="H799" t="s">
        <v>1216</v>
      </c>
      <c r="I799" t="s">
        <v>124</v>
      </c>
      <c r="J799" s="17">
        <v>74.7</v>
      </c>
      <c r="K799" s="17">
        <v>3466.34</v>
      </c>
      <c r="L799" s="17">
        <v>1647.34</v>
      </c>
      <c r="M799" t="s">
        <v>84</v>
      </c>
      <c r="N799" t="s">
        <v>84</v>
      </c>
      <c r="O799" t="s">
        <v>84</v>
      </c>
      <c r="P799" t="s">
        <v>84</v>
      </c>
      <c r="Q799" s="17">
        <v>22710000</v>
      </c>
      <c r="R799" s="17">
        <v>41.8</v>
      </c>
      <c r="S799" t="s">
        <v>106</v>
      </c>
      <c r="T799" t="s">
        <v>84</v>
      </c>
      <c r="U799" t="s">
        <v>86</v>
      </c>
      <c r="V799" s="16">
        <v>41862</v>
      </c>
      <c r="W799" s="18">
        <v>41859</v>
      </c>
      <c r="X799" s="18">
        <v>41993.7083333333</v>
      </c>
      <c r="Y799" s="17">
        <v>3354.26</v>
      </c>
      <c r="Z799" t="s">
        <v>87</v>
      </c>
      <c r="AA799" s="17">
        <v>3473</v>
      </c>
      <c r="AB799" s="17">
        <v>1653.6</v>
      </c>
      <c r="AC799" t="s">
        <v>84</v>
      </c>
      <c r="AD799" t="s">
        <v>84</v>
      </c>
      <c r="AE799" t="s">
        <v>84</v>
      </c>
      <c r="AF799" t="s">
        <v>84</v>
      </c>
      <c r="AG799" s="17">
        <v>23500000</v>
      </c>
      <c r="AH799" s="17">
        <v>45.7</v>
      </c>
      <c r="AI799" s="17">
        <v>3.3</v>
      </c>
      <c r="AJ799" s="17">
        <v>3.3</v>
      </c>
      <c r="AK799" t="s">
        <v>114</v>
      </c>
      <c r="AM799" s="17">
        <v>2.2</v>
      </c>
      <c r="AN799" s="17"/>
      <c r="AO799" s="17">
        <v>915</v>
      </c>
      <c r="AP799" s="17"/>
      <c r="AQ799" s="17">
        <v>1450</v>
      </c>
      <c r="AR799" s="17"/>
      <c r="AS799" s="17">
        <v>2.34</v>
      </c>
      <c r="AT799" s="17"/>
      <c r="AU799" s="17">
        <v>1149.61</v>
      </c>
      <c r="AV799" s="17"/>
      <c r="AW799" s="17">
        <v>1519.73</v>
      </c>
      <c r="AX799" s="17"/>
      <c r="AY799" t="s">
        <v>92</v>
      </c>
      <c r="AZ799" t="s">
        <v>92</v>
      </c>
      <c r="BA799" t="s">
        <v>92</v>
      </c>
      <c r="BB799" t="s">
        <v>92</v>
      </c>
      <c r="BC799" t="s">
        <v>92</v>
      </c>
      <c r="BD799" s="17">
        <v>8</v>
      </c>
      <c r="BE799" s="17">
        <v>5030000</v>
      </c>
      <c r="BF799" t="s">
        <v>92</v>
      </c>
      <c r="BG799" t="s">
        <v>92</v>
      </c>
      <c r="BH799" t="s">
        <v>93</v>
      </c>
      <c r="BI799" t="s">
        <v>94</v>
      </c>
      <c r="BJ799" t="s">
        <v>128</v>
      </c>
      <c r="BK799" t="s">
        <v>85</v>
      </c>
      <c r="BL799" t="s">
        <v>129</v>
      </c>
      <c r="BM799" t="s">
        <v>96</v>
      </c>
      <c r="BN799" t="s">
        <v>97</v>
      </c>
      <c r="BO799" t="s">
        <v>98</v>
      </c>
      <c r="BP799" t="s">
        <v>103</v>
      </c>
      <c r="BQ799" s="17">
        <v>2966.024</v>
      </c>
      <c r="BR799" t="s">
        <v>138</v>
      </c>
      <c r="BS799" t="s">
        <v>130</v>
      </c>
      <c r="BT799" t="s">
        <v>103</v>
      </c>
      <c r="BU799" s="17">
        <v>9.9</v>
      </c>
      <c r="BV799" t="s">
        <v>101</v>
      </c>
      <c r="BW799" t="s">
        <v>129</v>
      </c>
      <c r="BX799" t="s">
        <v>85</v>
      </c>
      <c r="BY799" t="str">
        <f>IF(COUNTIF('Data Upload-prod'!E:E,F799)=0,"Missing","Exist")</f>
        <v>Exist</v>
      </c>
    </row>
    <row r="800" hidden="1" spans="1:77">
      <c r="A800" s="16">
        <v>41823</v>
      </c>
      <c r="B800" s="16">
        <v>41963</v>
      </c>
      <c r="C800" t="s">
        <v>360</v>
      </c>
      <c r="D800" t="s">
        <v>142</v>
      </c>
      <c r="E800" t="s">
        <v>589</v>
      </c>
      <c r="F800" t="s">
        <v>1365</v>
      </c>
      <c r="G800" t="s">
        <v>81</v>
      </c>
      <c r="H800" t="s">
        <v>1247</v>
      </c>
      <c r="I800" t="s">
        <v>231</v>
      </c>
      <c r="J800" s="17">
        <v>1285.12</v>
      </c>
      <c r="K800" s="17">
        <v>4682</v>
      </c>
      <c r="L800" s="17">
        <v>3116</v>
      </c>
      <c r="M800" t="s">
        <v>84</v>
      </c>
      <c r="N800" t="s">
        <v>84</v>
      </c>
      <c r="O800" t="s">
        <v>84</v>
      </c>
      <c r="P800" t="s">
        <v>84</v>
      </c>
      <c r="Q800" s="17">
        <v>76732380</v>
      </c>
      <c r="R800" s="17">
        <v>54.4</v>
      </c>
      <c r="S800" t="s">
        <v>106</v>
      </c>
      <c r="T800" t="s">
        <v>84</v>
      </c>
      <c r="U800" t="s">
        <v>84</v>
      </c>
      <c r="V800" s="16">
        <v>41849</v>
      </c>
      <c r="W800" s="18">
        <v>41847.5</v>
      </c>
      <c r="X800" s="18">
        <v>41910.5</v>
      </c>
      <c r="Y800" s="17">
        <v>3398.68</v>
      </c>
      <c r="Z800" t="s">
        <v>148</v>
      </c>
      <c r="AA800" s="17">
        <v>4710</v>
      </c>
      <c r="AB800" s="17">
        <v>3118</v>
      </c>
      <c r="AC800" t="s">
        <v>84</v>
      </c>
      <c r="AD800" t="s">
        <v>84</v>
      </c>
      <c r="AE800" t="s">
        <v>84</v>
      </c>
      <c r="AF800" t="s">
        <v>84</v>
      </c>
      <c r="AG800" s="17">
        <v>77687329</v>
      </c>
      <c r="AH800" s="17">
        <v>63</v>
      </c>
      <c r="AI800" s="17">
        <v>2.51</v>
      </c>
      <c r="AJ800" s="17">
        <v>2.51</v>
      </c>
      <c r="AK800" t="s">
        <v>767</v>
      </c>
      <c r="AM800" s="17">
        <v>3.1</v>
      </c>
      <c r="AN800" s="17"/>
      <c r="AO800" s="17">
        <v>1500</v>
      </c>
      <c r="AP800" s="17"/>
      <c r="AQ800" s="17">
        <v>3540</v>
      </c>
      <c r="AR800" s="17"/>
      <c r="AS800" s="17">
        <v>1.7</v>
      </c>
      <c r="AT800" s="17"/>
      <c r="AU800" s="17">
        <v>2107</v>
      </c>
      <c r="AV800" s="17"/>
      <c r="AW800" s="17">
        <v>4062</v>
      </c>
      <c r="AX800" s="17"/>
      <c r="AY800" t="s">
        <v>92</v>
      </c>
      <c r="AZ800" t="s">
        <v>92</v>
      </c>
      <c r="BA800" t="s">
        <v>92</v>
      </c>
      <c r="BB800" t="s">
        <v>92</v>
      </c>
      <c r="BC800" t="s">
        <v>92</v>
      </c>
      <c r="BD800" t="s">
        <v>92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92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92</v>
      </c>
      <c r="BS800" t="s">
        <v>92</v>
      </c>
      <c r="BT800" t="s">
        <v>92</v>
      </c>
      <c r="BU800" t="s">
        <v>92</v>
      </c>
      <c r="BV800" t="s">
        <v>92</v>
      </c>
      <c r="BW800" t="s">
        <v>92</v>
      </c>
      <c r="BX800" t="s">
        <v>92</v>
      </c>
      <c r="BY800" t="str">
        <f>IF(COUNTIF('Data Upload-prod'!E:E,F800)=0,"Missing","Exist")</f>
        <v>Exist</v>
      </c>
    </row>
    <row r="801" hidden="1" spans="1:77">
      <c r="A801" s="16">
        <v>41817</v>
      </c>
      <c r="B801" s="16">
        <v>41991</v>
      </c>
      <c r="C801" t="s">
        <v>195</v>
      </c>
      <c r="D801" t="s">
        <v>78</v>
      </c>
      <c r="E801" t="s">
        <v>212</v>
      </c>
      <c r="F801" t="s">
        <v>1366</v>
      </c>
      <c r="G801" t="s">
        <v>81</v>
      </c>
      <c r="H801" t="s">
        <v>214</v>
      </c>
      <c r="I801" t="s">
        <v>124</v>
      </c>
      <c r="J801" s="17">
        <v>63.6</v>
      </c>
      <c r="K801" s="17">
        <v>2100</v>
      </c>
      <c r="L801" s="17">
        <v>898</v>
      </c>
      <c r="M801" t="s">
        <v>84</v>
      </c>
      <c r="N801" t="s">
        <v>84</v>
      </c>
      <c r="O801" t="s">
        <v>84</v>
      </c>
      <c r="P801" t="s">
        <v>84</v>
      </c>
      <c r="Q801" s="17">
        <v>20900000</v>
      </c>
      <c r="R801" s="17">
        <v>31.8</v>
      </c>
      <c r="S801" t="s">
        <v>85</v>
      </c>
      <c r="T801" t="s">
        <v>84</v>
      </c>
      <c r="U801" t="s">
        <v>86</v>
      </c>
      <c r="V801" s="16">
        <v>41900.8958333333</v>
      </c>
      <c r="W801" s="18">
        <v>41900.2083333333</v>
      </c>
      <c r="X801" s="18">
        <v>41940</v>
      </c>
      <c r="Y801" s="17">
        <v>2014.53</v>
      </c>
      <c r="Z801" t="s">
        <v>87</v>
      </c>
      <c r="AA801" s="17">
        <v>2123</v>
      </c>
      <c r="AB801" s="17">
        <v>897</v>
      </c>
      <c r="AC801" t="s">
        <v>84</v>
      </c>
      <c r="AD801" t="s">
        <v>84</v>
      </c>
      <c r="AE801" t="s">
        <v>84</v>
      </c>
      <c r="AF801" t="s">
        <v>84</v>
      </c>
      <c r="AG801" s="17">
        <v>18833000</v>
      </c>
      <c r="AH801" s="17">
        <v>25.77</v>
      </c>
      <c r="AI801" s="17">
        <v>2.02</v>
      </c>
      <c r="AJ801" s="17">
        <v>1.05</v>
      </c>
      <c r="AK801" t="s">
        <v>208</v>
      </c>
      <c r="AM801" s="17">
        <v>2.1</v>
      </c>
      <c r="AN801" s="17"/>
      <c r="AO801" s="17">
        <v>700</v>
      </c>
      <c r="AP801" s="17"/>
      <c r="AQ801" s="17">
        <v>1220</v>
      </c>
      <c r="AR801" s="17"/>
      <c r="AS801" s="13" t="s">
        <v>150</v>
      </c>
      <c r="AT801" s="13"/>
      <c r="AU801" s="13" t="s">
        <v>150</v>
      </c>
      <c r="AW801" s="13" t="s">
        <v>150</v>
      </c>
      <c r="AY801" t="s">
        <v>92</v>
      </c>
      <c r="AZ801" t="s">
        <v>92</v>
      </c>
      <c r="BA801" t="s">
        <v>92</v>
      </c>
      <c r="BB801" t="s">
        <v>92</v>
      </c>
      <c r="BC801" t="s">
        <v>92</v>
      </c>
      <c r="BD801" s="17">
        <v>13.3</v>
      </c>
      <c r="BE801" s="17">
        <v>4037000</v>
      </c>
      <c r="BF801" t="s">
        <v>92</v>
      </c>
      <c r="BG801" t="s">
        <v>92</v>
      </c>
      <c r="BH801" t="s">
        <v>93</v>
      </c>
      <c r="BI801" t="s">
        <v>94</v>
      </c>
      <c r="BJ801" t="s">
        <v>215</v>
      </c>
      <c r="BK801" t="s">
        <v>85</v>
      </c>
      <c r="BL801" t="s">
        <v>85</v>
      </c>
      <c r="BM801" t="s">
        <v>137</v>
      </c>
      <c r="BN801" t="s">
        <v>97</v>
      </c>
      <c r="BO801" t="s">
        <v>98</v>
      </c>
      <c r="BP801" t="s">
        <v>99</v>
      </c>
      <c r="BQ801" s="17">
        <v>138</v>
      </c>
      <c r="BR801" t="s">
        <v>138</v>
      </c>
      <c r="BS801" t="s">
        <v>156</v>
      </c>
      <c r="BT801" t="s">
        <v>99</v>
      </c>
      <c r="BU801" s="17">
        <v>9</v>
      </c>
      <c r="BV801" t="s">
        <v>191</v>
      </c>
      <c r="BW801" t="s">
        <v>85</v>
      </c>
      <c r="BX801" t="s">
        <v>85</v>
      </c>
      <c r="BY801" t="str">
        <f>IF(COUNTIF('Data Upload-prod'!E:E,F801)=0,"Missing","Exist")</f>
        <v>Exist</v>
      </c>
    </row>
    <row r="802" hidden="1" spans="1:77">
      <c r="A802" s="16">
        <v>41794</v>
      </c>
      <c r="B802" s="16">
        <v>41893</v>
      </c>
      <c r="C802" t="s">
        <v>360</v>
      </c>
      <c r="D802" t="s">
        <v>142</v>
      </c>
      <c r="E802" t="s">
        <v>1367</v>
      </c>
      <c r="F802" t="s">
        <v>1368</v>
      </c>
      <c r="G802" t="s">
        <v>81</v>
      </c>
      <c r="H802" t="s">
        <v>1247</v>
      </c>
      <c r="I802" t="s">
        <v>231</v>
      </c>
      <c r="J802" s="17">
        <v>1308.3</v>
      </c>
      <c r="K802" s="17">
        <v>2851</v>
      </c>
      <c r="L802" s="17">
        <v>2730.5</v>
      </c>
      <c r="M802" t="s">
        <v>84</v>
      </c>
      <c r="N802" t="s">
        <v>84</v>
      </c>
      <c r="O802" t="s">
        <v>84</v>
      </c>
      <c r="P802" t="s">
        <v>84</v>
      </c>
      <c r="Q802" s="17">
        <v>55912449</v>
      </c>
      <c r="R802" s="17">
        <v>40.2</v>
      </c>
      <c r="S802" t="s">
        <v>85</v>
      </c>
      <c r="T802" t="s">
        <v>84</v>
      </c>
      <c r="U802" t="s">
        <v>320</v>
      </c>
      <c r="V802" s="16">
        <v>41801</v>
      </c>
      <c r="W802" s="18">
        <v>41800</v>
      </c>
      <c r="X802" s="18">
        <v>41847.5</v>
      </c>
      <c r="Y802" s="17">
        <v>1481.5</v>
      </c>
      <c r="Z802" t="s">
        <v>148</v>
      </c>
      <c r="AA802" s="17">
        <v>2816</v>
      </c>
      <c r="AB802" s="17">
        <v>2732</v>
      </c>
      <c r="AC802" t="s">
        <v>84</v>
      </c>
      <c r="AD802" t="s">
        <v>84</v>
      </c>
      <c r="AE802" t="s">
        <v>84</v>
      </c>
      <c r="AF802" t="s">
        <v>84</v>
      </c>
      <c r="AG802" s="17">
        <v>47160788</v>
      </c>
      <c r="AH802" s="17">
        <v>35.5</v>
      </c>
      <c r="AI802" s="17">
        <v>0.7</v>
      </c>
      <c r="AJ802" s="17">
        <v>0.7</v>
      </c>
      <c r="AK802" t="s">
        <v>767</v>
      </c>
      <c r="AM802" s="17">
        <v>3.1</v>
      </c>
      <c r="AN802" s="17"/>
      <c r="AO802" s="17">
        <v>1500</v>
      </c>
      <c r="AP802" s="17"/>
      <c r="AQ802" s="17">
        <v>3540</v>
      </c>
      <c r="AR802" s="17"/>
      <c r="AS802" s="17">
        <v>1.83</v>
      </c>
      <c r="AT802" s="17"/>
      <c r="AU802" s="17">
        <v>2425</v>
      </c>
      <c r="AV802" s="17"/>
      <c r="AW802" s="17">
        <v>8302</v>
      </c>
      <c r="AX802" s="17"/>
      <c r="AY802" t="s">
        <v>92</v>
      </c>
      <c r="AZ802" t="s">
        <v>92</v>
      </c>
      <c r="BA802" t="s">
        <v>92</v>
      </c>
      <c r="BB802" t="s">
        <v>92</v>
      </c>
      <c r="BC802" t="s">
        <v>92</v>
      </c>
      <c r="BD802" s="17">
        <v>21.25</v>
      </c>
      <c r="BE802" s="17">
        <v>28230049.15</v>
      </c>
      <c r="BF802" t="s">
        <v>92</v>
      </c>
      <c r="BG802" t="s">
        <v>92</v>
      </c>
      <c r="BH802" t="s">
        <v>93</v>
      </c>
      <c r="BI802" t="s">
        <v>94</v>
      </c>
      <c r="BJ802" t="s">
        <v>994</v>
      </c>
      <c r="BK802" t="s">
        <v>627</v>
      </c>
      <c r="BL802" t="s">
        <v>85</v>
      </c>
      <c r="BM802" t="s">
        <v>159</v>
      </c>
      <c r="BN802" t="s">
        <v>569</v>
      </c>
      <c r="BO802" t="s">
        <v>98</v>
      </c>
      <c r="BP802" t="s">
        <v>350</v>
      </c>
      <c r="BQ802" s="17">
        <v>626.0148</v>
      </c>
      <c r="BR802" t="s">
        <v>138</v>
      </c>
      <c r="BS802" t="s">
        <v>806</v>
      </c>
      <c r="BT802" t="s">
        <v>350</v>
      </c>
      <c r="BU802" s="17">
        <v>10.4</v>
      </c>
      <c r="BV802" t="s">
        <v>308</v>
      </c>
      <c r="BW802" t="s">
        <v>129</v>
      </c>
      <c r="BX802" t="s">
        <v>85</v>
      </c>
      <c r="BY802" t="str">
        <f>IF(COUNTIF('Data Upload-prod'!E:E,F802)=0,"Missing","Exist")</f>
        <v>Exist</v>
      </c>
    </row>
    <row r="803" hidden="1" spans="1:77">
      <c r="A803" s="16">
        <v>41789</v>
      </c>
      <c r="B803" s="16">
        <v>42001</v>
      </c>
      <c r="C803" t="s">
        <v>218</v>
      </c>
      <c r="D803" t="s">
        <v>120</v>
      </c>
      <c r="E803" t="s">
        <v>1369</v>
      </c>
      <c r="F803" t="s">
        <v>1370</v>
      </c>
      <c r="G803" t="s">
        <v>145</v>
      </c>
      <c r="H803" t="s">
        <v>221</v>
      </c>
      <c r="I803" t="s">
        <v>124</v>
      </c>
      <c r="J803" s="17">
        <v>85</v>
      </c>
      <c r="K803" s="17">
        <v>2303</v>
      </c>
      <c r="L803" s="17">
        <v>2159</v>
      </c>
      <c r="M803" s="17">
        <v>12650000</v>
      </c>
      <c r="N803" s="17">
        <v>12650000</v>
      </c>
      <c r="O803" s="17">
        <v>29.5</v>
      </c>
      <c r="P803" s="17">
        <v>29.5</v>
      </c>
      <c r="Q803" t="s">
        <v>84</v>
      </c>
      <c r="R803" t="s">
        <v>84</v>
      </c>
      <c r="S803" t="s">
        <v>85</v>
      </c>
      <c r="T803" t="s">
        <v>84</v>
      </c>
      <c r="U803" t="s">
        <v>84</v>
      </c>
      <c r="V803" s="16">
        <v>41802.4166666667</v>
      </c>
      <c r="W803" s="18">
        <v>41799.4166666667</v>
      </c>
      <c r="X803" s="18">
        <v>41829.5416666667</v>
      </c>
      <c r="Y803" s="17">
        <v>2263.7</v>
      </c>
      <c r="Z803" t="s">
        <v>87</v>
      </c>
      <c r="AA803" s="17">
        <v>2383</v>
      </c>
      <c r="AB803" s="17">
        <v>2338.6</v>
      </c>
      <c r="AC803" t="s">
        <v>84</v>
      </c>
      <c r="AD803" s="17">
        <v>15650000</v>
      </c>
      <c r="AE803" t="s">
        <v>84</v>
      </c>
      <c r="AF803" s="17">
        <v>30.4</v>
      </c>
      <c r="AG803" t="s">
        <v>84</v>
      </c>
      <c r="AH803" t="s">
        <v>84</v>
      </c>
      <c r="AI803" s="17">
        <v>8.96</v>
      </c>
      <c r="AJ803" s="17">
        <v>7.88</v>
      </c>
      <c r="AK803" t="s">
        <v>323</v>
      </c>
      <c r="AM803" s="17">
        <v>4.4</v>
      </c>
      <c r="AN803" s="17"/>
      <c r="AO803" s="17">
        <v>1980</v>
      </c>
      <c r="AP803" s="17"/>
      <c r="AQ803" s="17">
        <v>2760</v>
      </c>
      <c r="AR803" s="17"/>
      <c r="AS803" s="13" t="s">
        <v>150</v>
      </c>
      <c r="AT803" s="13"/>
      <c r="AU803" s="13" t="s">
        <v>150</v>
      </c>
      <c r="AW803" s="13" t="s">
        <v>150</v>
      </c>
      <c r="AY803" t="s">
        <v>92</v>
      </c>
      <c r="AZ803" t="s">
        <v>92</v>
      </c>
      <c r="BA803" t="s">
        <v>92</v>
      </c>
      <c r="BB803" t="s">
        <v>92</v>
      </c>
      <c r="BC803" t="s">
        <v>92</v>
      </c>
      <c r="BD803" t="s">
        <v>92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92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92</v>
      </c>
      <c r="BS803" t="s">
        <v>92</v>
      </c>
      <c r="BT803" t="s">
        <v>92</v>
      </c>
      <c r="BU803" t="s">
        <v>92</v>
      </c>
      <c r="BV803" t="s">
        <v>92</v>
      </c>
      <c r="BW803" t="s">
        <v>92</v>
      </c>
      <c r="BX803" t="s">
        <v>92</v>
      </c>
      <c r="BY803" t="str">
        <f>IF(COUNTIF('Data Upload-prod'!E:E,F803)=0,"Missing","Exist")</f>
        <v>Exist</v>
      </c>
    </row>
    <row r="804" hidden="1" spans="1:77">
      <c r="A804" s="16">
        <v>41784</v>
      </c>
      <c r="B804" s="16">
        <v>41920</v>
      </c>
      <c r="C804" t="s">
        <v>195</v>
      </c>
      <c r="D804" t="s">
        <v>78</v>
      </c>
      <c r="E804" t="s">
        <v>1371</v>
      </c>
      <c r="F804" t="s">
        <v>1372</v>
      </c>
      <c r="G804" t="s">
        <v>81</v>
      </c>
      <c r="H804" t="s">
        <v>214</v>
      </c>
      <c r="I804" t="s">
        <v>124</v>
      </c>
      <c r="J804" s="17">
        <v>55.7</v>
      </c>
      <c r="K804" s="17">
        <v>3735</v>
      </c>
      <c r="L804" s="17">
        <v>1886</v>
      </c>
      <c r="M804" t="s">
        <v>84</v>
      </c>
      <c r="N804" t="s">
        <v>84</v>
      </c>
      <c r="O804" t="s">
        <v>84</v>
      </c>
      <c r="P804" t="s">
        <v>84</v>
      </c>
      <c r="Q804" s="17">
        <v>38200000</v>
      </c>
      <c r="R804" s="17">
        <v>65</v>
      </c>
      <c r="S804" t="s">
        <v>85</v>
      </c>
      <c r="T804" t="s">
        <v>84</v>
      </c>
      <c r="U804" t="s">
        <v>86</v>
      </c>
      <c r="V804" s="16">
        <v>41808</v>
      </c>
      <c r="W804" s="18">
        <v>41807</v>
      </c>
      <c r="X804" s="18">
        <v>41877</v>
      </c>
      <c r="Y804" s="17">
        <v>3640.51</v>
      </c>
      <c r="Z804" t="s">
        <v>87</v>
      </c>
      <c r="AA804" s="17">
        <v>3740</v>
      </c>
      <c r="AB804" s="17">
        <v>1888</v>
      </c>
      <c r="AC804" t="s">
        <v>84</v>
      </c>
      <c r="AD804" t="s">
        <v>84</v>
      </c>
      <c r="AE804" t="s">
        <v>84</v>
      </c>
      <c r="AF804" t="s">
        <v>84</v>
      </c>
      <c r="AG804" s="17">
        <v>36613000</v>
      </c>
      <c r="AH804" s="17">
        <v>70</v>
      </c>
      <c r="AI804" s="17">
        <v>50.1</v>
      </c>
      <c r="AJ804" s="17">
        <v>50.04</v>
      </c>
      <c r="AK804" t="s">
        <v>208</v>
      </c>
      <c r="AM804" s="17">
        <v>2.1</v>
      </c>
      <c r="AN804" s="17"/>
      <c r="AO804" s="17">
        <v>700</v>
      </c>
      <c r="AP804" s="17"/>
      <c r="AQ804" s="17">
        <v>1620</v>
      </c>
      <c r="AR804" s="17"/>
      <c r="AS804" s="13" t="s">
        <v>150</v>
      </c>
      <c r="AT804" s="13"/>
      <c r="AU804" s="13" t="s">
        <v>150</v>
      </c>
      <c r="AW804" s="13" t="s">
        <v>150</v>
      </c>
      <c r="AY804" t="s">
        <v>92</v>
      </c>
      <c r="AZ804" t="s">
        <v>92</v>
      </c>
      <c r="BA804" t="s">
        <v>92</v>
      </c>
      <c r="BB804" t="s">
        <v>92</v>
      </c>
      <c r="BC804" t="s">
        <v>92</v>
      </c>
      <c r="BD804" s="17">
        <v>7</v>
      </c>
      <c r="BE804" s="17">
        <v>7805000</v>
      </c>
      <c r="BF804" t="s">
        <v>92</v>
      </c>
      <c r="BG804" t="s">
        <v>92</v>
      </c>
      <c r="BH804" t="s">
        <v>93</v>
      </c>
      <c r="BI804" t="s">
        <v>94</v>
      </c>
      <c r="BJ804" t="s">
        <v>173</v>
      </c>
      <c r="BK804" t="s">
        <v>85</v>
      </c>
      <c r="BL804" t="s">
        <v>85</v>
      </c>
      <c r="BM804" t="s">
        <v>96</v>
      </c>
      <c r="BN804" t="s">
        <v>490</v>
      </c>
      <c r="BO804" t="s">
        <v>216</v>
      </c>
      <c r="BP804" t="s">
        <v>99</v>
      </c>
      <c r="BQ804" s="17">
        <v>1148</v>
      </c>
      <c r="BR804" t="s">
        <v>138</v>
      </c>
      <c r="BS804" t="s">
        <v>156</v>
      </c>
      <c r="BT804" t="s">
        <v>99</v>
      </c>
      <c r="BU804" s="17">
        <v>9.9</v>
      </c>
      <c r="BV804" t="s">
        <v>191</v>
      </c>
      <c r="BW804" t="s">
        <v>85</v>
      </c>
      <c r="BX804" t="s">
        <v>85</v>
      </c>
      <c r="BY804" t="str">
        <f>IF(COUNTIF('Data Upload-prod'!E:E,F804)=0,"Missing","Exist")</f>
        <v>Exist</v>
      </c>
    </row>
    <row r="805" hidden="1" spans="1:77">
      <c r="A805" s="16">
        <v>41781</v>
      </c>
      <c r="B805" t="s">
        <v>84</v>
      </c>
      <c r="C805" t="s">
        <v>141</v>
      </c>
      <c r="D805" t="s">
        <v>120</v>
      </c>
      <c r="E805" t="s">
        <v>535</v>
      </c>
      <c r="F805" t="s">
        <v>1373</v>
      </c>
      <c r="G805" t="s">
        <v>81</v>
      </c>
      <c r="H805" t="s">
        <v>1374</v>
      </c>
      <c r="I805" t="s">
        <v>83</v>
      </c>
      <c r="J805" s="17">
        <v>105.15</v>
      </c>
      <c r="K805" s="17">
        <v>1983.54</v>
      </c>
      <c r="L805" s="17">
        <v>1325.82</v>
      </c>
      <c r="M805" t="s">
        <v>84</v>
      </c>
      <c r="N805" t="s">
        <v>84</v>
      </c>
      <c r="O805" t="s">
        <v>84</v>
      </c>
      <c r="P805" t="s">
        <v>84</v>
      </c>
      <c r="Q805" s="17">
        <v>99087000</v>
      </c>
      <c r="R805" s="17">
        <v>33.86</v>
      </c>
      <c r="S805" t="s">
        <v>85</v>
      </c>
      <c r="T805" t="s">
        <v>84</v>
      </c>
      <c r="U805" t="s">
        <v>84</v>
      </c>
      <c r="V805" s="16">
        <v>41817.53125</v>
      </c>
      <c r="W805" s="18">
        <v>41806.8958333333</v>
      </c>
      <c r="X805" s="18">
        <v>41886</v>
      </c>
      <c r="Y805" s="17">
        <v>1843.34</v>
      </c>
      <c r="Z805" t="s">
        <v>87</v>
      </c>
      <c r="AA805" s="17">
        <v>1982.32</v>
      </c>
      <c r="AB805" s="17">
        <v>1358.43</v>
      </c>
      <c r="AC805" t="s">
        <v>84</v>
      </c>
      <c r="AD805" t="s">
        <v>84</v>
      </c>
      <c r="AE805" t="s">
        <v>84</v>
      </c>
      <c r="AF805" t="s">
        <v>84</v>
      </c>
      <c r="AG805" s="17">
        <v>99635241.64</v>
      </c>
      <c r="AH805" s="17">
        <v>47.27</v>
      </c>
      <c r="AI805" s="17">
        <v>15.73</v>
      </c>
      <c r="AJ805" s="17">
        <v>15.73</v>
      </c>
      <c r="AK805" t="s">
        <v>126</v>
      </c>
      <c r="AM805" s="17">
        <v>2.5</v>
      </c>
      <c r="AN805" s="17"/>
      <c r="AO805" s="17">
        <v>1010</v>
      </c>
      <c r="AP805" s="17"/>
      <c r="AQ805" s="17">
        <v>1870</v>
      </c>
      <c r="AR805" s="17"/>
      <c r="AS805" s="17">
        <v>2.78</v>
      </c>
      <c r="AT805" s="17"/>
      <c r="AU805" s="17">
        <v>1647</v>
      </c>
      <c r="AV805" s="17"/>
      <c r="AW805" s="17">
        <v>2497</v>
      </c>
      <c r="AX805" s="17"/>
      <c r="AY805" t="s">
        <v>92</v>
      </c>
      <c r="AZ805" t="s">
        <v>92</v>
      </c>
      <c r="BA805" t="s">
        <v>92</v>
      </c>
      <c r="BB805" t="s">
        <v>92</v>
      </c>
      <c r="BC805" t="s">
        <v>92</v>
      </c>
      <c r="BD805" t="s">
        <v>92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92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92</v>
      </c>
      <c r="BS805" t="s">
        <v>92</v>
      </c>
      <c r="BT805" t="s">
        <v>92</v>
      </c>
      <c r="BU805" t="s">
        <v>92</v>
      </c>
      <c r="BV805" t="s">
        <v>92</v>
      </c>
      <c r="BW805" t="s">
        <v>92</v>
      </c>
      <c r="BX805" t="s">
        <v>92</v>
      </c>
      <c r="BY805" t="str">
        <f>IF(COUNTIF('Data Upload-prod'!E:E,F805)=0,"Missing","Exist")</f>
        <v>Exist</v>
      </c>
    </row>
    <row r="806" hidden="1" spans="1:77">
      <c r="A806" s="16">
        <v>41781</v>
      </c>
      <c r="B806" s="16">
        <v>41949</v>
      </c>
      <c r="C806" t="s">
        <v>132</v>
      </c>
      <c r="D806" t="s">
        <v>142</v>
      </c>
      <c r="E806" t="s">
        <v>1375</v>
      </c>
      <c r="F806" t="s">
        <v>1376</v>
      </c>
      <c r="G806" t="s">
        <v>81</v>
      </c>
      <c r="H806" t="s">
        <v>202</v>
      </c>
      <c r="I806" t="s">
        <v>124</v>
      </c>
      <c r="J806" s="17">
        <v>83.4</v>
      </c>
      <c r="K806" s="17">
        <v>1846.3</v>
      </c>
      <c r="L806" s="17">
        <v>1681</v>
      </c>
      <c r="M806" t="s">
        <v>84</v>
      </c>
      <c r="N806" t="s">
        <v>84</v>
      </c>
      <c r="O806" t="s">
        <v>84</v>
      </c>
      <c r="P806" t="s">
        <v>84</v>
      </c>
      <c r="Q806" s="17">
        <v>15434347.91</v>
      </c>
      <c r="R806" s="17">
        <v>29.6</v>
      </c>
      <c r="S806" t="s">
        <v>85</v>
      </c>
      <c r="T806" t="s">
        <v>84</v>
      </c>
      <c r="U806" t="s">
        <v>84</v>
      </c>
      <c r="V806" s="16">
        <v>41827</v>
      </c>
      <c r="W806" s="18">
        <v>41820.4583333333</v>
      </c>
      <c r="X806" s="18">
        <v>41918.375</v>
      </c>
      <c r="Y806" s="17">
        <v>1791.4</v>
      </c>
      <c r="Z806" t="s">
        <v>87</v>
      </c>
      <c r="AA806" s="17">
        <v>1916.7</v>
      </c>
      <c r="AB806" s="17">
        <v>1735.38</v>
      </c>
      <c r="AC806" t="s">
        <v>84</v>
      </c>
      <c r="AD806" t="s">
        <v>84</v>
      </c>
      <c r="AE806" t="s">
        <v>84</v>
      </c>
      <c r="AF806" t="s">
        <v>84</v>
      </c>
      <c r="AG806" s="17">
        <v>8452057.35</v>
      </c>
      <c r="AH806" s="17">
        <v>24.2</v>
      </c>
      <c r="AI806" s="17">
        <v>2.18</v>
      </c>
      <c r="AJ806" s="17">
        <v>2.18</v>
      </c>
      <c r="AK806" t="s">
        <v>89</v>
      </c>
      <c r="AM806" s="17">
        <v>2.4</v>
      </c>
      <c r="AN806" s="17"/>
      <c r="AO806" s="17">
        <v>795</v>
      </c>
      <c r="AP806" s="17"/>
      <c r="AQ806" s="17">
        <v>1580</v>
      </c>
      <c r="AR806" s="17"/>
      <c r="AS806" s="17">
        <v>3.37</v>
      </c>
      <c r="AT806" s="17"/>
      <c r="AU806" s="17">
        <v>1643.6</v>
      </c>
      <c r="AV806" s="17"/>
      <c r="AW806" s="17">
        <v>2768.44</v>
      </c>
      <c r="AX806" s="17"/>
      <c r="AY806" t="s">
        <v>92</v>
      </c>
      <c r="AZ806" t="s">
        <v>92</v>
      </c>
      <c r="BA806" t="s">
        <v>92</v>
      </c>
      <c r="BB806" t="s">
        <v>92</v>
      </c>
      <c r="BC806" t="s">
        <v>92</v>
      </c>
      <c r="BD806" t="s">
        <v>92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92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92</v>
      </c>
      <c r="BS806" t="s">
        <v>92</v>
      </c>
      <c r="BT806" t="s">
        <v>92</v>
      </c>
      <c r="BU806" t="s">
        <v>92</v>
      </c>
      <c r="BV806" t="s">
        <v>92</v>
      </c>
      <c r="BW806" t="s">
        <v>92</v>
      </c>
      <c r="BX806" t="s">
        <v>92</v>
      </c>
      <c r="BY806" t="str">
        <f>IF(COUNTIF('Data Upload-prod'!E:E,F806)=0,"Missing","Exist")</f>
        <v>Exist</v>
      </c>
    </row>
    <row r="807" hidden="1" spans="1:77">
      <c r="A807" s="16">
        <v>41778</v>
      </c>
      <c r="B807" s="16">
        <v>41887</v>
      </c>
      <c r="C807" t="s">
        <v>233</v>
      </c>
      <c r="D807" t="s">
        <v>78</v>
      </c>
      <c r="E807" t="s">
        <v>1377</v>
      </c>
      <c r="F807" t="s">
        <v>1378</v>
      </c>
      <c r="G807" t="s">
        <v>145</v>
      </c>
      <c r="H807" t="s">
        <v>1216</v>
      </c>
      <c r="I807" t="s">
        <v>124</v>
      </c>
      <c r="J807" s="17">
        <v>67.9</v>
      </c>
      <c r="K807" s="17">
        <v>1406</v>
      </c>
      <c r="L807" s="17">
        <v>1406</v>
      </c>
      <c r="M807" s="17">
        <v>18400000</v>
      </c>
      <c r="N807" s="17">
        <v>33400000</v>
      </c>
      <c r="O807" s="17">
        <v>34</v>
      </c>
      <c r="P807" s="17">
        <v>66.4</v>
      </c>
      <c r="Q807" t="s">
        <v>84</v>
      </c>
      <c r="R807" t="s">
        <v>84</v>
      </c>
      <c r="S807" t="s">
        <v>85</v>
      </c>
      <c r="T807" t="s">
        <v>84</v>
      </c>
      <c r="U807" t="s">
        <v>84</v>
      </c>
      <c r="V807" s="16">
        <v>41808.6458333333</v>
      </c>
      <c r="W807" s="18">
        <v>41804.7083333333</v>
      </c>
      <c r="X807" s="18">
        <v>41853.6458333333</v>
      </c>
      <c r="Y807" s="17">
        <v>1348.1</v>
      </c>
      <c r="Z807" t="s">
        <v>87</v>
      </c>
      <c r="AA807" s="17">
        <v>1450</v>
      </c>
      <c r="AB807" s="17">
        <v>1416.9</v>
      </c>
      <c r="AC807" t="s">
        <v>84</v>
      </c>
      <c r="AD807" s="17">
        <v>28600000</v>
      </c>
      <c r="AE807" t="s">
        <v>84</v>
      </c>
      <c r="AF807" s="17">
        <v>52.4</v>
      </c>
      <c r="AG807" t="s">
        <v>84</v>
      </c>
      <c r="AH807" t="s">
        <v>84</v>
      </c>
      <c r="AI807" s="17">
        <v>3.78</v>
      </c>
      <c r="AJ807" s="17">
        <v>3.78</v>
      </c>
      <c r="AK807" t="s">
        <v>300</v>
      </c>
      <c r="AM807" s="17">
        <v>1.9</v>
      </c>
      <c r="AN807" s="17"/>
      <c r="AO807" s="17">
        <v>720</v>
      </c>
      <c r="AP807" s="17"/>
      <c r="AQ807" s="17">
        <v>1370</v>
      </c>
      <c r="AR807" s="17"/>
      <c r="AS807" s="13" t="s">
        <v>150</v>
      </c>
      <c r="AT807" s="13"/>
      <c r="AU807" s="13" t="s">
        <v>150</v>
      </c>
      <c r="AW807" s="13" t="s">
        <v>150</v>
      </c>
      <c r="AY807" t="s">
        <v>92</v>
      </c>
      <c r="AZ807" t="s">
        <v>92</v>
      </c>
      <c r="BA807" t="s">
        <v>92</v>
      </c>
      <c r="BB807" t="s">
        <v>92</v>
      </c>
      <c r="BC807" t="s">
        <v>92</v>
      </c>
      <c r="BD807" t="s">
        <v>92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92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92</v>
      </c>
      <c r="BS807" t="s">
        <v>92</v>
      </c>
      <c r="BT807" t="s">
        <v>92</v>
      </c>
      <c r="BU807" t="s">
        <v>92</v>
      </c>
      <c r="BV807" t="s">
        <v>92</v>
      </c>
      <c r="BW807" t="s">
        <v>92</v>
      </c>
      <c r="BX807" t="s">
        <v>92</v>
      </c>
      <c r="BY807" t="str">
        <f>IF(COUNTIF('Data Upload-prod'!E:E,F807)=0,"Missing","Exist")</f>
        <v>Exist</v>
      </c>
    </row>
    <row r="808" hidden="1" spans="1:77">
      <c r="A808" s="16">
        <v>41764</v>
      </c>
      <c r="B808" s="16">
        <v>41941</v>
      </c>
      <c r="C808" t="s">
        <v>132</v>
      </c>
      <c r="D808" t="s">
        <v>142</v>
      </c>
      <c r="E808" t="s">
        <v>1379</v>
      </c>
      <c r="F808" t="s">
        <v>1380</v>
      </c>
      <c r="G808" t="s">
        <v>145</v>
      </c>
      <c r="H808" t="s">
        <v>1188</v>
      </c>
      <c r="I808" t="s">
        <v>231</v>
      </c>
      <c r="J808" s="17">
        <v>47</v>
      </c>
      <c r="K808" s="17">
        <v>3271</v>
      </c>
      <c r="L808" s="17">
        <v>2663</v>
      </c>
      <c r="M808" s="17">
        <v>29359877.37</v>
      </c>
      <c r="N808" s="17">
        <v>37631676.77</v>
      </c>
      <c r="O808" s="17">
        <v>42</v>
      </c>
      <c r="P808" s="17">
        <v>54</v>
      </c>
      <c r="Q808" t="s">
        <v>84</v>
      </c>
      <c r="R808" t="s">
        <v>84</v>
      </c>
      <c r="S808" t="s">
        <v>106</v>
      </c>
      <c r="T808" t="s">
        <v>84</v>
      </c>
      <c r="U808" t="s">
        <v>84</v>
      </c>
      <c r="V808" s="16">
        <v>41772.5208333333</v>
      </c>
      <c r="W808" s="18">
        <v>41768.5416666667</v>
      </c>
      <c r="X808" s="18">
        <v>41851</v>
      </c>
      <c r="Y808" s="17">
        <v>2613</v>
      </c>
      <c r="Z808" t="s">
        <v>87</v>
      </c>
      <c r="AA808" s="17">
        <v>2688</v>
      </c>
      <c r="AB808" s="17">
        <v>2227</v>
      </c>
      <c r="AC808" t="s">
        <v>84</v>
      </c>
      <c r="AD808" s="17">
        <v>42994331</v>
      </c>
      <c r="AE808" t="s">
        <v>84</v>
      </c>
      <c r="AF808" s="17">
        <v>90.46</v>
      </c>
      <c r="AG808" t="s">
        <v>84</v>
      </c>
      <c r="AH808" t="s">
        <v>84</v>
      </c>
      <c r="AI808" s="17">
        <v>7.5</v>
      </c>
      <c r="AJ808" s="17">
        <v>7.5</v>
      </c>
      <c r="AK808" t="s">
        <v>300</v>
      </c>
      <c r="AM808" s="17">
        <v>2.6</v>
      </c>
      <c r="AN808" s="17"/>
      <c r="AO808" s="17">
        <v>1010</v>
      </c>
      <c r="AP808" s="17"/>
      <c r="AQ808" s="17">
        <v>2090</v>
      </c>
      <c r="AR808" s="17"/>
      <c r="AS808" s="17">
        <v>5.28</v>
      </c>
      <c r="AT808" s="17"/>
      <c r="AU808" s="17">
        <v>2736</v>
      </c>
      <c r="AV808" s="17"/>
      <c r="AW808" s="17">
        <v>4031</v>
      </c>
      <c r="AX808" s="17"/>
      <c r="AY808" t="s">
        <v>92</v>
      </c>
      <c r="AZ808" t="s">
        <v>92</v>
      </c>
      <c r="BA808" t="s">
        <v>92</v>
      </c>
      <c r="BB808" t="s">
        <v>92</v>
      </c>
      <c r="BC808" t="s">
        <v>92</v>
      </c>
      <c r="BD808" t="s">
        <v>92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92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92</v>
      </c>
      <c r="BS808" t="s">
        <v>92</v>
      </c>
      <c r="BT808" t="s">
        <v>92</v>
      </c>
      <c r="BU808" t="s">
        <v>92</v>
      </c>
      <c r="BV808" t="s">
        <v>92</v>
      </c>
      <c r="BW808" t="s">
        <v>92</v>
      </c>
      <c r="BX808" t="s">
        <v>92</v>
      </c>
      <c r="BY808" t="str">
        <f>IF(COUNTIF('Data Upload-prod'!E:E,F808)=0,"Missing","Exist")</f>
        <v>Missing</v>
      </c>
    </row>
    <row r="809" hidden="1" spans="1:77">
      <c r="A809" s="16">
        <v>41760</v>
      </c>
      <c r="B809" s="16">
        <v>41968</v>
      </c>
      <c r="C809" t="s">
        <v>132</v>
      </c>
      <c r="D809" t="s">
        <v>142</v>
      </c>
      <c r="E809" t="s">
        <v>1375</v>
      </c>
      <c r="F809" t="s">
        <v>1381</v>
      </c>
      <c r="G809" t="s">
        <v>81</v>
      </c>
      <c r="H809" t="s">
        <v>1304</v>
      </c>
      <c r="I809" t="s">
        <v>124</v>
      </c>
      <c r="J809" s="17">
        <v>86</v>
      </c>
      <c r="K809" s="17">
        <v>3655.2</v>
      </c>
      <c r="L809" s="17">
        <v>2762.6</v>
      </c>
      <c r="M809" t="s">
        <v>84</v>
      </c>
      <c r="N809" t="s">
        <v>84</v>
      </c>
      <c r="O809" t="s">
        <v>84</v>
      </c>
      <c r="P809" t="s">
        <v>84</v>
      </c>
      <c r="Q809" s="17">
        <v>24003385.9</v>
      </c>
      <c r="R809" s="17">
        <v>43.9</v>
      </c>
      <c r="S809" t="s">
        <v>85</v>
      </c>
      <c r="T809" t="s">
        <v>84</v>
      </c>
      <c r="U809" t="s">
        <v>86</v>
      </c>
      <c r="V809" s="16">
        <v>41855.40625</v>
      </c>
      <c r="W809" s="18">
        <v>41794.5729166667</v>
      </c>
      <c r="X809" s="18">
        <v>41912.71875</v>
      </c>
      <c r="Y809" s="17">
        <v>3076.5</v>
      </c>
      <c r="Z809" t="s">
        <v>87</v>
      </c>
      <c r="AA809" s="17">
        <v>3200</v>
      </c>
      <c r="AB809" s="17">
        <v>2667.4</v>
      </c>
      <c r="AC809" t="s">
        <v>84</v>
      </c>
      <c r="AD809" t="s">
        <v>84</v>
      </c>
      <c r="AE809" t="s">
        <v>84</v>
      </c>
      <c r="AF809" t="s">
        <v>84</v>
      </c>
      <c r="AG809" s="17">
        <v>30949938.92</v>
      </c>
      <c r="AH809" s="17">
        <v>77.2</v>
      </c>
      <c r="AI809" s="17">
        <v>11.9</v>
      </c>
      <c r="AJ809" s="17">
        <v>11.8</v>
      </c>
      <c r="AK809" t="s">
        <v>89</v>
      </c>
      <c r="AM809" s="17">
        <v>2.4</v>
      </c>
      <c r="AN809" s="17"/>
      <c r="AO809" s="17">
        <v>795</v>
      </c>
      <c r="AP809" s="17"/>
      <c r="AQ809" s="17">
        <v>1580</v>
      </c>
      <c r="AR809" s="17"/>
      <c r="AS809" s="17">
        <v>4.1</v>
      </c>
      <c r="AT809" s="17"/>
      <c r="AU809" s="17">
        <v>1842.69</v>
      </c>
      <c r="AV809" s="17"/>
      <c r="AW809" s="17">
        <v>3512.17</v>
      </c>
      <c r="AX809" s="17"/>
      <c r="AY809" t="s">
        <v>92</v>
      </c>
      <c r="AZ809" t="s">
        <v>92</v>
      </c>
      <c r="BA809" t="s">
        <v>92</v>
      </c>
      <c r="BB809" t="s">
        <v>92</v>
      </c>
      <c r="BC809" t="s">
        <v>92</v>
      </c>
      <c r="BD809" s="17">
        <v>17.65</v>
      </c>
      <c r="BE809" s="17">
        <v>6285628.41</v>
      </c>
      <c r="BF809" t="s">
        <v>92</v>
      </c>
      <c r="BG809" t="s">
        <v>92</v>
      </c>
      <c r="BH809" t="s">
        <v>93</v>
      </c>
      <c r="BI809" t="s">
        <v>94</v>
      </c>
      <c r="BJ809" t="s">
        <v>128</v>
      </c>
      <c r="BK809" t="s">
        <v>85</v>
      </c>
      <c r="BL809" t="s">
        <v>85</v>
      </c>
      <c r="BM809" t="s">
        <v>96</v>
      </c>
      <c r="BN809" t="s">
        <v>569</v>
      </c>
      <c r="BO809" t="s">
        <v>98</v>
      </c>
      <c r="BP809" t="s">
        <v>103</v>
      </c>
      <c r="BQ809" s="17">
        <v>82.025</v>
      </c>
      <c r="BR809" t="s">
        <v>138</v>
      </c>
      <c r="BS809" t="s">
        <v>156</v>
      </c>
      <c r="BT809" t="s">
        <v>550</v>
      </c>
      <c r="BU809" s="17">
        <v>8.5</v>
      </c>
      <c r="BV809" t="s">
        <v>191</v>
      </c>
      <c r="BW809" t="s">
        <v>85</v>
      </c>
      <c r="BX809" t="s">
        <v>129</v>
      </c>
      <c r="BY809" t="str">
        <f>IF(COUNTIF('Data Upload-prod'!E:E,F809)=0,"Missing","Exist")</f>
        <v>Exist</v>
      </c>
    </row>
    <row r="810" hidden="1" spans="1:77">
      <c r="A810" s="16">
        <v>41744</v>
      </c>
      <c r="B810" s="16">
        <v>41919</v>
      </c>
      <c r="C810" t="s">
        <v>132</v>
      </c>
      <c r="D810" t="s">
        <v>142</v>
      </c>
      <c r="E810" t="s">
        <v>1375</v>
      </c>
      <c r="F810" t="s">
        <v>1382</v>
      </c>
      <c r="G810" t="s">
        <v>81</v>
      </c>
      <c r="H810" t="s">
        <v>1304</v>
      </c>
      <c r="I810" t="s">
        <v>124</v>
      </c>
      <c r="J810" s="17">
        <v>86</v>
      </c>
      <c r="K810" s="17">
        <v>3868</v>
      </c>
      <c r="L810" s="17">
        <v>2838</v>
      </c>
      <c r="M810" t="s">
        <v>84</v>
      </c>
      <c r="N810" t="s">
        <v>84</v>
      </c>
      <c r="O810" t="s">
        <v>84</v>
      </c>
      <c r="P810" t="s">
        <v>84</v>
      </c>
      <c r="Q810" s="17">
        <v>25792581.8</v>
      </c>
      <c r="R810" s="17">
        <v>49.4</v>
      </c>
      <c r="S810" t="s">
        <v>85</v>
      </c>
      <c r="T810" t="s">
        <v>84</v>
      </c>
      <c r="U810" t="s">
        <v>86</v>
      </c>
      <c r="V810" s="16">
        <v>41772.9166666667</v>
      </c>
      <c r="W810" s="18">
        <v>41756.4583333333</v>
      </c>
      <c r="X810" s="18">
        <v>41841.5</v>
      </c>
      <c r="Y810" s="17">
        <v>3593.5</v>
      </c>
      <c r="Z810" t="s">
        <v>87</v>
      </c>
      <c r="AA810" s="17">
        <v>3717</v>
      </c>
      <c r="AB810" s="17">
        <v>2773</v>
      </c>
      <c r="AC810" t="s">
        <v>84</v>
      </c>
      <c r="AD810" t="s">
        <v>84</v>
      </c>
      <c r="AE810" t="s">
        <v>84</v>
      </c>
      <c r="AF810" t="s">
        <v>84</v>
      </c>
      <c r="AG810" s="17">
        <v>26259136.77</v>
      </c>
      <c r="AH810" s="17">
        <v>79.1</v>
      </c>
      <c r="AI810" s="17">
        <v>45.8</v>
      </c>
      <c r="AJ810" s="17">
        <v>45.7</v>
      </c>
      <c r="AK810" t="s">
        <v>89</v>
      </c>
      <c r="AM810" s="17">
        <v>2.4</v>
      </c>
      <c r="AN810" s="17"/>
      <c r="AO810" s="17">
        <v>795</v>
      </c>
      <c r="AP810" s="17"/>
      <c r="AQ810" s="17">
        <v>1400</v>
      </c>
      <c r="AR810" s="17"/>
      <c r="AS810" s="17">
        <v>5.1</v>
      </c>
      <c r="AT810" s="17"/>
      <c r="AU810" s="17">
        <v>1510.34</v>
      </c>
      <c r="AV810" s="17"/>
      <c r="AW810" s="17">
        <v>3446.77</v>
      </c>
      <c r="AX810" s="17"/>
      <c r="AY810" t="s">
        <v>92</v>
      </c>
      <c r="AZ810" t="s">
        <v>92</v>
      </c>
      <c r="BA810" t="s">
        <v>92</v>
      </c>
      <c r="BB810" t="s">
        <v>92</v>
      </c>
      <c r="BC810" t="s">
        <v>92</v>
      </c>
      <c r="BD810" s="17">
        <v>23.13</v>
      </c>
      <c r="BE810" s="17">
        <v>6715716.7</v>
      </c>
      <c r="BF810" t="s">
        <v>92</v>
      </c>
      <c r="BG810" t="s">
        <v>92</v>
      </c>
      <c r="BH810" t="s">
        <v>93</v>
      </c>
      <c r="BI810" t="s">
        <v>94</v>
      </c>
      <c r="BJ810" t="s">
        <v>128</v>
      </c>
      <c r="BK810" t="s">
        <v>85</v>
      </c>
      <c r="BL810" t="s">
        <v>85</v>
      </c>
      <c r="BM810" t="s">
        <v>96</v>
      </c>
      <c r="BN810" t="s">
        <v>569</v>
      </c>
      <c r="BO810" t="s">
        <v>98</v>
      </c>
      <c r="BP810" t="s">
        <v>103</v>
      </c>
      <c r="BQ810" s="17">
        <v>501.993</v>
      </c>
      <c r="BR810" t="s">
        <v>138</v>
      </c>
      <c r="BS810" t="s">
        <v>156</v>
      </c>
      <c r="BT810" t="s">
        <v>550</v>
      </c>
      <c r="BU810" s="17">
        <v>9.5</v>
      </c>
      <c r="BV810" t="s">
        <v>191</v>
      </c>
      <c r="BW810" t="s">
        <v>85</v>
      </c>
      <c r="BX810" t="s">
        <v>129</v>
      </c>
      <c r="BY810" t="str">
        <f>IF(COUNTIF('Data Upload-prod'!E:E,F810)=0,"Missing","Exist")</f>
        <v>Exist</v>
      </c>
    </row>
    <row r="811" hidden="1" spans="1:77">
      <c r="A811" s="16">
        <v>41739</v>
      </c>
      <c r="B811" s="16">
        <v>41941</v>
      </c>
      <c r="C811" t="s">
        <v>360</v>
      </c>
      <c r="D811" t="s">
        <v>120</v>
      </c>
      <c r="E811" t="s">
        <v>715</v>
      </c>
      <c r="F811" t="s">
        <v>1383</v>
      </c>
      <c r="G811" t="s">
        <v>81</v>
      </c>
      <c r="H811" t="s">
        <v>185</v>
      </c>
      <c r="I811" t="s">
        <v>124</v>
      </c>
      <c r="J811" s="17">
        <v>35</v>
      </c>
      <c r="K811" s="17">
        <v>3390</v>
      </c>
      <c r="L811" s="17">
        <v>1643</v>
      </c>
      <c r="M811" t="s">
        <v>84</v>
      </c>
      <c r="N811" t="s">
        <v>84</v>
      </c>
      <c r="O811" t="s">
        <v>84</v>
      </c>
      <c r="P811" t="s">
        <v>84</v>
      </c>
      <c r="Q811" s="17">
        <v>48606488</v>
      </c>
      <c r="R811" s="17">
        <v>13.8</v>
      </c>
      <c r="S811" t="s">
        <v>106</v>
      </c>
      <c r="T811" t="s">
        <v>84</v>
      </c>
      <c r="U811" t="s">
        <v>84</v>
      </c>
      <c r="V811" t="s">
        <v>84</v>
      </c>
      <c r="W811" s="18">
        <v>41774.3958333333</v>
      </c>
      <c r="X811" s="18">
        <v>41934.3125</v>
      </c>
      <c r="Y811" s="17">
        <v>3546.16</v>
      </c>
      <c r="Z811" t="s">
        <v>87</v>
      </c>
      <c r="AA811" s="17">
        <v>3625</v>
      </c>
      <c r="AB811" s="17">
        <v>1674.45</v>
      </c>
      <c r="AC811" t="s">
        <v>84</v>
      </c>
      <c r="AD811" t="s">
        <v>84</v>
      </c>
      <c r="AE811" t="s">
        <v>84</v>
      </c>
      <c r="AF811" t="s">
        <v>84</v>
      </c>
      <c r="AG811" s="17">
        <v>15959989</v>
      </c>
      <c r="AH811" s="17">
        <v>32.8</v>
      </c>
      <c r="AI811" s="17">
        <v>3.24</v>
      </c>
      <c r="AJ811" s="17">
        <v>3.24</v>
      </c>
      <c r="AK811" t="s">
        <v>208</v>
      </c>
      <c r="AM811" s="17">
        <v>2.2</v>
      </c>
      <c r="AN811" s="17"/>
      <c r="AO811" s="17">
        <v>830</v>
      </c>
      <c r="AP811" s="17"/>
      <c r="AQ811" s="17">
        <v>1380</v>
      </c>
      <c r="AR811" s="17"/>
      <c r="AS811" s="17">
        <v>1.03</v>
      </c>
      <c r="AT811" s="17"/>
      <c r="AU811" s="17">
        <v>611.83</v>
      </c>
      <c r="AV811" s="17"/>
      <c r="AW811" s="17">
        <v>689.79</v>
      </c>
      <c r="AX811" s="17"/>
      <c r="AY811" t="s">
        <v>92</v>
      </c>
      <c r="AZ811" t="s">
        <v>92</v>
      </c>
      <c r="BA811" t="s">
        <v>92</v>
      </c>
      <c r="BB811" t="s">
        <v>92</v>
      </c>
      <c r="BC811" t="s">
        <v>92</v>
      </c>
      <c r="BD811" t="s">
        <v>92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92</v>
      </c>
      <c r="BM811" t="s">
        <v>92</v>
      </c>
      <c r="BN811" t="s">
        <v>92</v>
      </c>
      <c r="BO811" t="s">
        <v>92</v>
      </c>
      <c r="BP811" t="s">
        <v>92</v>
      </c>
      <c r="BQ811" t="s">
        <v>92</v>
      </c>
      <c r="BR811" t="s">
        <v>92</v>
      </c>
      <c r="BS811" t="s">
        <v>92</v>
      </c>
      <c r="BT811" t="s">
        <v>92</v>
      </c>
      <c r="BU811" t="s">
        <v>92</v>
      </c>
      <c r="BV811" t="s">
        <v>92</v>
      </c>
      <c r="BW811" t="s">
        <v>92</v>
      </c>
      <c r="BX811" t="s">
        <v>92</v>
      </c>
      <c r="BY811" t="str">
        <f>IF(COUNTIF('Data Upload-prod'!E:E,F811)=0,"Missing","Exist")</f>
        <v>Exist</v>
      </c>
    </row>
    <row r="812" hidden="1" spans="1:77">
      <c r="A812" s="16">
        <v>41739</v>
      </c>
      <c r="B812" s="16">
        <v>41914</v>
      </c>
      <c r="C812" t="s">
        <v>360</v>
      </c>
      <c r="D812" t="s">
        <v>120</v>
      </c>
      <c r="E812" t="s">
        <v>1349</v>
      </c>
      <c r="F812" t="s">
        <v>1384</v>
      </c>
      <c r="G812" t="s">
        <v>81</v>
      </c>
      <c r="H812" t="s">
        <v>185</v>
      </c>
      <c r="I812" t="s">
        <v>124</v>
      </c>
      <c r="J812" s="17">
        <v>35</v>
      </c>
      <c r="K812" s="17">
        <v>2341</v>
      </c>
      <c r="L812" s="17">
        <v>1421</v>
      </c>
      <c r="M812" t="s">
        <v>84</v>
      </c>
      <c r="N812" t="s">
        <v>84</v>
      </c>
      <c r="O812" t="s">
        <v>84</v>
      </c>
      <c r="P812" t="s">
        <v>84</v>
      </c>
      <c r="Q812" s="17">
        <v>6948002</v>
      </c>
      <c r="R812" s="17">
        <v>11.5</v>
      </c>
      <c r="S812" t="s">
        <v>85</v>
      </c>
      <c r="T812" t="s">
        <v>84</v>
      </c>
      <c r="U812" t="s">
        <v>86</v>
      </c>
      <c r="V812" s="16">
        <v>41784</v>
      </c>
      <c r="W812" s="18">
        <v>41775</v>
      </c>
      <c r="X812" s="18">
        <v>41824</v>
      </c>
      <c r="Y812" s="17">
        <v>2332.16</v>
      </c>
      <c r="Z812" t="s">
        <v>87</v>
      </c>
      <c r="AA812" s="17">
        <v>2410</v>
      </c>
      <c r="AB812" s="17">
        <v>1423.7</v>
      </c>
      <c r="AC812" t="s">
        <v>84</v>
      </c>
      <c r="AD812" t="s">
        <v>84</v>
      </c>
      <c r="AE812" t="s">
        <v>84</v>
      </c>
      <c r="AF812" t="s">
        <v>84</v>
      </c>
      <c r="AG812" s="17">
        <v>6739862.54</v>
      </c>
      <c r="AH812" s="17">
        <v>11.5</v>
      </c>
      <c r="AI812" s="17">
        <v>0</v>
      </c>
      <c r="AJ812" s="17">
        <v>0</v>
      </c>
      <c r="AK812" t="s">
        <v>208</v>
      </c>
      <c r="AM812" s="17">
        <v>2.2</v>
      </c>
      <c r="AN812" s="17"/>
      <c r="AO812" s="17">
        <v>830</v>
      </c>
      <c r="AP812" s="17"/>
      <c r="AQ812" s="17">
        <v>1395</v>
      </c>
      <c r="AR812" s="17"/>
      <c r="AS812" s="17">
        <v>0.21</v>
      </c>
      <c r="AT812" s="17"/>
      <c r="AU812" s="17">
        <v>715.19</v>
      </c>
      <c r="AV812" s="17"/>
      <c r="AW812" s="17">
        <v>1007.44</v>
      </c>
      <c r="AX812" s="17"/>
      <c r="AY812" t="s">
        <v>92</v>
      </c>
      <c r="AZ812" t="s">
        <v>92</v>
      </c>
      <c r="BA812" t="s">
        <v>92</v>
      </c>
      <c r="BB812" t="s">
        <v>92</v>
      </c>
      <c r="BC812" t="s">
        <v>92</v>
      </c>
      <c r="BD812" s="17">
        <v>3.23</v>
      </c>
      <c r="BE812" s="17">
        <v>1807351.5</v>
      </c>
      <c r="BF812" t="s">
        <v>92</v>
      </c>
      <c r="BG812" t="s">
        <v>92</v>
      </c>
      <c r="BH812" t="s">
        <v>93</v>
      </c>
      <c r="BI812" t="s">
        <v>94</v>
      </c>
      <c r="BJ812" t="s">
        <v>625</v>
      </c>
      <c r="BK812" t="s">
        <v>85</v>
      </c>
      <c r="BL812" t="s">
        <v>85</v>
      </c>
      <c r="BM812" t="s">
        <v>96</v>
      </c>
      <c r="BN812" t="s">
        <v>97</v>
      </c>
      <c r="BO812" t="s">
        <v>98</v>
      </c>
      <c r="BP812" t="s">
        <v>99</v>
      </c>
      <c r="BQ812" s="17">
        <v>167.331</v>
      </c>
      <c r="BR812" t="s">
        <v>138</v>
      </c>
      <c r="BS812" t="s">
        <v>156</v>
      </c>
      <c r="BT812" t="s">
        <v>99</v>
      </c>
      <c r="BU812" s="17">
        <v>9.5</v>
      </c>
      <c r="BV812" t="s">
        <v>308</v>
      </c>
      <c r="BW812" t="s">
        <v>85</v>
      </c>
      <c r="BX812" t="s">
        <v>85</v>
      </c>
      <c r="BY812" t="str">
        <f>IF(COUNTIF('Data Upload-prod'!E:E,F812)=0,"Missing","Exist")</f>
        <v>Exist</v>
      </c>
    </row>
    <row r="813" hidden="1" spans="1:77">
      <c r="A813" s="16">
        <v>41739</v>
      </c>
      <c r="B813" s="16">
        <v>41968</v>
      </c>
      <c r="C813" t="s">
        <v>360</v>
      </c>
      <c r="D813" t="s">
        <v>120</v>
      </c>
      <c r="E813" t="s">
        <v>1349</v>
      </c>
      <c r="F813" t="s">
        <v>1385</v>
      </c>
      <c r="G813" t="s">
        <v>81</v>
      </c>
      <c r="H813" t="s">
        <v>185</v>
      </c>
      <c r="I813" t="s">
        <v>124</v>
      </c>
      <c r="J813" s="17">
        <v>35</v>
      </c>
      <c r="K813" s="17">
        <v>2497</v>
      </c>
      <c r="L813" s="17">
        <v>1440</v>
      </c>
      <c r="M813" t="s">
        <v>84</v>
      </c>
      <c r="N813" t="s">
        <v>84</v>
      </c>
      <c r="O813" t="s">
        <v>84</v>
      </c>
      <c r="P813" t="s">
        <v>84</v>
      </c>
      <c r="Q813" s="17">
        <v>6781658</v>
      </c>
      <c r="R813" s="17">
        <v>10.9</v>
      </c>
      <c r="S813" t="s">
        <v>106</v>
      </c>
      <c r="T813" t="s">
        <v>84</v>
      </c>
      <c r="U813" t="s">
        <v>86</v>
      </c>
      <c r="V813" s="16">
        <v>41786</v>
      </c>
      <c r="W813" s="18">
        <v>41775.2083333333</v>
      </c>
      <c r="X813" s="18">
        <v>41828</v>
      </c>
      <c r="Y813" s="17">
        <v>2322.16</v>
      </c>
      <c r="Z813" t="s">
        <v>87</v>
      </c>
      <c r="AA813" s="17">
        <v>2400</v>
      </c>
      <c r="AB813" s="17">
        <v>1414.8</v>
      </c>
      <c r="AC813" t="s">
        <v>84</v>
      </c>
      <c r="AD813" t="s">
        <v>84</v>
      </c>
      <c r="AE813" t="s">
        <v>84</v>
      </c>
      <c r="AF813" t="s">
        <v>84</v>
      </c>
      <c r="AG813" s="17">
        <v>9948753.18</v>
      </c>
      <c r="AH813" s="17">
        <v>17.7</v>
      </c>
      <c r="AI813" s="17">
        <v>3.53</v>
      </c>
      <c r="AJ813" s="17">
        <v>3.53</v>
      </c>
      <c r="AK813" t="s">
        <v>208</v>
      </c>
      <c r="AM813" s="17">
        <v>2.2</v>
      </c>
      <c r="AN813" s="17"/>
      <c r="AO813" s="17">
        <v>830</v>
      </c>
      <c r="AP813" s="17"/>
      <c r="AQ813" s="17">
        <v>1395</v>
      </c>
      <c r="AR813" s="17"/>
      <c r="AS813" s="17">
        <v>0.32</v>
      </c>
      <c r="AT813" s="17"/>
      <c r="AU813" s="17">
        <v>708.54</v>
      </c>
      <c r="AV813" s="17"/>
      <c r="AW813" s="17">
        <v>998.53</v>
      </c>
      <c r="AX813" s="17"/>
      <c r="AY813" t="s">
        <v>92</v>
      </c>
      <c r="AZ813" t="s">
        <v>92</v>
      </c>
      <c r="BA813" t="s">
        <v>92</v>
      </c>
      <c r="BB813" t="s">
        <v>92</v>
      </c>
      <c r="BC813" t="s">
        <v>92</v>
      </c>
      <c r="BD813" s="17">
        <v>2.61</v>
      </c>
      <c r="BE813" s="17">
        <v>1817000</v>
      </c>
      <c r="BF813" t="s">
        <v>92</v>
      </c>
      <c r="BG813" t="s">
        <v>92</v>
      </c>
      <c r="BH813" t="s">
        <v>93</v>
      </c>
      <c r="BI813" t="s">
        <v>94</v>
      </c>
      <c r="BJ813" t="s">
        <v>625</v>
      </c>
      <c r="BK813" t="s">
        <v>85</v>
      </c>
      <c r="BL813" t="s">
        <v>85</v>
      </c>
      <c r="BM813" t="s">
        <v>96</v>
      </c>
      <c r="BN813" t="s">
        <v>97</v>
      </c>
      <c r="BO813" t="s">
        <v>98</v>
      </c>
      <c r="BP813" t="s">
        <v>99</v>
      </c>
      <c r="BQ813" s="17">
        <v>52.1679</v>
      </c>
      <c r="BR813" t="s">
        <v>138</v>
      </c>
      <c r="BS813" t="s">
        <v>156</v>
      </c>
      <c r="BT813" t="s">
        <v>99</v>
      </c>
      <c r="BU813" s="17">
        <v>9.5</v>
      </c>
      <c r="BV813" t="s">
        <v>308</v>
      </c>
      <c r="BW813" t="s">
        <v>85</v>
      </c>
      <c r="BX813" t="s">
        <v>85</v>
      </c>
      <c r="BY813" t="str">
        <f>IF(COUNTIF('Data Upload-prod'!E:E,F813)=0,"Missing","Exist")</f>
        <v>Exist</v>
      </c>
    </row>
    <row r="814" spans="1:77">
      <c r="A814" s="16">
        <v>41739</v>
      </c>
      <c r="B814" s="16">
        <v>41926</v>
      </c>
      <c r="C814" t="s">
        <v>1273</v>
      </c>
      <c r="D814" t="s">
        <v>120</v>
      </c>
      <c r="E814" t="s">
        <v>715</v>
      </c>
      <c r="F814" t="s">
        <v>1386</v>
      </c>
      <c r="G814" t="s">
        <v>81</v>
      </c>
      <c r="H814" t="s">
        <v>185</v>
      </c>
      <c r="I814" t="s">
        <v>124</v>
      </c>
      <c r="J814" s="17">
        <v>35</v>
      </c>
      <c r="K814" s="17">
        <v>1380</v>
      </c>
      <c r="L814" s="17">
        <v>1354</v>
      </c>
      <c r="M814" t="s">
        <v>84</v>
      </c>
      <c r="N814" t="s">
        <v>84</v>
      </c>
      <c r="O814" t="s">
        <v>84</v>
      </c>
      <c r="P814" t="s">
        <v>84</v>
      </c>
      <c r="Q814" s="17">
        <v>6037553</v>
      </c>
      <c r="R814" s="17">
        <v>9.4</v>
      </c>
      <c r="S814" t="s">
        <v>85</v>
      </c>
      <c r="T814" t="s">
        <v>84</v>
      </c>
      <c r="U814" t="s">
        <v>84</v>
      </c>
      <c r="V814" s="16">
        <v>41777</v>
      </c>
      <c r="W814" s="18">
        <v>41777</v>
      </c>
      <c r="X814" s="18">
        <v>41831</v>
      </c>
      <c r="Y814" s="17">
        <v>1372.2</v>
      </c>
      <c r="Z814" t="s">
        <v>87</v>
      </c>
      <c r="AA814" s="17">
        <v>1450</v>
      </c>
      <c r="AB814" s="17">
        <v>1420.01</v>
      </c>
      <c r="AC814" t="s">
        <v>84</v>
      </c>
      <c r="AD814" t="s">
        <v>84</v>
      </c>
      <c r="AE814" t="s">
        <v>84</v>
      </c>
      <c r="AF814" t="s">
        <v>84</v>
      </c>
      <c r="AG814" s="17">
        <v>5640681</v>
      </c>
      <c r="AH814" s="17">
        <v>9.5</v>
      </c>
      <c r="AI814" s="17">
        <v>0.66</v>
      </c>
      <c r="AJ814" s="17">
        <v>0.66</v>
      </c>
      <c r="AK814" t="s">
        <v>165</v>
      </c>
      <c r="AL814" t="s">
        <v>165</v>
      </c>
      <c r="AM814" s="17">
        <v>2</v>
      </c>
      <c r="AN814" s="17">
        <v>2</v>
      </c>
      <c r="AO814" s="17">
        <v>725</v>
      </c>
      <c r="AP814" s="17">
        <v>725</v>
      </c>
      <c r="AQ814" s="17">
        <v>1295</v>
      </c>
      <c r="AR814" s="17">
        <v>1295</v>
      </c>
      <c r="AS814" s="13" t="s">
        <v>90</v>
      </c>
      <c r="AT814" s="19">
        <v>1.24</v>
      </c>
      <c r="AU814" s="13" t="s">
        <v>90</v>
      </c>
      <c r="AV814" s="13">
        <v>737</v>
      </c>
      <c r="AW814" s="13" t="s">
        <v>90</v>
      </c>
      <c r="AX814" s="13">
        <v>1186</v>
      </c>
      <c r="AY814" t="s">
        <v>92</v>
      </c>
      <c r="AZ814" t="s">
        <v>92</v>
      </c>
      <c r="BA814" t="s">
        <v>92</v>
      </c>
      <c r="BB814" t="s">
        <v>92</v>
      </c>
      <c r="BC814" t="s">
        <v>92</v>
      </c>
      <c r="BD814" t="s">
        <v>92</v>
      </c>
      <c r="BE814" t="s">
        <v>92</v>
      </c>
      <c r="BF814" t="s">
        <v>92</v>
      </c>
      <c r="BG814" t="s">
        <v>92</v>
      </c>
      <c r="BH814" t="s">
        <v>92</v>
      </c>
      <c r="BI814" t="s">
        <v>92</v>
      </c>
      <c r="BJ814" t="s">
        <v>92</v>
      </c>
      <c r="BK814" t="s">
        <v>92</v>
      </c>
      <c r="BL814" t="s">
        <v>92</v>
      </c>
      <c r="BM814" t="s">
        <v>92</v>
      </c>
      <c r="BN814" t="s">
        <v>92</v>
      </c>
      <c r="BO814" t="s">
        <v>92</v>
      </c>
      <c r="BP814" t="s">
        <v>92</v>
      </c>
      <c r="BQ814" t="s">
        <v>92</v>
      </c>
      <c r="BR814" t="s">
        <v>92</v>
      </c>
      <c r="BS814" t="s">
        <v>92</v>
      </c>
      <c r="BT814" t="s">
        <v>92</v>
      </c>
      <c r="BU814" t="s">
        <v>92</v>
      </c>
      <c r="BV814" t="s">
        <v>92</v>
      </c>
      <c r="BW814" t="s">
        <v>92</v>
      </c>
      <c r="BX814" t="s">
        <v>92</v>
      </c>
      <c r="BY814" t="str">
        <f>IF(COUNTIF('Data Upload-prod'!E:E,F814)=0,"Missing","Exist")</f>
        <v>Exist</v>
      </c>
    </row>
    <row r="815" spans="1:77">
      <c r="A815" s="16">
        <v>41739</v>
      </c>
      <c r="B815" s="16">
        <v>41970</v>
      </c>
      <c r="C815" t="s">
        <v>1273</v>
      </c>
      <c r="D815" t="s">
        <v>120</v>
      </c>
      <c r="E815" t="s">
        <v>715</v>
      </c>
      <c r="F815" t="s">
        <v>1387</v>
      </c>
      <c r="G815" t="s">
        <v>81</v>
      </c>
      <c r="H815" t="s">
        <v>185</v>
      </c>
      <c r="I815" t="s">
        <v>124</v>
      </c>
      <c r="J815" s="17">
        <v>35</v>
      </c>
      <c r="K815" s="17">
        <v>3024</v>
      </c>
      <c r="L815" s="17">
        <v>1565</v>
      </c>
      <c r="M815" t="s">
        <v>84</v>
      </c>
      <c r="N815" t="s">
        <v>84</v>
      </c>
      <c r="O815" t="s">
        <v>84</v>
      </c>
      <c r="P815" t="s">
        <v>84</v>
      </c>
      <c r="Q815" s="17">
        <v>8364259</v>
      </c>
      <c r="R815" s="17">
        <v>15</v>
      </c>
      <c r="S815" t="s">
        <v>106</v>
      </c>
      <c r="T815" t="s">
        <v>84</v>
      </c>
      <c r="U815" t="s">
        <v>84</v>
      </c>
      <c r="V815" s="16">
        <v>41772</v>
      </c>
      <c r="W815" s="18">
        <v>41772.5833333333</v>
      </c>
      <c r="X815" s="18">
        <v>41899.75</v>
      </c>
      <c r="Y815" s="17">
        <v>2942.2</v>
      </c>
      <c r="Z815" t="s">
        <v>87</v>
      </c>
      <c r="AA815" s="17">
        <v>3020</v>
      </c>
      <c r="AB815" s="17">
        <v>1584.9</v>
      </c>
      <c r="AC815" t="s">
        <v>84</v>
      </c>
      <c r="AD815" t="s">
        <v>84</v>
      </c>
      <c r="AE815" t="s">
        <v>84</v>
      </c>
      <c r="AF815" t="s">
        <v>84</v>
      </c>
      <c r="AG815" s="17">
        <v>15172666.05</v>
      </c>
      <c r="AH815" s="17">
        <v>29.4</v>
      </c>
      <c r="AI815" s="17">
        <v>3.68</v>
      </c>
      <c r="AJ815" s="17">
        <v>3.68</v>
      </c>
      <c r="AK815" t="s">
        <v>208</v>
      </c>
      <c r="AL815" t="s">
        <v>208</v>
      </c>
      <c r="AM815" s="17">
        <v>2.2</v>
      </c>
      <c r="AN815" s="17">
        <v>2.2</v>
      </c>
      <c r="AO815" s="17">
        <v>830</v>
      </c>
      <c r="AP815" s="17">
        <v>830</v>
      </c>
      <c r="AQ815" s="17">
        <v>1380</v>
      </c>
      <c r="AR815" s="17">
        <v>1380</v>
      </c>
      <c r="AS815" s="13" t="s">
        <v>90</v>
      </c>
      <c r="AT815" s="19">
        <v>1.09</v>
      </c>
      <c r="AU815" s="13" t="s">
        <v>90</v>
      </c>
      <c r="AV815" s="13">
        <v>565</v>
      </c>
      <c r="AW815" s="13" t="s">
        <v>90</v>
      </c>
      <c r="AX815" s="13">
        <v>757</v>
      </c>
      <c r="AY815" t="s">
        <v>92</v>
      </c>
      <c r="AZ815" t="s">
        <v>92</v>
      </c>
      <c r="BA815" t="s">
        <v>92</v>
      </c>
      <c r="BB815" t="s">
        <v>92</v>
      </c>
      <c r="BC815" t="s">
        <v>92</v>
      </c>
      <c r="BD815" t="s">
        <v>92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92</v>
      </c>
      <c r="BM815" t="s">
        <v>92</v>
      </c>
      <c r="BN815" t="s">
        <v>92</v>
      </c>
      <c r="BO815" t="s">
        <v>92</v>
      </c>
      <c r="BP815" t="s">
        <v>92</v>
      </c>
      <c r="BQ815" t="s">
        <v>92</v>
      </c>
      <c r="BR815" t="s">
        <v>92</v>
      </c>
      <c r="BS815" t="s">
        <v>92</v>
      </c>
      <c r="BT815" t="s">
        <v>92</v>
      </c>
      <c r="BU815" t="s">
        <v>92</v>
      </c>
      <c r="BV815" t="s">
        <v>92</v>
      </c>
      <c r="BW815" t="s">
        <v>92</v>
      </c>
      <c r="BX815" t="s">
        <v>92</v>
      </c>
      <c r="BY815" t="str">
        <f>IF(COUNTIF('Data Upload-prod'!E:E,F815)=0,"Missing","Exist")</f>
        <v>Exist</v>
      </c>
    </row>
    <row r="816" hidden="1" spans="1:77">
      <c r="A816" s="16">
        <v>41733</v>
      </c>
      <c r="B816" s="16">
        <v>41863</v>
      </c>
      <c r="C816" t="s">
        <v>269</v>
      </c>
      <c r="D816" t="s">
        <v>78</v>
      </c>
      <c r="E816" t="s">
        <v>1388</v>
      </c>
      <c r="F816" t="s">
        <v>1389</v>
      </c>
      <c r="G816" t="s">
        <v>145</v>
      </c>
      <c r="H816" t="s">
        <v>252</v>
      </c>
      <c r="I816" t="s">
        <v>124</v>
      </c>
      <c r="J816" s="17">
        <v>63.4</v>
      </c>
      <c r="K816" s="17">
        <v>2983.85</v>
      </c>
      <c r="L816" s="17">
        <v>2983.85</v>
      </c>
      <c r="M816" s="17">
        <v>24497776</v>
      </c>
      <c r="N816" s="17">
        <v>24497776</v>
      </c>
      <c r="O816" s="17">
        <v>39.3</v>
      </c>
      <c r="P816" s="17">
        <v>39.3</v>
      </c>
      <c r="Q816" t="s">
        <v>84</v>
      </c>
      <c r="R816" t="s">
        <v>84</v>
      </c>
      <c r="S816" t="s">
        <v>85</v>
      </c>
      <c r="T816" t="s">
        <v>84</v>
      </c>
      <c r="U816" t="s">
        <v>84</v>
      </c>
      <c r="V816" s="16">
        <v>41777</v>
      </c>
      <c r="W816" s="18">
        <v>41769.25</v>
      </c>
      <c r="X816" s="18">
        <v>41811.3958333333</v>
      </c>
      <c r="Y816" s="17">
        <v>2455.65</v>
      </c>
      <c r="Z816" t="s">
        <v>87</v>
      </c>
      <c r="AA816" s="17">
        <v>2553.19</v>
      </c>
      <c r="AB816" s="17">
        <v>2543.37</v>
      </c>
      <c r="AC816" t="s">
        <v>84</v>
      </c>
      <c r="AD816" s="17">
        <v>18720360</v>
      </c>
      <c r="AE816" t="s">
        <v>84</v>
      </c>
      <c r="AF816" s="17">
        <v>42.15</v>
      </c>
      <c r="AG816" t="s">
        <v>84</v>
      </c>
      <c r="AH816" t="s">
        <v>84</v>
      </c>
      <c r="AI816" s="17">
        <v>13.5</v>
      </c>
      <c r="AJ816" s="17">
        <v>13.25</v>
      </c>
      <c r="AK816" t="s">
        <v>295</v>
      </c>
      <c r="AM816" s="17">
        <v>2.7</v>
      </c>
      <c r="AN816" s="17"/>
      <c r="AO816" s="17">
        <v>1490</v>
      </c>
      <c r="AP816" s="17"/>
      <c r="AQ816" s="17">
        <v>2760</v>
      </c>
      <c r="AR816" s="17"/>
      <c r="AS816" s="17">
        <v>2.32</v>
      </c>
      <c r="AT816" s="17"/>
      <c r="AU816" s="17">
        <v>1255.25</v>
      </c>
      <c r="AV816" s="17"/>
      <c r="AW816" s="17">
        <v>1952.18</v>
      </c>
      <c r="AX816" s="17"/>
      <c r="AY816" t="s">
        <v>92</v>
      </c>
      <c r="AZ816" t="s">
        <v>92</v>
      </c>
      <c r="BA816" t="s">
        <v>92</v>
      </c>
      <c r="BB816" t="s">
        <v>92</v>
      </c>
      <c r="BC816" t="s">
        <v>92</v>
      </c>
      <c r="BD816" t="s">
        <v>92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92</v>
      </c>
      <c r="BM816" t="s">
        <v>92</v>
      </c>
      <c r="BN816" t="s">
        <v>92</v>
      </c>
      <c r="BO816" t="s">
        <v>92</v>
      </c>
      <c r="BP816" t="s">
        <v>92</v>
      </c>
      <c r="BQ816" t="s">
        <v>92</v>
      </c>
      <c r="BR816" t="s">
        <v>92</v>
      </c>
      <c r="BS816" t="s">
        <v>92</v>
      </c>
      <c r="BT816" t="s">
        <v>92</v>
      </c>
      <c r="BU816" t="s">
        <v>92</v>
      </c>
      <c r="BV816" t="s">
        <v>92</v>
      </c>
      <c r="BW816" t="s">
        <v>92</v>
      </c>
      <c r="BX816" t="s">
        <v>92</v>
      </c>
      <c r="BY816" t="str">
        <f>IF(COUNTIF('Data Upload-prod'!E:E,F816)=0,"Missing","Exist")</f>
        <v>Exist</v>
      </c>
    </row>
    <row r="817" hidden="1" spans="1:77">
      <c r="A817" s="16">
        <v>41724</v>
      </c>
      <c r="B817" s="16">
        <v>41953</v>
      </c>
      <c r="C817" t="s">
        <v>218</v>
      </c>
      <c r="D817" t="s">
        <v>120</v>
      </c>
      <c r="E817" t="s">
        <v>944</v>
      </c>
      <c r="F817" t="s">
        <v>1390</v>
      </c>
      <c r="G817" t="s">
        <v>145</v>
      </c>
      <c r="H817" t="s">
        <v>221</v>
      </c>
      <c r="I817" t="s">
        <v>124</v>
      </c>
      <c r="J817" s="17">
        <v>81.2</v>
      </c>
      <c r="K817" s="17">
        <v>2453</v>
      </c>
      <c r="L817" s="17">
        <v>2453</v>
      </c>
      <c r="M817" s="17">
        <v>12350000</v>
      </c>
      <c r="N817" s="17">
        <v>12350000</v>
      </c>
      <c r="O817" s="17">
        <v>20.9</v>
      </c>
      <c r="P817" s="17">
        <v>20.9</v>
      </c>
      <c r="Q817" t="s">
        <v>84</v>
      </c>
      <c r="R817" t="s">
        <v>84</v>
      </c>
      <c r="S817" t="s">
        <v>381</v>
      </c>
      <c r="T817" t="s">
        <v>84</v>
      </c>
      <c r="U817" t="s">
        <v>84</v>
      </c>
      <c r="V817" s="16">
        <v>41779</v>
      </c>
      <c r="W817" s="18">
        <v>41776.5416666667</v>
      </c>
      <c r="X817" s="18">
        <v>41799.4166666667</v>
      </c>
      <c r="Y817" s="17">
        <v>2363.5</v>
      </c>
      <c r="Z817" t="s">
        <v>87</v>
      </c>
      <c r="AA817" s="17">
        <v>2479</v>
      </c>
      <c r="AB817" s="17">
        <v>2479</v>
      </c>
      <c r="AC817" t="s">
        <v>84</v>
      </c>
      <c r="AD817" s="17">
        <v>12311666</v>
      </c>
      <c r="AE817" t="s">
        <v>84</v>
      </c>
      <c r="AF817" s="17">
        <v>22.9</v>
      </c>
      <c r="AG817" t="s">
        <v>84</v>
      </c>
      <c r="AH817" t="s">
        <v>84</v>
      </c>
      <c r="AI817" s="17">
        <v>3</v>
      </c>
      <c r="AJ817" s="17">
        <v>3</v>
      </c>
      <c r="AK817" t="s">
        <v>323</v>
      </c>
      <c r="AM817" s="17">
        <v>4.4</v>
      </c>
      <c r="AN817" s="17"/>
      <c r="AO817" s="17">
        <v>1980</v>
      </c>
      <c r="AP817" s="17"/>
      <c r="AQ817" s="17">
        <v>2760</v>
      </c>
      <c r="AR817" s="17"/>
      <c r="AS817" s="13" t="s">
        <v>150</v>
      </c>
      <c r="AT817" s="13"/>
      <c r="AU817" s="13" t="s">
        <v>150</v>
      </c>
      <c r="AW817" s="13" t="s">
        <v>150</v>
      </c>
      <c r="AY817" t="s">
        <v>92</v>
      </c>
      <c r="AZ817" t="s">
        <v>92</v>
      </c>
      <c r="BA817" t="s">
        <v>92</v>
      </c>
      <c r="BB817" t="s">
        <v>92</v>
      </c>
      <c r="BC817" t="s">
        <v>92</v>
      </c>
      <c r="BD817" t="s">
        <v>92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92</v>
      </c>
      <c r="BM817" t="s">
        <v>92</v>
      </c>
      <c r="BN817" t="s">
        <v>92</v>
      </c>
      <c r="BO817" t="s">
        <v>92</v>
      </c>
      <c r="BP817" t="s">
        <v>92</v>
      </c>
      <c r="BQ817" t="s">
        <v>92</v>
      </c>
      <c r="BR817" t="s">
        <v>92</v>
      </c>
      <c r="BS817" t="s">
        <v>92</v>
      </c>
      <c r="BT817" t="s">
        <v>92</v>
      </c>
      <c r="BU817" t="s">
        <v>92</v>
      </c>
      <c r="BV817" t="s">
        <v>92</v>
      </c>
      <c r="BW817" t="s">
        <v>92</v>
      </c>
      <c r="BX817" t="s">
        <v>92</v>
      </c>
      <c r="BY817" t="str">
        <f>IF(COUNTIF('Data Upload-prod'!E:E,F817)=0,"Missing","Exist")</f>
        <v>Exist</v>
      </c>
    </row>
    <row r="818" hidden="1" spans="1:77">
      <c r="A818" s="16">
        <v>41718</v>
      </c>
      <c r="B818" s="16">
        <v>41802</v>
      </c>
      <c r="C818" t="s">
        <v>360</v>
      </c>
      <c r="D818" t="s">
        <v>120</v>
      </c>
      <c r="E818" t="s">
        <v>1391</v>
      </c>
      <c r="F818" t="s">
        <v>1392</v>
      </c>
      <c r="G818" t="s">
        <v>81</v>
      </c>
      <c r="H818" t="s">
        <v>185</v>
      </c>
      <c r="I818" t="s">
        <v>124</v>
      </c>
      <c r="J818" s="17">
        <v>32</v>
      </c>
      <c r="K818" s="17">
        <v>1158.01</v>
      </c>
      <c r="L818" s="17">
        <v>1158.01</v>
      </c>
      <c r="M818" t="s">
        <v>84</v>
      </c>
      <c r="N818" t="s">
        <v>84</v>
      </c>
      <c r="O818" t="s">
        <v>84</v>
      </c>
      <c r="P818" t="s">
        <v>84</v>
      </c>
      <c r="Q818" s="17">
        <v>6983629</v>
      </c>
      <c r="R818" s="17">
        <v>11</v>
      </c>
      <c r="S818" t="s">
        <v>85</v>
      </c>
      <c r="T818" t="s">
        <v>84</v>
      </c>
      <c r="U818" t="s">
        <v>84</v>
      </c>
      <c r="V818" s="16">
        <v>41732.3541666667</v>
      </c>
      <c r="W818" s="18">
        <v>41729.5208333333</v>
      </c>
      <c r="X818" s="18">
        <v>41744.0833333333</v>
      </c>
      <c r="Y818" s="17">
        <v>1598.6</v>
      </c>
      <c r="Z818" t="s">
        <v>87</v>
      </c>
      <c r="AA818" s="17">
        <v>1674</v>
      </c>
      <c r="AB818" s="17">
        <v>1674</v>
      </c>
      <c r="AC818" t="s">
        <v>84</v>
      </c>
      <c r="AD818" t="s">
        <v>84</v>
      </c>
      <c r="AE818" t="s">
        <v>84</v>
      </c>
      <c r="AF818" t="s">
        <v>84</v>
      </c>
      <c r="AG818" s="17">
        <v>4980273</v>
      </c>
      <c r="AH818" s="17">
        <v>8.4</v>
      </c>
      <c r="AI818" s="17">
        <v>4.71</v>
      </c>
      <c r="AJ818" s="17">
        <v>4.71</v>
      </c>
      <c r="AK818" t="s">
        <v>165</v>
      </c>
      <c r="AM818" s="17">
        <v>2</v>
      </c>
      <c r="AN818" s="17"/>
      <c r="AO818" s="17">
        <v>725</v>
      </c>
      <c r="AP818" s="17"/>
      <c r="AQ818" s="17">
        <v>1295</v>
      </c>
      <c r="AR818" s="17"/>
      <c r="AS818" s="13" t="s">
        <v>150</v>
      </c>
      <c r="AT818" s="13"/>
      <c r="AU818" s="13" t="s">
        <v>150</v>
      </c>
      <c r="AW818" s="13" t="s">
        <v>150</v>
      </c>
      <c r="AY818" t="s">
        <v>92</v>
      </c>
      <c r="AZ818" t="s">
        <v>92</v>
      </c>
      <c r="BA818" t="s">
        <v>92</v>
      </c>
      <c r="BB818" t="s">
        <v>92</v>
      </c>
      <c r="BC818" t="s">
        <v>92</v>
      </c>
      <c r="BD818" t="s">
        <v>92</v>
      </c>
      <c r="BE818" t="s">
        <v>92</v>
      </c>
      <c r="BF818" t="s">
        <v>92</v>
      </c>
      <c r="BG818" t="s">
        <v>92</v>
      </c>
      <c r="BH818" t="s">
        <v>92</v>
      </c>
      <c r="BI818" t="s">
        <v>92</v>
      </c>
      <c r="BJ818" t="s">
        <v>92</v>
      </c>
      <c r="BK818" t="s">
        <v>92</v>
      </c>
      <c r="BL818" t="s">
        <v>92</v>
      </c>
      <c r="BM818" t="s">
        <v>92</v>
      </c>
      <c r="BN818" t="s">
        <v>92</v>
      </c>
      <c r="BO818" t="s">
        <v>92</v>
      </c>
      <c r="BP818" t="s">
        <v>92</v>
      </c>
      <c r="BQ818" t="s">
        <v>92</v>
      </c>
      <c r="BR818" t="s">
        <v>92</v>
      </c>
      <c r="BS818" t="s">
        <v>92</v>
      </c>
      <c r="BT818" t="s">
        <v>92</v>
      </c>
      <c r="BU818" t="s">
        <v>92</v>
      </c>
      <c r="BV818" t="s">
        <v>92</v>
      </c>
      <c r="BW818" t="s">
        <v>92</v>
      </c>
      <c r="BX818" t="s">
        <v>92</v>
      </c>
      <c r="BY818" t="str">
        <f>IF(COUNTIF('Data Upload-prod'!E:E,F818)=0,"Missing","Exist")</f>
        <v>Exist</v>
      </c>
    </row>
    <row r="819" hidden="1" spans="1:77">
      <c r="A819" s="16">
        <v>41712</v>
      </c>
      <c r="B819" t="s">
        <v>84</v>
      </c>
      <c r="C819" t="s">
        <v>141</v>
      </c>
      <c r="D819" t="s">
        <v>120</v>
      </c>
      <c r="E819" t="s">
        <v>1393</v>
      </c>
      <c r="F819" t="s">
        <v>1394</v>
      </c>
      <c r="G819" t="s">
        <v>81</v>
      </c>
      <c r="H819" t="s">
        <v>226</v>
      </c>
      <c r="I819" t="s">
        <v>124</v>
      </c>
      <c r="J819" s="17">
        <v>76.81</v>
      </c>
      <c r="K819" s="17">
        <v>4959.77</v>
      </c>
      <c r="L819" s="17">
        <v>3201.77</v>
      </c>
      <c r="M819" t="s">
        <v>84</v>
      </c>
      <c r="N819" t="s">
        <v>84</v>
      </c>
      <c r="O819" t="s">
        <v>84</v>
      </c>
      <c r="P819" t="s">
        <v>84</v>
      </c>
      <c r="Q819" s="17">
        <v>34632717</v>
      </c>
      <c r="R819" s="17">
        <v>61.4</v>
      </c>
      <c r="S819" t="s">
        <v>85</v>
      </c>
      <c r="T819" t="s">
        <v>84</v>
      </c>
      <c r="U819" t="s">
        <v>84</v>
      </c>
      <c r="V819" s="16">
        <v>41745</v>
      </c>
      <c r="W819" s="18">
        <v>41717.25</v>
      </c>
      <c r="X819" s="18">
        <v>41916</v>
      </c>
      <c r="Y819" s="17">
        <v>4841.51</v>
      </c>
      <c r="Z819" t="s">
        <v>87</v>
      </c>
      <c r="AA819" s="17">
        <v>4961.29</v>
      </c>
      <c r="AB819" s="17">
        <v>3202.99</v>
      </c>
      <c r="AC819" t="s">
        <v>84</v>
      </c>
      <c r="AD819" t="s">
        <v>84</v>
      </c>
      <c r="AE819" t="s">
        <v>84</v>
      </c>
      <c r="AF819" t="s">
        <v>84</v>
      </c>
      <c r="AG819" s="17">
        <v>49288525.94</v>
      </c>
      <c r="AH819" s="17">
        <v>92.74</v>
      </c>
      <c r="AI819" s="17">
        <v>12.07</v>
      </c>
      <c r="AJ819" s="17">
        <v>11.95</v>
      </c>
      <c r="AK819" t="s">
        <v>165</v>
      </c>
      <c r="AM819" s="17">
        <v>2</v>
      </c>
      <c r="AN819" s="17"/>
      <c r="AO819" s="17">
        <v>725</v>
      </c>
      <c r="AP819" s="17"/>
      <c r="AQ819" s="17">
        <v>1325</v>
      </c>
      <c r="AR819" s="17"/>
      <c r="AS819" s="17">
        <v>2.6</v>
      </c>
      <c r="AT819" s="17"/>
      <c r="AU819" s="17">
        <v>1485</v>
      </c>
      <c r="AV819" s="17"/>
      <c r="AW819" s="17">
        <v>2219</v>
      </c>
      <c r="AX819" s="17"/>
      <c r="AY819" t="s">
        <v>92</v>
      </c>
      <c r="AZ819" t="s">
        <v>92</v>
      </c>
      <c r="BA819" t="s">
        <v>92</v>
      </c>
      <c r="BB819" t="s">
        <v>92</v>
      </c>
      <c r="BC819" t="s">
        <v>92</v>
      </c>
      <c r="BD819" t="s">
        <v>92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92</v>
      </c>
      <c r="BM819" t="s">
        <v>92</v>
      </c>
      <c r="BN819" t="s">
        <v>92</v>
      </c>
      <c r="BO819" t="s">
        <v>92</v>
      </c>
      <c r="BP819" t="s">
        <v>92</v>
      </c>
      <c r="BQ819" t="s">
        <v>92</v>
      </c>
      <c r="BR819" t="s">
        <v>92</v>
      </c>
      <c r="BS819" t="s">
        <v>92</v>
      </c>
      <c r="BT819" t="s">
        <v>92</v>
      </c>
      <c r="BU819" t="s">
        <v>92</v>
      </c>
      <c r="BV819" t="s">
        <v>92</v>
      </c>
      <c r="BW819" t="s">
        <v>92</v>
      </c>
      <c r="BX819" t="s">
        <v>92</v>
      </c>
      <c r="BY819" t="str">
        <f>IF(COUNTIF('Data Upload-prod'!E:E,F819)=0,"Missing","Exist")</f>
        <v>Exist</v>
      </c>
    </row>
    <row r="820" hidden="1" spans="1:77">
      <c r="A820" s="16">
        <v>41712</v>
      </c>
      <c r="B820" t="s">
        <v>84</v>
      </c>
      <c r="C820" t="s">
        <v>141</v>
      </c>
      <c r="D820" t="s">
        <v>120</v>
      </c>
      <c r="E820" t="s">
        <v>1393</v>
      </c>
      <c r="F820" t="s">
        <v>1395</v>
      </c>
      <c r="G820" t="s">
        <v>81</v>
      </c>
      <c r="H820" t="s">
        <v>226</v>
      </c>
      <c r="I820" t="s">
        <v>124</v>
      </c>
      <c r="J820" s="17">
        <v>76.99</v>
      </c>
      <c r="K820" s="17">
        <v>3805.85</v>
      </c>
      <c r="L820" s="17">
        <v>3142.64</v>
      </c>
      <c r="M820" t="s">
        <v>84</v>
      </c>
      <c r="N820" t="s">
        <v>84</v>
      </c>
      <c r="O820" t="s">
        <v>84</v>
      </c>
      <c r="P820" t="s">
        <v>84</v>
      </c>
      <c r="Q820" s="17">
        <v>23639776</v>
      </c>
      <c r="R820" s="17">
        <v>36.79</v>
      </c>
      <c r="S820" t="s">
        <v>85</v>
      </c>
      <c r="T820" t="s">
        <v>84</v>
      </c>
      <c r="U820" t="s">
        <v>84</v>
      </c>
      <c r="V820" s="16">
        <v>41734.71875</v>
      </c>
      <c r="W820" s="18">
        <v>41733.71875</v>
      </c>
      <c r="X820" s="18">
        <v>41917.6041666667</v>
      </c>
      <c r="Y820" s="17">
        <v>3689.28</v>
      </c>
      <c r="Z820" t="s">
        <v>87</v>
      </c>
      <c r="AA820" s="17">
        <v>3809.23</v>
      </c>
      <c r="AB820" s="17">
        <v>3192.22</v>
      </c>
      <c r="AC820" t="s">
        <v>84</v>
      </c>
      <c r="AD820" t="s">
        <v>84</v>
      </c>
      <c r="AE820" t="s">
        <v>84</v>
      </c>
      <c r="AF820" t="s">
        <v>84</v>
      </c>
      <c r="AG820" s="17">
        <v>28319363</v>
      </c>
      <c r="AH820" s="17">
        <v>39.94</v>
      </c>
      <c r="AI820" s="17">
        <v>7.71</v>
      </c>
      <c r="AJ820" s="17">
        <v>7.71</v>
      </c>
      <c r="AK820" s="13" t="s">
        <v>155</v>
      </c>
      <c r="AM820" t="s">
        <v>92</v>
      </c>
      <c r="AO820" t="s">
        <v>92</v>
      </c>
      <c r="AQ820" t="s">
        <v>92</v>
      </c>
      <c r="AS820" s="17">
        <v>2</v>
      </c>
      <c r="AT820" s="17"/>
      <c r="AU820" s="17">
        <v>1269</v>
      </c>
      <c r="AV820" s="17"/>
      <c r="AW820" s="17">
        <v>2080</v>
      </c>
      <c r="AX820" s="17"/>
      <c r="AY820" t="s">
        <v>92</v>
      </c>
      <c r="AZ820" t="s">
        <v>92</v>
      </c>
      <c r="BA820" t="s">
        <v>92</v>
      </c>
      <c r="BB820" t="s">
        <v>92</v>
      </c>
      <c r="BC820" t="s">
        <v>92</v>
      </c>
      <c r="BD820" t="s">
        <v>92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92</v>
      </c>
      <c r="BM820" t="s">
        <v>92</v>
      </c>
      <c r="BN820" t="s">
        <v>92</v>
      </c>
      <c r="BO820" t="s">
        <v>92</v>
      </c>
      <c r="BP820" t="s">
        <v>92</v>
      </c>
      <c r="BQ820" t="s">
        <v>92</v>
      </c>
      <c r="BR820" t="s">
        <v>92</v>
      </c>
      <c r="BS820" t="s">
        <v>92</v>
      </c>
      <c r="BT820" t="s">
        <v>92</v>
      </c>
      <c r="BU820" t="s">
        <v>92</v>
      </c>
      <c r="BV820" t="s">
        <v>92</v>
      </c>
      <c r="BW820" t="s">
        <v>92</v>
      </c>
      <c r="BX820" t="s">
        <v>92</v>
      </c>
      <c r="BY820" t="str">
        <f>IF(COUNTIF('Data Upload-prod'!E:E,F820)=0,"Missing","Exist")</f>
        <v>Exist</v>
      </c>
    </row>
    <row r="821" hidden="1" spans="1:77">
      <c r="A821" s="16">
        <v>41712</v>
      </c>
      <c r="B821" t="s">
        <v>84</v>
      </c>
      <c r="C821" t="s">
        <v>141</v>
      </c>
      <c r="D821" t="s">
        <v>120</v>
      </c>
      <c r="E821" t="s">
        <v>1393</v>
      </c>
      <c r="F821" t="s">
        <v>1396</v>
      </c>
      <c r="G821" t="s">
        <v>81</v>
      </c>
      <c r="H821" t="s">
        <v>226</v>
      </c>
      <c r="I821" t="s">
        <v>124</v>
      </c>
      <c r="J821" s="17">
        <v>76.81</v>
      </c>
      <c r="K821" s="17">
        <v>6283.15</v>
      </c>
      <c r="L821" s="17">
        <v>3260.29</v>
      </c>
      <c r="M821" t="s">
        <v>84</v>
      </c>
      <c r="N821" t="s">
        <v>84</v>
      </c>
      <c r="O821" t="s">
        <v>84</v>
      </c>
      <c r="P821" t="s">
        <v>84</v>
      </c>
      <c r="Q821" s="17">
        <v>30160000</v>
      </c>
      <c r="R821" s="17">
        <v>47.52</v>
      </c>
      <c r="S821" t="s">
        <v>85</v>
      </c>
      <c r="T821" t="s">
        <v>84</v>
      </c>
      <c r="U821" t="s">
        <v>84</v>
      </c>
      <c r="V821" s="16">
        <v>41745</v>
      </c>
      <c r="W821" s="18">
        <v>41729.8958333333</v>
      </c>
      <c r="X821" s="18">
        <v>41878</v>
      </c>
      <c r="Y821" s="17">
        <v>6283.75</v>
      </c>
      <c r="Z821" t="s">
        <v>87</v>
      </c>
      <c r="AA821" s="17">
        <v>6403.54</v>
      </c>
      <c r="AB821" s="17">
        <v>3268.82</v>
      </c>
      <c r="AC821" t="s">
        <v>84</v>
      </c>
      <c r="AD821" t="s">
        <v>84</v>
      </c>
      <c r="AE821" t="s">
        <v>84</v>
      </c>
      <c r="AF821" t="s">
        <v>84</v>
      </c>
      <c r="AG821" s="17">
        <v>39168499.62</v>
      </c>
      <c r="AH821" s="17">
        <v>78.82</v>
      </c>
      <c r="AI821" s="17">
        <v>36.21</v>
      </c>
      <c r="AJ821" s="17">
        <v>36.21</v>
      </c>
      <c r="AK821" t="s">
        <v>165</v>
      </c>
      <c r="AM821" s="17">
        <v>2</v>
      </c>
      <c r="AN821" s="17"/>
      <c r="AO821" s="17">
        <v>725</v>
      </c>
      <c r="AP821" s="17"/>
      <c r="AQ821" s="17">
        <v>1295</v>
      </c>
      <c r="AR821" s="17"/>
      <c r="AS821" s="17">
        <v>3.6</v>
      </c>
      <c r="AT821" s="17"/>
      <c r="AU821" s="17">
        <v>1945</v>
      </c>
      <c r="AV821" s="17"/>
      <c r="AW821" s="17">
        <v>2217</v>
      </c>
      <c r="AX821" s="17"/>
      <c r="AY821" t="s">
        <v>92</v>
      </c>
      <c r="AZ821" t="s">
        <v>92</v>
      </c>
      <c r="BA821" t="s">
        <v>92</v>
      </c>
      <c r="BB821" t="s">
        <v>92</v>
      </c>
      <c r="BC821" t="s">
        <v>92</v>
      </c>
      <c r="BD821" t="s">
        <v>92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92</v>
      </c>
      <c r="BM821" t="s">
        <v>92</v>
      </c>
      <c r="BN821" t="s">
        <v>92</v>
      </c>
      <c r="BO821" t="s">
        <v>92</v>
      </c>
      <c r="BP821" t="s">
        <v>92</v>
      </c>
      <c r="BQ821" t="s">
        <v>92</v>
      </c>
      <c r="BR821" t="s">
        <v>92</v>
      </c>
      <c r="BS821" t="s">
        <v>92</v>
      </c>
      <c r="BT821" t="s">
        <v>92</v>
      </c>
      <c r="BU821" t="s">
        <v>92</v>
      </c>
      <c r="BV821" t="s">
        <v>92</v>
      </c>
      <c r="BW821" t="s">
        <v>92</v>
      </c>
      <c r="BX821" t="s">
        <v>92</v>
      </c>
      <c r="BY821" t="str">
        <f>IF(COUNTIF('Data Upload-prod'!E:E,F821)=0,"Missing","Exist")</f>
        <v>Exist</v>
      </c>
    </row>
    <row r="822" hidden="1" spans="1:77">
      <c r="A822" s="16">
        <v>41711</v>
      </c>
      <c r="B822" s="16">
        <v>41837</v>
      </c>
      <c r="C822" t="s">
        <v>132</v>
      </c>
      <c r="D822" t="s">
        <v>142</v>
      </c>
      <c r="E822" t="s">
        <v>1189</v>
      </c>
      <c r="F822" t="s">
        <v>1397</v>
      </c>
      <c r="G822" t="s">
        <v>145</v>
      </c>
      <c r="H822" t="s">
        <v>1398</v>
      </c>
      <c r="I822" t="s">
        <v>147</v>
      </c>
      <c r="J822" s="17">
        <v>1007.5</v>
      </c>
      <c r="K822" s="17">
        <v>2937</v>
      </c>
      <c r="L822" s="17">
        <v>2800</v>
      </c>
      <c r="M822" s="17">
        <v>74370000</v>
      </c>
      <c r="N822" s="17">
        <v>92900000</v>
      </c>
      <c r="O822" s="17">
        <v>54.7</v>
      </c>
      <c r="P822" s="17">
        <v>75</v>
      </c>
      <c r="Q822" t="s">
        <v>84</v>
      </c>
      <c r="R822" t="s">
        <v>84</v>
      </c>
      <c r="S822" t="s">
        <v>85</v>
      </c>
      <c r="T822" t="s">
        <v>84</v>
      </c>
      <c r="U822" t="s">
        <v>84</v>
      </c>
      <c r="V822" s="16">
        <v>41736.09375</v>
      </c>
      <c r="W822" s="18">
        <v>41733.8229166667</v>
      </c>
      <c r="X822" s="18">
        <v>41781.875</v>
      </c>
      <c r="Y822" s="17">
        <v>1776</v>
      </c>
      <c r="Z822" t="s">
        <v>148</v>
      </c>
      <c r="AA822" s="17">
        <v>2815</v>
      </c>
      <c r="AB822" s="17">
        <v>2693</v>
      </c>
      <c r="AC822" t="s">
        <v>84</v>
      </c>
      <c r="AD822" s="17">
        <v>51900000</v>
      </c>
      <c r="AE822" t="s">
        <v>84</v>
      </c>
      <c r="AF822" s="17">
        <v>47.05</v>
      </c>
      <c r="AG822" t="s">
        <v>84</v>
      </c>
      <c r="AH822" t="s">
        <v>84</v>
      </c>
      <c r="AI822" s="17">
        <v>5.18</v>
      </c>
      <c r="AJ822" s="17">
        <v>5.18</v>
      </c>
      <c r="AK822" t="s">
        <v>378</v>
      </c>
      <c r="AM822" s="17">
        <v>5.4</v>
      </c>
      <c r="AN822" s="17"/>
      <c r="AO822" s="17">
        <v>5090</v>
      </c>
      <c r="AP822" s="17"/>
      <c r="AQ822" s="17">
        <v>7920</v>
      </c>
      <c r="AR822" s="17"/>
      <c r="AS822" s="17">
        <v>3.4</v>
      </c>
      <c r="AT822" s="17"/>
      <c r="AU822" s="17">
        <v>3752</v>
      </c>
      <c r="AV822" s="17"/>
      <c r="AW822" s="17">
        <v>5470</v>
      </c>
      <c r="AX822" s="17"/>
      <c r="AY822" t="s">
        <v>92</v>
      </c>
      <c r="AZ822" t="s">
        <v>92</v>
      </c>
      <c r="BA822" t="s">
        <v>92</v>
      </c>
      <c r="BB822" t="s">
        <v>92</v>
      </c>
      <c r="BC822" t="s">
        <v>92</v>
      </c>
      <c r="BD822" t="s">
        <v>92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92</v>
      </c>
      <c r="BM822" t="s">
        <v>92</v>
      </c>
      <c r="BN822" t="s">
        <v>92</v>
      </c>
      <c r="BO822" t="s">
        <v>92</v>
      </c>
      <c r="BP822" t="s">
        <v>92</v>
      </c>
      <c r="BQ822" t="s">
        <v>92</v>
      </c>
      <c r="BR822" t="s">
        <v>92</v>
      </c>
      <c r="BS822" t="s">
        <v>92</v>
      </c>
      <c r="BT822" t="s">
        <v>92</v>
      </c>
      <c r="BU822" t="s">
        <v>92</v>
      </c>
      <c r="BV822" t="s">
        <v>92</v>
      </c>
      <c r="BW822" t="s">
        <v>92</v>
      </c>
      <c r="BX822" t="s">
        <v>92</v>
      </c>
      <c r="BY822" t="str">
        <f>IF(COUNTIF('Data Upload-prod'!E:E,F822)=0,"Missing","Exist")</f>
        <v>Exist</v>
      </c>
    </row>
    <row r="823" hidden="1" spans="1:77">
      <c r="A823" s="16">
        <v>41704</v>
      </c>
      <c r="B823" s="16">
        <v>41775</v>
      </c>
      <c r="C823" t="s">
        <v>132</v>
      </c>
      <c r="D823" t="s">
        <v>142</v>
      </c>
      <c r="E823" t="s">
        <v>170</v>
      </c>
      <c r="F823" t="s">
        <v>1399</v>
      </c>
      <c r="G823" t="s">
        <v>81</v>
      </c>
      <c r="H823" t="s">
        <v>172</v>
      </c>
      <c r="I823" t="s">
        <v>124</v>
      </c>
      <c r="J823" s="17">
        <v>10.06</v>
      </c>
      <c r="K823" s="17">
        <v>2610.79</v>
      </c>
      <c r="L823" s="17">
        <v>2190.49</v>
      </c>
      <c r="M823" t="s">
        <v>84</v>
      </c>
      <c r="N823" t="s">
        <v>84</v>
      </c>
      <c r="O823" t="s">
        <v>84</v>
      </c>
      <c r="P823" t="s">
        <v>84</v>
      </c>
      <c r="Q823" s="17">
        <v>19020000</v>
      </c>
      <c r="R823" s="17">
        <v>37.29</v>
      </c>
      <c r="S823" t="s">
        <v>85</v>
      </c>
      <c r="T823" t="s">
        <v>84</v>
      </c>
      <c r="U823" t="s">
        <v>86</v>
      </c>
      <c r="V823" s="16">
        <v>41709</v>
      </c>
      <c r="W823" s="18">
        <v>41709.2083333333</v>
      </c>
      <c r="X823" s="18">
        <v>41745.8958333333</v>
      </c>
      <c r="Y823" s="17">
        <v>2576.65</v>
      </c>
      <c r="Z823" t="s">
        <v>87</v>
      </c>
      <c r="AA823" s="17">
        <v>2621.15</v>
      </c>
      <c r="AB823" s="17">
        <v>2540.99</v>
      </c>
      <c r="AC823" t="s">
        <v>84</v>
      </c>
      <c r="AD823" t="s">
        <v>84</v>
      </c>
      <c r="AE823" t="s">
        <v>84</v>
      </c>
      <c r="AF823" t="s">
        <v>84</v>
      </c>
      <c r="AG823" s="17">
        <v>19022546.79</v>
      </c>
      <c r="AH823" s="17">
        <v>34.21</v>
      </c>
      <c r="AI823" s="17">
        <v>0.17</v>
      </c>
      <c r="AJ823" s="17">
        <v>0.17</v>
      </c>
      <c r="AK823" t="s">
        <v>208</v>
      </c>
      <c r="AM823" s="17">
        <v>1.7</v>
      </c>
      <c r="AN823" s="17"/>
      <c r="AO823" s="17">
        <v>720</v>
      </c>
      <c r="AP823" s="17"/>
      <c r="AQ823" s="17">
        <v>1685</v>
      </c>
      <c r="AR823" s="17"/>
      <c r="AS823" s="17">
        <v>1.96</v>
      </c>
      <c r="AT823" s="17"/>
      <c r="AU823" s="17">
        <v>829.58</v>
      </c>
      <c r="AV823" s="17"/>
      <c r="AW823" s="17">
        <v>1998.66</v>
      </c>
      <c r="AX823" s="17"/>
      <c r="AY823" t="s">
        <v>92</v>
      </c>
      <c r="AZ823" t="s">
        <v>92</v>
      </c>
      <c r="BA823" t="s">
        <v>92</v>
      </c>
      <c r="BB823" t="s">
        <v>92</v>
      </c>
      <c r="BC823" t="s">
        <v>92</v>
      </c>
      <c r="BD823" s="17">
        <v>14.27</v>
      </c>
      <c r="BE823" s="17">
        <v>8574088.26</v>
      </c>
      <c r="BF823" t="s">
        <v>92</v>
      </c>
      <c r="BG823" t="s">
        <v>92</v>
      </c>
      <c r="BH823" t="s">
        <v>93</v>
      </c>
      <c r="BI823" t="s">
        <v>94</v>
      </c>
      <c r="BJ823" t="s">
        <v>215</v>
      </c>
      <c r="BK823" t="s">
        <v>924</v>
      </c>
      <c r="BL823" t="s">
        <v>85</v>
      </c>
      <c r="BM823" t="s">
        <v>96</v>
      </c>
      <c r="BN823" t="s">
        <v>253</v>
      </c>
      <c r="BO823" t="s">
        <v>98</v>
      </c>
      <c r="BP823" t="s">
        <v>99</v>
      </c>
      <c r="BQ823" s="17">
        <v>778</v>
      </c>
      <c r="BR823" t="s">
        <v>138</v>
      </c>
      <c r="BS823" t="s">
        <v>92</v>
      </c>
      <c r="BT823" t="s">
        <v>175</v>
      </c>
      <c r="BU823" s="17">
        <v>8.6</v>
      </c>
      <c r="BV823" t="s">
        <v>131</v>
      </c>
      <c r="BW823" t="s">
        <v>85</v>
      </c>
      <c r="BX823" t="s">
        <v>85</v>
      </c>
      <c r="BY823" t="str">
        <f>IF(COUNTIF('Data Upload-prod'!E:E,F823)=0,"Missing","Exist")</f>
        <v>Exist</v>
      </c>
    </row>
    <row r="824" hidden="1" spans="1:77">
      <c r="A824" s="16">
        <v>41701</v>
      </c>
      <c r="B824" s="16">
        <v>41936</v>
      </c>
      <c r="C824" t="s">
        <v>218</v>
      </c>
      <c r="D824" t="s">
        <v>120</v>
      </c>
      <c r="E824" t="s">
        <v>1400</v>
      </c>
      <c r="F824" t="s">
        <v>1401</v>
      </c>
      <c r="G824" t="s">
        <v>145</v>
      </c>
      <c r="H824" t="s">
        <v>221</v>
      </c>
      <c r="I824" t="s">
        <v>124</v>
      </c>
      <c r="J824" s="17">
        <v>83.7</v>
      </c>
      <c r="K824" s="17">
        <v>2714</v>
      </c>
      <c r="L824" s="17">
        <v>2714</v>
      </c>
      <c r="M824" s="17">
        <v>12150000</v>
      </c>
      <c r="N824" s="17">
        <v>12150000</v>
      </c>
      <c r="O824" s="17">
        <v>21.35</v>
      </c>
      <c r="P824" s="17">
        <v>21.35</v>
      </c>
      <c r="Q824" t="s">
        <v>84</v>
      </c>
      <c r="R824" t="s">
        <v>84</v>
      </c>
      <c r="S824" t="s">
        <v>85</v>
      </c>
      <c r="T824" t="s">
        <v>84</v>
      </c>
      <c r="U824" t="s">
        <v>84</v>
      </c>
      <c r="V824" s="16">
        <v>41756</v>
      </c>
      <c r="W824" s="18">
        <v>41748</v>
      </c>
      <c r="X824" s="18">
        <v>41776</v>
      </c>
      <c r="Y824" s="17">
        <v>2057</v>
      </c>
      <c r="Z824" t="s">
        <v>87</v>
      </c>
      <c r="AA824" s="17">
        <v>2175</v>
      </c>
      <c r="AB824" s="17">
        <v>2174.9</v>
      </c>
      <c r="AC824" s="17">
        <v>14634047</v>
      </c>
      <c r="AD824" t="s">
        <v>84</v>
      </c>
      <c r="AE824" s="17">
        <v>28.56</v>
      </c>
      <c r="AF824" t="s">
        <v>84</v>
      </c>
      <c r="AG824" t="s">
        <v>84</v>
      </c>
      <c r="AH824" t="s">
        <v>84</v>
      </c>
      <c r="AI824" s="17">
        <v>1.3</v>
      </c>
      <c r="AJ824" s="17">
        <v>1.3</v>
      </c>
      <c r="AK824" t="s">
        <v>323</v>
      </c>
      <c r="AM824" s="17">
        <v>4.4</v>
      </c>
      <c r="AN824" s="17"/>
      <c r="AO824" s="17">
        <v>1980</v>
      </c>
      <c r="AP824" s="17"/>
      <c r="AQ824" s="17">
        <v>2760</v>
      </c>
      <c r="AR824" s="17"/>
      <c r="AS824" s="13" t="s">
        <v>150</v>
      </c>
      <c r="AT824" s="13"/>
      <c r="AU824" s="13" t="s">
        <v>150</v>
      </c>
      <c r="AW824" s="13" t="s">
        <v>150</v>
      </c>
      <c r="AY824" t="s">
        <v>92</v>
      </c>
      <c r="AZ824" t="s">
        <v>92</v>
      </c>
      <c r="BA824" t="s">
        <v>92</v>
      </c>
      <c r="BB824" t="s">
        <v>92</v>
      </c>
      <c r="BC824" t="s">
        <v>92</v>
      </c>
      <c r="BD824" t="s">
        <v>92</v>
      </c>
      <c r="BE824" t="s">
        <v>92</v>
      </c>
      <c r="BF824" t="s">
        <v>92</v>
      </c>
      <c r="BG824" t="s">
        <v>92</v>
      </c>
      <c r="BH824" t="s">
        <v>92</v>
      </c>
      <c r="BI824" t="s">
        <v>92</v>
      </c>
      <c r="BJ824" t="s">
        <v>92</v>
      </c>
      <c r="BK824" t="s">
        <v>92</v>
      </c>
      <c r="BL824" t="s">
        <v>92</v>
      </c>
      <c r="BM824" t="s">
        <v>92</v>
      </c>
      <c r="BN824" t="s">
        <v>92</v>
      </c>
      <c r="BO824" t="s">
        <v>92</v>
      </c>
      <c r="BP824" t="s">
        <v>92</v>
      </c>
      <c r="BQ824" t="s">
        <v>92</v>
      </c>
      <c r="BR824" t="s">
        <v>92</v>
      </c>
      <c r="BS824" t="s">
        <v>92</v>
      </c>
      <c r="BT824" t="s">
        <v>92</v>
      </c>
      <c r="BU824" t="s">
        <v>92</v>
      </c>
      <c r="BV824" t="s">
        <v>92</v>
      </c>
      <c r="BW824" t="s">
        <v>92</v>
      </c>
      <c r="BX824" t="s">
        <v>92</v>
      </c>
      <c r="BY824" t="str">
        <f>IF(COUNTIF('Data Upload-prod'!E:E,F824)=0,"Missing","Exist")</f>
        <v>Exist</v>
      </c>
    </row>
    <row r="825" hidden="1" spans="1:77">
      <c r="A825" s="16">
        <v>41690</v>
      </c>
      <c r="B825" s="16">
        <v>41824</v>
      </c>
      <c r="C825" t="s">
        <v>218</v>
      </c>
      <c r="D825" t="s">
        <v>120</v>
      </c>
      <c r="E825" t="s">
        <v>865</v>
      </c>
      <c r="F825" t="s">
        <v>1402</v>
      </c>
      <c r="G825" t="s">
        <v>145</v>
      </c>
      <c r="H825" t="s">
        <v>221</v>
      </c>
      <c r="I825" t="s">
        <v>124</v>
      </c>
      <c r="J825" s="17">
        <v>88.9</v>
      </c>
      <c r="K825" s="17">
        <v>2623</v>
      </c>
      <c r="L825" s="17">
        <v>2623</v>
      </c>
      <c r="M825" s="17">
        <v>12500000</v>
      </c>
      <c r="N825" s="17">
        <v>12500000</v>
      </c>
      <c r="O825" s="17">
        <v>23.44</v>
      </c>
      <c r="P825" s="17">
        <v>23.44</v>
      </c>
      <c r="Q825" t="s">
        <v>84</v>
      </c>
      <c r="R825" t="s">
        <v>84</v>
      </c>
      <c r="S825" t="s">
        <v>85</v>
      </c>
      <c r="T825" t="s">
        <v>84</v>
      </c>
      <c r="U825" t="s">
        <v>84</v>
      </c>
      <c r="V825" s="16">
        <v>41725</v>
      </c>
      <c r="W825" s="18">
        <v>41722.8958333333</v>
      </c>
      <c r="X825" s="18">
        <v>41747</v>
      </c>
      <c r="Y825" s="17">
        <v>2341.8</v>
      </c>
      <c r="Z825" t="s">
        <v>87</v>
      </c>
      <c r="AA825" s="17">
        <v>2465</v>
      </c>
      <c r="AB825" s="17">
        <v>2464.2</v>
      </c>
      <c r="AC825" t="s">
        <v>84</v>
      </c>
      <c r="AD825" s="17">
        <v>12681621</v>
      </c>
      <c r="AE825" t="s">
        <v>84</v>
      </c>
      <c r="AF825" s="17">
        <v>25.1</v>
      </c>
      <c r="AG825" t="s">
        <v>84</v>
      </c>
      <c r="AH825" t="s">
        <v>84</v>
      </c>
      <c r="AI825" s="17">
        <v>5.4</v>
      </c>
      <c r="AJ825" s="17">
        <v>4.4</v>
      </c>
      <c r="AK825" t="s">
        <v>323</v>
      </c>
      <c r="AM825" s="17">
        <v>4.4</v>
      </c>
      <c r="AN825" s="17"/>
      <c r="AO825" s="17">
        <v>1980</v>
      </c>
      <c r="AP825" s="17"/>
      <c r="AQ825" s="17">
        <v>2760</v>
      </c>
      <c r="AR825" s="17"/>
      <c r="AS825" s="13" t="s">
        <v>150</v>
      </c>
      <c r="AT825" s="13"/>
      <c r="AU825" s="13" t="s">
        <v>150</v>
      </c>
      <c r="AW825" s="13" t="s">
        <v>150</v>
      </c>
      <c r="AY825" t="s">
        <v>92</v>
      </c>
      <c r="AZ825" t="s">
        <v>92</v>
      </c>
      <c r="BA825" t="s">
        <v>92</v>
      </c>
      <c r="BB825" t="s">
        <v>92</v>
      </c>
      <c r="BC825" t="s">
        <v>92</v>
      </c>
      <c r="BD825" t="s">
        <v>92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92</v>
      </c>
      <c r="BM825" t="s">
        <v>92</v>
      </c>
      <c r="BN825" t="s">
        <v>92</v>
      </c>
      <c r="BO825" t="s">
        <v>92</v>
      </c>
      <c r="BP825" t="s">
        <v>92</v>
      </c>
      <c r="BQ825" t="s">
        <v>92</v>
      </c>
      <c r="BR825" t="s">
        <v>92</v>
      </c>
      <c r="BS825" t="s">
        <v>92</v>
      </c>
      <c r="BT825" t="s">
        <v>92</v>
      </c>
      <c r="BU825" t="s">
        <v>92</v>
      </c>
      <c r="BV825" t="s">
        <v>92</v>
      </c>
      <c r="BW825" t="s">
        <v>92</v>
      </c>
      <c r="BX825" t="s">
        <v>92</v>
      </c>
      <c r="BY825" t="str">
        <f>IF(COUNTIF('Data Upload-prod'!E:E,F825)=0,"Missing","Exist")</f>
        <v>Exist</v>
      </c>
    </row>
    <row r="826" hidden="1" spans="1:77">
      <c r="A826" s="16">
        <v>41681</v>
      </c>
      <c r="B826" s="16">
        <v>41814</v>
      </c>
      <c r="C826" t="s">
        <v>195</v>
      </c>
      <c r="D826" t="s">
        <v>78</v>
      </c>
      <c r="E826" t="s">
        <v>1371</v>
      </c>
      <c r="F826" t="s">
        <v>1403</v>
      </c>
      <c r="G826" t="s">
        <v>81</v>
      </c>
      <c r="H826" t="s">
        <v>214</v>
      </c>
      <c r="I826" t="s">
        <v>124</v>
      </c>
      <c r="J826" s="17">
        <v>55.7</v>
      </c>
      <c r="K826" s="17">
        <v>3272</v>
      </c>
      <c r="L826" s="17">
        <v>2047</v>
      </c>
      <c r="M826" t="s">
        <v>84</v>
      </c>
      <c r="N826" t="s">
        <v>84</v>
      </c>
      <c r="O826" t="s">
        <v>84</v>
      </c>
      <c r="P826" t="s">
        <v>84</v>
      </c>
      <c r="Q826" s="17">
        <v>28100000</v>
      </c>
      <c r="R826" s="17">
        <v>41.31</v>
      </c>
      <c r="S826" t="s">
        <v>85</v>
      </c>
      <c r="T826" t="s">
        <v>84</v>
      </c>
      <c r="U826" t="s">
        <v>86</v>
      </c>
      <c r="V826" s="16">
        <v>41685</v>
      </c>
      <c r="W826" s="18">
        <v>41683.8333333333</v>
      </c>
      <c r="X826" s="18">
        <v>41770</v>
      </c>
      <c r="Y826" s="17">
        <v>3181.51</v>
      </c>
      <c r="Z826" t="s">
        <v>87</v>
      </c>
      <c r="AA826" s="17">
        <v>3281</v>
      </c>
      <c r="AB826" s="17">
        <v>2055</v>
      </c>
      <c r="AC826" t="s">
        <v>84</v>
      </c>
      <c r="AD826" t="s">
        <v>84</v>
      </c>
      <c r="AE826" t="s">
        <v>84</v>
      </c>
      <c r="AF826" t="s">
        <v>84</v>
      </c>
      <c r="AG826" s="17">
        <v>17159800</v>
      </c>
      <c r="AH826" s="17">
        <v>28</v>
      </c>
      <c r="AI826" s="17">
        <v>5.5</v>
      </c>
      <c r="AJ826" s="17">
        <v>5.5</v>
      </c>
      <c r="AK826" t="s">
        <v>208</v>
      </c>
      <c r="AM826" s="17">
        <v>2.1</v>
      </c>
      <c r="AN826" s="17"/>
      <c r="AO826" s="17">
        <v>700</v>
      </c>
      <c r="AP826" s="17"/>
      <c r="AQ826" s="17">
        <v>1220</v>
      </c>
      <c r="AR826" s="17"/>
      <c r="AS826" s="13" t="s">
        <v>150</v>
      </c>
      <c r="AT826" s="13"/>
      <c r="AU826" s="13" t="s">
        <v>150</v>
      </c>
      <c r="AW826" s="13" t="s">
        <v>150</v>
      </c>
      <c r="AY826" t="s">
        <v>92</v>
      </c>
      <c r="AZ826" t="s">
        <v>92</v>
      </c>
      <c r="BA826" t="s">
        <v>92</v>
      </c>
      <c r="BB826" t="s">
        <v>92</v>
      </c>
      <c r="BC826" t="s">
        <v>92</v>
      </c>
      <c r="BD826" s="17">
        <v>6.86</v>
      </c>
      <c r="BE826" s="17">
        <v>3236279.97</v>
      </c>
      <c r="BF826" t="s">
        <v>92</v>
      </c>
      <c r="BG826" t="s">
        <v>92</v>
      </c>
      <c r="BH826" t="s">
        <v>93</v>
      </c>
      <c r="BI826" t="s">
        <v>94</v>
      </c>
      <c r="BJ826" t="s">
        <v>215</v>
      </c>
      <c r="BK826" t="s">
        <v>85</v>
      </c>
      <c r="BL826" t="s">
        <v>85</v>
      </c>
      <c r="BM826" t="s">
        <v>96</v>
      </c>
      <c r="BN826" t="s">
        <v>569</v>
      </c>
      <c r="BO826" t="s">
        <v>216</v>
      </c>
      <c r="BP826" t="s">
        <v>99</v>
      </c>
      <c r="BQ826" s="17">
        <v>2589</v>
      </c>
      <c r="BR826" t="s">
        <v>138</v>
      </c>
      <c r="BS826" t="s">
        <v>156</v>
      </c>
      <c r="BT826" t="s">
        <v>99</v>
      </c>
      <c r="BU826" s="17">
        <v>9.9</v>
      </c>
      <c r="BV826" t="s">
        <v>191</v>
      </c>
      <c r="BW826" t="s">
        <v>85</v>
      </c>
      <c r="BX826" t="s">
        <v>85</v>
      </c>
      <c r="BY826" t="str">
        <f>IF(COUNTIF('Data Upload-prod'!E:E,F826)=0,"Missing","Exist")</f>
        <v>Exist</v>
      </c>
    </row>
    <row r="827" hidden="1" spans="1:77">
      <c r="A827" s="16">
        <v>41674</v>
      </c>
      <c r="B827" s="16">
        <v>41837</v>
      </c>
      <c r="C827" t="s">
        <v>141</v>
      </c>
      <c r="D827" t="s">
        <v>120</v>
      </c>
      <c r="E827" t="s">
        <v>1404</v>
      </c>
      <c r="F827" t="s">
        <v>1405</v>
      </c>
      <c r="G827" t="s">
        <v>145</v>
      </c>
      <c r="H827" t="s">
        <v>230</v>
      </c>
      <c r="I827" t="s">
        <v>231</v>
      </c>
      <c r="J827" s="17">
        <v>1314.66</v>
      </c>
      <c r="K827" s="17">
        <v>3840.29</v>
      </c>
      <c r="L827" s="17">
        <v>3729.66</v>
      </c>
      <c r="M827" s="17">
        <v>46384499</v>
      </c>
      <c r="N827" s="17">
        <v>46384499</v>
      </c>
      <c r="O827" s="17">
        <v>34.88</v>
      </c>
      <c r="P827" s="17">
        <v>34.88</v>
      </c>
      <c r="Q827" t="s">
        <v>84</v>
      </c>
      <c r="R827" t="s">
        <v>84</v>
      </c>
      <c r="S827" t="s">
        <v>85</v>
      </c>
      <c r="T827" t="s">
        <v>84</v>
      </c>
      <c r="U827" t="s">
        <v>84</v>
      </c>
      <c r="V827" s="16">
        <v>41719.2708333333</v>
      </c>
      <c r="W827" s="18">
        <v>41716</v>
      </c>
      <c r="X827" s="18">
        <v>41748</v>
      </c>
      <c r="Y827" s="17">
        <v>1891.19</v>
      </c>
      <c r="Z827" t="s">
        <v>148</v>
      </c>
      <c r="AA827" s="17">
        <v>3232.25</v>
      </c>
      <c r="AB827" s="17">
        <v>3113.81</v>
      </c>
      <c r="AC827" t="s">
        <v>84</v>
      </c>
      <c r="AD827" s="17">
        <v>132300000</v>
      </c>
      <c r="AE827" t="s">
        <v>84</v>
      </c>
      <c r="AF827" s="17">
        <v>31.56</v>
      </c>
      <c r="AG827" t="s">
        <v>84</v>
      </c>
      <c r="AH827" t="s">
        <v>84</v>
      </c>
      <c r="AI827" s="17">
        <v>15.31</v>
      </c>
      <c r="AJ827" s="17">
        <v>15.31</v>
      </c>
      <c r="AK827" t="s">
        <v>232</v>
      </c>
      <c r="AM827" s="17">
        <v>4.4</v>
      </c>
      <c r="AN827" s="17"/>
      <c r="AO827" s="17">
        <v>4200</v>
      </c>
      <c r="AP827" s="17"/>
      <c r="AQ827" s="17">
        <v>6400</v>
      </c>
      <c r="AR827" s="17"/>
      <c r="AS827" s="13" t="s">
        <v>150</v>
      </c>
      <c r="AT827" s="13"/>
      <c r="AU827" s="13" t="s">
        <v>150</v>
      </c>
      <c r="AW827" s="13" t="s">
        <v>150</v>
      </c>
      <c r="AY827" t="s">
        <v>92</v>
      </c>
      <c r="AZ827" t="s">
        <v>92</v>
      </c>
      <c r="BA827" t="s">
        <v>92</v>
      </c>
      <c r="BB827" t="s">
        <v>92</v>
      </c>
      <c r="BC827" t="s">
        <v>92</v>
      </c>
      <c r="BD827" t="s">
        <v>92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92</v>
      </c>
      <c r="BM827" t="s">
        <v>92</v>
      </c>
      <c r="BN827" t="s">
        <v>92</v>
      </c>
      <c r="BO827" t="s">
        <v>92</v>
      </c>
      <c r="BP827" t="s">
        <v>92</v>
      </c>
      <c r="BQ827" t="s">
        <v>92</v>
      </c>
      <c r="BR827" t="s">
        <v>92</v>
      </c>
      <c r="BS827" t="s">
        <v>92</v>
      </c>
      <c r="BT827" t="s">
        <v>92</v>
      </c>
      <c r="BU827" t="s">
        <v>92</v>
      </c>
      <c r="BV827" t="s">
        <v>92</v>
      </c>
      <c r="BW827" t="s">
        <v>92</v>
      </c>
      <c r="BX827" t="s">
        <v>92</v>
      </c>
      <c r="BY827" t="str">
        <f>IF(COUNTIF('Data Upload-prod'!E:E,F827)=0,"Missing","Exist")</f>
        <v>Exist</v>
      </c>
    </row>
    <row r="828" hidden="1" spans="1:77">
      <c r="A828" s="16">
        <v>41666</v>
      </c>
      <c r="B828" s="16">
        <v>41800</v>
      </c>
      <c r="C828" t="s">
        <v>360</v>
      </c>
      <c r="D828" t="s">
        <v>120</v>
      </c>
      <c r="E828" t="s">
        <v>1391</v>
      </c>
      <c r="F828" t="s">
        <v>1406</v>
      </c>
      <c r="G828" t="s">
        <v>81</v>
      </c>
      <c r="H828" t="s">
        <v>185</v>
      </c>
      <c r="I828" t="s">
        <v>124</v>
      </c>
      <c r="J828" s="17">
        <v>32</v>
      </c>
      <c r="K828" s="17">
        <v>2618</v>
      </c>
      <c r="L828" s="17">
        <v>1700</v>
      </c>
      <c r="M828" t="s">
        <v>84</v>
      </c>
      <c r="N828" t="s">
        <v>84</v>
      </c>
      <c r="O828" t="s">
        <v>84</v>
      </c>
      <c r="P828" t="s">
        <v>84</v>
      </c>
      <c r="Q828" s="17">
        <v>4778514.12</v>
      </c>
      <c r="R828" s="17">
        <v>7.1</v>
      </c>
      <c r="S828" t="s">
        <v>85</v>
      </c>
      <c r="T828" t="s">
        <v>84</v>
      </c>
      <c r="U828" t="s">
        <v>86</v>
      </c>
      <c r="V828" s="16">
        <v>41690</v>
      </c>
      <c r="W828" s="18">
        <v>41690</v>
      </c>
      <c r="X828" s="18">
        <v>41722</v>
      </c>
      <c r="Y828" s="17">
        <v>2701.6</v>
      </c>
      <c r="Z828" t="s">
        <v>87</v>
      </c>
      <c r="AA828" s="17">
        <v>2777</v>
      </c>
      <c r="AB828" s="17">
        <v>1859.81</v>
      </c>
      <c r="AC828" t="s">
        <v>84</v>
      </c>
      <c r="AD828" t="s">
        <v>84</v>
      </c>
      <c r="AE828" t="s">
        <v>84</v>
      </c>
      <c r="AF828" t="s">
        <v>84</v>
      </c>
      <c r="AG828" s="17">
        <v>4829008.71</v>
      </c>
      <c r="AH828" s="17">
        <v>8.1</v>
      </c>
      <c r="AI828" s="17">
        <v>0</v>
      </c>
      <c r="AJ828" s="17">
        <v>0</v>
      </c>
      <c r="AK828" t="s">
        <v>497</v>
      </c>
      <c r="AM828" s="17">
        <v>1.4</v>
      </c>
      <c r="AN828" s="17"/>
      <c r="AO828" s="17">
        <v>550</v>
      </c>
      <c r="AP828" s="17"/>
      <c r="AQ828" s="17">
        <v>870</v>
      </c>
      <c r="AR828" s="17"/>
      <c r="AS828" s="13" t="s">
        <v>150</v>
      </c>
      <c r="AT828" s="13"/>
      <c r="AU828" s="13" t="s">
        <v>150</v>
      </c>
      <c r="AW828" s="13" t="s">
        <v>150</v>
      </c>
      <c r="AY828" t="s">
        <v>92</v>
      </c>
      <c r="AZ828" t="s">
        <v>92</v>
      </c>
      <c r="BA828" t="s">
        <v>92</v>
      </c>
      <c r="BB828" t="s">
        <v>92</v>
      </c>
      <c r="BC828" t="s">
        <v>92</v>
      </c>
      <c r="BD828" s="17">
        <v>1.44</v>
      </c>
      <c r="BE828" s="17">
        <v>945000</v>
      </c>
      <c r="BF828" t="s">
        <v>92</v>
      </c>
      <c r="BG828" t="s">
        <v>92</v>
      </c>
      <c r="BH828" t="s">
        <v>93</v>
      </c>
      <c r="BI828" t="s">
        <v>94</v>
      </c>
      <c r="BJ828" t="s">
        <v>95</v>
      </c>
      <c r="BK828" t="s">
        <v>85</v>
      </c>
      <c r="BL828" t="s">
        <v>85</v>
      </c>
      <c r="BM828" t="s">
        <v>96</v>
      </c>
      <c r="BN828" t="s">
        <v>97</v>
      </c>
      <c r="BO828" t="s">
        <v>98</v>
      </c>
      <c r="BP828" t="s">
        <v>99</v>
      </c>
      <c r="BQ828" s="17">
        <v>180.455</v>
      </c>
      <c r="BR828" t="s">
        <v>100</v>
      </c>
      <c r="BS828" t="s">
        <v>156</v>
      </c>
      <c r="BT828" t="s">
        <v>99</v>
      </c>
      <c r="BU828" s="17">
        <v>9.4</v>
      </c>
      <c r="BV828" t="s">
        <v>308</v>
      </c>
      <c r="BW828" t="s">
        <v>85</v>
      </c>
      <c r="BX828" t="s">
        <v>85</v>
      </c>
      <c r="BY828" t="str">
        <f>IF(COUNTIF('Data Upload-prod'!E:E,F828)=0,"Missing","Exist")</f>
        <v>Exist</v>
      </c>
    </row>
    <row r="829" hidden="1" spans="1:77">
      <c r="A829" s="16">
        <v>41666</v>
      </c>
      <c r="B829" s="16">
        <v>41780</v>
      </c>
      <c r="C829" t="s">
        <v>1273</v>
      </c>
      <c r="D829" t="s">
        <v>120</v>
      </c>
      <c r="E829" t="s">
        <v>1391</v>
      </c>
      <c r="F829" t="s">
        <v>1407</v>
      </c>
      <c r="G829" t="s">
        <v>81</v>
      </c>
      <c r="H829" t="s">
        <v>185</v>
      </c>
      <c r="I829" t="s">
        <v>124</v>
      </c>
      <c r="J829" s="17">
        <v>32</v>
      </c>
      <c r="K829" s="17">
        <v>1520</v>
      </c>
      <c r="L829" s="17">
        <v>1161</v>
      </c>
      <c r="M829" t="s">
        <v>84</v>
      </c>
      <c r="N829" t="s">
        <v>84</v>
      </c>
      <c r="O829" t="s">
        <v>84</v>
      </c>
      <c r="P829" t="s">
        <v>84</v>
      </c>
      <c r="Q829" s="17">
        <v>6205321</v>
      </c>
      <c r="R829" s="17">
        <v>8.64</v>
      </c>
      <c r="S829" t="s">
        <v>85</v>
      </c>
      <c r="T829" t="s">
        <v>84</v>
      </c>
      <c r="U829" t="s">
        <v>84</v>
      </c>
      <c r="V829" s="16">
        <v>41685</v>
      </c>
      <c r="W829" s="18">
        <v>41685</v>
      </c>
      <c r="X829" s="18">
        <v>41712</v>
      </c>
      <c r="Y829" s="17">
        <v>1468.6</v>
      </c>
      <c r="Z829" t="s">
        <v>87</v>
      </c>
      <c r="AA829" s="17">
        <v>1544</v>
      </c>
      <c r="AB829" s="17">
        <v>1172.04</v>
      </c>
      <c r="AC829" t="s">
        <v>84</v>
      </c>
      <c r="AD829" t="s">
        <v>84</v>
      </c>
      <c r="AE829" t="s">
        <v>84</v>
      </c>
      <c r="AF829" t="s">
        <v>84</v>
      </c>
      <c r="AG829" s="17">
        <v>5033156</v>
      </c>
      <c r="AH829" s="17">
        <v>9.27</v>
      </c>
      <c r="AI829" s="17">
        <v>5.84</v>
      </c>
      <c r="AJ829" s="17">
        <v>5.84</v>
      </c>
      <c r="AK829" t="s">
        <v>208</v>
      </c>
      <c r="AM829" s="17">
        <v>2.2</v>
      </c>
      <c r="AN829" s="17"/>
      <c r="AO829" s="17">
        <v>830</v>
      </c>
      <c r="AP829" s="17"/>
      <c r="AQ829" s="17">
        <v>1380</v>
      </c>
      <c r="AR829" s="17"/>
      <c r="AS829" s="13" t="s">
        <v>150</v>
      </c>
      <c r="AT829" s="13"/>
      <c r="AU829" s="13" t="s">
        <v>150</v>
      </c>
      <c r="AW829" s="13" t="s">
        <v>150</v>
      </c>
      <c r="AY829" t="s">
        <v>92</v>
      </c>
      <c r="AZ829" t="s">
        <v>92</v>
      </c>
      <c r="BA829" t="s">
        <v>92</v>
      </c>
      <c r="BB829" t="s">
        <v>92</v>
      </c>
      <c r="BC829" t="s">
        <v>92</v>
      </c>
      <c r="BD829" t="s">
        <v>92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92</v>
      </c>
      <c r="BM829" t="s">
        <v>92</v>
      </c>
      <c r="BN829" t="s">
        <v>92</v>
      </c>
      <c r="BO829" t="s">
        <v>92</v>
      </c>
      <c r="BP829" t="s">
        <v>92</v>
      </c>
      <c r="BQ829" t="s">
        <v>92</v>
      </c>
      <c r="BR829" t="s">
        <v>92</v>
      </c>
      <c r="BS829" t="s">
        <v>92</v>
      </c>
      <c r="BT829" t="s">
        <v>92</v>
      </c>
      <c r="BU829" t="s">
        <v>92</v>
      </c>
      <c r="BV829" t="s">
        <v>92</v>
      </c>
      <c r="BW829" t="s">
        <v>92</v>
      </c>
      <c r="BX829" t="s">
        <v>92</v>
      </c>
      <c r="BY829" t="str">
        <f>IF(COUNTIF('Data Upload-prod'!E:E,F829)=0,"Missing","Exist")</f>
        <v>Exist</v>
      </c>
    </row>
    <row r="830" hidden="1" spans="1:77">
      <c r="A830" s="16">
        <v>41666</v>
      </c>
      <c r="B830" s="16">
        <v>41780</v>
      </c>
      <c r="C830" t="s">
        <v>1273</v>
      </c>
      <c r="D830" t="s">
        <v>120</v>
      </c>
      <c r="E830" t="s">
        <v>1391</v>
      </c>
      <c r="F830" t="s">
        <v>1408</v>
      </c>
      <c r="G830" t="s">
        <v>81</v>
      </c>
      <c r="H830" t="s">
        <v>185</v>
      </c>
      <c r="I830" t="s">
        <v>124</v>
      </c>
      <c r="J830" s="17">
        <v>32</v>
      </c>
      <c r="K830" s="17">
        <v>1351</v>
      </c>
      <c r="L830" s="17">
        <v>1329</v>
      </c>
      <c r="M830" t="s">
        <v>84</v>
      </c>
      <c r="N830" t="s">
        <v>84</v>
      </c>
      <c r="O830" t="s">
        <v>84</v>
      </c>
      <c r="P830" t="s">
        <v>84</v>
      </c>
      <c r="Q830" s="17">
        <v>6365614.77</v>
      </c>
      <c r="R830" s="17">
        <v>10.38</v>
      </c>
      <c r="S830" t="s">
        <v>106</v>
      </c>
      <c r="T830" t="s">
        <v>84</v>
      </c>
      <c r="U830" t="s">
        <v>84</v>
      </c>
      <c r="V830" s="16">
        <v>41687.0833333333</v>
      </c>
      <c r="W830" s="18">
        <v>41687.0833333333</v>
      </c>
      <c r="X830" s="18">
        <v>41715.4375</v>
      </c>
      <c r="Y830" s="17">
        <v>1247.1</v>
      </c>
      <c r="Z830" t="s">
        <v>87</v>
      </c>
      <c r="AA830" s="17">
        <v>1322.5</v>
      </c>
      <c r="AB830" s="17">
        <v>1298.8</v>
      </c>
      <c r="AC830" t="s">
        <v>84</v>
      </c>
      <c r="AD830" t="s">
        <v>84</v>
      </c>
      <c r="AE830" t="s">
        <v>84</v>
      </c>
      <c r="AF830" t="s">
        <v>84</v>
      </c>
      <c r="AG830" s="17">
        <v>6821844.49</v>
      </c>
      <c r="AH830" s="17">
        <v>10.42</v>
      </c>
      <c r="AI830" s="17">
        <v>5</v>
      </c>
      <c r="AJ830" s="17">
        <v>5</v>
      </c>
      <c r="AK830" t="s">
        <v>165</v>
      </c>
      <c r="AM830" s="17">
        <v>2</v>
      </c>
      <c r="AN830" s="17"/>
      <c r="AO830" s="17">
        <v>725</v>
      </c>
      <c r="AP830" s="17"/>
      <c r="AQ830" s="17">
        <v>1295</v>
      </c>
      <c r="AR830" s="17"/>
      <c r="AS830" s="13" t="s">
        <v>150</v>
      </c>
      <c r="AT830" s="13"/>
      <c r="AU830" s="13" t="s">
        <v>150</v>
      </c>
      <c r="AW830" s="13" t="s">
        <v>150</v>
      </c>
      <c r="AY830" t="s">
        <v>92</v>
      </c>
      <c r="AZ830" t="s">
        <v>92</v>
      </c>
      <c r="BA830" t="s">
        <v>92</v>
      </c>
      <c r="BB830" t="s">
        <v>92</v>
      </c>
      <c r="BC830" t="s">
        <v>92</v>
      </c>
      <c r="BD830" t="s">
        <v>92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92</v>
      </c>
      <c r="BM830" t="s">
        <v>92</v>
      </c>
      <c r="BN830" t="s">
        <v>92</v>
      </c>
      <c r="BO830" t="s">
        <v>92</v>
      </c>
      <c r="BP830" t="s">
        <v>92</v>
      </c>
      <c r="BQ830" t="s">
        <v>92</v>
      </c>
      <c r="BR830" t="s">
        <v>92</v>
      </c>
      <c r="BS830" t="s">
        <v>92</v>
      </c>
      <c r="BT830" t="s">
        <v>92</v>
      </c>
      <c r="BU830" t="s">
        <v>92</v>
      </c>
      <c r="BV830" t="s">
        <v>92</v>
      </c>
      <c r="BW830" t="s">
        <v>92</v>
      </c>
      <c r="BX830" t="s">
        <v>92</v>
      </c>
      <c r="BY830" t="str">
        <f>IF(COUNTIF('Data Upload-prod'!E:E,F830)=0,"Missing","Exist")</f>
        <v>Exist</v>
      </c>
    </row>
    <row r="831" hidden="1" spans="1:77">
      <c r="A831" s="16">
        <v>41666</v>
      </c>
      <c r="B831" s="16">
        <v>41780</v>
      </c>
      <c r="C831" t="s">
        <v>1273</v>
      </c>
      <c r="D831" t="s">
        <v>120</v>
      </c>
      <c r="E831" t="s">
        <v>1391</v>
      </c>
      <c r="F831" t="s">
        <v>1409</v>
      </c>
      <c r="G831" t="s">
        <v>81</v>
      </c>
      <c r="H831" t="s">
        <v>185</v>
      </c>
      <c r="I831" t="s">
        <v>124</v>
      </c>
      <c r="J831" s="17">
        <v>32</v>
      </c>
      <c r="K831" s="17">
        <v>1642</v>
      </c>
      <c r="L831" s="17">
        <v>1293</v>
      </c>
      <c r="M831" t="s">
        <v>84</v>
      </c>
      <c r="N831" t="s">
        <v>84</v>
      </c>
      <c r="O831" t="s">
        <v>84</v>
      </c>
      <c r="P831" t="s">
        <v>84</v>
      </c>
      <c r="Q831" s="17">
        <v>6175127</v>
      </c>
      <c r="R831" s="17">
        <v>9.63</v>
      </c>
      <c r="S831" t="s">
        <v>85</v>
      </c>
      <c r="T831" t="s">
        <v>84</v>
      </c>
      <c r="U831" t="s">
        <v>84</v>
      </c>
      <c r="V831" s="16">
        <v>41684.2083333333</v>
      </c>
      <c r="W831" s="18">
        <v>41683.3958333333</v>
      </c>
      <c r="X831" s="18">
        <v>41709</v>
      </c>
      <c r="Y831" s="17">
        <v>1556.94</v>
      </c>
      <c r="Z831" t="s">
        <v>87</v>
      </c>
      <c r="AA831" s="17">
        <v>1632.34</v>
      </c>
      <c r="AB831" s="17">
        <v>1299.74</v>
      </c>
      <c r="AC831" t="s">
        <v>84</v>
      </c>
      <c r="AD831" t="s">
        <v>84</v>
      </c>
      <c r="AE831" t="s">
        <v>84</v>
      </c>
      <c r="AF831" t="s">
        <v>84</v>
      </c>
      <c r="AG831" s="17">
        <v>5485640</v>
      </c>
      <c r="AH831" s="17">
        <v>9.31</v>
      </c>
      <c r="AI831" s="17">
        <v>0</v>
      </c>
      <c r="AJ831" s="17">
        <v>0</v>
      </c>
      <c r="AK831" t="s">
        <v>208</v>
      </c>
      <c r="AM831" s="17">
        <v>2.2</v>
      </c>
      <c r="AN831" s="17"/>
      <c r="AO831" s="17">
        <v>830</v>
      </c>
      <c r="AP831" s="17"/>
      <c r="AQ831" s="17">
        <v>1380</v>
      </c>
      <c r="AR831" s="17"/>
      <c r="AS831" s="13" t="s">
        <v>150</v>
      </c>
      <c r="AT831" s="13"/>
      <c r="AU831" s="13" t="s">
        <v>150</v>
      </c>
      <c r="AW831" s="13" t="s">
        <v>150</v>
      </c>
      <c r="AY831" t="s">
        <v>92</v>
      </c>
      <c r="AZ831" t="s">
        <v>92</v>
      </c>
      <c r="BA831" t="s">
        <v>92</v>
      </c>
      <c r="BB831" t="s">
        <v>92</v>
      </c>
      <c r="BC831" t="s">
        <v>92</v>
      </c>
      <c r="BD831" t="s">
        <v>92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92</v>
      </c>
      <c r="BM831" t="s">
        <v>92</v>
      </c>
      <c r="BN831" t="s">
        <v>92</v>
      </c>
      <c r="BO831" t="s">
        <v>92</v>
      </c>
      <c r="BP831" t="s">
        <v>92</v>
      </c>
      <c r="BQ831" t="s">
        <v>92</v>
      </c>
      <c r="BR831" t="s">
        <v>92</v>
      </c>
      <c r="BS831" t="s">
        <v>92</v>
      </c>
      <c r="BT831" t="s">
        <v>92</v>
      </c>
      <c r="BU831" t="s">
        <v>92</v>
      </c>
      <c r="BV831" t="s">
        <v>92</v>
      </c>
      <c r="BW831" t="s">
        <v>92</v>
      </c>
      <c r="BX831" t="s">
        <v>92</v>
      </c>
      <c r="BY831" t="str">
        <f>IF(COUNTIF('Data Upload-prod'!E:E,F831)=0,"Missing","Exist")</f>
        <v>Exist</v>
      </c>
    </row>
    <row r="832" hidden="1" spans="1:77">
      <c r="A832" s="16">
        <v>41666</v>
      </c>
      <c r="B832" s="16">
        <v>41800</v>
      </c>
      <c r="C832" t="s">
        <v>360</v>
      </c>
      <c r="D832" t="s">
        <v>120</v>
      </c>
      <c r="E832" t="s">
        <v>1391</v>
      </c>
      <c r="F832" t="s">
        <v>1410</v>
      </c>
      <c r="G832" t="s">
        <v>81</v>
      </c>
      <c r="H832" t="s">
        <v>185</v>
      </c>
      <c r="I832" t="s">
        <v>124</v>
      </c>
      <c r="J832" s="17">
        <v>32</v>
      </c>
      <c r="K832" s="17">
        <v>1463.2</v>
      </c>
      <c r="L832" s="17">
        <v>1090.4</v>
      </c>
      <c r="M832" t="s">
        <v>84</v>
      </c>
      <c r="N832" t="s">
        <v>84</v>
      </c>
      <c r="O832" t="s">
        <v>84</v>
      </c>
      <c r="P832" t="s">
        <v>84</v>
      </c>
      <c r="Q832" s="17">
        <v>4773800.67</v>
      </c>
      <c r="R832" s="17">
        <v>6.28</v>
      </c>
      <c r="S832" t="s">
        <v>85</v>
      </c>
      <c r="T832" t="s">
        <v>84</v>
      </c>
      <c r="U832" t="s">
        <v>86</v>
      </c>
      <c r="V832" s="16">
        <v>41688</v>
      </c>
      <c r="W832" s="18">
        <v>41688.4791666667</v>
      </c>
      <c r="X832" s="18">
        <v>41728</v>
      </c>
      <c r="Y832" s="17">
        <v>1487.6</v>
      </c>
      <c r="Z832" t="s">
        <v>87</v>
      </c>
      <c r="AA832" s="17">
        <v>1563</v>
      </c>
      <c r="AB832" s="17">
        <v>1141.54</v>
      </c>
      <c r="AC832" t="s">
        <v>84</v>
      </c>
      <c r="AD832" t="s">
        <v>84</v>
      </c>
      <c r="AE832" t="s">
        <v>84</v>
      </c>
      <c r="AF832" t="s">
        <v>84</v>
      </c>
      <c r="AG832" s="17">
        <v>4594824.81</v>
      </c>
      <c r="AH832" s="17">
        <v>7.67</v>
      </c>
      <c r="AI832" s="17">
        <v>6.25</v>
      </c>
      <c r="AJ832" s="17">
        <v>6.25</v>
      </c>
      <c r="AK832" t="s">
        <v>165</v>
      </c>
      <c r="AM832" s="17">
        <v>2</v>
      </c>
      <c r="AN832" s="17"/>
      <c r="AO832" s="17">
        <v>725</v>
      </c>
      <c r="AP832" s="17"/>
      <c r="AQ832" s="17">
        <v>1095</v>
      </c>
      <c r="AR832" s="17"/>
      <c r="AS832" s="13" t="s">
        <v>150</v>
      </c>
      <c r="AT832" s="13"/>
      <c r="AU832" s="13" t="s">
        <v>150</v>
      </c>
      <c r="AW832" s="13" t="s">
        <v>150</v>
      </c>
      <c r="AY832" t="s">
        <v>92</v>
      </c>
      <c r="AZ832" t="s">
        <v>92</v>
      </c>
      <c r="BA832" t="s">
        <v>92</v>
      </c>
      <c r="BB832" t="s">
        <v>92</v>
      </c>
      <c r="BC832" t="s">
        <v>92</v>
      </c>
      <c r="BD832" s="17">
        <v>0.98</v>
      </c>
      <c r="BE832" s="17">
        <v>808000</v>
      </c>
      <c r="BF832" t="s">
        <v>92</v>
      </c>
      <c r="BG832" t="s">
        <v>92</v>
      </c>
      <c r="BH832" t="s">
        <v>93</v>
      </c>
      <c r="BI832" t="s">
        <v>94</v>
      </c>
      <c r="BJ832" t="s">
        <v>95</v>
      </c>
      <c r="BK832" t="s">
        <v>85</v>
      </c>
      <c r="BL832" t="s">
        <v>85</v>
      </c>
      <c r="BM832" t="s">
        <v>96</v>
      </c>
      <c r="BN832" t="s">
        <v>97</v>
      </c>
      <c r="BO832" t="s">
        <v>98</v>
      </c>
      <c r="BP832" t="s">
        <v>99</v>
      </c>
      <c r="BQ832" s="17">
        <v>72.182</v>
      </c>
      <c r="BR832" t="s">
        <v>100</v>
      </c>
      <c r="BS832" t="s">
        <v>156</v>
      </c>
      <c r="BT832" t="s">
        <v>99</v>
      </c>
      <c r="BU832" s="17">
        <v>9.4</v>
      </c>
      <c r="BV832" t="s">
        <v>308</v>
      </c>
      <c r="BW832" t="s">
        <v>85</v>
      </c>
      <c r="BX832" t="s">
        <v>85</v>
      </c>
      <c r="BY832" t="str">
        <f>IF(COUNTIF('Data Upload-prod'!E:E,F832)=0,"Missing","Exist")</f>
        <v>Exist</v>
      </c>
    </row>
    <row r="833" hidden="1" spans="1:77">
      <c r="A833" s="16">
        <v>41662</v>
      </c>
      <c r="B833" s="16">
        <v>41782</v>
      </c>
      <c r="C833" t="s">
        <v>218</v>
      </c>
      <c r="D833" t="s">
        <v>120</v>
      </c>
      <c r="E833" t="s">
        <v>1411</v>
      </c>
      <c r="F833" t="s">
        <v>1412</v>
      </c>
      <c r="G833" t="s">
        <v>145</v>
      </c>
      <c r="H833" t="s">
        <v>221</v>
      </c>
      <c r="I833" t="s">
        <v>124</v>
      </c>
      <c r="J833" s="17">
        <v>82</v>
      </c>
      <c r="K833" s="17">
        <v>2633</v>
      </c>
      <c r="L833" s="17">
        <v>2633</v>
      </c>
      <c r="M833" s="17">
        <v>13100000</v>
      </c>
      <c r="N833" s="17">
        <v>17400000</v>
      </c>
      <c r="O833" s="17">
        <v>23.52</v>
      </c>
      <c r="P833" s="17">
        <v>33.3</v>
      </c>
      <c r="Q833" t="s">
        <v>84</v>
      </c>
      <c r="R833" t="s">
        <v>84</v>
      </c>
      <c r="S833" t="s">
        <v>85</v>
      </c>
      <c r="T833" t="s">
        <v>84</v>
      </c>
      <c r="U833" t="s">
        <v>84</v>
      </c>
      <c r="V833" s="16">
        <v>41692.3541666667</v>
      </c>
      <c r="W833" s="18">
        <v>41688.3333333333</v>
      </c>
      <c r="X833" s="18">
        <v>41722.8958333333</v>
      </c>
      <c r="Y833" s="17">
        <v>2677.7</v>
      </c>
      <c r="Z833" t="s">
        <v>87</v>
      </c>
      <c r="AA833" s="17">
        <v>2794</v>
      </c>
      <c r="AB833" s="17">
        <v>2793.69</v>
      </c>
      <c r="AC833" t="s">
        <v>84</v>
      </c>
      <c r="AD833" s="17">
        <v>17085000</v>
      </c>
      <c r="AE833" t="s">
        <v>84</v>
      </c>
      <c r="AF833" s="17">
        <v>34.6</v>
      </c>
      <c r="AG833" t="s">
        <v>84</v>
      </c>
      <c r="AH833" t="s">
        <v>84</v>
      </c>
      <c r="AI833" s="17">
        <v>14.74</v>
      </c>
      <c r="AJ833" s="17">
        <v>1.26</v>
      </c>
      <c r="AK833" t="s">
        <v>323</v>
      </c>
      <c r="AM833" s="17">
        <v>4.4</v>
      </c>
      <c r="AN833" s="17"/>
      <c r="AO833" s="17">
        <v>1980</v>
      </c>
      <c r="AP833" s="17"/>
      <c r="AQ833" s="17">
        <v>2760</v>
      </c>
      <c r="AR833" s="17"/>
      <c r="AS833" s="13" t="s">
        <v>150</v>
      </c>
      <c r="AT833" s="13"/>
      <c r="AU833" s="13" t="s">
        <v>150</v>
      </c>
      <c r="AW833" s="13" t="s">
        <v>150</v>
      </c>
      <c r="AY833" t="s">
        <v>92</v>
      </c>
      <c r="AZ833" t="s">
        <v>92</v>
      </c>
      <c r="BA833" t="s">
        <v>92</v>
      </c>
      <c r="BB833" t="s">
        <v>92</v>
      </c>
      <c r="BC833" t="s">
        <v>92</v>
      </c>
      <c r="BD833" t="s">
        <v>92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92</v>
      </c>
      <c r="BM833" t="s">
        <v>92</v>
      </c>
      <c r="BN833" t="s">
        <v>92</v>
      </c>
      <c r="BO833" t="s">
        <v>92</v>
      </c>
      <c r="BP833" t="s">
        <v>92</v>
      </c>
      <c r="BQ833" t="s">
        <v>92</v>
      </c>
      <c r="BR833" t="s">
        <v>92</v>
      </c>
      <c r="BS833" t="s">
        <v>92</v>
      </c>
      <c r="BT833" t="s">
        <v>92</v>
      </c>
      <c r="BU833" t="s">
        <v>92</v>
      </c>
      <c r="BV833" t="s">
        <v>92</v>
      </c>
      <c r="BW833" t="s">
        <v>92</v>
      </c>
      <c r="BX833" t="s">
        <v>92</v>
      </c>
      <c r="BY833" t="str">
        <f>IF(COUNTIF('Data Upload-prod'!E:E,F833)=0,"Missing","Exist")</f>
        <v>Exist</v>
      </c>
    </row>
    <row r="834" hidden="1" spans="1:77">
      <c r="A834" s="16">
        <v>41661</v>
      </c>
      <c r="B834" s="16">
        <v>41843</v>
      </c>
      <c r="C834" t="s">
        <v>655</v>
      </c>
      <c r="D834" t="s">
        <v>120</v>
      </c>
      <c r="E834" t="s">
        <v>786</v>
      </c>
      <c r="F834" t="s">
        <v>1413</v>
      </c>
      <c r="G834" t="s">
        <v>145</v>
      </c>
      <c r="H834" t="s">
        <v>1414</v>
      </c>
      <c r="I834" t="s">
        <v>231</v>
      </c>
      <c r="J834" s="17">
        <v>107</v>
      </c>
      <c r="K834" s="17">
        <v>2664.7</v>
      </c>
      <c r="L834" s="17">
        <v>2640</v>
      </c>
      <c r="M834" s="17">
        <v>40928100</v>
      </c>
      <c r="N834" s="17">
        <v>40928100</v>
      </c>
      <c r="O834" s="17">
        <v>50.06</v>
      </c>
      <c r="P834" s="17">
        <v>50.06</v>
      </c>
      <c r="Q834" t="s">
        <v>84</v>
      </c>
      <c r="R834" t="s">
        <v>84</v>
      </c>
      <c r="S834" t="s">
        <v>85</v>
      </c>
      <c r="T834" t="s">
        <v>84</v>
      </c>
      <c r="U834" t="s">
        <v>84</v>
      </c>
      <c r="V834" t="s">
        <v>84</v>
      </c>
      <c r="W834" t="s">
        <v>84</v>
      </c>
      <c r="X834" s="18">
        <v>41765.75</v>
      </c>
      <c r="Y834" s="17">
        <v>2553.3</v>
      </c>
      <c r="Z834" t="s">
        <v>87</v>
      </c>
      <c r="AA834" s="17">
        <v>2685</v>
      </c>
      <c r="AB834" s="17">
        <v>2660.3</v>
      </c>
      <c r="AC834" t="s">
        <v>84</v>
      </c>
      <c r="AD834" s="17">
        <v>45805610</v>
      </c>
      <c r="AE834" t="s">
        <v>84</v>
      </c>
      <c r="AF834" s="17">
        <v>71.08</v>
      </c>
      <c r="AG834" t="s">
        <v>84</v>
      </c>
      <c r="AH834" t="s">
        <v>84</v>
      </c>
      <c r="AI834" s="17">
        <v>11.61</v>
      </c>
      <c r="AJ834" s="17">
        <v>10.27</v>
      </c>
      <c r="AK834" t="s">
        <v>323</v>
      </c>
      <c r="AM834" s="17">
        <v>4.4</v>
      </c>
      <c r="AN834" s="17"/>
      <c r="AO834" s="17">
        <v>1980</v>
      </c>
      <c r="AP834" s="17"/>
      <c r="AQ834" s="17">
        <v>2760</v>
      </c>
      <c r="AR834" s="17"/>
      <c r="AS834" s="17">
        <v>2.41</v>
      </c>
      <c r="AT834" s="17"/>
      <c r="AU834" s="17">
        <v>1558</v>
      </c>
      <c r="AV834" s="17"/>
      <c r="AW834" s="17">
        <v>5255</v>
      </c>
      <c r="AX834" s="17"/>
      <c r="AY834" t="s">
        <v>92</v>
      </c>
      <c r="AZ834" t="s">
        <v>92</v>
      </c>
      <c r="BA834" t="s">
        <v>92</v>
      </c>
      <c r="BB834" t="s">
        <v>92</v>
      </c>
      <c r="BC834" t="s">
        <v>92</v>
      </c>
      <c r="BD834" t="s">
        <v>92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92</v>
      </c>
      <c r="BM834" t="s">
        <v>92</v>
      </c>
      <c r="BN834" t="s">
        <v>92</v>
      </c>
      <c r="BO834" t="s">
        <v>92</v>
      </c>
      <c r="BP834" t="s">
        <v>92</v>
      </c>
      <c r="BQ834" t="s">
        <v>92</v>
      </c>
      <c r="BR834" t="s">
        <v>92</v>
      </c>
      <c r="BS834" t="s">
        <v>92</v>
      </c>
      <c r="BT834" t="s">
        <v>92</v>
      </c>
      <c r="BU834" t="s">
        <v>92</v>
      </c>
      <c r="BV834" t="s">
        <v>92</v>
      </c>
      <c r="BW834" t="s">
        <v>92</v>
      </c>
      <c r="BX834" t="s">
        <v>92</v>
      </c>
      <c r="BY834" t="str">
        <f>IF(COUNTIF('Data Upload-prod'!E:E,F834)=0,"Missing","Exist")</f>
        <v>Exist</v>
      </c>
    </row>
    <row r="835" hidden="1" spans="1:77">
      <c r="A835" s="16">
        <v>41659</v>
      </c>
      <c r="B835" s="16">
        <v>41837</v>
      </c>
      <c r="C835" t="s">
        <v>360</v>
      </c>
      <c r="D835" t="s">
        <v>142</v>
      </c>
      <c r="E835" t="s">
        <v>1367</v>
      </c>
      <c r="F835" t="s">
        <v>1415</v>
      </c>
      <c r="G835" t="s">
        <v>81</v>
      </c>
      <c r="H835" t="s">
        <v>1247</v>
      </c>
      <c r="I835" t="s">
        <v>231</v>
      </c>
      <c r="J835" s="17">
        <v>1394.4</v>
      </c>
      <c r="K835" s="17">
        <v>2569</v>
      </c>
      <c r="L835" s="17">
        <v>2396</v>
      </c>
      <c r="M835" t="s">
        <v>84</v>
      </c>
      <c r="N835" t="s">
        <v>84</v>
      </c>
      <c r="O835" t="s">
        <v>84</v>
      </c>
      <c r="P835" t="s">
        <v>84</v>
      </c>
      <c r="Q835" s="17">
        <v>54331710</v>
      </c>
      <c r="R835" s="17">
        <v>36.7</v>
      </c>
      <c r="S835" t="s">
        <v>106</v>
      </c>
      <c r="T835" t="s">
        <v>84</v>
      </c>
      <c r="U835" t="s">
        <v>320</v>
      </c>
      <c r="V835" s="16">
        <v>41683.875</v>
      </c>
      <c r="W835" s="18">
        <v>41682</v>
      </c>
      <c r="X835" s="18">
        <v>41823</v>
      </c>
      <c r="Y835" s="17">
        <v>974.4</v>
      </c>
      <c r="Z835" t="s">
        <v>148</v>
      </c>
      <c r="AA835" s="17">
        <v>2395</v>
      </c>
      <c r="AB835" s="17">
        <v>2361.5</v>
      </c>
      <c r="AC835" t="s">
        <v>84</v>
      </c>
      <c r="AD835" t="s">
        <v>84</v>
      </c>
      <c r="AE835" t="s">
        <v>84</v>
      </c>
      <c r="AF835" t="s">
        <v>84</v>
      </c>
      <c r="AG835" s="17">
        <v>43184040</v>
      </c>
      <c r="AH835" s="17">
        <v>32</v>
      </c>
      <c r="AI835" s="17">
        <v>2.73</v>
      </c>
      <c r="AJ835" s="17">
        <v>2.73</v>
      </c>
      <c r="AK835" t="s">
        <v>767</v>
      </c>
      <c r="AM835" s="17">
        <v>3.1</v>
      </c>
      <c r="AN835" s="17"/>
      <c r="AO835" s="17">
        <v>1500</v>
      </c>
      <c r="AP835" s="17"/>
      <c r="AQ835" s="17">
        <v>3540</v>
      </c>
      <c r="AR835" s="17"/>
      <c r="AS835" s="17">
        <v>3.69</v>
      </c>
      <c r="AT835" s="17"/>
      <c r="AU835" s="17">
        <v>4978</v>
      </c>
      <c r="AV835" s="17"/>
      <c r="AW835" s="17">
        <v>9209</v>
      </c>
      <c r="AX835" s="17"/>
      <c r="AY835" t="s">
        <v>92</v>
      </c>
      <c r="AZ835" t="s">
        <v>92</v>
      </c>
      <c r="BA835" t="s">
        <v>92</v>
      </c>
      <c r="BB835" t="s">
        <v>92</v>
      </c>
      <c r="BC835" t="s">
        <v>92</v>
      </c>
      <c r="BD835" s="17">
        <v>16.53</v>
      </c>
      <c r="BE835" s="17">
        <v>22307255.66</v>
      </c>
      <c r="BF835" t="s">
        <v>92</v>
      </c>
      <c r="BG835" t="s">
        <v>92</v>
      </c>
      <c r="BH835" t="s">
        <v>93</v>
      </c>
      <c r="BI835" t="s">
        <v>94</v>
      </c>
      <c r="BJ835" t="s">
        <v>367</v>
      </c>
      <c r="BK835" t="s">
        <v>85</v>
      </c>
      <c r="BL835" t="s">
        <v>85</v>
      </c>
      <c r="BM835" t="s">
        <v>273</v>
      </c>
      <c r="BN835" t="s">
        <v>97</v>
      </c>
      <c r="BO835" t="s">
        <v>727</v>
      </c>
      <c r="BP835" t="s">
        <v>99</v>
      </c>
      <c r="BQ835" s="17">
        <v>569.5816</v>
      </c>
      <c r="BR835" t="s">
        <v>138</v>
      </c>
      <c r="BS835" t="s">
        <v>92</v>
      </c>
      <c r="BT835" t="s">
        <v>99</v>
      </c>
      <c r="BU835" s="17">
        <v>10.4</v>
      </c>
      <c r="BV835" t="s">
        <v>340</v>
      </c>
      <c r="BW835" t="s">
        <v>337</v>
      </c>
      <c r="BX835" t="s">
        <v>85</v>
      </c>
      <c r="BY835" t="str">
        <f>IF(COUNTIF('Data Upload-prod'!E:E,F835)=0,"Missing","Exist")</f>
        <v>Exist</v>
      </c>
    </row>
    <row r="836" hidden="1" spans="1:77">
      <c r="A836" s="16">
        <v>41655</v>
      </c>
      <c r="B836" s="16">
        <v>41772</v>
      </c>
      <c r="C836" t="s">
        <v>132</v>
      </c>
      <c r="D836" t="s">
        <v>78</v>
      </c>
      <c r="E836" t="s">
        <v>1416</v>
      </c>
      <c r="F836" t="s">
        <v>1417</v>
      </c>
      <c r="G836" t="s">
        <v>145</v>
      </c>
      <c r="H836" t="s">
        <v>319</v>
      </c>
      <c r="I836" t="s">
        <v>231</v>
      </c>
      <c r="J836" s="17">
        <v>99</v>
      </c>
      <c r="K836" s="17">
        <v>1380</v>
      </c>
      <c r="L836" s="17">
        <v>1380</v>
      </c>
      <c r="M836" s="17">
        <v>34743593.02</v>
      </c>
      <c r="N836" s="17">
        <v>48082117.35</v>
      </c>
      <c r="O836" s="17">
        <v>42.38</v>
      </c>
      <c r="P836" s="17">
        <v>62</v>
      </c>
      <c r="Q836" t="s">
        <v>84</v>
      </c>
      <c r="R836" t="s">
        <v>84</v>
      </c>
      <c r="S836" t="s">
        <v>85</v>
      </c>
      <c r="T836" t="s">
        <v>84</v>
      </c>
      <c r="U836" t="s">
        <v>84</v>
      </c>
      <c r="V836" s="16">
        <v>41662</v>
      </c>
      <c r="W836" s="18">
        <v>41659.5</v>
      </c>
      <c r="X836" s="18">
        <v>41698.1979166667</v>
      </c>
      <c r="Y836" s="17">
        <v>1252</v>
      </c>
      <c r="Z836" t="s">
        <v>87</v>
      </c>
      <c r="AA836" s="17">
        <v>1380</v>
      </c>
      <c r="AB836" s="17">
        <v>1380</v>
      </c>
      <c r="AC836" s="17">
        <v>30248619.98</v>
      </c>
      <c r="AD836" t="s">
        <v>84</v>
      </c>
      <c r="AE836" s="17">
        <v>38.7</v>
      </c>
      <c r="AF836" t="s">
        <v>84</v>
      </c>
      <c r="AG836" t="s">
        <v>84</v>
      </c>
      <c r="AH836" t="s">
        <v>84</v>
      </c>
      <c r="AI836" s="17">
        <v>10.21</v>
      </c>
      <c r="AJ836" s="17">
        <v>10.21</v>
      </c>
      <c r="AK836" t="s">
        <v>323</v>
      </c>
      <c r="AM836" s="17">
        <v>4.4</v>
      </c>
      <c r="AN836" s="17"/>
      <c r="AO836" s="17">
        <v>1980</v>
      </c>
      <c r="AP836" s="17"/>
      <c r="AQ836" s="17">
        <v>2760</v>
      </c>
      <c r="AR836" s="17"/>
      <c r="AS836" s="17">
        <v>5.98</v>
      </c>
      <c r="AT836" s="17"/>
      <c r="AU836" s="17">
        <v>2063</v>
      </c>
      <c r="AV836" s="17"/>
      <c r="AW836" s="17">
        <v>6160</v>
      </c>
      <c r="AX836" s="17"/>
      <c r="AY836" t="s">
        <v>92</v>
      </c>
      <c r="AZ836" t="s">
        <v>92</v>
      </c>
      <c r="BA836" t="s">
        <v>92</v>
      </c>
      <c r="BB836" t="s">
        <v>92</v>
      </c>
      <c r="BC836" t="s">
        <v>92</v>
      </c>
      <c r="BD836" t="s">
        <v>92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92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92</v>
      </c>
      <c r="BS836" t="s">
        <v>92</v>
      </c>
      <c r="BT836" t="s">
        <v>92</v>
      </c>
      <c r="BU836" t="s">
        <v>92</v>
      </c>
      <c r="BV836" t="s">
        <v>92</v>
      </c>
      <c r="BW836" t="s">
        <v>92</v>
      </c>
      <c r="BX836" t="s">
        <v>92</v>
      </c>
      <c r="BY836" t="str">
        <f>IF(COUNTIF('Data Upload-prod'!E:E,F836)=0,"Missing","Exist")</f>
        <v>Exist</v>
      </c>
    </row>
    <row r="837" spans="1:77">
      <c r="A837" s="16">
        <v>41645</v>
      </c>
      <c r="B837" t="s">
        <v>84</v>
      </c>
      <c r="C837" t="s">
        <v>132</v>
      </c>
      <c r="D837" t="s">
        <v>142</v>
      </c>
      <c r="E837" t="s">
        <v>170</v>
      </c>
      <c r="F837" t="s">
        <v>1418</v>
      </c>
      <c r="G837" t="s">
        <v>81</v>
      </c>
      <c r="H837" t="s">
        <v>172</v>
      </c>
      <c r="I837" t="s">
        <v>124</v>
      </c>
      <c r="J837" s="17">
        <v>10.06</v>
      </c>
      <c r="K837" s="17">
        <v>2378.3</v>
      </c>
      <c r="L837" s="17">
        <v>2058.26</v>
      </c>
      <c r="M837" t="s">
        <v>84</v>
      </c>
      <c r="N837" t="s">
        <v>84</v>
      </c>
      <c r="O837" t="s">
        <v>84</v>
      </c>
      <c r="P837" t="s">
        <v>84</v>
      </c>
      <c r="Q837" s="17">
        <v>16550000</v>
      </c>
      <c r="R837" s="17">
        <v>34.48</v>
      </c>
      <c r="S837" t="s">
        <v>85</v>
      </c>
      <c r="T837" t="s">
        <v>84</v>
      </c>
      <c r="U837" t="s">
        <v>86</v>
      </c>
      <c r="V837" s="16">
        <v>41647.5625</v>
      </c>
      <c r="W837" s="18">
        <v>41647.2291666667</v>
      </c>
      <c r="X837" s="18">
        <v>41710.2916666667</v>
      </c>
      <c r="Y837" s="17">
        <v>2378.54</v>
      </c>
      <c r="Z837" t="s">
        <v>87</v>
      </c>
      <c r="AA837" s="17">
        <v>2423.04</v>
      </c>
      <c r="AB837" s="17">
        <v>2092.96</v>
      </c>
      <c r="AC837" t="s">
        <v>84</v>
      </c>
      <c r="AD837" t="s">
        <v>84</v>
      </c>
      <c r="AE837" t="s">
        <v>84</v>
      </c>
      <c r="AF837" t="s">
        <v>84</v>
      </c>
      <c r="AG837" s="17">
        <v>15390000</v>
      </c>
      <c r="AH837" s="17">
        <v>28.06</v>
      </c>
      <c r="AI837" s="17">
        <v>2.52</v>
      </c>
      <c r="AJ837" s="17">
        <v>2.52</v>
      </c>
      <c r="AK837" t="s">
        <v>165</v>
      </c>
      <c r="AL837" t="s">
        <v>165</v>
      </c>
      <c r="AM837" s="17">
        <v>2.5</v>
      </c>
      <c r="AN837" s="17">
        <v>2.5</v>
      </c>
      <c r="AO837" s="17">
        <v>1440</v>
      </c>
      <c r="AP837" s="17">
        <v>1440</v>
      </c>
      <c r="AQ837" s="17">
        <v>2015</v>
      </c>
      <c r="AR837" s="17">
        <v>2015</v>
      </c>
      <c r="AS837" s="13" t="s">
        <v>90</v>
      </c>
      <c r="AT837" s="19">
        <v>2.28</v>
      </c>
      <c r="AU837" s="13" t="s">
        <v>90</v>
      </c>
      <c r="AV837" s="13">
        <v>809</v>
      </c>
      <c r="AW837" s="13" t="s">
        <v>90</v>
      </c>
      <c r="AX837" s="13">
        <v>1917</v>
      </c>
      <c r="AY837" t="s">
        <v>92</v>
      </c>
      <c r="AZ837" t="s">
        <v>92</v>
      </c>
      <c r="BA837" t="s">
        <v>92</v>
      </c>
      <c r="BB837" t="s">
        <v>92</v>
      </c>
      <c r="BC837" t="s">
        <v>92</v>
      </c>
      <c r="BD837" s="17">
        <v>8.25</v>
      </c>
      <c r="BE837" s="17">
        <v>5484522.08</v>
      </c>
      <c r="BF837" t="s">
        <v>92</v>
      </c>
      <c r="BG837" t="s">
        <v>92</v>
      </c>
      <c r="BH837" t="s">
        <v>93</v>
      </c>
      <c r="BI837" t="s">
        <v>94</v>
      </c>
      <c r="BJ837" t="s">
        <v>128</v>
      </c>
      <c r="BK837" t="s">
        <v>85</v>
      </c>
      <c r="BL837" t="s">
        <v>85</v>
      </c>
      <c r="BM837" t="s">
        <v>96</v>
      </c>
      <c r="BN837" t="s">
        <v>490</v>
      </c>
      <c r="BO837" t="s">
        <v>98</v>
      </c>
      <c r="BP837" t="s">
        <v>99</v>
      </c>
      <c r="BQ837" s="17">
        <v>1538</v>
      </c>
      <c r="BR837" t="s">
        <v>138</v>
      </c>
      <c r="BS837" t="s">
        <v>156</v>
      </c>
      <c r="BT837" t="s">
        <v>175</v>
      </c>
      <c r="BU837" s="17">
        <v>8.6</v>
      </c>
      <c r="BV837" t="s">
        <v>110</v>
      </c>
      <c r="BW837" t="s">
        <v>85</v>
      </c>
      <c r="BX837" t="s">
        <v>85</v>
      </c>
      <c r="BY837" t="str">
        <f>IF(COUNTIF('Data Upload-prod'!E:E,F837)=0,"Missing","Exist")</f>
        <v>Exist</v>
      </c>
    </row>
    <row r="838" hidden="1" spans="1:77">
      <c r="A838" s="16">
        <v>41642</v>
      </c>
      <c r="B838" s="16">
        <v>41792</v>
      </c>
      <c r="C838" t="s">
        <v>360</v>
      </c>
      <c r="D838" t="s">
        <v>142</v>
      </c>
      <c r="E838" t="s">
        <v>1367</v>
      </c>
      <c r="F838" t="s">
        <v>1419</v>
      </c>
      <c r="G838" t="s">
        <v>81</v>
      </c>
      <c r="H838" t="s">
        <v>1247</v>
      </c>
      <c r="I838" t="s">
        <v>231</v>
      </c>
      <c r="J838" s="17">
        <v>1355.7</v>
      </c>
      <c r="K838" s="17">
        <v>3495</v>
      </c>
      <c r="L838" s="17">
        <v>2685</v>
      </c>
      <c r="M838" t="s">
        <v>84</v>
      </c>
      <c r="N838" t="s">
        <v>84</v>
      </c>
      <c r="O838" t="s">
        <v>84</v>
      </c>
      <c r="P838" t="s">
        <v>84</v>
      </c>
      <c r="Q838" s="17">
        <v>54974507</v>
      </c>
      <c r="R838" s="17">
        <v>43.6</v>
      </c>
      <c r="S838" t="s">
        <v>85</v>
      </c>
      <c r="T838" t="s">
        <v>84</v>
      </c>
      <c r="U838" t="s">
        <v>320</v>
      </c>
      <c r="V838" s="16">
        <v>41730</v>
      </c>
      <c r="W838" s="18">
        <v>41728</v>
      </c>
      <c r="X838" s="18">
        <v>41770</v>
      </c>
      <c r="Y838" s="17">
        <v>2142.1</v>
      </c>
      <c r="Z838" t="s">
        <v>148</v>
      </c>
      <c r="AA838" s="17">
        <v>3524</v>
      </c>
      <c r="AB838" s="17">
        <v>2699</v>
      </c>
      <c r="AC838" t="s">
        <v>84</v>
      </c>
      <c r="AD838" t="s">
        <v>84</v>
      </c>
      <c r="AE838" t="s">
        <v>84</v>
      </c>
      <c r="AF838" t="s">
        <v>84</v>
      </c>
      <c r="AG838" s="17">
        <v>53624183</v>
      </c>
      <c r="AH838" s="17">
        <v>42</v>
      </c>
      <c r="AI838" s="17">
        <v>13.99</v>
      </c>
      <c r="AJ838" s="17">
        <v>13.99</v>
      </c>
      <c r="AK838" t="s">
        <v>767</v>
      </c>
      <c r="AM838" s="17">
        <v>3.1</v>
      </c>
      <c r="AN838" s="17"/>
      <c r="AO838" s="17">
        <v>1500</v>
      </c>
      <c r="AP838" s="17"/>
      <c r="AQ838" s="17">
        <v>3540</v>
      </c>
      <c r="AR838" s="17"/>
      <c r="AS838" s="13" t="s">
        <v>150</v>
      </c>
      <c r="AT838" s="13"/>
      <c r="AU838" s="13" t="s">
        <v>150</v>
      </c>
      <c r="AW838" s="13" t="s">
        <v>150</v>
      </c>
      <c r="AY838" t="s">
        <v>92</v>
      </c>
      <c r="AZ838" t="s">
        <v>92</v>
      </c>
      <c r="BA838" t="s">
        <v>92</v>
      </c>
      <c r="BB838" t="s">
        <v>92</v>
      </c>
      <c r="BC838" t="s">
        <v>92</v>
      </c>
      <c r="BD838" s="17">
        <v>26.17</v>
      </c>
      <c r="BE838" s="17">
        <v>33412973.07</v>
      </c>
      <c r="BF838" t="s">
        <v>92</v>
      </c>
      <c r="BG838" t="s">
        <v>92</v>
      </c>
      <c r="BH838" t="s">
        <v>93</v>
      </c>
      <c r="BI838" t="s">
        <v>94</v>
      </c>
      <c r="BJ838" t="s">
        <v>994</v>
      </c>
      <c r="BK838" t="s">
        <v>627</v>
      </c>
      <c r="BL838" t="s">
        <v>85</v>
      </c>
      <c r="BM838" t="s">
        <v>159</v>
      </c>
      <c r="BN838" t="s">
        <v>569</v>
      </c>
      <c r="BO838" t="s">
        <v>98</v>
      </c>
      <c r="BP838" t="s">
        <v>350</v>
      </c>
      <c r="BQ838" s="17">
        <v>810.407</v>
      </c>
      <c r="BR838" t="s">
        <v>138</v>
      </c>
      <c r="BS838" t="s">
        <v>806</v>
      </c>
      <c r="BT838" t="s">
        <v>350</v>
      </c>
      <c r="BU838" s="17">
        <v>10.4</v>
      </c>
      <c r="BV838" t="s">
        <v>308</v>
      </c>
      <c r="BW838" t="s">
        <v>129</v>
      </c>
      <c r="BX838" t="s">
        <v>85</v>
      </c>
      <c r="BY838" t="str">
        <f>IF(COUNTIF('Data Upload-prod'!E:E,F838)=0,"Missing","Exist")</f>
        <v>Exist</v>
      </c>
    </row>
    <row r="839" hidden="1" spans="1:77">
      <c r="A839" s="16">
        <v>41642</v>
      </c>
      <c r="B839" s="16">
        <v>41825</v>
      </c>
      <c r="C839" t="s">
        <v>195</v>
      </c>
      <c r="D839" t="s">
        <v>78</v>
      </c>
      <c r="E839" t="s">
        <v>1371</v>
      </c>
      <c r="F839" t="s">
        <v>1420</v>
      </c>
      <c r="G839" t="s">
        <v>81</v>
      </c>
      <c r="H839" t="s">
        <v>1421</v>
      </c>
      <c r="I839" t="s">
        <v>124</v>
      </c>
      <c r="J839" s="17">
        <v>55.7</v>
      </c>
      <c r="K839" s="17">
        <v>3531</v>
      </c>
      <c r="L839" s="17">
        <v>2034</v>
      </c>
      <c r="M839" t="s">
        <v>84</v>
      </c>
      <c r="N839" t="s">
        <v>84</v>
      </c>
      <c r="O839" t="s">
        <v>84</v>
      </c>
      <c r="P839" t="s">
        <v>84</v>
      </c>
      <c r="Q839" s="17">
        <v>30000000</v>
      </c>
      <c r="R839" s="17">
        <v>52.7</v>
      </c>
      <c r="S839" t="s">
        <v>85</v>
      </c>
      <c r="T839" t="s">
        <v>84</v>
      </c>
      <c r="U839" t="s">
        <v>84</v>
      </c>
      <c r="V839" t="s">
        <v>84</v>
      </c>
      <c r="W839" s="18">
        <v>41695</v>
      </c>
      <c r="X839" s="18">
        <v>41787</v>
      </c>
      <c r="Y839" s="17">
        <v>3437.51</v>
      </c>
      <c r="Z839" t="s">
        <v>87</v>
      </c>
      <c r="AA839" s="17">
        <v>3537</v>
      </c>
      <c r="AB839" s="17">
        <v>2042.1</v>
      </c>
      <c r="AC839" t="s">
        <v>84</v>
      </c>
      <c r="AD839" t="s">
        <v>84</v>
      </c>
      <c r="AE839" t="s">
        <v>84</v>
      </c>
      <c r="AF839" t="s">
        <v>84</v>
      </c>
      <c r="AG839" s="17">
        <v>22192000</v>
      </c>
      <c r="AH839" s="17">
        <v>36.58</v>
      </c>
      <c r="AI839" s="17">
        <v>0.11</v>
      </c>
      <c r="AJ839" s="17">
        <v>0.11</v>
      </c>
      <c r="AK839" t="s">
        <v>208</v>
      </c>
      <c r="AM839" s="17">
        <v>2.1</v>
      </c>
      <c r="AN839" s="17"/>
      <c r="AO839" s="17">
        <v>700</v>
      </c>
      <c r="AP839" s="17"/>
      <c r="AQ839" s="17">
        <v>1220</v>
      </c>
      <c r="AR839" s="17"/>
      <c r="AS839" s="13" t="s">
        <v>150</v>
      </c>
      <c r="AT839" s="13"/>
      <c r="AU839" s="13" t="s">
        <v>150</v>
      </c>
      <c r="AW839" s="13" t="s">
        <v>150</v>
      </c>
      <c r="AY839" t="s">
        <v>92</v>
      </c>
      <c r="AZ839" t="s">
        <v>92</v>
      </c>
      <c r="BA839" t="s">
        <v>92</v>
      </c>
      <c r="BB839" t="s">
        <v>92</v>
      </c>
      <c r="BC839" t="s">
        <v>92</v>
      </c>
      <c r="BD839" t="s">
        <v>92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92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92</v>
      </c>
      <c r="BS839" t="s">
        <v>92</v>
      </c>
      <c r="BT839" t="s">
        <v>92</v>
      </c>
      <c r="BU839" t="s">
        <v>92</v>
      </c>
      <c r="BV839" t="s">
        <v>92</v>
      </c>
      <c r="BW839" t="s">
        <v>92</v>
      </c>
      <c r="BX839" t="s">
        <v>92</v>
      </c>
      <c r="BY839" t="str">
        <f>IF(COUNTIF('Data Upload-prod'!E:E,F839)=0,"Missing","Exist")</f>
        <v>Exist</v>
      </c>
    </row>
    <row r="840" hidden="1" spans="1:77">
      <c r="A840" s="16">
        <v>41642</v>
      </c>
      <c r="B840" s="16">
        <v>41851</v>
      </c>
      <c r="C840" t="s">
        <v>195</v>
      </c>
      <c r="D840" t="s">
        <v>78</v>
      </c>
      <c r="E840" t="s">
        <v>1371</v>
      </c>
      <c r="F840" t="s">
        <v>1422</v>
      </c>
      <c r="G840" t="s">
        <v>81</v>
      </c>
      <c r="H840" t="s">
        <v>1421</v>
      </c>
      <c r="I840" t="s">
        <v>124</v>
      </c>
      <c r="J840" s="17">
        <v>55.7</v>
      </c>
      <c r="K840" s="17">
        <v>3354</v>
      </c>
      <c r="L840" s="17">
        <v>2033</v>
      </c>
      <c r="M840" t="s">
        <v>84</v>
      </c>
      <c r="N840" t="s">
        <v>84</v>
      </c>
      <c r="O840" t="s">
        <v>84</v>
      </c>
      <c r="P840" t="s">
        <v>84</v>
      </c>
      <c r="Q840" s="17">
        <v>30300000</v>
      </c>
      <c r="R840" s="17">
        <v>49.5</v>
      </c>
      <c r="S840" t="s">
        <v>85</v>
      </c>
      <c r="T840" t="s">
        <v>84</v>
      </c>
      <c r="U840" t="s">
        <v>84</v>
      </c>
      <c r="V840" t="s">
        <v>84</v>
      </c>
      <c r="W840" s="18">
        <v>41689</v>
      </c>
      <c r="X840" s="18">
        <v>41807</v>
      </c>
      <c r="Y840" s="17">
        <v>9123.51</v>
      </c>
      <c r="Z840" t="s">
        <v>87</v>
      </c>
      <c r="AA840" s="17">
        <v>9223</v>
      </c>
      <c r="AB840" s="17">
        <v>2034.69</v>
      </c>
      <c r="AC840" t="s">
        <v>84</v>
      </c>
      <c r="AD840" t="s">
        <v>84</v>
      </c>
      <c r="AE840" t="s">
        <v>84</v>
      </c>
      <c r="AF840" t="s">
        <v>84</v>
      </c>
      <c r="AG840" s="17">
        <v>22154000</v>
      </c>
      <c r="AH840" s="17">
        <v>37.13</v>
      </c>
      <c r="AI840" s="17">
        <v>8.7</v>
      </c>
      <c r="AJ840" s="17">
        <v>8.7</v>
      </c>
      <c r="AK840" t="s">
        <v>208</v>
      </c>
      <c r="AM840" s="17">
        <v>2.1</v>
      </c>
      <c r="AN840" s="17"/>
      <c r="AO840" s="17">
        <v>700</v>
      </c>
      <c r="AP840" s="17"/>
      <c r="AQ840" s="17">
        <v>1220</v>
      </c>
      <c r="AR840" s="17"/>
      <c r="AS840" s="13" t="s">
        <v>150</v>
      </c>
      <c r="AT840" s="13"/>
      <c r="AU840" s="13" t="s">
        <v>150</v>
      </c>
      <c r="AW840" s="13" t="s">
        <v>150</v>
      </c>
      <c r="AY840" t="s">
        <v>92</v>
      </c>
      <c r="AZ840" t="s">
        <v>92</v>
      </c>
      <c r="BA840" t="s">
        <v>92</v>
      </c>
      <c r="BB840" t="s">
        <v>92</v>
      </c>
      <c r="BC840" t="s">
        <v>92</v>
      </c>
      <c r="BD840" t="s">
        <v>92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92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92</v>
      </c>
      <c r="BS840" t="s">
        <v>92</v>
      </c>
      <c r="BT840" t="s">
        <v>92</v>
      </c>
      <c r="BU840" t="s">
        <v>92</v>
      </c>
      <c r="BV840" t="s">
        <v>92</v>
      </c>
      <c r="BW840" t="s">
        <v>92</v>
      </c>
      <c r="BX840" t="s">
        <v>92</v>
      </c>
      <c r="BY840" t="str">
        <f>IF(COUNTIF('Data Upload-prod'!E:E,F840)=0,"Missing","Exist")</f>
        <v>Exist</v>
      </c>
    </row>
    <row r="841" hidden="1" spans="1:77">
      <c r="A841" s="16">
        <v>41640</v>
      </c>
      <c r="B841" s="16">
        <v>41796</v>
      </c>
      <c r="C841" t="s">
        <v>195</v>
      </c>
      <c r="D841" t="s">
        <v>78</v>
      </c>
      <c r="E841" t="s">
        <v>1371</v>
      </c>
      <c r="F841" t="s">
        <v>1423</v>
      </c>
      <c r="G841" t="s">
        <v>81</v>
      </c>
      <c r="H841" t="s">
        <v>214</v>
      </c>
      <c r="I841" t="s">
        <v>124</v>
      </c>
      <c r="J841" s="17">
        <v>55.7</v>
      </c>
      <c r="K841" s="17">
        <v>1800</v>
      </c>
      <c r="L841" s="17">
        <v>922</v>
      </c>
      <c r="M841" t="s">
        <v>84</v>
      </c>
      <c r="N841" t="s">
        <v>84</v>
      </c>
      <c r="O841" t="s">
        <v>84</v>
      </c>
      <c r="P841" t="s">
        <v>84</v>
      </c>
      <c r="Q841" s="17">
        <v>35900000</v>
      </c>
      <c r="R841" s="17">
        <v>48.57</v>
      </c>
      <c r="S841" t="s">
        <v>85</v>
      </c>
      <c r="T841" t="s">
        <v>84</v>
      </c>
      <c r="U841" t="s">
        <v>86</v>
      </c>
      <c r="V841" s="16">
        <v>41653</v>
      </c>
      <c r="W841" s="18">
        <v>41651.7916666667</v>
      </c>
      <c r="X841" s="18">
        <v>41757.6666666667</v>
      </c>
      <c r="Y841" s="17">
        <v>3949.51</v>
      </c>
      <c r="Z841" t="s">
        <v>87</v>
      </c>
      <c r="AA841" s="17">
        <v>4049</v>
      </c>
      <c r="AB841" s="17">
        <v>2036</v>
      </c>
      <c r="AC841" t="s">
        <v>84</v>
      </c>
      <c r="AD841" t="s">
        <v>84</v>
      </c>
      <c r="AE841" t="s">
        <v>84</v>
      </c>
      <c r="AF841" t="s">
        <v>84</v>
      </c>
      <c r="AG841" s="17">
        <v>31454500</v>
      </c>
      <c r="AH841" s="17">
        <v>53.5</v>
      </c>
      <c r="AI841" s="17">
        <v>11.6</v>
      </c>
      <c r="AJ841" s="17">
        <v>10.2</v>
      </c>
      <c r="AK841" t="s">
        <v>208</v>
      </c>
      <c r="AM841" s="17">
        <v>2.1</v>
      </c>
      <c r="AN841" s="17"/>
      <c r="AO841" s="17">
        <v>700</v>
      </c>
      <c r="AP841" s="17"/>
      <c r="AQ841" s="17">
        <v>1220</v>
      </c>
      <c r="AR841" s="17"/>
      <c r="AS841" s="13" t="s">
        <v>150</v>
      </c>
      <c r="AT841" s="13"/>
      <c r="AU841" s="13" t="s">
        <v>150</v>
      </c>
      <c r="AW841" s="13" t="s">
        <v>150</v>
      </c>
      <c r="AY841" t="s">
        <v>92</v>
      </c>
      <c r="AZ841" t="s">
        <v>92</v>
      </c>
      <c r="BA841" t="s">
        <v>92</v>
      </c>
      <c r="BB841" t="s">
        <v>92</v>
      </c>
      <c r="BC841" t="s">
        <v>92</v>
      </c>
      <c r="BD841" s="17">
        <v>9.8</v>
      </c>
      <c r="BE841" s="17">
        <v>10496000</v>
      </c>
      <c r="BF841" t="s">
        <v>92</v>
      </c>
      <c r="BG841" t="s">
        <v>92</v>
      </c>
      <c r="BH841" t="s">
        <v>93</v>
      </c>
      <c r="BI841" t="s">
        <v>94</v>
      </c>
      <c r="BJ841" t="s">
        <v>215</v>
      </c>
      <c r="BK841" t="s">
        <v>85</v>
      </c>
      <c r="BL841" t="s">
        <v>85</v>
      </c>
      <c r="BM841" t="s">
        <v>96</v>
      </c>
      <c r="BN841" t="s">
        <v>569</v>
      </c>
      <c r="BO841" t="s">
        <v>216</v>
      </c>
      <c r="BP841" t="s">
        <v>99</v>
      </c>
      <c r="BQ841" s="17">
        <v>50</v>
      </c>
      <c r="BR841" t="s">
        <v>138</v>
      </c>
      <c r="BS841" t="s">
        <v>156</v>
      </c>
      <c r="BT841" t="s">
        <v>99</v>
      </c>
      <c r="BU841" s="17">
        <v>9.9</v>
      </c>
      <c r="BV841" t="s">
        <v>191</v>
      </c>
      <c r="BW841" t="s">
        <v>85</v>
      </c>
      <c r="BX841" t="s">
        <v>85</v>
      </c>
      <c r="BY841" t="str">
        <f>IF(COUNTIF('Data Upload-prod'!E:E,F841)=0,"Missing","Exist")</f>
        <v>Exist</v>
      </c>
    </row>
    <row r="842" hidden="1" spans="1:77">
      <c r="A842" s="16">
        <v>41632</v>
      </c>
      <c r="B842" s="16">
        <v>41794</v>
      </c>
      <c r="C842" t="s">
        <v>132</v>
      </c>
      <c r="D842" t="s">
        <v>142</v>
      </c>
      <c r="E842" t="s">
        <v>1424</v>
      </c>
      <c r="F842" t="s">
        <v>1425</v>
      </c>
      <c r="G842" t="s">
        <v>145</v>
      </c>
      <c r="H842" t="s">
        <v>1398</v>
      </c>
      <c r="I842" t="s">
        <v>147</v>
      </c>
      <c r="J842" s="17">
        <v>1659.5</v>
      </c>
      <c r="K842" s="17">
        <v>3730</v>
      </c>
      <c r="L842" s="17">
        <v>3730</v>
      </c>
      <c r="M842" s="17">
        <v>64094146</v>
      </c>
      <c r="N842" s="17">
        <v>64094146</v>
      </c>
      <c r="O842" s="17">
        <v>42.4</v>
      </c>
      <c r="P842" s="17">
        <v>42.4</v>
      </c>
      <c r="Q842" t="s">
        <v>84</v>
      </c>
      <c r="R842" t="s">
        <v>84</v>
      </c>
      <c r="S842" t="s">
        <v>85</v>
      </c>
      <c r="T842" t="s">
        <v>84</v>
      </c>
      <c r="U842" t="s">
        <v>84</v>
      </c>
      <c r="V842" s="16">
        <v>41647.9791666667</v>
      </c>
      <c r="W842" s="18">
        <v>41646.4166666667</v>
      </c>
      <c r="X842" s="18">
        <v>41734.8229166667</v>
      </c>
      <c r="Y842" s="17">
        <v>1966</v>
      </c>
      <c r="Z842" t="s">
        <v>148</v>
      </c>
      <c r="AA842" s="17">
        <v>3657</v>
      </c>
      <c r="AB842" s="17">
        <v>3657</v>
      </c>
      <c r="AC842" t="s">
        <v>84</v>
      </c>
      <c r="AD842" s="17">
        <v>63374989</v>
      </c>
      <c r="AE842" t="s">
        <v>84</v>
      </c>
      <c r="AF842" s="17">
        <v>56.82</v>
      </c>
      <c r="AG842" t="s">
        <v>84</v>
      </c>
      <c r="AH842" t="s">
        <v>84</v>
      </c>
      <c r="AI842" s="17">
        <v>22.4</v>
      </c>
      <c r="AJ842" s="17">
        <v>22.4</v>
      </c>
      <c r="AK842" t="s">
        <v>378</v>
      </c>
      <c r="AM842" s="17">
        <v>5.4</v>
      </c>
      <c r="AN842" s="17"/>
      <c r="AO842" s="17">
        <v>5090</v>
      </c>
      <c r="AP842" s="17"/>
      <c r="AQ842" s="17">
        <v>7920</v>
      </c>
      <c r="AR842" s="17"/>
      <c r="AS842" s="17">
        <v>6.77</v>
      </c>
      <c r="AT842" s="17"/>
      <c r="AU842" s="17">
        <v>9151</v>
      </c>
      <c r="AV842" s="17"/>
      <c r="AW842" s="17">
        <v>9389</v>
      </c>
      <c r="AX842" s="17"/>
      <c r="AY842" t="s">
        <v>92</v>
      </c>
      <c r="AZ842" t="s">
        <v>92</v>
      </c>
      <c r="BA842" t="s">
        <v>92</v>
      </c>
      <c r="BB842" t="s">
        <v>92</v>
      </c>
      <c r="BC842" t="s">
        <v>92</v>
      </c>
      <c r="BD842" t="s">
        <v>92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92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92</v>
      </c>
      <c r="BS842" t="s">
        <v>92</v>
      </c>
      <c r="BT842" t="s">
        <v>92</v>
      </c>
      <c r="BU842" t="s">
        <v>92</v>
      </c>
      <c r="BV842" t="s">
        <v>92</v>
      </c>
      <c r="BW842" t="s">
        <v>92</v>
      </c>
      <c r="BX842" t="s">
        <v>92</v>
      </c>
      <c r="BY842" t="str">
        <f>IF(COUNTIF('Data Upload-prod'!E:E,F842)=0,"Missing","Exist")</f>
        <v>Exist</v>
      </c>
    </row>
    <row r="843" hidden="1" spans="1:77">
      <c r="A843" s="16">
        <v>41632</v>
      </c>
      <c r="B843" s="16">
        <v>41926</v>
      </c>
      <c r="C843" t="s">
        <v>132</v>
      </c>
      <c r="D843" t="s">
        <v>142</v>
      </c>
      <c r="E843" t="s">
        <v>1426</v>
      </c>
      <c r="F843" t="s">
        <v>1427</v>
      </c>
      <c r="G843" t="s">
        <v>81</v>
      </c>
      <c r="H843" t="s">
        <v>1277</v>
      </c>
      <c r="I843" t="s">
        <v>124</v>
      </c>
      <c r="J843" s="17">
        <v>59.13</v>
      </c>
      <c r="K843" s="17">
        <v>4599.21</v>
      </c>
      <c r="L843" s="17">
        <v>4561.97</v>
      </c>
      <c r="M843" t="s">
        <v>84</v>
      </c>
      <c r="N843" t="s">
        <v>84</v>
      </c>
      <c r="O843" t="s">
        <v>84</v>
      </c>
      <c r="P843" t="s">
        <v>84</v>
      </c>
      <c r="Q843" s="17">
        <v>66312424</v>
      </c>
      <c r="R843" s="17">
        <v>85</v>
      </c>
      <c r="S843" t="s">
        <v>85</v>
      </c>
      <c r="T843" t="s">
        <v>84</v>
      </c>
      <c r="U843" t="s">
        <v>84</v>
      </c>
      <c r="V843" s="16">
        <v>41674.5208333333</v>
      </c>
      <c r="W843" s="18">
        <v>41673</v>
      </c>
      <c r="X843" s="18">
        <v>41771</v>
      </c>
      <c r="Y843" s="17">
        <v>4523.01</v>
      </c>
      <c r="Z843" t="s">
        <v>87</v>
      </c>
      <c r="AA843" s="17">
        <v>4638.83</v>
      </c>
      <c r="AB843" s="17">
        <v>4617.68</v>
      </c>
      <c r="AC843" t="s">
        <v>84</v>
      </c>
      <c r="AD843" t="s">
        <v>84</v>
      </c>
      <c r="AE843" t="s">
        <v>84</v>
      </c>
      <c r="AF843" t="s">
        <v>84</v>
      </c>
      <c r="AG843" s="17">
        <v>63190000</v>
      </c>
      <c r="AH843" s="17">
        <v>97.36</v>
      </c>
      <c r="AI843" s="17">
        <v>11.95</v>
      </c>
      <c r="AJ843" s="17">
        <v>11.95</v>
      </c>
      <c r="AK843" s="13" t="s">
        <v>149</v>
      </c>
      <c r="AM843" t="s">
        <v>92</v>
      </c>
      <c r="AO843" t="s">
        <v>92</v>
      </c>
      <c r="AQ843" t="s">
        <v>92</v>
      </c>
      <c r="AS843" s="17">
        <v>4.89</v>
      </c>
      <c r="AT843" s="17"/>
      <c r="AU843" s="17">
        <v>3629</v>
      </c>
      <c r="AV843" s="17"/>
      <c r="AW843" s="17">
        <v>4786</v>
      </c>
      <c r="AX843" s="17"/>
      <c r="AY843" t="s">
        <v>92</v>
      </c>
      <c r="AZ843" t="s">
        <v>92</v>
      </c>
      <c r="BA843" t="s">
        <v>92</v>
      </c>
      <c r="BB843" t="s">
        <v>92</v>
      </c>
      <c r="BC843" t="s">
        <v>92</v>
      </c>
      <c r="BD843" t="s">
        <v>92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92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92</v>
      </c>
      <c r="BS843" t="s">
        <v>92</v>
      </c>
      <c r="BT843" t="s">
        <v>92</v>
      </c>
      <c r="BU843" t="s">
        <v>92</v>
      </c>
      <c r="BV843" t="s">
        <v>92</v>
      </c>
      <c r="BW843" t="s">
        <v>92</v>
      </c>
      <c r="BX843" t="s">
        <v>92</v>
      </c>
      <c r="BY843" t="str">
        <f>IF(COUNTIF('Data Upload-prod'!E:E,F843)=0,"Missing","Exist")</f>
        <v>Exist</v>
      </c>
    </row>
    <row r="844" hidden="1" spans="1:77">
      <c r="A844" s="16">
        <v>41628</v>
      </c>
      <c r="B844" s="16">
        <v>41729</v>
      </c>
      <c r="C844" t="s">
        <v>132</v>
      </c>
      <c r="D844" t="s">
        <v>142</v>
      </c>
      <c r="E844" t="s">
        <v>1428</v>
      </c>
      <c r="F844" t="s">
        <v>1429</v>
      </c>
      <c r="G844" t="s">
        <v>145</v>
      </c>
      <c r="H844" t="s">
        <v>1398</v>
      </c>
      <c r="I844" t="s">
        <v>147</v>
      </c>
      <c r="J844" s="17">
        <v>1737</v>
      </c>
      <c r="K844" s="17">
        <v>3941</v>
      </c>
      <c r="L844" s="17">
        <v>3924</v>
      </c>
      <c r="M844" s="17">
        <v>54192038.37</v>
      </c>
      <c r="N844" s="17">
        <v>54192038.37</v>
      </c>
      <c r="O844" s="17">
        <v>32</v>
      </c>
      <c r="P844" s="17">
        <v>32</v>
      </c>
      <c r="Q844" t="s">
        <v>84</v>
      </c>
      <c r="R844" t="s">
        <v>84</v>
      </c>
      <c r="S844" t="s">
        <v>85</v>
      </c>
      <c r="T844" t="s">
        <v>84</v>
      </c>
      <c r="U844" t="s">
        <v>84</v>
      </c>
      <c r="V844" s="16">
        <v>41651</v>
      </c>
      <c r="W844" s="18">
        <v>41650</v>
      </c>
      <c r="X844" s="18">
        <v>41682</v>
      </c>
      <c r="Y844" s="17">
        <v>2173</v>
      </c>
      <c r="Z844" t="s">
        <v>148</v>
      </c>
      <c r="AA844" s="17">
        <v>3942</v>
      </c>
      <c r="AB844" s="17">
        <v>3912</v>
      </c>
      <c r="AC844" t="s">
        <v>84</v>
      </c>
      <c r="AD844" s="17">
        <v>36706087.18</v>
      </c>
      <c r="AE844" t="s">
        <v>84</v>
      </c>
      <c r="AF844" s="17">
        <v>31.58</v>
      </c>
      <c r="AG844" t="s">
        <v>84</v>
      </c>
      <c r="AH844" t="s">
        <v>84</v>
      </c>
      <c r="AI844" s="17">
        <v>3.92</v>
      </c>
      <c r="AJ844" s="17">
        <v>3.92</v>
      </c>
      <c r="AK844" t="s">
        <v>232</v>
      </c>
      <c r="AM844" s="17">
        <v>4.4</v>
      </c>
      <c r="AN844" s="17"/>
      <c r="AO844" s="17">
        <v>4200</v>
      </c>
      <c r="AP844" s="17"/>
      <c r="AQ844" s="17">
        <v>6400</v>
      </c>
      <c r="AR844" s="17"/>
      <c r="AS844" s="17">
        <v>2.7</v>
      </c>
      <c r="AT844" s="17"/>
      <c r="AU844" s="17">
        <v>4472</v>
      </c>
      <c r="AV844" s="17"/>
      <c r="AW844" s="17">
        <v>4632</v>
      </c>
      <c r="AX844" s="17"/>
      <c r="AY844" t="s">
        <v>92</v>
      </c>
      <c r="AZ844" t="s">
        <v>92</v>
      </c>
      <c r="BA844" t="s">
        <v>92</v>
      </c>
      <c r="BB844" t="s">
        <v>92</v>
      </c>
      <c r="BC844" t="s">
        <v>92</v>
      </c>
      <c r="BD844" t="s">
        <v>92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92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92</v>
      </c>
      <c r="BS844" t="s">
        <v>92</v>
      </c>
      <c r="BT844" t="s">
        <v>92</v>
      </c>
      <c r="BU844" t="s">
        <v>92</v>
      </c>
      <c r="BV844" t="s">
        <v>92</v>
      </c>
      <c r="BW844" t="s">
        <v>92</v>
      </c>
      <c r="BX844" t="s">
        <v>92</v>
      </c>
      <c r="BY844" t="str">
        <f>IF(COUNTIF('Data Upload-prod'!E:E,F844)=0,"Missing","Exist")</f>
        <v>Exist</v>
      </c>
    </row>
    <row r="845" hidden="1" spans="1:77">
      <c r="A845" s="16">
        <v>41627</v>
      </c>
      <c r="B845" s="16">
        <v>41740</v>
      </c>
      <c r="C845" t="s">
        <v>132</v>
      </c>
      <c r="D845" t="s">
        <v>120</v>
      </c>
      <c r="E845" t="s">
        <v>1430</v>
      </c>
      <c r="F845" t="s">
        <v>1431</v>
      </c>
      <c r="G845" t="s">
        <v>145</v>
      </c>
      <c r="H845" t="s">
        <v>1432</v>
      </c>
      <c r="I845" t="s">
        <v>124</v>
      </c>
      <c r="J845" s="17">
        <v>29.6</v>
      </c>
      <c r="K845" s="17">
        <v>1743.4</v>
      </c>
      <c r="L845" s="17">
        <v>1743.4</v>
      </c>
      <c r="M845" s="17">
        <v>7670000</v>
      </c>
      <c r="N845" s="17">
        <v>7670000</v>
      </c>
      <c r="O845" s="17">
        <v>16.3</v>
      </c>
      <c r="P845" s="17">
        <v>16.3</v>
      </c>
      <c r="Q845" t="s">
        <v>84</v>
      </c>
      <c r="R845" t="s">
        <v>84</v>
      </c>
      <c r="S845" t="s">
        <v>85</v>
      </c>
      <c r="T845" t="s">
        <v>84</v>
      </c>
      <c r="U845" t="s">
        <v>84</v>
      </c>
      <c r="V845" s="16">
        <v>41681</v>
      </c>
      <c r="W845" s="18">
        <v>41676.25</v>
      </c>
      <c r="X845" s="18">
        <v>41696.7916666667</v>
      </c>
      <c r="Y845" s="17">
        <v>1743.9</v>
      </c>
      <c r="Z845" t="s">
        <v>87</v>
      </c>
      <c r="AA845" s="17">
        <v>1804</v>
      </c>
      <c r="AB845" s="17">
        <v>1803.67</v>
      </c>
      <c r="AC845" s="17">
        <v>7180000</v>
      </c>
      <c r="AD845" t="s">
        <v>84</v>
      </c>
      <c r="AE845" s="17">
        <v>20.54</v>
      </c>
      <c r="AF845" t="s">
        <v>84</v>
      </c>
      <c r="AG845" t="s">
        <v>84</v>
      </c>
      <c r="AH845" t="s">
        <v>84</v>
      </c>
      <c r="AI845" s="17">
        <v>0.2</v>
      </c>
      <c r="AJ845" s="17">
        <v>0.2</v>
      </c>
      <c r="AK845" t="s">
        <v>300</v>
      </c>
      <c r="AM845" s="17">
        <v>2.4</v>
      </c>
      <c r="AN845" s="17"/>
      <c r="AO845" s="17">
        <v>1375</v>
      </c>
      <c r="AP845" s="17"/>
      <c r="AQ845" s="17">
        <v>3025</v>
      </c>
      <c r="AR845" s="17"/>
      <c r="AS845" s="17">
        <v>1.04</v>
      </c>
      <c r="AT845" s="17"/>
      <c r="AU845" s="17">
        <v>318</v>
      </c>
      <c r="AV845" s="17"/>
      <c r="AW845" s="17">
        <v>1419</v>
      </c>
      <c r="AX845" s="17"/>
      <c r="AY845" t="s">
        <v>92</v>
      </c>
      <c r="AZ845" t="s">
        <v>92</v>
      </c>
      <c r="BA845" t="s">
        <v>92</v>
      </c>
      <c r="BB845" t="s">
        <v>92</v>
      </c>
      <c r="BC845" t="s">
        <v>92</v>
      </c>
      <c r="BD845" t="s">
        <v>92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92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92</v>
      </c>
      <c r="BS845" t="s">
        <v>92</v>
      </c>
      <c r="BT845" t="s">
        <v>92</v>
      </c>
      <c r="BU845" t="s">
        <v>92</v>
      </c>
      <c r="BV845" t="s">
        <v>92</v>
      </c>
      <c r="BW845" t="s">
        <v>92</v>
      </c>
      <c r="BX845" t="s">
        <v>92</v>
      </c>
      <c r="BY845" t="str">
        <f>IF(COUNTIF('Data Upload-prod'!E:E,F845)=0,"Missing","Exist")</f>
        <v>Exist</v>
      </c>
    </row>
    <row r="846" hidden="1" spans="1:77">
      <c r="A846" s="16">
        <v>41620</v>
      </c>
      <c r="B846" s="16">
        <v>41823</v>
      </c>
      <c r="C846" t="s">
        <v>132</v>
      </c>
      <c r="D846" t="s">
        <v>142</v>
      </c>
      <c r="E846" t="s">
        <v>1433</v>
      </c>
      <c r="F846" t="s">
        <v>1434</v>
      </c>
      <c r="G846" t="s">
        <v>81</v>
      </c>
      <c r="H846" t="s">
        <v>202</v>
      </c>
      <c r="I846" t="s">
        <v>124</v>
      </c>
      <c r="J846" s="17">
        <v>41.9</v>
      </c>
      <c r="K846" s="17">
        <v>2181</v>
      </c>
      <c r="L846" s="17">
        <v>1972</v>
      </c>
      <c r="M846" t="s">
        <v>84</v>
      </c>
      <c r="N846" t="s">
        <v>84</v>
      </c>
      <c r="O846" t="s">
        <v>84</v>
      </c>
      <c r="P846" t="s">
        <v>84</v>
      </c>
      <c r="Q846" s="17">
        <v>12689810</v>
      </c>
      <c r="R846" s="17">
        <v>21.03</v>
      </c>
      <c r="S846" t="s">
        <v>85</v>
      </c>
      <c r="T846" t="s">
        <v>84</v>
      </c>
      <c r="U846" t="s">
        <v>86</v>
      </c>
      <c r="V846" s="16">
        <v>41705</v>
      </c>
      <c r="W846" s="18">
        <v>41705.7708333333</v>
      </c>
      <c r="X846" s="18">
        <v>41721.8958333333</v>
      </c>
      <c r="Y846" s="17">
        <v>2045.37</v>
      </c>
      <c r="Z846" t="s">
        <v>87</v>
      </c>
      <c r="AA846" s="17">
        <v>2127</v>
      </c>
      <c r="AB846" s="17">
        <v>1860</v>
      </c>
      <c r="AC846" t="s">
        <v>84</v>
      </c>
      <c r="AD846" t="s">
        <v>84</v>
      </c>
      <c r="AE846" t="s">
        <v>84</v>
      </c>
      <c r="AF846" t="s">
        <v>84</v>
      </c>
      <c r="AG846" s="17">
        <v>7346731.69</v>
      </c>
      <c r="AH846" s="17">
        <v>16.13</v>
      </c>
      <c r="AI846" s="17">
        <v>4.78</v>
      </c>
      <c r="AJ846" s="17">
        <v>4.78</v>
      </c>
      <c r="AK846" t="s">
        <v>208</v>
      </c>
      <c r="AM846" s="17">
        <v>1.7</v>
      </c>
      <c r="AN846" s="17"/>
      <c r="AO846" s="17">
        <v>720</v>
      </c>
      <c r="AP846" s="17"/>
      <c r="AQ846" s="17">
        <v>1270</v>
      </c>
      <c r="AR846" s="17"/>
      <c r="AS846" s="17">
        <v>1.68</v>
      </c>
      <c r="AT846" s="17"/>
      <c r="AU846" s="17">
        <v>561</v>
      </c>
      <c r="AV846" s="17"/>
      <c r="AW846" s="17">
        <v>1112</v>
      </c>
      <c r="AX846" s="17"/>
      <c r="AY846" t="s">
        <v>92</v>
      </c>
      <c r="AZ846" t="s">
        <v>92</v>
      </c>
      <c r="BA846" t="s">
        <v>92</v>
      </c>
      <c r="BB846" t="s">
        <v>92</v>
      </c>
      <c r="BC846" t="s">
        <v>92</v>
      </c>
      <c r="BD846" s="17">
        <v>3.94</v>
      </c>
      <c r="BE846" s="17">
        <v>1442368.78</v>
      </c>
      <c r="BF846" t="s">
        <v>92</v>
      </c>
      <c r="BG846" t="s">
        <v>92</v>
      </c>
      <c r="BH846" t="s">
        <v>93</v>
      </c>
      <c r="BI846" t="s">
        <v>94</v>
      </c>
      <c r="BJ846" t="s">
        <v>128</v>
      </c>
      <c r="BK846" t="s">
        <v>85</v>
      </c>
      <c r="BL846" t="s">
        <v>85</v>
      </c>
      <c r="BM846" t="s">
        <v>96</v>
      </c>
      <c r="BN846" t="s">
        <v>97</v>
      </c>
      <c r="BO846" t="s">
        <v>98</v>
      </c>
      <c r="BP846" t="s">
        <v>103</v>
      </c>
      <c r="BQ846" s="17">
        <v>75.463</v>
      </c>
      <c r="BR846" t="s">
        <v>100</v>
      </c>
      <c r="BS846" t="s">
        <v>285</v>
      </c>
      <c r="BT846" t="s">
        <v>550</v>
      </c>
      <c r="BU846" s="17">
        <v>8.5</v>
      </c>
      <c r="BV846" t="s">
        <v>191</v>
      </c>
      <c r="BW846" t="s">
        <v>85</v>
      </c>
      <c r="BX846" t="s">
        <v>85</v>
      </c>
      <c r="BY846" t="str">
        <f>IF(COUNTIF('Data Upload-prod'!E:E,F846)=0,"Missing","Exist")</f>
        <v>Exist</v>
      </c>
    </row>
    <row r="847" hidden="1" spans="1:77">
      <c r="A847" s="16">
        <v>41620</v>
      </c>
      <c r="B847" s="16">
        <v>41823</v>
      </c>
      <c r="C847" t="s">
        <v>132</v>
      </c>
      <c r="D847" t="s">
        <v>142</v>
      </c>
      <c r="E847" t="s">
        <v>1433</v>
      </c>
      <c r="F847" t="s">
        <v>1435</v>
      </c>
      <c r="G847" t="s">
        <v>81</v>
      </c>
      <c r="H847" t="s">
        <v>202</v>
      </c>
      <c r="I847" t="s">
        <v>124</v>
      </c>
      <c r="J847" s="17">
        <v>41.9</v>
      </c>
      <c r="K847" s="17">
        <v>2001</v>
      </c>
      <c r="L847" s="17">
        <v>1968.5</v>
      </c>
      <c r="M847" t="s">
        <v>84</v>
      </c>
      <c r="N847" t="s">
        <v>84</v>
      </c>
      <c r="O847" t="s">
        <v>84</v>
      </c>
      <c r="P847" t="s">
        <v>84</v>
      </c>
      <c r="Q847" s="17">
        <v>12263600</v>
      </c>
      <c r="R847" s="17">
        <v>20.86</v>
      </c>
      <c r="S847" t="s">
        <v>85</v>
      </c>
      <c r="T847" t="s">
        <v>84</v>
      </c>
      <c r="U847" t="s">
        <v>84</v>
      </c>
      <c r="V847" s="16">
        <v>41697</v>
      </c>
      <c r="W847" s="18">
        <v>41695.8958333333</v>
      </c>
      <c r="X847" s="18">
        <v>41743.2916666667</v>
      </c>
      <c r="Y847" s="17">
        <v>1840.37</v>
      </c>
      <c r="Z847" t="s">
        <v>87</v>
      </c>
      <c r="AA847" s="17">
        <v>1922</v>
      </c>
      <c r="AB847" s="17">
        <v>1800.55</v>
      </c>
      <c r="AC847" t="s">
        <v>84</v>
      </c>
      <c r="AD847" t="s">
        <v>84</v>
      </c>
      <c r="AE847" t="s">
        <v>84</v>
      </c>
      <c r="AF847" t="s">
        <v>84</v>
      </c>
      <c r="AG847" s="17">
        <v>7259986.65</v>
      </c>
      <c r="AH847" s="17">
        <v>15.98</v>
      </c>
      <c r="AI847" s="17">
        <v>2.5</v>
      </c>
      <c r="AJ847" s="17">
        <v>2.5</v>
      </c>
      <c r="AK847" t="s">
        <v>208</v>
      </c>
      <c r="AM847" s="17">
        <v>1.7</v>
      </c>
      <c r="AN847" s="17"/>
      <c r="AO847" s="17">
        <v>720</v>
      </c>
      <c r="AP847" s="17"/>
      <c r="AQ847" s="17">
        <v>1270</v>
      </c>
      <c r="AR847" s="17"/>
      <c r="AS847" s="17">
        <v>1.64</v>
      </c>
      <c r="AT847" s="17"/>
      <c r="AU847" s="17">
        <v>618</v>
      </c>
      <c r="AV847" s="17"/>
      <c r="AW847" s="17">
        <v>1170</v>
      </c>
      <c r="AX847" s="17"/>
      <c r="AY847" t="s">
        <v>92</v>
      </c>
      <c r="AZ847" t="s">
        <v>92</v>
      </c>
      <c r="BA847" t="s">
        <v>92</v>
      </c>
      <c r="BB847" t="s">
        <v>92</v>
      </c>
      <c r="BC847" t="s">
        <v>92</v>
      </c>
      <c r="BD847" t="s">
        <v>92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92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92</v>
      </c>
      <c r="BS847" t="s">
        <v>92</v>
      </c>
      <c r="BT847" t="s">
        <v>92</v>
      </c>
      <c r="BU847" t="s">
        <v>92</v>
      </c>
      <c r="BV847" t="s">
        <v>92</v>
      </c>
      <c r="BW847" t="s">
        <v>92</v>
      </c>
      <c r="BX847" t="s">
        <v>92</v>
      </c>
      <c r="BY847" t="str">
        <f>IF(COUNTIF('Data Upload-prod'!E:E,F847)=0,"Missing","Exist")</f>
        <v>Exist</v>
      </c>
    </row>
    <row r="848" hidden="1" spans="1:77">
      <c r="A848" s="16">
        <v>41620</v>
      </c>
      <c r="B848" s="16">
        <v>41823</v>
      </c>
      <c r="C848" t="s">
        <v>132</v>
      </c>
      <c r="D848" t="s">
        <v>142</v>
      </c>
      <c r="E848" t="s">
        <v>1433</v>
      </c>
      <c r="F848" t="s">
        <v>1436</v>
      </c>
      <c r="G848" t="s">
        <v>81</v>
      </c>
      <c r="H848" t="s">
        <v>202</v>
      </c>
      <c r="I848" t="s">
        <v>124</v>
      </c>
      <c r="J848" s="17">
        <v>41.9</v>
      </c>
      <c r="K848" s="17">
        <v>2054</v>
      </c>
      <c r="L848" s="17">
        <v>1844.73</v>
      </c>
      <c r="M848" t="s">
        <v>84</v>
      </c>
      <c r="N848" t="s">
        <v>84</v>
      </c>
      <c r="O848" t="s">
        <v>84</v>
      </c>
      <c r="P848" t="s">
        <v>84</v>
      </c>
      <c r="Q848" s="17">
        <v>12359090</v>
      </c>
      <c r="R848" s="17">
        <v>21.17</v>
      </c>
      <c r="S848" t="s">
        <v>85</v>
      </c>
      <c r="T848" t="s">
        <v>84</v>
      </c>
      <c r="U848" t="s">
        <v>84</v>
      </c>
      <c r="V848" s="16">
        <v>41702.2291666667</v>
      </c>
      <c r="W848" s="18">
        <v>41701.5833333333</v>
      </c>
      <c r="X848" s="18">
        <v>41733</v>
      </c>
      <c r="Y848" s="17">
        <v>1957.37</v>
      </c>
      <c r="Z848" t="s">
        <v>87</v>
      </c>
      <c r="AA848" s="17">
        <v>2039</v>
      </c>
      <c r="AB848" s="17">
        <v>1866.05</v>
      </c>
      <c r="AC848" t="s">
        <v>84</v>
      </c>
      <c r="AD848" t="s">
        <v>84</v>
      </c>
      <c r="AE848" t="s">
        <v>84</v>
      </c>
      <c r="AF848" t="s">
        <v>84</v>
      </c>
      <c r="AG848" s="17">
        <v>7614403.98</v>
      </c>
      <c r="AH848" s="17">
        <v>15.29</v>
      </c>
      <c r="AI848" s="17">
        <v>0.65</v>
      </c>
      <c r="AJ848" s="17">
        <v>0.65</v>
      </c>
      <c r="AK848" t="s">
        <v>165</v>
      </c>
      <c r="AM848" s="17">
        <v>2.5</v>
      </c>
      <c r="AN848" s="17"/>
      <c r="AO848" s="17">
        <v>1440</v>
      </c>
      <c r="AP848" s="17"/>
      <c r="AQ848" s="17">
        <v>1995</v>
      </c>
      <c r="AR848" s="17"/>
      <c r="AS848" s="17">
        <v>1.51</v>
      </c>
      <c r="AT848" s="17"/>
      <c r="AU848" s="17">
        <v>611</v>
      </c>
      <c r="AV848" s="17"/>
      <c r="AW848" s="17">
        <v>1161</v>
      </c>
      <c r="AX848" s="17"/>
      <c r="AY848" t="s">
        <v>92</v>
      </c>
      <c r="AZ848" t="s">
        <v>92</v>
      </c>
      <c r="BA848" t="s">
        <v>92</v>
      </c>
      <c r="BB848" t="s">
        <v>92</v>
      </c>
      <c r="BC848" t="s">
        <v>92</v>
      </c>
      <c r="BD848" t="s">
        <v>92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92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92</v>
      </c>
      <c r="BS848" t="s">
        <v>92</v>
      </c>
      <c r="BT848" t="s">
        <v>92</v>
      </c>
      <c r="BU848" t="s">
        <v>92</v>
      </c>
      <c r="BV848" t="s">
        <v>92</v>
      </c>
      <c r="BW848" t="s">
        <v>92</v>
      </c>
      <c r="BX848" t="s">
        <v>92</v>
      </c>
      <c r="BY848" t="str">
        <f>IF(COUNTIF('Data Upload-prod'!E:E,F848)=0,"Missing","Exist")</f>
        <v>Exist</v>
      </c>
    </row>
    <row r="849" hidden="1" spans="1:77">
      <c r="A849" s="16">
        <v>41605</v>
      </c>
      <c r="B849" s="16">
        <v>41722</v>
      </c>
      <c r="C849" t="s">
        <v>132</v>
      </c>
      <c r="D849" t="s">
        <v>78</v>
      </c>
      <c r="E849" t="s">
        <v>1437</v>
      </c>
      <c r="F849" t="s">
        <v>1438</v>
      </c>
      <c r="G849" t="s">
        <v>145</v>
      </c>
      <c r="H849" t="s">
        <v>1432</v>
      </c>
      <c r="I849" t="s">
        <v>124</v>
      </c>
      <c r="J849" s="17">
        <v>64.4</v>
      </c>
      <c r="K849" s="17">
        <v>2905</v>
      </c>
      <c r="L849" s="17">
        <v>2873</v>
      </c>
      <c r="M849" s="17">
        <v>16961320</v>
      </c>
      <c r="N849" s="17">
        <v>21900000</v>
      </c>
      <c r="O849" s="17">
        <v>33.7</v>
      </c>
      <c r="P849" s="17">
        <v>49.4</v>
      </c>
      <c r="Q849" t="s">
        <v>84</v>
      </c>
      <c r="R849" t="s">
        <v>84</v>
      </c>
      <c r="S849" t="s">
        <v>85</v>
      </c>
      <c r="T849" t="s">
        <v>84</v>
      </c>
      <c r="U849" t="s">
        <v>84</v>
      </c>
      <c r="V849" s="16">
        <v>41625.1458333333</v>
      </c>
      <c r="W849" s="18">
        <v>41621.9166666667</v>
      </c>
      <c r="X849" s="18">
        <v>41664.6458333333</v>
      </c>
      <c r="Y849" s="17">
        <v>2704.2</v>
      </c>
      <c r="Z849" t="s">
        <v>87</v>
      </c>
      <c r="AA849" s="17">
        <v>2801</v>
      </c>
      <c r="AB849" s="17">
        <v>2798</v>
      </c>
      <c r="AC849" t="s">
        <v>84</v>
      </c>
      <c r="AD849" s="17">
        <v>27300000</v>
      </c>
      <c r="AE849" t="s">
        <v>84</v>
      </c>
      <c r="AF849" s="17">
        <v>43.73</v>
      </c>
      <c r="AG849" t="s">
        <v>84</v>
      </c>
      <c r="AH849" t="s">
        <v>84</v>
      </c>
      <c r="AI849" s="17">
        <v>34</v>
      </c>
      <c r="AJ849" s="17">
        <v>4.46</v>
      </c>
      <c r="AK849" t="s">
        <v>300</v>
      </c>
      <c r="AM849" s="17">
        <v>1.9</v>
      </c>
      <c r="AN849" s="17"/>
      <c r="AO849" s="17">
        <v>720</v>
      </c>
      <c r="AP849" s="17"/>
      <c r="AQ849" s="17">
        <v>1370</v>
      </c>
      <c r="AR849" s="17"/>
      <c r="AS849" s="17">
        <v>1.48</v>
      </c>
      <c r="AT849" s="17"/>
      <c r="AU849" s="17">
        <v>881.37</v>
      </c>
      <c r="AV849" s="17"/>
      <c r="AW849" s="17">
        <v>1518.18</v>
      </c>
      <c r="AX849" s="17"/>
      <c r="AY849" t="s">
        <v>92</v>
      </c>
      <c r="AZ849" t="s">
        <v>92</v>
      </c>
      <c r="BA849" t="s">
        <v>92</v>
      </c>
      <c r="BB849" t="s">
        <v>92</v>
      </c>
      <c r="BC849" t="s">
        <v>92</v>
      </c>
      <c r="BD849" t="s">
        <v>92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92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92</v>
      </c>
      <c r="BS849" t="s">
        <v>92</v>
      </c>
      <c r="BT849" t="s">
        <v>92</v>
      </c>
      <c r="BU849" t="s">
        <v>92</v>
      </c>
      <c r="BV849" t="s">
        <v>92</v>
      </c>
      <c r="BW849" t="s">
        <v>92</v>
      </c>
      <c r="BX849" t="s">
        <v>92</v>
      </c>
      <c r="BY849" t="str">
        <f>IF(COUNTIF('Data Upload-prod'!E:E,F849)=0,"Missing","Exist")</f>
        <v>Exist</v>
      </c>
    </row>
    <row r="850" hidden="1" spans="1:77">
      <c r="A850" s="16">
        <v>41598</v>
      </c>
      <c r="B850" s="16">
        <v>41717</v>
      </c>
      <c r="C850" t="s">
        <v>132</v>
      </c>
      <c r="D850" t="s">
        <v>120</v>
      </c>
      <c r="E850" t="s">
        <v>326</v>
      </c>
      <c r="F850" t="s">
        <v>1439</v>
      </c>
      <c r="G850" t="s">
        <v>145</v>
      </c>
      <c r="H850" t="s">
        <v>202</v>
      </c>
      <c r="I850" t="s">
        <v>124</v>
      </c>
      <c r="J850" s="17">
        <v>35</v>
      </c>
      <c r="K850" s="17">
        <v>1700</v>
      </c>
      <c r="L850" s="17">
        <v>1700</v>
      </c>
      <c r="M850" s="17">
        <v>18100000</v>
      </c>
      <c r="N850" s="17">
        <v>30100000</v>
      </c>
      <c r="O850" s="17">
        <v>26</v>
      </c>
      <c r="P850" s="17">
        <v>40</v>
      </c>
      <c r="Q850" t="s">
        <v>84</v>
      </c>
      <c r="R850" t="s">
        <v>84</v>
      </c>
      <c r="S850" t="s">
        <v>85</v>
      </c>
      <c r="T850" t="s">
        <v>84</v>
      </c>
      <c r="U850" t="s">
        <v>84</v>
      </c>
      <c r="V850" s="16">
        <v>41638</v>
      </c>
      <c r="W850" s="18">
        <v>41628.875</v>
      </c>
      <c r="X850" s="18">
        <v>41687.9375</v>
      </c>
      <c r="Y850" s="17">
        <v>1639</v>
      </c>
      <c r="Z850" t="s">
        <v>87</v>
      </c>
      <c r="AA850" s="17">
        <v>1704</v>
      </c>
      <c r="AB850" s="17">
        <v>1704</v>
      </c>
      <c r="AC850" t="s">
        <v>84</v>
      </c>
      <c r="AD850" s="17">
        <v>24644730</v>
      </c>
      <c r="AE850" t="s">
        <v>84</v>
      </c>
      <c r="AF850" s="17">
        <v>58.54</v>
      </c>
      <c r="AG850" t="s">
        <v>84</v>
      </c>
      <c r="AH850" t="s">
        <v>84</v>
      </c>
      <c r="AI850" s="17">
        <v>22.9</v>
      </c>
      <c r="AJ850" s="17">
        <v>8.1</v>
      </c>
      <c r="AK850" t="s">
        <v>295</v>
      </c>
      <c r="AM850" s="17">
        <v>2.7</v>
      </c>
      <c r="AN850" s="17"/>
      <c r="AO850" s="17">
        <v>1490</v>
      </c>
      <c r="AP850" s="17"/>
      <c r="AQ850" s="17">
        <v>2760</v>
      </c>
      <c r="AR850" s="17"/>
      <c r="AS850" s="17">
        <v>2.41</v>
      </c>
      <c r="AT850" s="17"/>
      <c r="AU850" s="17">
        <v>1405</v>
      </c>
      <c r="AV850" s="17"/>
      <c r="AW850" s="17">
        <v>3569</v>
      </c>
      <c r="AX850" s="17"/>
      <c r="AY850" t="s">
        <v>92</v>
      </c>
      <c r="AZ850" t="s">
        <v>92</v>
      </c>
      <c r="BA850" t="s">
        <v>92</v>
      </c>
      <c r="BB850" t="s">
        <v>92</v>
      </c>
      <c r="BC850" t="s">
        <v>92</v>
      </c>
      <c r="BD850" t="s">
        <v>92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92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92</v>
      </c>
      <c r="BS850" t="s">
        <v>92</v>
      </c>
      <c r="BT850" t="s">
        <v>92</v>
      </c>
      <c r="BU850" t="s">
        <v>92</v>
      </c>
      <c r="BV850" t="s">
        <v>92</v>
      </c>
      <c r="BW850" t="s">
        <v>92</v>
      </c>
      <c r="BX850" t="s">
        <v>92</v>
      </c>
      <c r="BY850" t="str">
        <f>IF(COUNTIF('Data Upload-prod'!E:E,F850)=0,"Missing","Exist")</f>
        <v>Exist</v>
      </c>
    </row>
    <row r="851" hidden="1" spans="1:77">
      <c r="A851" s="16">
        <v>41597</v>
      </c>
      <c r="B851" s="16">
        <v>41799</v>
      </c>
      <c r="C851" t="s">
        <v>132</v>
      </c>
      <c r="D851" t="s">
        <v>78</v>
      </c>
      <c r="E851" t="s">
        <v>1440</v>
      </c>
      <c r="F851" t="s">
        <v>1441</v>
      </c>
      <c r="G851" t="s">
        <v>145</v>
      </c>
      <c r="H851" t="s">
        <v>1255</v>
      </c>
      <c r="I851" t="s">
        <v>124</v>
      </c>
      <c r="J851" s="17">
        <v>76</v>
      </c>
      <c r="K851" s="17">
        <v>886</v>
      </c>
      <c r="L851" s="17">
        <v>886</v>
      </c>
      <c r="M851" s="17">
        <v>8636690</v>
      </c>
      <c r="N851" s="17">
        <v>9073080</v>
      </c>
      <c r="O851" s="17">
        <v>19</v>
      </c>
      <c r="P851" s="17">
        <v>22</v>
      </c>
      <c r="Q851" t="s">
        <v>84</v>
      </c>
      <c r="R851" t="s">
        <v>84</v>
      </c>
      <c r="S851" t="s">
        <v>85</v>
      </c>
      <c r="T851" t="s">
        <v>84</v>
      </c>
      <c r="U851" t="s">
        <v>84</v>
      </c>
      <c r="V851" s="16">
        <v>41604</v>
      </c>
      <c r="W851" s="18">
        <v>41601.1666666667</v>
      </c>
      <c r="X851" s="18">
        <v>41622.25</v>
      </c>
      <c r="Y851" s="17">
        <v>798</v>
      </c>
      <c r="Z851" t="s">
        <v>87</v>
      </c>
      <c r="AA851" s="17">
        <v>910</v>
      </c>
      <c r="AB851" s="17">
        <v>910</v>
      </c>
      <c r="AC851" t="s">
        <v>84</v>
      </c>
      <c r="AD851" s="17">
        <v>10003394</v>
      </c>
      <c r="AE851" t="s">
        <v>84</v>
      </c>
      <c r="AF851" s="17">
        <v>21.09</v>
      </c>
      <c r="AG851" t="s">
        <v>84</v>
      </c>
      <c r="AH851" t="s">
        <v>84</v>
      </c>
      <c r="AI851" s="17">
        <v>1.97</v>
      </c>
      <c r="AJ851" s="17">
        <v>1.97</v>
      </c>
      <c r="AK851" t="s">
        <v>544</v>
      </c>
      <c r="AM851" s="17">
        <v>1.2</v>
      </c>
      <c r="AN851" s="17"/>
      <c r="AO851" s="17">
        <v>385</v>
      </c>
      <c r="AP851" s="17"/>
      <c r="AQ851" s="17">
        <v>930</v>
      </c>
      <c r="AR851" s="17"/>
      <c r="AS851" s="17">
        <v>2.67</v>
      </c>
      <c r="AT851" s="17"/>
      <c r="AU851" s="17">
        <v>2405.68</v>
      </c>
      <c r="AV851" s="17"/>
      <c r="AW851" s="17">
        <v>3659.03</v>
      </c>
      <c r="AX851" s="17"/>
      <c r="AY851" t="s">
        <v>92</v>
      </c>
      <c r="AZ851" t="s">
        <v>92</v>
      </c>
      <c r="BA851" t="s">
        <v>92</v>
      </c>
      <c r="BB851" t="s">
        <v>92</v>
      </c>
      <c r="BC851" t="s">
        <v>92</v>
      </c>
      <c r="BD851" t="s">
        <v>92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92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92</v>
      </c>
      <c r="BS851" t="s">
        <v>92</v>
      </c>
      <c r="BT851" t="s">
        <v>92</v>
      </c>
      <c r="BU851" t="s">
        <v>92</v>
      </c>
      <c r="BV851" t="s">
        <v>92</v>
      </c>
      <c r="BW851" t="s">
        <v>92</v>
      </c>
      <c r="BX851" t="s">
        <v>92</v>
      </c>
      <c r="BY851" t="str">
        <f>IF(COUNTIF('Data Upload-prod'!E:E,F851)=0,"Missing","Exist")</f>
        <v>Exist</v>
      </c>
    </row>
    <row r="852" hidden="1" spans="1:77">
      <c r="A852" s="16">
        <v>41597</v>
      </c>
      <c r="B852" s="16">
        <v>41660</v>
      </c>
      <c r="C852" t="s">
        <v>132</v>
      </c>
      <c r="D852" t="s">
        <v>142</v>
      </c>
      <c r="E852" t="s">
        <v>170</v>
      </c>
      <c r="F852" t="s">
        <v>1442</v>
      </c>
      <c r="G852" t="s">
        <v>81</v>
      </c>
      <c r="H852" t="s">
        <v>172</v>
      </c>
      <c r="I852" t="s">
        <v>124</v>
      </c>
      <c r="J852" s="17">
        <v>10.06</v>
      </c>
      <c r="K852" s="17">
        <v>3272.17</v>
      </c>
      <c r="L852" s="17">
        <v>2335.57</v>
      </c>
      <c r="M852" t="s">
        <v>84</v>
      </c>
      <c r="N852" t="s">
        <v>84</v>
      </c>
      <c r="O852" t="s">
        <v>84</v>
      </c>
      <c r="P852" t="s">
        <v>84</v>
      </c>
      <c r="Q852" s="17">
        <v>22824169</v>
      </c>
      <c r="R852" s="17">
        <v>42.5</v>
      </c>
      <c r="S852" t="s">
        <v>85</v>
      </c>
      <c r="T852" t="s">
        <v>84</v>
      </c>
      <c r="U852" t="s">
        <v>84</v>
      </c>
      <c r="V852" s="16">
        <v>41599.125</v>
      </c>
      <c r="W852" s="18">
        <v>41599.125</v>
      </c>
      <c r="X852" s="18">
        <v>41635.7708333333</v>
      </c>
      <c r="Y852" s="17">
        <v>3149.65</v>
      </c>
      <c r="Z852" t="s">
        <v>87</v>
      </c>
      <c r="AA852" s="17">
        <v>3194.15</v>
      </c>
      <c r="AB852" s="17">
        <v>2270.65</v>
      </c>
      <c r="AC852" t="s">
        <v>84</v>
      </c>
      <c r="AD852" t="s">
        <v>84</v>
      </c>
      <c r="AE852" t="s">
        <v>84</v>
      </c>
      <c r="AF852" t="s">
        <v>84</v>
      </c>
      <c r="AG852" s="17">
        <v>18606177</v>
      </c>
      <c r="AH852" s="17">
        <v>36.65</v>
      </c>
      <c r="AI852" s="17">
        <v>2.6</v>
      </c>
      <c r="AJ852" s="17">
        <v>1.4</v>
      </c>
      <c r="AK852" t="s">
        <v>165</v>
      </c>
      <c r="AM852" s="17">
        <v>2.5</v>
      </c>
      <c r="AN852" s="17"/>
      <c r="AO852" s="17">
        <v>1440</v>
      </c>
      <c r="AP852" s="17"/>
      <c r="AQ852" s="17">
        <v>2015</v>
      </c>
      <c r="AR852" s="17"/>
      <c r="AS852" s="17">
        <v>2.15</v>
      </c>
      <c r="AT852" s="17"/>
      <c r="AU852" s="17">
        <v>954.53</v>
      </c>
      <c r="AV852" s="17"/>
      <c r="AW852" s="17">
        <v>1754.06</v>
      </c>
      <c r="AX852" s="17"/>
      <c r="AY852" t="s">
        <v>92</v>
      </c>
      <c r="AZ852" t="s">
        <v>92</v>
      </c>
      <c r="BA852" t="s">
        <v>92</v>
      </c>
      <c r="BB852" t="s">
        <v>92</v>
      </c>
      <c r="BC852" t="s">
        <v>92</v>
      </c>
      <c r="BD852" t="s">
        <v>92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92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92</v>
      </c>
      <c r="BS852" t="s">
        <v>92</v>
      </c>
      <c r="BT852" t="s">
        <v>92</v>
      </c>
      <c r="BU852" t="s">
        <v>92</v>
      </c>
      <c r="BV852" t="s">
        <v>92</v>
      </c>
      <c r="BW852" t="s">
        <v>92</v>
      </c>
      <c r="BX852" t="s">
        <v>92</v>
      </c>
      <c r="BY852" t="str">
        <f>IF(COUNTIF('Data Upload-prod'!E:E,F852)=0,"Missing","Exist")</f>
        <v>Exist</v>
      </c>
    </row>
    <row r="853" hidden="1" spans="1:77">
      <c r="A853" s="16">
        <v>41596</v>
      </c>
      <c r="B853" s="16">
        <v>41722</v>
      </c>
      <c r="C853" t="s">
        <v>360</v>
      </c>
      <c r="D853" t="s">
        <v>120</v>
      </c>
      <c r="E853" t="s">
        <v>1391</v>
      </c>
      <c r="F853" t="s">
        <v>1443</v>
      </c>
      <c r="G853" t="s">
        <v>81</v>
      </c>
      <c r="H853" t="s">
        <v>185</v>
      </c>
      <c r="I853" t="s">
        <v>124</v>
      </c>
      <c r="J853" s="17">
        <v>32</v>
      </c>
      <c r="K853" s="17">
        <v>2270</v>
      </c>
      <c r="L853" s="17">
        <v>1483</v>
      </c>
      <c r="M853" t="s">
        <v>84</v>
      </c>
      <c r="N853" t="s">
        <v>84</v>
      </c>
      <c r="O853" t="s">
        <v>84</v>
      </c>
      <c r="P853" t="s">
        <v>84</v>
      </c>
      <c r="Q853" s="17">
        <v>6287000</v>
      </c>
      <c r="R853" s="17">
        <v>8.58</v>
      </c>
      <c r="S853" t="s">
        <v>85</v>
      </c>
      <c r="T853" t="s">
        <v>84</v>
      </c>
      <c r="U853" t="s">
        <v>86</v>
      </c>
      <c r="V853" t="s">
        <v>84</v>
      </c>
      <c r="W853" s="18">
        <v>41625.25</v>
      </c>
      <c r="X853" s="18">
        <v>41659.6666666667</v>
      </c>
      <c r="Y853" s="17">
        <v>2189.6</v>
      </c>
      <c r="Z853" t="s">
        <v>87</v>
      </c>
      <c r="AA853" s="17">
        <v>2265</v>
      </c>
      <c r="AB853" s="17">
        <v>1489.6</v>
      </c>
      <c r="AC853" t="s">
        <v>84</v>
      </c>
      <c r="AD853" t="s">
        <v>84</v>
      </c>
      <c r="AE853" t="s">
        <v>84</v>
      </c>
      <c r="AF853" t="s">
        <v>84</v>
      </c>
      <c r="AG853" s="17">
        <v>5746248.4</v>
      </c>
      <c r="AH853" s="17">
        <v>7.92</v>
      </c>
      <c r="AI853" s="17">
        <v>3.16</v>
      </c>
      <c r="AJ853" s="17">
        <v>3.16</v>
      </c>
      <c r="AK853" t="s">
        <v>497</v>
      </c>
      <c r="AM853" s="17">
        <v>1.4</v>
      </c>
      <c r="AN853" s="17"/>
      <c r="AO853" s="17">
        <v>550</v>
      </c>
      <c r="AP853" s="17"/>
      <c r="AQ853" s="17">
        <v>870</v>
      </c>
      <c r="AR853" s="17"/>
      <c r="AS853" s="17">
        <v>0.68</v>
      </c>
      <c r="AT853" s="17"/>
      <c r="AU853" s="17">
        <v>649.55</v>
      </c>
      <c r="AV853" s="17"/>
      <c r="AW853" s="17">
        <v>468.41</v>
      </c>
      <c r="AX853" s="17"/>
      <c r="AY853" t="s">
        <v>92</v>
      </c>
      <c r="AZ853" t="s">
        <v>92</v>
      </c>
      <c r="BA853" t="s">
        <v>92</v>
      </c>
      <c r="BB853" t="s">
        <v>92</v>
      </c>
      <c r="BC853" t="s">
        <v>92</v>
      </c>
      <c r="BD853" s="17">
        <v>0.93</v>
      </c>
      <c r="BE853" s="17">
        <v>1972000</v>
      </c>
      <c r="BF853" t="s">
        <v>92</v>
      </c>
      <c r="BG853" t="s">
        <v>92</v>
      </c>
      <c r="BH853" t="s">
        <v>93</v>
      </c>
      <c r="BI853" t="s">
        <v>94</v>
      </c>
      <c r="BJ853" t="s">
        <v>95</v>
      </c>
      <c r="BK853" t="s">
        <v>85</v>
      </c>
      <c r="BL853" t="s">
        <v>85</v>
      </c>
      <c r="BM853" t="s">
        <v>96</v>
      </c>
      <c r="BN853" t="s">
        <v>97</v>
      </c>
      <c r="BO853" t="s">
        <v>98</v>
      </c>
      <c r="BP853" t="s">
        <v>103</v>
      </c>
      <c r="BQ853" s="17">
        <v>205.7187</v>
      </c>
      <c r="BR853" t="s">
        <v>100</v>
      </c>
      <c r="BS853" t="s">
        <v>156</v>
      </c>
      <c r="BT853" t="s">
        <v>103</v>
      </c>
      <c r="BU853" s="17">
        <v>8.6</v>
      </c>
      <c r="BV853" t="s">
        <v>131</v>
      </c>
      <c r="BW853" t="s">
        <v>85</v>
      </c>
      <c r="BX853" t="s">
        <v>85</v>
      </c>
      <c r="BY853" t="str">
        <f>IF(COUNTIF('Data Upload-prod'!E:E,F853)=0,"Missing","Exist")</f>
        <v>Exist</v>
      </c>
    </row>
    <row r="854" hidden="1" spans="1:77">
      <c r="A854" s="16">
        <v>41596</v>
      </c>
      <c r="B854" t="s">
        <v>84</v>
      </c>
      <c r="C854" t="s">
        <v>360</v>
      </c>
      <c r="D854" t="s">
        <v>120</v>
      </c>
      <c r="E854" t="s">
        <v>1391</v>
      </c>
      <c r="F854" t="s">
        <v>1444</v>
      </c>
      <c r="G854" t="s">
        <v>81</v>
      </c>
      <c r="H854" t="s">
        <v>185</v>
      </c>
      <c r="I854" t="s">
        <v>124</v>
      </c>
      <c r="J854" s="17">
        <v>32</v>
      </c>
      <c r="K854" s="17">
        <v>1504</v>
      </c>
      <c r="L854" s="17">
        <v>1360</v>
      </c>
      <c r="M854" t="s">
        <v>84</v>
      </c>
      <c r="N854" t="s">
        <v>84</v>
      </c>
      <c r="O854" t="s">
        <v>84</v>
      </c>
      <c r="P854" t="s">
        <v>84</v>
      </c>
      <c r="Q854" s="17">
        <v>5577006.5</v>
      </c>
      <c r="R854" s="17">
        <v>6.5</v>
      </c>
      <c r="S854" t="s">
        <v>85</v>
      </c>
      <c r="T854" t="s">
        <v>84</v>
      </c>
      <c r="U854" t="s">
        <v>86</v>
      </c>
      <c r="V854" s="16">
        <v>41635.3125</v>
      </c>
      <c r="W854" s="18">
        <v>41627.75</v>
      </c>
      <c r="X854" s="18">
        <v>41655.3958333333</v>
      </c>
      <c r="Y854" s="17">
        <v>1550.6</v>
      </c>
      <c r="Z854" t="s">
        <v>87</v>
      </c>
      <c r="AA854" s="17">
        <v>1626</v>
      </c>
      <c r="AB854" s="17">
        <v>1470.35</v>
      </c>
      <c r="AC854" t="s">
        <v>84</v>
      </c>
      <c r="AD854" t="s">
        <v>84</v>
      </c>
      <c r="AE854" t="s">
        <v>84</v>
      </c>
      <c r="AF854" t="s">
        <v>84</v>
      </c>
      <c r="AG854" s="17">
        <v>4389100.6</v>
      </c>
      <c r="AH854" s="17">
        <v>5.35</v>
      </c>
      <c r="AI854" t="s">
        <v>92</v>
      </c>
      <c r="AJ854" t="s">
        <v>92</v>
      </c>
      <c r="AK854" t="s">
        <v>497</v>
      </c>
      <c r="AM854" s="17">
        <v>1.4</v>
      </c>
      <c r="AN854" s="17"/>
      <c r="AO854" s="17">
        <v>550</v>
      </c>
      <c r="AP854" s="17"/>
      <c r="AQ854" s="17">
        <v>870</v>
      </c>
      <c r="AR854" s="17"/>
      <c r="AS854" s="17">
        <v>0.97</v>
      </c>
      <c r="AT854" s="17"/>
      <c r="AU854" s="17">
        <v>766.43</v>
      </c>
      <c r="AV854" s="17"/>
      <c r="AW854" s="17">
        <v>1096.64</v>
      </c>
      <c r="AX854" s="17"/>
      <c r="AY854" t="s">
        <v>92</v>
      </c>
      <c r="AZ854" t="s">
        <v>92</v>
      </c>
      <c r="BA854" t="s">
        <v>92</v>
      </c>
      <c r="BB854" t="s">
        <v>92</v>
      </c>
      <c r="BC854" t="s">
        <v>92</v>
      </c>
      <c r="BD854" s="17">
        <v>0.77</v>
      </c>
      <c r="BE854" s="17">
        <v>1561923.32</v>
      </c>
      <c r="BF854" t="s">
        <v>92</v>
      </c>
      <c r="BG854" t="s">
        <v>92</v>
      </c>
      <c r="BH854" t="s">
        <v>93</v>
      </c>
      <c r="BI854" t="s">
        <v>94</v>
      </c>
      <c r="BJ854" t="s">
        <v>95</v>
      </c>
      <c r="BK854" t="s">
        <v>85</v>
      </c>
      <c r="BL854" t="s">
        <v>85</v>
      </c>
      <c r="BM854" t="s">
        <v>96</v>
      </c>
      <c r="BN854" t="s">
        <v>97</v>
      </c>
      <c r="BO854" t="s">
        <v>98</v>
      </c>
      <c r="BP854" t="s">
        <v>103</v>
      </c>
      <c r="BQ854" s="17">
        <v>239.513</v>
      </c>
      <c r="BR854" t="s">
        <v>100</v>
      </c>
      <c r="BS854" t="s">
        <v>156</v>
      </c>
      <c r="BT854" t="s">
        <v>103</v>
      </c>
      <c r="BU854" s="17">
        <v>9.5</v>
      </c>
      <c r="BV854" t="s">
        <v>110</v>
      </c>
      <c r="BW854" t="s">
        <v>85</v>
      </c>
      <c r="BX854" t="s">
        <v>85</v>
      </c>
      <c r="BY854" t="str">
        <f>IF(COUNTIF('Data Upload-prod'!E:E,F854)=0,"Missing","Exist")</f>
        <v>Exist</v>
      </c>
    </row>
    <row r="855" hidden="1" spans="1:77">
      <c r="A855" s="16">
        <v>41596</v>
      </c>
      <c r="B855" s="16">
        <v>41767</v>
      </c>
      <c r="C855" t="s">
        <v>360</v>
      </c>
      <c r="D855" t="s">
        <v>120</v>
      </c>
      <c r="E855" t="s">
        <v>1391</v>
      </c>
      <c r="F855" t="s">
        <v>1445</v>
      </c>
      <c r="G855" t="s">
        <v>81</v>
      </c>
      <c r="H855" t="s">
        <v>185</v>
      </c>
      <c r="I855" t="s">
        <v>124</v>
      </c>
      <c r="J855" s="17">
        <v>32</v>
      </c>
      <c r="K855" s="17">
        <v>1982</v>
      </c>
      <c r="L855" s="17">
        <v>1269</v>
      </c>
      <c r="M855" t="s">
        <v>84</v>
      </c>
      <c r="N855" t="s">
        <v>84</v>
      </c>
      <c r="O855" t="s">
        <v>84</v>
      </c>
      <c r="P855" t="s">
        <v>84</v>
      </c>
      <c r="Q855" s="17">
        <v>9329639.5</v>
      </c>
      <c r="R855" s="17">
        <v>13.33</v>
      </c>
      <c r="S855" t="s">
        <v>106</v>
      </c>
      <c r="T855" t="s">
        <v>84</v>
      </c>
      <c r="U855" t="s">
        <v>84</v>
      </c>
      <c r="V855" s="16">
        <v>41625.9583333333</v>
      </c>
      <c r="W855" s="18">
        <v>41625.9166666667</v>
      </c>
      <c r="X855" s="18">
        <v>41679.125</v>
      </c>
      <c r="Y855" s="17">
        <v>1884.6</v>
      </c>
      <c r="Z855" t="s">
        <v>87</v>
      </c>
      <c r="AA855" s="17">
        <v>1960</v>
      </c>
      <c r="AB855" s="17">
        <v>1278.87</v>
      </c>
      <c r="AC855" t="s">
        <v>84</v>
      </c>
      <c r="AD855" t="s">
        <v>84</v>
      </c>
      <c r="AE855" t="s">
        <v>84</v>
      </c>
      <c r="AF855" t="s">
        <v>84</v>
      </c>
      <c r="AG855" s="17">
        <v>7807514.73</v>
      </c>
      <c r="AH855" s="17">
        <v>12.77</v>
      </c>
      <c r="AI855" s="17">
        <v>0.33</v>
      </c>
      <c r="AJ855" s="17">
        <v>0.33</v>
      </c>
      <c r="AK855" t="s">
        <v>208</v>
      </c>
      <c r="AM855" s="17">
        <v>2.2</v>
      </c>
      <c r="AN855" s="17"/>
      <c r="AO855" s="17">
        <v>830</v>
      </c>
      <c r="AP855" s="17"/>
      <c r="AQ855" s="17">
        <v>1380</v>
      </c>
      <c r="AR855" s="17"/>
      <c r="AS855" s="13" t="s">
        <v>150</v>
      </c>
      <c r="AT855" s="13"/>
      <c r="AU855" s="13" t="s">
        <v>150</v>
      </c>
      <c r="AW855" s="13" t="s">
        <v>150</v>
      </c>
      <c r="AY855" t="s">
        <v>92</v>
      </c>
      <c r="AZ855" t="s">
        <v>92</v>
      </c>
      <c r="BA855" t="s">
        <v>92</v>
      </c>
      <c r="BB855" t="s">
        <v>92</v>
      </c>
      <c r="BC855" t="s">
        <v>92</v>
      </c>
      <c r="BD855" t="s">
        <v>92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92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92</v>
      </c>
      <c r="BS855" t="s">
        <v>92</v>
      </c>
      <c r="BT855" t="s">
        <v>92</v>
      </c>
      <c r="BU855" t="s">
        <v>92</v>
      </c>
      <c r="BV855" t="s">
        <v>92</v>
      </c>
      <c r="BW855" t="s">
        <v>92</v>
      </c>
      <c r="BX855" t="s">
        <v>92</v>
      </c>
      <c r="BY855" t="str">
        <f>IF(COUNTIF('Data Upload-prod'!E:E,F855)=0,"Missing","Exist")</f>
        <v>Exist</v>
      </c>
    </row>
    <row r="856" hidden="1" spans="1:77">
      <c r="A856" s="16">
        <v>41596</v>
      </c>
      <c r="B856" s="16">
        <v>41722</v>
      </c>
      <c r="C856" t="s">
        <v>360</v>
      </c>
      <c r="D856" t="s">
        <v>120</v>
      </c>
      <c r="E856" t="s">
        <v>1391</v>
      </c>
      <c r="F856" t="s">
        <v>1446</v>
      </c>
      <c r="G856" t="s">
        <v>81</v>
      </c>
      <c r="H856" t="s">
        <v>185</v>
      </c>
      <c r="I856" t="s">
        <v>124</v>
      </c>
      <c r="J856" s="17">
        <v>32</v>
      </c>
      <c r="K856" s="17">
        <v>2719</v>
      </c>
      <c r="L856" s="17">
        <v>1358</v>
      </c>
      <c r="M856" t="s">
        <v>84</v>
      </c>
      <c r="N856" t="s">
        <v>84</v>
      </c>
      <c r="O856" t="s">
        <v>84</v>
      </c>
      <c r="P856" t="s">
        <v>84</v>
      </c>
      <c r="Q856" s="17">
        <v>5645991</v>
      </c>
      <c r="R856" s="17">
        <v>7.25</v>
      </c>
      <c r="S856" t="s">
        <v>106</v>
      </c>
      <c r="T856" t="s">
        <v>84</v>
      </c>
      <c r="U856" t="s">
        <v>86</v>
      </c>
      <c r="V856" s="16">
        <v>41633</v>
      </c>
      <c r="W856" s="18">
        <v>41609.5625</v>
      </c>
      <c r="X856" s="18">
        <v>41652</v>
      </c>
      <c r="Y856" s="17">
        <v>2925.6</v>
      </c>
      <c r="Z856" t="s">
        <v>87</v>
      </c>
      <c r="AA856" s="17">
        <v>3001</v>
      </c>
      <c r="AB856" s="17">
        <v>1466.7</v>
      </c>
      <c r="AC856" t="s">
        <v>84</v>
      </c>
      <c r="AD856" t="s">
        <v>84</v>
      </c>
      <c r="AE856" t="s">
        <v>84</v>
      </c>
      <c r="AF856" t="s">
        <v>84</v>
      </c>
      <c r="AG856" s="17">
        <v>9751261</v>
      </c>
      <c r="AH856" s="17">
        <v>14.42</v>
      </c>
      <c r="AI856" s="17">
        <v>0.87</v>
      </c>
      <c r="AJ856" s="17">
        <v>0.87</v>
      </c>
      <c r="AK856" t="s">
        <v>497</v>
      </c>
      <c r="AM856" s="17">
        <v>1.4</v>
      </c>
      <c r="AN856" s="17"/>
      <c r="AO856" s="17">
        <v>550</v>
      </c>
      <c r="AP856" s="17"/>
      <c r="AQ856" s="17">
        <v>990</v>
      </c>
      <c r="AR856" s="17"/>
      <c r="AS856" s="13" t="s">
        <v>150</v>
      </c>
      <c r="AT856" s="13"/>
      <c r="AU856" s="13" t="s">
        <v>150</v>
      </c>
      <c r="AW856" s="13" t="s">
        <v>150</v>
      </c>
      <c r="AY856" t="s">
        <v>92</v>
      </c>
      <c r="AZ856" t="s">
        <v>92</v>
      </c>
      <c r="BA856" t="s">
        <v>92</v>
      </c>
      <c r="BB856" t="s">
        <v>92</v>
      </c>
      <c r="BC856" t="s">
        <v>92</v>
      </c>
      <c r="BD856" s="17">
        <v>1.61</v>
      </c>
      <c r="BE856" s="17">
        <v>2463263.84</v>
      </c>
      <c r="BF856" t="s">
        <v>92</v>
      </c>
      <c r="BG856" t="s">
        <v>92</v>
      </c>
      <c r="BH856" t="s">
        <v>93</v>
      </c>
      <c r="BI856" t="s">
        <v>94</v>
      </c>
      <c r="BJ856" t="s">
        <v>95</v>
      </c>
      <c r="BK856" t="s">
        <v>85</v>
      </c>
      <c r="BL856" t="s">
        <v>85</v>
      </c>
      <c r="BM856" t="s">
        <v>96</v>
      </c>
      <c r="BN856" t="s">
        <v>97</v>
      </c>
      <c r="BO856" t="s">
        <v>98</v>
      </c>
      <c r="BP856" t="s">
        <v>103</v>
      </c>
      <c r="BQ856" s="17">
        <v>447.8565</v>
      </c>
      <c r="BR856" t="s">
        <v>100</v>
      </c>
      <c r="BS856" t="s">
        <v>156</v>
      </c>
      <c r="BT856" t="s">
        <v>103</v>
      </c>
      <c r="BU856" s="17">
        <v>8.6</v>
      </c>
      <c r="BV856" t="s">
        <v>131</v>
      </c>
      <c r="BW856" t="s">
        <v>85</v>
      </c>
      <c r="BX856" t="s">
        <v>85</v>
      </c>
      <c r="BY856" t="str">
        <f>IF(COUNTIF('Data Upload-prod'!E:E,F856)=0,"Missing","Exist")</f>
        <v>Exist</v>
      </c>
    </row>
    <row r="857" hidden="1" spans="1:77">
      <c r="A857" s="16">
        <v>41596</v>
      </c>
      <c r="B857" s="16">
        <v>41767</v>
      </c>
      <c r="C857" t="s">
        <v>360</v>
      </c>
      <c r="D857" t="s">
        <v>120</v>
      </c>
      <c r="E857" t="s">
        <v>1391</v>
      </c>
      <c r="F857" t="s">
        <v>1447</v>
      </c>
      <c r="G857" t="s">
        <v>81</v>
      </c>
      <c r="H857" t="s">
        <v>185</v>
      </c>
      <c r="I857" t="s">
        <v>124</v>
      </c>
      <c r="J857" s="17">
        <v>32</v>
      </c>
      <c r="K857" s="17">
        <v>2303</v>
      </c>
      <c r="L857" s="17">
        <v>1310</v>
      </c>
      <c r="M857" t="s">
        <v>84</v>
      </c>
      <c r="N857" t="s">
        <v>84</v>
      </c>
      <c r="O857" t="s">
        <v>84</v>
      </c>
      <c r="P857" t="s">
        <v>84</v>
      </c>
      <c r="Q857" s="17">
        <v>9539751.8</v>
      </c>
      <c r="R857" s="17">
        <v>13.75</v>
      </c>
      <c r="S857" t="s">
        <v>106</v>
      </c>
      <c r="T857" t="s">
        <v>84</v>
      </c>
      <c r="U857" t="s">
        <v>84</v>
      </c>
      <c r="V857" s="16">
        <v>41638.2083333333</v>
      </c>
      <c r="W857" s="18">
        <v>41628.3125</v>
      </c>
      <c r="X857" s="18">
        <v>41683.3958333333</v>
      </c>
      <c r="Y857" s="17">
        <v>2275.6</v>
      </c>
      <c r="Z857" t="s">
        <v>87</v>
      </c>
      <c r="AA857" s="17">
        <v>2351</v>
      </c>
      <c r="AB857" s="17">
        <v>1269.15</v>
      </c>
      <c r="AC857" t="s">
        <v>84</v>
      </c>
      <c r="AD857" t="s">
        <v>84</v>
      </c>
      <c r="AE857" t="s">
        <v>84</v>
      </c>
      <c r="AF857" t="s">
        <v>84</v>
      </c>
      <c r="AG857" s="17">
        <v>10507809.49</v>
      </c>
      <c r="AH857" s="17">
        <v>17.69</v>
      </c>
      <c r="AI857" s="17">
        <v>2.94</v>
      </c>
      <c r="AJ857" s="17">
        <v>2.94</v>
      </c>
      <c r="AK857" t="s">
        <v>208</v>
      </c>
      <c r="AM857" s="17">
        <v>2.2</v>
      </c>
      <c r="AN857" s="17"/>
      <c r="AO857" s="17">
        <v>830</v>
      </c>
      <c r="AP857" s="17"/>
      <c r="AQ857" s="17">
        <v>1380</v>
      </c>
      <c r="AR857" s="17"/>
      <c r="AS857" s="13" t="s">
        <v>150</v>
      </c>
      <c r="AT857" s="13"/>
      <c r="AU857" s="13" t="s">
        <v>150</v>
      </c>
      <c r="AW857" s="13" t="s">
        <v>150</v>
      </c>
      <c r="AY857" t="s">
        <v>92</v>
      </c>
      <c r="AZ857" t="s">
        <v>92</v>
      </c>
      <c r="BA857" t="s">
        <v>92</v>
      </c>
      <c r="BB857" t="s">
        <v>92</v>
      </c>
      <c r="BC857" t="s">
        <v>92</v>
      </c>
      <c r="BD857" t="s">
        <v>92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92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92</v>
      </c>
      <c r="BS857" t="s">
        <v>92</v>
      </c>
      <c r="BT857" t="s">
        <v>92</v>
      </c>
      <c r="BU857" t="s">
        <v>92</v>
      </c>
      <c r="BV857" t="s">
        <v>92</v>
      </c>
      <c r="BW857" t="s">
        <v>92</v>
      </c>
      <c r="BX857" t="s">
        <v>92</v>
      </c>
      <c r="BY857" t="str">
        <f>IF(COUNTIF('Data Upload-prod'!E:E,F857)=0,"Missing","Exist")</f>
        <v>Exist</v>
      </c>
    </row>
    <row r="858" hidden="1" spans="1:77">
      <c r="A858" s="16">
        <v>41586</v>
      </c>
      <c r="B858" s="16">
        <v>41722</v>
      </c>
      <c r="C858" t="s">
        <v>132</v>
      </c>
      <c r="D858" t="s">
        <v>142</v>
      </c>
      <c r="E858" t="s">
        <v>170</v>
      </c>
      <c r="F858" t="s">
        <v>1448</v>
      </c>
      <c r="G858" t="s">
        <v>81</v>
      </c>
      <c r="H858" t="s">
        <v>1449</v>
      </c>
      <c r="I858" t="s">
        <v>83</v>
      </c>
      <c r="J858" s="17">
        <v>63.86</v>
      </c>
      <c r="K858" s="17">
        <v>4410</v>
      </c>
      <c r="L858" s="17">
        <v>2118</v>
      </c>
      <c r="M858" t="s">
        <v>84</v>
      </c>
      <c r="N858" t="s">
        <v>84</v>
      </c>
      <c r="O858" t="s">
        <v>84</v>
      </c>
      <c r="P858" t="s">
        <v>84</v>
      </c>
      <c r="Q858" s="17">
        <v>19290800</v>
      </c>
      <c r="R858" s="17">
        <v>45.22</v>
      </c>
      <c r="S858" t="s">
        <v>85</v>
      </c>
      <c r="T858" t="s">
        <v>84</v>
      </c>
      <c r="U858" t="s">
        <v>84</v>
      </c>
      <c r="V858" s="16">
        <v>41610</v>
      </c>
      <c r="W858" s="18">
        <v>41599</v>
      </c>
      <c r="X858" s="18">
        <v>41670</v>
      </c>
      <c r="Y858" s="17">
        <v>4374.89</v>
      </c>
      <c r="Z858" t="s">
        <v>87</v>
      </c>
      <c r="AA858" s="17">
        <v>4472</v>
      </c>
      <c r="AB858" s="17">
        <v>2108.27</v>
      </c>
      <c r="AC858" t="s">
        <v>84</v>
      </c>
      <c r="AD858" t="s">
        <v>84</v>
      </c>
      <c r="AE858" t="s">
        <v>84</v>
      </c>
      <c r="AF858" t="s">
        <v>84</v>
      </c>
      <c r="AG858" s="17">
        <v>26150000</v>
      </c>
      <c r="AH858" s="17">
        <v>71.99</v>
      </c>
      <c r="AI858" s="17">
        <v>25.09</v>
      </c>
      <c r="AJ858" s="17">
        <v>2.78</v>
      </c>
      <c r="AK858" t="s">
        <v>89</v>
      </c>
      <c r="AM858" s="17">
        <v>2.4</v>
      </c>
      <c r="AN858" s="17"/>
      <c r="AO858" s="17">
        <v>795</v>
      </c>
      <c r="AP858" s="17"/>
      <c r="AQ858" s="17">
        <v>1400</v>
      </c>
      <c r="AR858" s="17"/>
      <c r="AS858" s="17">
        <v>3.73</v>
      </c>
      <c r="AT858" s="17"/>
      <c r="AU858" s="17">
        <v>1450</v>
      </c>
      <c r="AV858" s="17"/>
      <c r="AW858" s="17">
        <v>1780</v>
      </c>
      <c r="AX858" s="17"/>
      <c r="AY858" t="s">
        <v>92</v>
      </c>
      <c r="AZ858" t="s">
        <v>92</v>
      </c>
      <c r="BA858" t="s">
        <v>92</v>
      </c>
      <c r="BB858" t="s">
        <v>92</v>
      </c>
      <c r="BC858" t="s">
        <v>92</v>
      </c>
      <c r="BD858" t="s">
        <v>92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92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92</v>
      </c>
      <c r="BS858" t="s">
        <v>92</v>
      </c>
      <c r="BT858" t="s">
        <v>92</v>
      </c>
      <c r="BU858" t="s">
        <v>92</v>
      </c>
      <c r="BV858" t="s">
        <v>92</v>
      </c>
      <c r="BW858" t="s">
        <v>92</v>
      </c>
      <c r="BX858" t="s">
        <v>92</v>
      </c>
      <c r="BY858" t="str">
        <f>IF(COUNTIF('Data Upload-prod'!E:E,F858)=0,"Missing","Exist")</f>
        <v>Exist</v>
      </c>
    </row>
    <row r="859" hidden="1" spans="1:77">
      <c r="A859" s="16">
        <v>41556</v>
      </c>
      <c r="B859" s="16">
        <v>41682</v>
      </c>
      <c r="C859" t="s">
        <v>132</v>
      </c>
      <c r="D859" t="s">
        <v>78</v>
      </c>
      <c r="E859" t="s">
        <v>1450</v>
      </c>
      <c r="F859" t="s">
        <v>1451</v>
      </c>
      <c r="G859" t="s">
        <v>145</v>
      </c>
      <c r="H859" t="s">
        <v>1255</v>
      </c>
      <c r="I859" t="s">
        <v>124</v>
      </c>
      <c r="J859" s="17">
        <v>65</v>
      </c>
      <c r="K859" s="17">
        <v>2102</v>
      </c>
      <c r="L859" s="17">
        <v>2070</v>
      </c>
      <c r="M859" s="17">
        <v>17560000</v>
      </c>
      <c r="N859" s="17">
        <v>22400000</v>
      </c>
      <c r="O859" s="17">
        <v>31.5</v>
      </c>
      <c r="P859" s="17">
        <v>44.8</v>
      </c>
      <c r="Q859" t="s">
        <v>84</v>
      </c>
      <c r="R859" t="s">
        <v>84</v>
      </c>
      <c r="S859" t="s">
        <v>85</v>
      </c>
      <c r="T859" t="s">
        <v>84</v>
      </c>
      <c r="U859" t="s">
        <v>84</v>
      </c>
      <c r="V859" s="16">
        <v>41564</v>
      </c>
      <c r="W859" s="18">
        <v>41559</v>
      </c>
      <c r="X859" s="18">
        <v>41601</v>
      </c>
      <c r="Y859" s="17">
        <v>2164.17</v>
      </c>
      <c r="Z859" t="s">
        <v>87</v>
      </c>
      <c r="AA859" s="17">
        <v>2265</v>
      </c>
      <c r="AB859" s="17">
        <v>2265</v>
      </c>
      <c r="AC859" t="s">
        <v>84</v>
      </c>
      <c r="AD859" s="17">
        <v>19742005.55</v>
      </c>
      <c r="AE859" t="s">
        <v>84</v>
      </c>
      <c r="AF859" s="17">
        <v>41.69</v>
      </c>
      <c r="AG859" t="s">
        <v>84</v>
      </c>
      <c r="AH859" t="s">
        <v>84</v>
      </c>
      <c r="AI859" s="17">
        <v>15.5</v>
      </c>
      <c r="AJ859" s="17">
        <v>10.8</v>
      </c>
      <c r="AK859" t="s">
        <v>300</v>
      </c>
      <c r="AM859" s="17">
        <v>1.9</v>
      </c>
      <c r="AN859" s="17"/>
      <c r="AO859" s="17">
        <v>720</v>
      </c>
      <c r="AP859" s="17"/>
      <c r="AQ859" s="17">
        <v>1370</v>
      </c>
      <c r="AR859" s="17"/>
      <c r="AS859" s="17">
        <v>1.9</v>
      </c>
      <c r="AT859" s="17"/>
      <c r="AU859" s="17">
        <v>985</v>
      </c>
      <c r="AV859" s="17"/>
      <c r="AW859" s="17">
        <v>1927</v>
      </c>
      <c r="AX859" s="17"/>
      <c r="AY859" t="s">
        <v>92</v>
      </c>
      <c r="AZ859" t="s">
        <v>92</v>
      </c>
      <c r="BA859" t="s">
        <v>92</v>
      </c>
      <c r="BB859" t="s">
        <v>92</v>
      </c>
      <c r="BC859" t="s">
        <v>92</v>
      </c>
      <c r="BD859" t="s">
        <v>92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92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92</v>
      </c>
      <c r="BS859" t="s">
        <v>92</v>
      </c>
      <c r="BT859" t="s">
        <v>92</v>
      </c>
      <c r="BU859" t="s">
        <v>92</v>
      </c>
      <c r="BV859" t="s">
        <v>92</v>
      </c>
      <c r="BW859" t="s">
        <v>92</v>
      </c>
      <c r="BX859" t="s">
        <v>92</v>
      </c>
      <c r="BY859" t="str">
        <f>IF(COUNTIF('Data Upload-prod'!E:E,F859)=0,"Missing","Exist")</f>
        <v>Exist</v>
      </c>
    </row>
    <row r="860" hidden="1" spans="1:77">
      <c r="A860" s="16">
        <v>41554</v>
      </c>
      <c r="B860" s="16">
        <v>41698</v>
      </c>
      <c r="C860" t="s">
        <v>132</v>
      </c>
      <c r="D860" t="s">
        <v>78</v>
      </c>
      <c r="E860" t="s">
        <v>1356</v>
      </c>
      <c r="F860" t="s">
        <v>1452</v>
      </c>
      <c r="G860" t="s">
        <v>145</v>
      </c>
      <c r="H860" t="s">
        <v>1432</v>
      </c>
      <c r="I860" t="s">
        <v>124</v>
      </c>
      <c r="J860" s="17">
        <v>69.5</v>
      </c>
      <c r="K860" s="17">
        <v>2104</v>
      </c>
      <c r="L860" s="17">
        <v>2066</v>
      </c>
      <c r="M860" s="17">
        <v>22100000</v>
      </c>
      <c r="N860" s="17">
        <v>27300000</v>
      </c>
      <c r="O860" s="17">
        <v>48.5</v>
      </c>
      <c r="P860" s="17">
        <v>62.5</v>
      </c>
      <c r="Q860" t="s">
        <v>84</v>
      </c>
      <c r="R860" t="s">
        <v>84</v>
      </c>
      <c r="S860" t="s">
        <v>85</v>
      </c>
      <c r="T860" t="s">
        <v>84</v>
      </c>
      <c r="U860" t="s">
        <v>84</v>
      </c>
      <c r="V860" s="16">
        <v>41571</v>
      </c>
      <c r="W860" s="18">
        <v>41562</v>
      </c>
      <c r="X860" s="18">
        <v>41620</v>
      </c>
      <c r="Y860" s="17">
        <v>2018.47</v>
      </c>
      <c r="Z860" t="s">
        <v>87</v>
      </c>
      <c r="AA860" s="17">
        <v>2120</v>
      </c>
      <c r="AB860" s="17">
        <v>2120</v>
      </c>
      <c r="AC860" s="17">
        <v>26081198.69</v>
      </c>
      <c r="AD860" t="s">
        <v>84</v>
      </c>
      <c r="AE860" s="17">
        <v>58.92</v>
      </c>
      <c r="AF860" t="s">
        <v>84</v>
      </c>
      <c r="AG860" t="s">
        <v>84</v>
      </c>
      <c r="AH860" t="s">
        <v>84</v>
      </c>
      <c r="AI860" s="17">
        <v>28</v>
      </c>
      <c r="AJ860" s="17">
        <v>2.3</v>
      </c>
      <c r="AK860" t="s">
        <v>295</v>
      </c>
      <c r="AM860" s="17">
        <v>2.7</v>
      </c>
      <c r="AN860" s="17"/>
      <c r="AO860" s="17">
        <v>1490</v>
      </c>
      <c r="AP860" s="17"/>
      <c r="AQ860" s="17">
        <v>2760</v>
      </c>
      <c r="AR860" s="17"/>
      <c r="AS860" s="17">
        <v>1.95</v>
      </c>
      <c r="AT860" s="17"/>
      <c r="AU860" s="17">
        <v>948</v>
      </c>
      <c r="AV860" s="17"/>
      <c r="AW860" s="17">
        <v>2346</v>
      </c>
      <c r="AX860" s="17"/>
      <c r="AY860" t="s">
        <v>92</v>
      </c>
      <c r="AZ860" t="s">
        <v>92</v>
      </c>
      <c r="BA860" t="s">
        <v>92</v>
      </c>
      <c r="BB860" t="s">
        <v>92</v>
      </c>
      <c r="BC860" t="s">
        <v>92</v>
      </c>
      <c r="BD860" t="s">
        <v>92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92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92</v>
      </c>
      <c r="BS860" t="s">
        <v>92</v>
      </c>
      <c r="BT860" t="s">
        <v>92</v>
      </c>
      <c r="BU860" t="s">
        <v>92</v>
      </c>
      <c r="BV860" t="s">
        <v>92</v>
      </c>
      <c r="BW860" t="s">
        <v>92</v>
      </c>
      <c r="BX860" t="s">
        <v>92</v>
      </c>
      <c r="BY860" t="str">
        <f>IF(COUNTIF('Data Upload-prod'!E:E,F860)=0,"Missing","Exist")</f>
        <v>Exist</v>
      </c>
    </row>
    <row r="861" hidden="1" spans="1:77">
      <c r="A861" s="16">
        <v>41536</v>
      </c>
      <c r="B861" s="16">
        <v>41642</v>
      </c>
      <c r="C861" t="s">
        <v>132</v>
      </c>
      <c r="D861" t="s">
        <v>142</v>
      </c>
      <c r="E861" t="s">
        <v>1453</v>
      </c>
      <c r="F861" t="s">
        <v>1454</v>
      </c>
      <c r="G861" t="s">
        <v>145</v>
      </c>
      <c r="H861" t="s">
        <v>319</v>
      </c>
      <c r="I861" t="s">
        <v>231</v>
      </c>
      <c r="J861" s="17">
        <v>101.8</v>
      </c>
      <c r="K861" s="17">
        <v>2329</v>
      </c>
      <c r="L861" s="17">
        <v>2329</v>
      </c>
      <c r="M861" s="17">
        <v>22230000</v>
      </c>
      <c r="N861" s="17">
        <v>37450000</v>
      </c>
      <c r="O861" s="17">
        <v>37.16</v>
      </c>
      <c r="P861" s="17">
        <v>65.13</v>
      </c>
      <c r="Q861" t="s">
        <v>84</v>
      </c>
      <c r="R861" t="s">
        <v>84</v>
      </c>
      <c r="S861" t="s">
        <v>85</v>
      </c>
      <c r="T861" t="s">
        <v>84</v>
      </c>
      <c r="U861" t="s">
        <v>84</v>
      </c>
      <c r="V861" s="16">
        <v>41551.25</v>
      </c>
      <c r="W861" s="18">
        <v>41549</v>
      </c>
      <c r="X861" s="18">
        <v>41560.75</v>
      </c>
      <c r="Y861" s="17">
        <v>2298.2</v>
      </c>
      <c r="Z861" t="s">
        <v>87</v>
      </c>
      <c r="AA861" s="17">
        <v>2429</v>
      </c>
      <c r="AB861" s="17">
        <v>2428.84</v>
      </c>
      <c r="AC861" t="s">
        <v>84</v>
      </c>
      <c r="AD861" s="17">
        <v>22709099.05</v>
      </c>
      <c r="AE861" t="s">
        <v>84</v>
      </c>
      <c r="AF861" s="17">
        <v>44.75</v>
      </c>
      <c r="AG861" t="s">
        <v>84</v>
      </c>
      <c r="AH861" t="s">
        <v>84</v>
      </c>
      <c r="AI861" s="17">
        <v>9.2</v>
      </c>
      <c r="AJ861" s="17">
        <v>6.6</v>
      </c>
      <c r="AK861" t="s">
        <v>295</v>
      </c>
      <c r="AM861" s="17">
        <v>2.7</v>
      </c>
      <c r="AN861" s="17"/>
      <c r="AO861" s="17">
        <v>1490</v>
      </c>
      <c r="AP861" s="17"/>
      <c r="AQ861" s="17">
        <v>2760</v>
      </c>
      <c r="AR861" s="17"/>
      <c r="AS861" s="17">
        <v>1.8</v>
      </c>
      <c r="AT861" s="17"/>
      <c r="AU861" s="17">
        <v>812.7</v>
      </c>
      <c r="AV861" s="17"/>
      <c r="AW861" s="17">
        <v>1751.3</v>
      </c>
      <c r="AX861" s="17"/>
      <c r="AY861" t="s">
        <v>92</v>
      </c>
      <c r="AZ861" t="s">
        <v>92</v>
      </c>
      <c r="BA861" t="s">
        <v>92</v>
      </c>
      <c r="BB861" t="s">
        <v>92</v>
      </c>
      <c r="BC861" t="s">
        <v>92</v>
      </c>
      <c r="BD861" t="s">
        <v>92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92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92</v>
      </c>
      <c r="BS861" t="s">
        <v>92</v>
      </c>
      <c r="BT861" t="s">
        <v>92</v>
      </c>
      <c r="BU861" t="s">
        <v>92</v>
      </c>
      <c r="BV861" t="s">
        <v>92</v>
      </c>
      <c r="BW861" t="s">
        <v>92</v>
      </c>
      <c r="BX861" t="s">
        <v>92</v>
      </c>
      <c r="BY861" t="str">
        <f>IF(COUNTIF('Data Upload-prod'!E:E,F861)=0,"Missing","Exist")</f>
        <v>Exist</v>
      </c>
    </row>
    <row r="862" spans="1:77">
      <c r="A862" s="16">
        <v>41523</v>
      </c>
      <c r="B862" s="16">
        <v>41659</v>
      </c>
      <c r="C862" t="s">
        <v>132</v>
      </c>
      <c r="D862" t="s">
        <v>142</v>
      </c>
      <c r="E862" t="s">
        <v>931</v>
      </c>
      <c r="F862" t="s">
        <v>1455</v>
      </c>
      <c r="G862" t="s">
        <v>81</v>
      </c>
      <c r="H862" t="s">
        <v>1449</v>
      </c>
      <c r="I862" t="s">
        <v>83</v>
      </c>
      <c r="J862" s="17">
        <v>64</v>
      </c>
      <c r="K862" s="17">
        <v>4246.8</v>
      </c>
      <c r="L862" s="17">
        <v>2106.07</v>
      </c>
      <c r="M862" t="s">
        <v>84</v>
      </c>
      <c r="N862" t="s">
        <v>84</v>
      </c>
      <c r="O862" t="s">
        <v>84</v>
      </c>
      <c r="P862" t="s">
        <v>84</v>
      </c>
      <c r="Q862" s="17">
        <v>23093150</v>
      </c>
      <c r="R862" s="17">
        <v>56</v>
      </c>
      <c r="S862" t="s">
        <v>106</v>
      </c>
      <c r="T862" t="s">
        <v>84</v>
      </c>
      <c r="U862" t="s">
        <v>84</v>
      </c>
      <c r="V862" s="16">
        <v>41525</v>
      </c>
      <c r="W862" s="18">
        <v>41525</v>
      </c>
      <c r="X862" s="18">
        <v>41599</v>
      </c>
      <c r="Y862" s="17">
        <v>4239.75</v>
      </c>
      <c r="Z862" t="s">
        <v>87</v>
      </c>
      <c r="AA862" s="17">
        <v>4337</v>
      </c>
      <c r="AB862" s="17">
        <v>2099.3</v>
      </c>
      <c r="AC862" t="s">
        <v>84</v>
      </c>
      <c r="AD862" t="s">
        <v>84</v>
      </c>
      <c r="AE862" t="s">
        <v>84</v>
      </c>
      <c r="AF862" t="s">
        <v>84</v>
      </c>
      <c r="AG862" s="17">
        <v>28873698</v>
      </c>
      <c r="AH862" s="17">
        <v>73.75</v>
      </c>
      <c r="AI862" s="17">
        <v>12.6</v>
      </c>
      <c r="AJ862" s="17">
        <v>12.6</v>
      </c>
      <c r="AK862" t="s">
        <v>89</v>
      </c>
      <c r="AL862" t="s">
        <v>89</v>
      </c>
      <c r="AM862" s="17">
        <v>2.4</v>
      </c>
      <c r="AN862" s="17">
        <v>2.4</v>
      </c>
      <c r="AO862" s="17">
        <v>795</v>
      </c>
      <c r="AP862" s="17">
        <v>795</v>
      </c>
      <c r="AQ862" s="17">
        <v>1400</v>
      </c>
      <c r="AR862" s="17">
        <v>1400</v>
      </c>
      <c r="AS862" s="13" t="s">
        <v>90</v>
      </c>
      <c r="AT862" s="19">
        <v>0.78</v>
      </c>
      <c r="AU862" s="13" t="s">
        <v>90</v>
      </c>
      <c r="AV862" s="13">
        <v>800</v>
      </c>
      <c r="AW862" s="13" t="s">
        <v>90</v>
      </c>
      <c r="AX862" s="13">
        <v>1270</v>
      </c>
      <c r="AY862" t="s">
        <v>92</v>
      </c>
      <c r="AZ862" t="s">
        <v>92</v>
      </c>
      <c r="BA862" t="s">
        <v>92</v>
      </c>
      <c r="BB862" t="s">
        <v>92</v>
      </c>
      <c r="BC862" t="s">
        <v>92</v>
      </c>
      <c r="BD862" t="s">
        <v>92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92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92</v>
      </c>
      <c r="BS862" t="s">
        <v>92</v>
      </c>
      <c r="BT862" t="s">
        <v>92</v>
      </c>
      <c r="BU862" t="s">
        <v>92</v>
      </c>
      <c r="BV862" t="s">
        <v>92</v>
      </c>
      <c r="BW862" t="s">
        <v>92</v>
      </c>
      <c r="BX862" t="s">
        <v>92</v>
      </c>
      <c r="BY862" t="str">
        <f>IF(COUNTIF('Data Upload-prod'!E:E,F862)=0,"Missing","Exist")</f>
        <v>Exist</v>
      </c>
    </row>
    <row r="863" hidden="1" spans="1:77">
      <c r="A863" s="16">
        <v>41523</v>
      </c>
      <c r="B863" s="16">
        <v>41628</v>
      </c>
      <c r="C863" t="s">
        <v>132</v>
      </c>
      <c r="D863" t="s">
        <v>120</v>
      </c>
      <c r="E863" t="s">
        <v>121</v>
      </c>
      <c r="F863" t="s">
        <v>1456</v>
      </c>
      <c r="G863" t="s">
        <v>81</v>
      </c>
      <c r="H863" t="s">
        <v>1304</v>
      </c>
      <c r="I863" t="s">
        <v>124</v>
      </c>
      <c r="J863" s="17">
        <v>70.5</v>
      </c>
      <c r="K863" s="17">
        <v>2562</v>
      </c>
      <c r="L863" s="17">
        <v>1739</v>
      </c>
      <c r="M863" t="s">
        <v>84</v>
      </c>
      <c r="N863" t="s">
        <v>84</v>
      </c>
      <c r="O863" t="s">
        <v>84</v>
      </c>
      <c r="P863" t="s">
        <v>84</v>
      </c>
      <c r="Q863" s="17">
        <v>27818489</v>
      </c>
      <c r="R863" s="17">
        <v>51</v>
      </c>
      <c r="S863" t="s">
        <v>85</v>
      </c>
      <c r="T863" t="s">
        <v>84</v>
      </c>
      <c r="U863" t="s">
        <v>86</v>
      </c>
      <c r="V863" s="16">
        <v>41531</v>
      </c>
      <c r="W863" s="18">
        <v>41531</v>
      </c>
      <c r="X863" s="18">
        <v>41589.1979166667</v>
      </c>
      <c r="Y863" s="17">
        <v>2480.35</v>
      </c>
      <c r="Z863" t="s">
        <v>87</v>
      </c>
      <c r="AA863" s="17">
        <v>2586</v>
      </c>
      <c r="AB863" s="17">
        <v>1738.2</v>
      </c>
      <c r="AC863" t="s">
        <v>84</v>
      </c>
      <c r="AD863" t="s">
        <v>84</v>
      </c>
      <c r="AE863" t="s">
        <v>84</v>
      </c>
      <c r="AF863" t="s">
        <v>84</v>
      </c>
      <c r="AG863" s="17">
        <v>17670841.56</v>
      </c>
      <c r="AH863" s="17">
        <v>30.1</v>
      </c>
      <c r="AI863" s="17">
        <v>9.66</v>
      </c>
      <c r="AJ863" s="17">
        <v>9.66</v>
      </c>
      <c r="AK863" t="s">
        <v>126</v>
      </c>
      <c r="AM863" s="17">
        <v>2.5</v>
      </c>
      <c r="AN863" s="17"/>
      <c r="AO863" s="17">
        <v>1010</v>
      </c>
      <c r="AP863" s="17"/>
      <c r="AQ863" s="17">
        <v>1705</v>
      </c>
      <c r="AR863" s="17"/>
      <c r="AS863" s="17">
        <v>2.47</v>
      </c>
      <c r="AT863" s="17"/>
      <c r="AU863" s="17">
        <v>1525</v>
      </c>
      <c r="AV863" s="17"/>
      <c r="AW863" s="17">
        <v>2083</v>
      </c>
      <c r="AX863" s="17"/>
      <c r="AY863" t="s">
        <v>92</v>
      </c>
      <c r="AZ863" t="s">
        <v>92</v>
      </c>
      <c r="BA863" t="s">
        <v>92</v>
      </c>
      <c r="BB863" t="s">
        <v>92</v>
      </c>
      <c r="BC863" t="s">
        <v>92</v>
      </c>
      <c r="BD863" s="17">
        <v>4.93</v>
      </c>
      <c r="BE863" s="17">
        <v>2971577.05</v>
      </c>
      <c r="BF863" t="s">
        <v>92</v>
      </c>
      <c r="BG863" t="s">
        <v>92</v>
      </c>
      <c r="BH863" t="s">
        <v>127</v>
      </c>
      <c r="BI863" t="s">
        <v>94</v>
      </c>
      <c r="BJ863" t="s">
        <v>109</v>
      </c>
      <c r="BK863" t="s">
        <v>85</v>
      </c>
      <c r="BL863" t="s">
        <v>85</v>
      </c>
      <c r="BM863" t="s">
        <v>273</v>
      </c>
      <c r="BN863" t="s">
        <v>97</v>
      </c>
      <c r="BO863" t="s">
        <v>98</v>
      </c>
      <c r="BP863" t="s">
        <v>103</v>
      </c>
      <c r="BQ863" s="17">
        <v>803.8058</v>
      </c>
      <c r="BR863" t="s">
        <v>138</v>
      </c>
      <c r="BS863" t="s">
        <v>156</v>
      </c>
      <c r="BT863" t="s">
        <v>550</v>
      </c>
      <c r="BU863" s="17">
        <v>8.3</v>
      </c>
      <c r="BV863" t="s">
        <v>131</v>
      </c>
      <c r="BW863" t="s">
        <v>85</v>
      </c>
      <c r="BX863" t="s">
        <v>85</v>
      </c>
      <c r="BY863" t="str">
        <f>IF(COUNTIF('Data Upload-prod'!E:E,F863)=0,"Missing","Exist")</f>
        <v>Exist</v>
      </c>
    </row>
    <row r="864" hidden="1" spans="1:77">
      <c r="A864" s="16">
        <v>41523</v>
      </c>
      <c r="B864" s="16">
        <v>41628</v>
      </c>
      <c r="C864" t="s">
        <v>132</v>
      </c>
      <c r="D864" t="s">
        <v>120</v>
      </c>
      <c r="E864" t="s">
        <v>121</v>
      </c>
      <c r="F864" t="s">
        <v>1457</v>
      </c>
      <c r="G864" t="s">
        <v>81</v>
      </c>
      <c r="H864" t="s">
        <v>1304</v>
      </c>
      <c r="I864" t="s">
        <v>124</v>
      </c>
      <c r="J864" s="17">
        <v>70.5</v>
      </c>
      <c r="K864" s="17">
        <v>2381</v>
      </c>
      <c r="L864" s="17">
        <v>1739</v>
      </c>
      <c r="M864" t="s">
        <v>84</v>
      </c>
      <c r="N864" t="s">
        <v>84</v>
      </c>
      <c r="O864" t="s">
        <v>84</v>
      </c>
      <c r="P864" t="s">
        <v>84</v>
      </c>
      <c r="Q864" s="17">
        <v>26753912</v>
      </c>
      <c r="R864" s="17">
        <v>48</v>
      </c>
      <c r="S864" t="s">
        <v>85</v>
      </c>
      <c r="T864" t="s">
        <v>84</v>
      </c>
      <c r="U864" t="s">
        <v>86</v>
      </c>
      <c r="V864" s="16">
        <v>41536.2291666667</v>
      </c>
      <c r="W864" s="18">
        <v>41535.6458333333</v>
      </c>
      <c r="X864" s="18">
        <v>41593.75</v>
      </c>
      <c r="Y864" s="17">
        <v>2275.5</v>
      </c>
      <c r="Z864" t="s">
        <v>87</v>
      </c>
      <c r="AA864" s="17">
        <v>2381</v>
      </c>
      <c r="AB864" s="17">
        <v>1739</v>
      </c>
      <c r="AC864" t="s">
        <v>84</v>
      </c>
      <c r="AD864" t="s">
        <v>84</v>
      </c>
      <c r="AE864" t="s">
        <v>84</v>
      </c>
      <c r="AF864" t="s">
        <v>84</v>
      </c>
      <c r="AG864" s="17">
        <v>16649885.76</v>
      </c>
      <c r="AH864" s="17">
        <v>32</v>
      </c>
      <c r="AI864" s="17">
        <v>18</v>
      </c>
      <c r="AJ864" s="17">
        <v>18</v>
      </c>
      <c r="AK864" t="s">
        <v>126</v>
      </c>
      <c r="AM864" s="17">
        <v>2.5</v>
      </c>
      <c r="AN864" s="17"/>
      <c r="AO864" s="17">
        <v>1010</v>
      </c>
      <c r="AP864" s="17"/>
      <c r="AQ864" s="17">
        <v>1870</v>
      </c>
      <c r="AR864" s="17"/>
      <c r="AS864" s="17">
        <v>2.5</v>
      </c>
      <c r="AT864" s="17"/>
      <c r="AU864" s="17">
        <v>1382</v>
      </c>
      <c r="AV864" s="17"/>
      <c r="AW864" s="17">
        <v>2297</v>
      </c>
      <c r="AX864" s="17"/>
      <c r="AY864" t="s">
        <v>92</v>
      </c>
      <c r="AZ864" t="s">
        <v>92</v>
      </c>
      <c r="BA864" t="s">
        <v>92</v>
      </c>
      <c r="BB864" t="s">
        <v>92</v>
      </c>
      <c r="BC864" t="s">
        <v>92</v>
      </c>
      <c r="BD864" s="17">
        <v>8.15</v>
      </c>
      <c r="BE864" s="17">
        <v>4289414.95</v>
      </c>
      <c r="BF864" t="s">
        <v>92</v>
      </c>
      <c r="BG864" t="s">
        <v>92</v>
      </c>
      <c r="BH864" t="s">
        <v>127</v>
      </c>
      <c r="BI864" t="s">
        <v>94</v>
      </c>
      <c r="BJ864" t="s">
        <v>109</v>
      </c>
      <c r="BK864" t="s">
        <v>85</v>
      </c>
      <c r="BL864" t="s">
        <v>85</v>
      </c>
      <c r="BM864" t="s">
        <v>273</v>
      </c>
      <c r="BN864" t="s">
        <v>97</v>
      </c>
      <c r="BO864" t="s">
        <v>98</v>
      </c>
      <c r="BP864" t="s">
        <v>103</v>
      </c>
      <c r="BQ864" s="17">
        <v>626.64044</v>
      </c>
      <c r="BR864" t="s">
        <v>100</v>
      </c>
      <c r="BS864" t="s">
        <v>156</v>
      </c>
      <c r="BT864" t="s">
        <v>550</v>
      </c>
      <c r="BU864" s="17">
        <v>9.1</v>
      </c>
      <c r="BV864" t="s">
        <v>191</v>
      </c>
      <c r="BW864" t="s">
        <v>85</v>
      </c>
      <c r="BX864" t="s">
        <v>85</v>
      </c>
      <c r="BY864" t="str">
        <f>IF(COUNTIF('Data Upload-prod'!E:E,F864)=0,"Missing","Exist")</f>
        <v>Exist</v>
      </c>
    </row>
    <row r="865" hidden="1" spans="1:77">
      <c r="A865" s="16">
        <v>41521</v>
      </c>
      <c r="B865" s="16">
        <v>41903</v>
      </c>
      <c r="C865" t="s">
        <v>360</v>
      </c>
      <c r="D865" t="s">
        <v>142</v>
      </c>
      <c r="E865" t="s">
        <v>1367</v>
      </c>
      <c r="F865" t="s">
        <v>1458</v>
      </c>
      <c r="G865" t="s">
        <v>81</v>
      </c>
      <c r="H865" t="s">
        <v>1247</v>
      </c>
      <c r="I865" t="s">
        <v>231</v>
      </c>
      <c r="J865" s="17">
        <v>1384.3</v>
      </c>
      <c r="K865" s="17">
        <v>2807</v>
      </c>
      <c r="L865" s="17">
        <v>2643</v>
      </c>
      <c r="M865" t="s">
        <v>84</v>
      </c>
      <c r="N865" t="s">
        <v>84</v>
      </c>
      <c r="O865" t="s">
        <v>84</v>
      </c>
      <c r="P865" t="s">
        <v>84</v>
      </c>
      <c r="Q865" s="17">
        <v>45691684</v>
      </c>
      <c r="R865" s="17">
        <v>36.3</v>
      </c>
      <c r="S865" t="s">
        <v>85</v>
      </c>
      <c r="T865" t="s">
        <v>84</v>
      </c>
      <c r="U865" t="s">
        <v>320</v>
      </c>
      <c r="V865" s="16">
        <v>41538.6458333333</v>
      </c>
      <c r="W865" s="18">
        <v>41533</v>
      </c>
      <c r="X865" s="18">
        <v>41682</v>
      </c>
      <c r="Y865" s="17">
        <v>1431.5</v>
      </c>
      <c r="Z865" t="s">
        <v>148</v>
      </c>
      <c r="AA865" s="17">
        <v>2842</v>
      </c>
      <c r="AB865" s="17">
        <v>2660.75</v>
      </c>
      <c r="AC865" t="s">
        <v>84</v>
      </c>
      <c r="AD865" t="s">
        <v>84</v>
      </c>
      <c r="AE865" t="s">
        <v>84</v>
      </c>
      <c r="AF865" t="s">
        <v>84</v>
      </c>
      <c r="AG865" s="17">
        <v>49721209.34</v>
      </c>
      <c r="AH865" s="17">
        <v>41.23</v>
      </c>
      <c r="AI865" s="17">
        <v>9.8</v>
      </c>
      <c r="AJ865" s="17">
        <v>8.5</v>
      </c>
      <c r="AK865" t="s">
        <v>767</v>
      </c>
      <c r="AM865" s="17">
        <v>3.1</v>
      </c>
      <c r="AN865" s="17"/>
      <c r="AO865" s="17">
        <v>1500</v>
      </c>
      <c r="AP865" s="17"/>
      <c r="AQ865" s="17">
        <v>3540</v>
      </c>
      <c r="AR865" s="17"/>
      <c r="AS865" s="13" t="s">
        <v>150</v>
      </c>
      <c r="AT865" s="13"/>
      <c r="AU865" s="13" t="s">
        <v>150</v>
      </c>
      <c r="AW865" s="13" t="s">
        <v>150</v>
      </c>
      <c r="AY865" t="s">
        <v>92</v>
      </c>
      <c r="AZ865" t="s">
        <v>92</v>
      </c>
      <c r="BA865" t="s">
        <v>92</v>
      </c>
      <c r="BB865" t="s">
        <v>92</v>
      </c>
      <c r="BC865" t="s">
        <v>92</v>
      </c>
      <c r="BD865" s="17">
        <v>20.85</v>
      </c>
      <c r="BE865" s="17">
        <v>25038998.99</v>
      </c>
      <c r="BF865" t="s">
        <v>92</v>
      </c>
      <c r="BG865" t="s">
        <v>92</v>
      </c>
      <c r="BH865" t="s">
        <v>93</v>
      </c>
      <c r="BI865" t="s">
        <v>94</v>
      </c>
      <c r="BJ865" t="s">
        <v>994</v>
      </c>
      <c r="BK865" t="s">
        <v>627</v>
      </c>
      <c r="BL865" t="s">
        <v>85</v>
      </c>
      <c r="BM865" t="s">
        <v>159</v>
      </c>
      <c r="BN865" t="s">
        <v>569</v>
      </c>
      <c r="BO865" t="s">
        <v>98</v>
      </c>
      <c r="BP865" t="s">
        <v>350</v>
      </c>
      <c r="BQ865" s="17">
        <v>810.407</v>
      </c>
      <c r="BR865" t="s">
        <v>138</v>
      </c>
      <c r="BS865" t="s">
        <v>806</v>
      </c>
      <c r="BT865" t="s">
        <v>350</v>
      </c>
      <c r="BU865" s="17">
        <v>10.4</v>
      </c>
      <c r="BV865" t="s">
        <v>308</v>
      </c>
      <c r="BW865" t="s">
        <v>129</v>
      </c>
      <c r="BX865" t="s">
        <v>85</v>
      </c>
      <c r="BY865" t="str">
        <f>IF(COUNTIF('Data Upload-prod'!E:E,F865)=0,"Missing","Exist")</f>
        <v>Exist</v>
      </c>
    </row>
    <row r="866" hidden="1" spans="1:77">
      <c r="A866" s="16">
        <v>41521</v>
      </c>
      <c r="B866" s="16">
        <v>41717</v>
      </c>
      <c r="C866" t="s">
        <v>360</v>
      </c>
      <c r="D866" t="s">
        <v>142</v>
      </c>
      <c r="E866" t="s">
        <v>1367</v>
      </c>
      <c r="F866" t="s">
        <v>1459</v>
      </c>
      <c r="G866" t="s">
        <v>81</v>
      </c>
      <c r="H866" t="s">
        <v>1247</v>
      </c>
      <c r="I866" t="s">
        <v>231</v>
      </c>
      <c r="J866" s="17">
        <v>1396</v>
      </c>
      <c r="K866" s="17">
        <v>2578</v>
      </c>
      <c r="L866" s="17">
        <v>2558</v>
      </c>
      <c r="M866" t="s">
        <v>84</v>
      </c>
      <c r="N866" t="s">
        <v>84</v>
      </c>
      <c r="O866" t="s">
        <v>84</v>
      </c>
      <c r="P866" t="s">
        <v>84</v>
      </c>
      <c r="Q866" s="17">
        <v>45633728</v>
      </c>
      <c r="R866" s="17">
        <v>37.5</v>
      </c>
      <c r="S866" t="s">
        <v>85</v>
      </c>
      <c r="T866" t="s">
        <v>84</v>
      </c>
      <c r="U866" t="s">
        <v>320</v>
      </c>
      <c r="V866" s="16">
        <v>41629</v>
      </c>
      <c r="W866" s="18">
        <v>41627</v>
      </c>
      <c r="X866" s="18">
        <v>41705</v>
      </c>
      <c r="Y866" s="17">
        <v>1125.8</v>
      </c>
      <c r="Z866" t="s">
        <v>148</v>
      </c>
      <c r="AA866" s="17">
        <v>2548</v>
      </c>
      <c r="AB866" s="17">
        <v>2526.4</v>
      </c>
      <c r="AC866" t="s">
        <v>84</v>
      </c>
      <c r="AD866" t="s">
        <v>84</v>
      </c>
      <c r="AE866" t="s">
        <v>84</v>
      </c>
      <c r="AF866" t="s">
        <v>84</v>
      </c>
      <c r="AG866" s="17">
        <v>38559386</v>
      </c>
      <c r="AH866" s="17">
        <v>29</v>
      </c>
      <c r="AI866" s="17">
        <v>1.87</v>
      </c>
      <c r="AJ866" s="17">
        <v>1.87</v>
      </c>
      <c r="AK866" t="s">
        <v>770</v>
      </c>
      <c r="AM866" s="17">
        <v>4.1</v>
      </c>
      <c r="AN866" s="17"/>
      <c r="AO866" s="17">
        <v>2635</v>
      </c>
      <c r="AP866" s="17"/>
      <c r="AQ866" s="17">
        <v>3590</v>
      </c>
      <c r="AR866" s="17"/>
      <c r="AS866" s="13" t="s">
        <v>150</v>
      </c>
      <c r="AT866" s="13"/>
      <c r="AU866" s="13" t="s">
        <v>150</v>
      </c>
      <c r="AW866" s="13" t="s">
        <v>150</v>
      </c>
      <c r="AY866" t="s">
        <v>92</v>
      </c>
      <c r="AZ866" t="s">
        <v>92</v>
      </c>
      <c r="BA866" t="s">
        <v>92</v>
      </c>
      <c r="BB866" t="s">
        <v>92</v>
      </c>
      <c r="BC866" t="s">
        <v>92</v>
      </c>
      <c r="BD866" s="17">
        <v>11.66</v>
      </c>
      <c r="BE866" s="17">
        <v>15503532.44</v>
      </c>
      <c r="BF866" t="s">
        <v>92</v>
      </c>
      <c r="BG866" t="s">
        <v>92</v>
      </c>
      <c r="BH866" t="s">
        <v>93</v>
      </c>
      <c r="BI866" t="s">
        <v>94</v>
      </c>
      <c r="BJ866" t="s">
        <v>367</v>
      </c>
      <c r="BK866" t="s">
        <v>85</v>
      </c>
      <c r="BL866" t="s">
        <v>85</v>
      </c>
      <c r="BM866" t="s">
        <v>273</v>
      </c>
      <c r="BN866" t="s">
        <v>97</v>
      </c>
      <c r="BO866" t="s">
        <v>727</v>
      </c>
      <c r="BP866" t="s">
        <v>99</v>
      </c>
      <c r="BQ866" s="17">
        <v>275.9321</v>
      </c>
      <c r="BR866" t="s">
        <v>138</v>
      </c>
      <c r="BS866" t="s">
        <v>92</v>
      </c>
      <c r="BT866" t="s">
        <v>99</v>
      </c>
      <c r="BU866" s="17">
        <v>10.4</v>
      </c>
      <c r="BV866" t="s">
        <v>340</v>
      </c>
      <c r="BW866" t="s">
        <v>337</v>
      </c>
      <c r="BX866" t="s">
        <v>85</v>
      </c>
      <c r="BY866" t="str">
        <f>IF(COUNTIF('Data Upload-prod'!E:E,F866)=0,"Missing","Exist")</f>
        <v>Exist</v>
      </c>
    </row>
    <row r="867" hidden="1" spans="1:77">
      <c r="A867" s="16">
        <v>41513</v>
      </c>
      <c r="B867" s="16">
        <v>41731</v>
      </c>
      <c r="C867" t="s">
        <v>132</v>
      </c>
      <c r="D867" t="s">
        <v>142</v>
      </c>
      <c r="E867" t="s">
        <v>166</v>
      </c>
      <c r="F867" t="s">
        <v>1460</v>
      </c>
      <c r="G867" t="s">
        <v>81</v>
      </c>
      <c r="H867" t="s">
        <v>1277</v>
      </c>
      <c r="I867" t="s">
        <v>124</v>
      </c>
      <c r="J867" s="17">
        <v>59.13</v>
      </c>
      <c r="K867" s="17">
        <v>5231.64</v>
      </c>
      <c r="L867" s="17">
        <v>4398.26</v>
      </c>
      <c r="M867" t="s">
        <v>84</v>
      </c>
      <c r="N867" t="s">
        <v>84</v>
      </c>
      <c r="O867" t="s">
        <v>84</v>
      </c>
      <c r="P867" t="s">
        <v>84</v>
      </c>
      <c r="Q867" s="17">
        <v>58221926.13</v>
      </c>
      <c r="R867" s="17">
        <v>66.1</v>
      </c>
      <c r="S867" t="s">
        <v>85</v>
      </c>
      <c r="T867" t="s">
        <v>84</v>
      </c>
      <c r="U867" t="s">
        <v>84</v>
      </c>
      <c r="V867" s="16">
        <v>41560</v>
      </c>
      <c r="W867" s="18">
        <v>41559.7708333333</v>
      </c>
      <c r="X867" s="18">
        <v>41673.3125</v>
      </c>
      <c r="Y867" s="17">
        <v>5155.14</v>
      </c>
      <c r="Z867" t="s">
        <v>87</v>
      </c>
      <c r="AA867" s="17">
        <v>5270.95</v>
      </c>
      <c r="AB867" s="17">
        <v>4405.65</v>
      </c>
      <c r="AC867" t="s">
        <v>84</v>
      </c>
      <c r="AD867" t="s">
        <v>84</v>
      </c>
      <c r="AE867" t="s">
        <v>84</v>
      </c>
      <c r="AF867" t="s">
        <v>84</v>
      </c>
      <c r="AG867" s="17">
        <v>71044059.68</v>
      </c>
      <c r="AH867" s="17">
        <v>112.71</v>
      </c>
      <c r="AI867" s="17">
        <v>13.9</v>
      </c>
      <c r="AJ867" s="17">
        <v>13.9</v>
      </c>
      <c r="AK867" t="s">
        <v>165</v>
      </c>
      <c r="AM867" s="17">
        <v>2.5</v>
      </c>
      <c r="AN867" s="17"/>
      <c r="AO867" s="17">
        <v>1440</v>
      </c>
      <c r="AP867" s="17"/>
      <c r="AQ867" s="17">
        <v>2015</v>
      </c>
      <c r="AR867" s="17"/>
      <c r="AS867" s="17">
        <v>3.76</v>
      </c>
      <c r="AT867" s="17"/>
      <c r="AU867" s="17">
        <v>2352</v>
      </c>
      <c r="AV867" s="17"/>
      <c r="AW867" s="17">
        <v>3684</v>
      </c>
      <c r="AX867" s="17"/>
      <c r="AY867" t="s">
        <v>92</v>
      </c>
      <c r="AZ867" t="s">
        <v>92</v>
      </c>
      <c r="BA867" t="s">
        <v>92</v>
      </c>
      <c r="BB867" t="s">
        <v>92</v>
      </c>
      <c r="BC867" t="s">
        <v>92</v>
      </c>
      <c r="BD867" t="s">
        <v>92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92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92</v>
      </c>
      <c r="BS867" t="s">
        <v>92</v>
      </c>
      <c r="BT867" t="s">
        <v>92</v>
      </c>
      <c r="BU867" t="s">
        <v>92</v>
      </c>
      <c r="BV867" t="s">
        <v>92</v>
      </c>
      <c r="BW867" t="s">
        <v>92</v>
      </c>
      <c r="BX867" t="s">
        <v>92</v>
      </c>
      <c r="BY867" t="str">
        <f>IF(COUNTIF('Data Upload-prod'!E:E,F867)=0,"Missing","Exist")</f>
        <v>Exist</v>
      </c>
    </row>
    <row r="868" hidden="1" spans="1:77">
      <c r="A868" s="16">
        <v>41467</v>
      </c>
      <c r="B868" s="16">
        <v>41520</v>
      </c>
      <c r="C868" t="s">
        <v>132</v>
      </c>
      <c r="D868" t="s">
        <v>120</v>
      </c>
      <c r="E868" t="s">
        <v>1461</v>
      </c>
      <c r="F868" t="s">
        <v>1462</v>
      </c>
      <c r="G868" t="s">
        <v>145</v>
      </c>
      <c r="H868" t="s">
        <v>319</v>
      </c>
      <c r="I868" t="s">
        <v>231</v>
      </c>
      <c r="J868" s="17">
        <v>84</v>
      </c>
      <c r="K868" s="17">
        <v>3286</v>
      </c>
      <c r="L868" s="17">
        <v>3286</v>
      </c>
      <c r="M868" s="17">
        <v>25700000</v>
      </c>
      <c r="N868" s="17">
        <v>33100000</v>
      </c>
      <c r="O868" s="17">
        <v>39</v>
      </c>
      <c r="P868" s="17">
        <v>52</v>
      </c>
      <c r="Q868" t="s">
        <v>84</v>
      </c>
      <c r="R868" t="s">
        <v>84</v>
      </c>
      <c r="S868" t="s">
        <v>85</v>
      </c>
      <c r="T868" t="s">
        <v>84</v>
      </c>
      <c r="U868" t="s">
        <v>84</v>
      </c>
      <c r="V868" s="16">
        <v>41477.40625</v>
      </c>
      <c r="W868" s="18">
        <v>41473.6666666667</v>
      </c>
      <c r="X868" s="18">
        <v>41503.75</v>
      </c>
      <c r="Y868" s="17">
        <v>2935</v>
      </c>
      <c r="Z868" t="s">
        <v>87</v>
      </c>
      <c r="AA868" s="17">
        <v>3048</v>
      </c>
      <c r="AB868" s="17">
        <v>3048</v>
      </c>
      <c r="AC868" s="17">
        <v>15971600</v>
      </c>
      <c r="AD868" t="s">
        <v>84</v>
      </c>
      <c r="AE868" s="17">
        <v>30.09</v>
      </c>
      <c r="AF868" t="s">
        <v>84</v>
      </c>
      <c r="AG868" t="s">
        <v>84</v>
      </c>
      <c r="AH868" t="s">
        <v>84</v>
      </c>
      <c r="AI868" s="17">
        <v>9.45</v>
      </c>
      <c r="AJ868" s="17">
        <v>9.45</v>
      </c>
      <c r="AK868" t="s">
        <v>323</v>
      </c>
      <c r="AM868" s="17">
        <v>4.4</v>
      </c>
      <c r="AN868" s="17"/>
      <c r="AO868" s="17">
        <v>1980</v>
      </c>
      <c r="AP868" s="17"/>
      <c r="AQ868" s="17">
        <v>2760</v>
      </c>
      <c r="AR868" s="17"/>
      <c r="AS868" s="17">
        <v>2.14</v>
      </c>
      <c r="AT868" s="17"/>
      <c r="AU868" s="17">
        <v>1295</v>
      </c>
      <c r="AV868" s="17"/>
      <c r="AW868" s="17">
        <v>1723</v>
      </c>
      <c r="AX868" s="17"/>
      <c r="AY868" t="s">
        <v>92</v>
      </c>
      <c r="AZ868" t="s">
        <v>92</v>
      </c>
      <c r="BA868" t="s">
        <v>92</v>
      </c>
      <c r="BB868" t="s">
        <v>92</v>
      </c>
      <c r="BC868" t="s">
        <v>92</v>
      </c>
      <c r="BD868" t="s">
        <v>92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92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92</v>
      </c>
      <c r="BS868" t="s">
        <v>92</v>
      </c>
      <c r="BT868" t="s">
        <v>92</v>
      </c>
      <c r="BU868" t="s">
        <v>92</v>
      </c>
      <c r="BV868" t="s">
        <v>92</v>
      </c>
      <c r="BW868" t="s">
        <v>92</v>
      </c>
      <c r="BX868" t="s">
        <v>92</v>
      </c>
      <c r="BY868" t="str">
        <f>IF(COUNTIF('Data Upload-prod'!E:E,F868)=0,"Missing","Exist")</f>
        <v>Exist</v>
      </c>
    </row>
    <row r="869" hidden="1" spans="1:77">
      <c r="A869" s="16">
        <v>41465</v>
      </c>
      <c r="B869" s="16">
        <v>41747</v>
      </c>
      <c r="C869" t="s">
        <v>360</v>
      </c>
      <c r="D869" t="s">
        <v>142</v>
      </c>
      <c r="E869" t="s">
        <v>1367</v>
      </c>
      <c r="F869" t="s">
        <v>1463</v>
      </c>
      <c r="G869" t="s">
        <v>81</v>
      </c>
      <c r="H869" t="s">
        <v>1247</v>
      </c>
      <c r="I869" t="s">
        <v>231</v>
      </c>
      <c r="J869" s="17">
        <v>1243.14</v>
      </c>
      <c r="K869" s="17">
        <v>2735</v>
      </c>
      <c r="L869" s="17">
        <v>2634</v>
      </c>
      <c r="M869" t="s">
        <v>84</v>
      </c>
      <c r="N869" t="s">
        <v>84</v>
      </c>
      <c r="O869" t="s">
        <v>84</v>
      </c>
      <c r="P869" t="s">
        <v>84</v>
      </c>
      <c r="Q869" s="17">
        <v>49674655</v>
      </c>
      <c r="R869" s="17">
        <v>40.8</v>
      </c>
      <c r="S869" t="s">
        <v>85</v>
      </c>
      <c r="T869" t="s">
        <v>84</v>
      </c>
      <c r="U869" t="s">
        <v>320</v>
      </c>
      <c r="V869" s="16">
        <v>41490.6458333333</v>
      </c>
      <c r="W869" s="18">
        <v>41489.5</v>
      </c>
      <c r="X869" s="18">
        <v>41728</v>
      </c>
      <c r="Y869" s="17">
        <v>1496.26</v>
      </c>
      <c r="Z869" t="s">
        <v>148</v>
      </c>
      <c r="AA869" s="17">
        <v>2765.6</v>
      </c>
      <c r="AB869" s="17">
        <v>2664.6</v>
      </c>
      <c r="AC869" t="s">
        <v>84</v>
      </c>
      <c r="AD869" t="s">
        <v>84</v>
      </c>
      <c r="AE869" t="s">
        <v>84</v>
      </c>
      <c r="AF869" t="s">
        <v>84</v>
      </c>
      <c r="AG869" s="17">
        <v>37139873</v>
      </c>
      <c r="AH869" s="17">
        <v>27</v>
      </c>
      <c r="AI869" s="17">
        <v>1.31</v>
      </c>
      <c r="AJ869" s="17">
        <v>1.31</v>
      </c>
      <c r="AK869" t="s">
        <v>767</v>
      </c>
      <c r="AM869" s="17">
        <v>3.1</v>
      </c>
      <c r="AN869" s="17"/>
      <c r="AO869" s="17">
        <v>1500</v>
      </c>
      <c r="AP869" s="17"/>
      <c r="AQ869" s="17">
        <v>3540</v>
      </c>
      <c r="AR869" s="17"/>
      <c r="AS869" s="13" t="s">
        <v>150</v>
      </c>
      <c r="AT869" s="13"/>
      <c r="AU869" s="13" t="s">
        <v>150</v>
      </c>
      <c r="AW869" s="13" t="s">
        <v>150</v>
      </c>
      <c r="AY869" t="s">
        <v>92</v>
      </c>
      <c r="AZ869" t="s">
        <v>92</v>
      </c>
      <c r="BA869" t="s">
        <v>92</v>
      </c>
      <c r="BB869" t="s">
        <v>92</v>
      </c>
      <c r="BC869" t="s">
        <v>92</v>
      </c>
      <c r="BD869" s="17">
        <v>16.6</v>
      </c>
      <c r="BE869" s="17">
        <v>22834144.14</v>
      </c>
      <c r="BF869" t="s">
        <v>92</v>
      </c>
      <c r="BG869" t="s">
        <v>92</v>
      </c>
      <c r="BH869" t="s">
        <v>93</v>
      </c>
      <c r="BI869" t="s">
        <v>94</v>
      </c>
      <c r="BJ869" t="s">
        <v>994</v>
      </c>
      <c r="BK869" t="s">
        <v>85</v>
      </c>
      <c r="BL869" t="s">
        <v>85</v>
      </c>
      <c r="BM869" t="s">
        <v>159</v>
      </c>
      <c r="BN869" t="s">
        <v>97</v>
      </c>
      <c r="BO869" t="s">
        <v>98</v>
      </c>
      <c r="BP869" t="s">
        <v>350</v>
      </c>
      <c r="BQ869" s="17">
        <v>275.604</v>
      </c>
      <c r="BR869" t="s">
        <v>138</v>
      </c>
      <c r="BS869" t="s">
        <v>92</v>
      </c>
      <c r="BT869" t="s">
        <v>350</v>
      </c>
      <c r="BU869" s="17">
        <v>10.4</v>
      </c>
      <c r="BV869" t="s">
        <v>308</v>
      </c>
      <c r="BW869" t="s">
        <v>129</v>
      </c>
      <c r="BX869" t="s">
        <v>85</v>
      </c>
      <c r="BY869" t="str">
        <f>IF(COUNTIF('Data Upload-prod'!E:E,F869)=0,"Missing","Exist")</f>
        <v>Exist</v>
      </c>
    </row>
    <row r="870" hidden="1" spans="1:77">
      <c r="A870" s="16">
        <v>41460</v>
      </c>
      <c r="B870" s="16">
        <v>41571</v>
      </c>
      <c r="C870" t="s">
        <v>132</v>
      </c>
      <c r="D870" t="s">
        <v>78</v>
      </c>
      <c r="E870" t="s">
        <v>1464</v>
      </c>
      <c r="F870" t="s">
        <v>1465</v>
      </c>
      <c r="G870" t="s">
        <v>145</v>
      </c>
      <c r="H870" t="s">
        <v>1188</v>
      </c>
      <c r="I870" t="s">
        <v>231</v>
      </c>
      <c r="J870" s="17">
        <v>64.62</v>
      </c>
      <c r="K870" s="17">
        <v>2236</v>
      </c>
      <c r="L870" s="17">
        <v>2236</v>
      </c>
      <c r="M870" s="17">
        <v>23202381.24</v>
      </c>
      <c r="N870" s="17">
        <v>23202381.24</v>
      </c>
      <c r="O870" s="17">
        <v>34.6</v>
      </c>
      <c r="P870" s="17">
        <v>50.6</v>
      </c>
      <c r="Q870" t="s">
        <v>84</v>
      </c>
      <c r="R870" t="s">
        <v>84</v>
      </c>
      <c r="S870" t="s">
        <v>85</v>
      </c>
      <c r="T870" t="s">
        <v>84</v>
      </c>
      <c r="U870" t="s">
        <v>84</v>
      </c>
      <c r="V870" s="16">
        <v>41463.1458333333</v>
      </c>
      <c r="W870" s="18">
        <v>41460.8125</v>
      </c>
      <c r="X870" s="18">
        <v>41503.3333333333</v>
      </c>
      <c r="Y870" s="17">
        <v>2129.38</v>
      </c>
      <c r="Z870" t="s">
        <v>87</v>
      </c>
      <c r="AA870" s="17">
        <v>2222</v>
      </c>
      <c r="AB870" s="17">
        <v>2222</v>
      </c>
      <c r="AC870" t="s">
        <v>84</v>
      </c>
      <c r="AD870" s="17">
        <v>20456097.9</v>
      </c>
      <c r="AE870" t="s">
        <v>84</v>
      </c>
      <c r="AF870" s="17">
        <v>42.52</v>
      </c>
      <c r="AG870" t="s">
        <v>84</v>
      </c>
      <c r="AH870" t="s">
        <v>84</v>
      </c>
      <c r="AI870" s="17">
        <v>6.84</v>
      </c>
      <c r="AJ870" s="17">
        <v>6.84</v>
      </c>
      <c r="AK870" t="s">
        <v>333</v>
      </c>
      <c r="AM870" s="17">
        <v>3.8</v>
      </c>
      <c r="AN870" s="17"/>
      <c r="AO870" s="17">
        <v>2125</v>
      </c>
      <c r="AP870" s="17"/>
      <c r="AQ870" s="17">
        <v>3315</v>
      </c>
      <c r="AR870" s="17"/>
      <c r="AS870" s="17">
        <v>2.6</v>
      </c>
      <c r="AT870" s="17"/>
      <c r="AU870" s="17">
        <v>1334</v>
      </c>
      <c r="AV870" s="17"/>
      <c r="AW870" s="17">
        <v>2437</v>
      </c>
      <c r="AX870" s="17"/>
      <c r="AY870" t="s">
        <v>92</v>
      </c>
      <c r="AZ870" t="s">
        <v>92</v>
      </c>
      <c r="BA870" t="s">
        <v>92</v>
      </c>
      <c r="BB870" t="s">
        <v>92</v>
      </c>
      <c r="BC870" t="s">
        <v>92</v>
      </c>
      <c r="BD870" t="s">
        <v>92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92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92</v>
      </c>
      <c r="BS870" t="s">
        <v>92</v>
      </c>
      <c r="BT870" t="s">
        <v>92</v>
      </c>
      <c r="BU870" t="s">
        <v>92</v>
      </c>
      <c r="BV870" t="s">
        <v>92</v>
      </c>
      <c r="BW870" t="s">
        <v>92</v>
      </c>
      <c r="BX870" t="s">
        <v>92</v>
      </c>
      <c r="BY870" t="str">
        <f>IF(COUNTIF('Data Upload-prod'!E:E,F870)=0,"Missing","Exist")</f>
        <v>Exist</v>
      </c>
    </row>
    <row r="871" hidden="1" spans="1:77">
      <c r="A871" s="16">
        <v>41456</v>
      </c>
      <c r="B871" s="16">
        <v>41765</v>
      </c>
      <c r="C871" t="s">
        <v>1273</v>
      </c>
      <c r="D871" t="s">
        <v>142</v>
      </c>
      <c r="E871" t="s">
        <v>1367</v>
      </c>
      <c r="F871" t="s">
        <v>1466</v>
      </c>
      <c r="G871" t="s">
        <v>81</v>
      </c>
      <c r="H871" t="s">
        <v>1247</v>
      </c>
      <c r="I871" t="s">
        <v>231</v>
      </c>
      <c r="J871" s="17">
        <v>1237</v>
      </c>
      <c r="K871" s="17">
        <v>2645</v>
      </c>
      <c r="L871" s="17">
        <v>2418</v>
      </c>
      <c r="M871" t="s">
        <v>84</v>
      </c>
      <c r="N871" t="s">
        <v>84</v>
      </c>
      <c r="O871" t="s">
        <v>84</v>
      </c>
      <c r="P871" t="s">
        <v>84</v>
      </c>
      <c r="Q871" s="17">
        <v>54959405</v>
      </c>
      <c r="R871" s="17">
        <v>43</v>
      </c>
      <c r="S871" t="s">
        <v>106</v>
      </c>
      <c r="T871" t="s">
        <v>84</v>
      </c>
      <c r="U871" t="s">
        <v>84</v>
      </c>
      <c r="V871" s="16">
        <v>41467</v>
      </c>
      <c r="W871" s="18">
        <v>41466.6666666667</v>
      </c>
      <c r="X871" s="18">
        <v>41721</v>
      </c>
      <c r="Y871" s="17">
        <v>1404.8</v>
      </c>
      <c r="Z871" t="s">
        <v>148</v>
      </c>
      <c r="AA871" s="17">
        <v>2668</v>
      </c>
      <c r="AB871" s="17">
        <v>2456.8</v>
      </c>
      <c r="AC871" t="s">
        <v>84</v>
      </c>
      <c r="AD871" t="s">
        <v>84</v>
      </c>
      <c r="AE871" t="s">
        <v>84</v>
      </c>
      <c r="AF871" t="s">
        <v>84</v>
      </c>
      <c r="AG871" s="17">
        <v>39991895</v>
      </c>
      <c r="AH871" s="17">
        <v>28.83</v>
      </c>
      <c r="AI871" s="17">
        <v>2.38</v>
      </c>
      <c r="AJ871" s="17">
        <v>1.66</v>
      </c>
      <c r="AK871" t="s">
        <v>770</v>
      </c>
      <c r="AM871" s="17">
        <v>4.1</v>
      </c>
      <c r="AN871" s="17"/>
      <c r="AO871" s="17">
        <v>2635</v>
      </c>
      <c r="AP871" s="17"/>
      <c r="AQ871" s="17">
        <v>3590</v>
      </c>
      <c r="AR871" s="17"/>
      <c r="AS871" s="13" t="s">
        <v>150</v>
      </c>
      <c r="AT871" s="13"/>
      <c r="AU871" s="13" t="s">
        <v>150</v>
      </c>
      <c r="AW871" s="13" t="s">
        <v>150</v>
      </c>
      <c r="AY871" t="s">
        <v>92</v>
      </c>
      <c r="AZ871" t="s">
        <v>92</v>
      </c>
      <c r="BA871" t="s">
        <v>92</v>
      </c>
      <c r="BB871" t="s">
        <v>92</v>
      </c>
      <c r="BC871" t="s">
        <v>92</v>
      </c>
      <c r="BD871" t="s">
        <v>92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92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92</v>
      </c>
      <c r="BS871" t="s">
        <v>92</v>
      </c>
      <c r="BT871" t="s">
        <v>92</v>
      </c>
      <c r="BU871" t="s">
        <v>92</v>
      </c>
      <c r="BV871" t="s">
        <v>92</v>
      </c>
      <c r="BW871" t="s">
        <v>92</v>
      </c>
      <c r="BX871" t="s">
        <v>92</v>
      </c>
      <c r="BY871" t="str">
        <f>IF(COUNTIF('Data Upload-prod'!E:E,F871)=0,"Missing","Exist")</f>
        <v>Exist</v>
      </c>
    </row>
    <row r="872" hidden="1" spans="1:77">
      <c r="A872" s="16">
        <v>41432</v>
      </c>
      <c r="B872" s="16">
        <v>41813</v>
      </c>
      <c r="C872" t="s">
        <v>1273</v>
      </c>
      <c r="D872" t="s">
        <v>142</v>
      </c>
      <c r="E872" t="s">
        <v>1367</v>
      </c>
      <c r="F872" t="s">
        <v>1467</v>
      </c>
      <c r="G872" t="s">
        <v>81</v>
      </c>
      <c r="H872" t="s">
        <v>1247</v>
      </c>
      <c r="I872" t="s">
        <v>231</v>
      </c>
      <c r="J872" s="17">
        <v>1314</v>
      </c>
      <c r="K872" s="17">
        <v>2330</v>
      </c>
      <c r="L872" s="17">
        <v>2259</v>
      </c>
      <c r="M872" t="s">
        <v>84</v>
      </c>
      <c r="N872" t="s">
        <v>84</v>
      </c>
      <c r="O872" t="s">
        <v>84</v>
      </c>
      <c r="P872" t="s">
        <v>84</v>
      </c>
      <c r="Q872" s="17">
        <v>60144050</v>
      </c>
      <c r="R872" s="17">
        <v>46.4</v>
      </c>
      <c r="S872" t="s">
        <v>85</v>
      </c>
      <c r="T872" t="s">
        <v>84</v>
      </c>
      <c r="U872" t="s">
        <v>84</v>
      </c>
      <c r="V872" s="16">
        <v>41441</v>
      </c>
      <c r="W872" s="18">
        <v>41441</v>
      </c>
      <c r="X872" s="18">
        <v>41800</v>
      </c>
      <c r="Y872" s="17">
        <v>953.3</v>
      </c>
      <c r="Z872" t="s">
        <v>148</v>
      </c>
      <c r="AA872" s="17">
        <v>2293.5</v>
      </c>
      <c r="AB872" s="17">
        <v>2224.4</v>
      </c>
      <c r="AC872" t="s">
        <v>84</v>
      </c>
      <c r="AD872" t="s">
        <v>84</v>
      </c>
      <c r="AE872" t="s">
        <v>84</v>
      </c>
      <c r="AF872" t="s">
        <v>84</v>
      </c>
      <c r="AG872" s="17">
        <v>55351828</v>
      </c>
      <c r="AH872" s="17">
        <v>39</v>
      </c>
      <c r="AI872" s="17">
        <v>0.16</v>
      </c>
      <c r="AJ872" s="17">
        <v>0.16</v>
      </c>
      <c r="AK872" t="s">
        <v>770</v>
      </c>
      <c r="AM872" s="17">
        <v>4.1</v>
      </c>
      <c r="AN872" s="17"/>
      <c r="AO872" s="17">
        <v>2635</v>
      </c>
      <c r="AP872" s="17"/>
      <c r="AQ872" s="17">
        <v>3590</v>
      </c>
      <c r="AR872" s="17"/>
      <c r="AS872" s="13" t="s">
        <v>150</v>
      </c>
      <c r="AT872" s="13"/>
      <c r="AU872" s="13" t="s">
        <v>150</v>
      </c>
      <c r="AW872" s="13" t="s">
        <v>150</v>
      </c>
      <c r="AY872" t="s">
        <v>92</v>
      </c>
      <c r="AZ872" t="s">
        <v>92</v>
      </c>
      <c r="BA872" t="s">
        <v>92</v>
      </c>
      <c r="BB872" t="s">
        <v>92</v>
      </c>
      <c r="BC872" t="s">
        <v>92</v>
      </c>
      <c r="BD872" t="s">
        <v>92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92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92</v>
      </c>
      <c r="BS872" t="s">
        <v>92</v>
      </c>
      <c r="BT872" t="s">
        <v>92</v>
      </c>
      <c r="BU872" t="s">
        <v>92</v>
      </c>
      <c r="BV872" t="s">
        <v>92</v>
      </c>
      <c r="BW872" t="s">
        <v>92</v>
      </c>
      <c r="BX872" t="s">
        <v>92</v>
      </c>
      <c r="BY872" t="str">
        <f>IF(COUNTIF('Data Upload-prod'!E:E,F872)=0,"Missing","Exist")</f>
        <v>Exist</v>
      </c>
    </row>
    <row r="873" hidden="1" spans="1:77">
      <c r="A873" s="16">
        <v>41431</v>
      </c>
      <c r="B873" s="16">
        <v>41514</v>
      </c>
      <c r="C873" t="s">
        <v>132</v>
      </c>
      <c r="D873" t="s">
        <v>142</v>
      </c>
      <c r="E873" t="s">
        <v>170</v>
      </c>
      <c r="F873" t="s">
        <v>1468</v>
      </c>
      <c r="G873" t="s">
        <v>81</v>
      </c>
      <c r="H873" t="s">
        <v>211</v>
      </c>
      <c r="I873" t="s">
        <v>124</v>
      </c>
      <c r="J873" s="17">
        <v>10.06</v>
      </c>
      <c r="K873" s="17">
        <v>1424.87</v>
      </c>
      <c r="L873" s="17">
        <v>1176.78</v>
      </c>
      <c r="M873" t="s">
        <v>84</v>
      </c>
      <c r="N873" t="s">
        <v>84</v>
      </c>
      <c r="O873" t="s">
        <v>84</v>
      </c>
      <c r="P873" t="s">
        <v>84</v>
      </c>
      <c r="Q873" s="17">
        <v>13440000</v>
      </c>
      <c r="R873" s="17">
        <v>24.65</v>
      </c>
      <c r="S873" t="s">
        <v>85</v>
      </c>
      <c r="T873" t="s">
        <v>84</v>
      </c>
      <c r="U873" t="s">
        <v>84</v>
      </c>
      <c r="V873" s="16">
        <v>41433.5625</v>
      </c>
      <c r="W873" s="18">
        <v>41433.5625</v>
      </c>
      <c r="X873" s="18">
        <v>41486.7708333333</v>
      </c>
      <c r="Y873" s="17">
        <v>1325.82</v>
      </c>
      <c r="Z873" t="s">
        <v>87</v>
      </c>
      <c r="AA873" s="17">
        <v>1373.36</v>
      </c>
      <c r="AB873" s="17">
        <v>1143.01</v>
      </c>
      <c r="AC873" t="s">
        <v>84</v>
      </c>
      <c r="AD873" t="s">
        <v>84</v>
      </c>
      <c r="AE873" t="s">
        <v>84</v>
      </c>
      <c r="AF873" t="s">
        <v>84</v>
      </c>
      <c r="AG873" s="17">
        <v>13323000.49</v>
      </c>
      <c r="AH873" s="17">
        <v>23.71</v>
      </c>
      <c r="AI873" s="17">
        <v>0</v>
      </c>
      <c r="AJ873" s="17">
        <v>0</v>
      </c>
      <c r="AK873" t="s">
        <v>165</v>
      </c>
      <c r="AM873" s="17">
        <v>2.5</v>
      </c>
      <c r="AN873" s="17"/>
      <c r="AO873" s="17">
        <v>1440</v>
      </c>
      <c r="AP873" s="17"/>
      <c r="AQ873" s="17">
        <v>2080</v>
      </c>
      <c r="AR873" s="17"/>
      <c r="AS873" s="17">
        <v>2.14</v>
      </c>
      <c r="AT873" s="17"/>
      <c r="AU873" s="17">
        <v>1192.47</v>
      </c>
      <c r="AV873" s="17"/>
      <c r="AW873" s="17">
        <v>2653.31</v>
      </c>
      <c r="AX873" s="17"/>
      <c r="AY873" t="s">
        <v>92</v>
      </c>
      <c r="AZ873" t="s">
        <v>92</v>
      </c>
      <c r="BA873" t="s">
        <v>92</v>
      </c>
      <c r="BB873" t="s">
        <v>92</v>
      </c>
      <c r="BC873" t="s">
        <v>92</v>
      </c>
      <c r="BD873" t="s">
        <v>92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92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92</v>
      </c>
      <c r="BS873" t="s">
        <v>92</v>
      </c>
      <c r="BT873" t="s">
        <v>92</v>
      </c>
      <c r="BU873" t="s">
        <v>92</v>
      </c>
      <c r="BV873" t="s">
        <v>92</v>
      </c>
      <c r="BW873" t="s">
        <v>92</v>
      </c>
      <c r="BX873" t="s">
        <v>92</v>
      </c>
      <c r="BY873" t="str">
        <f>IF(COUNTIF('Data Upload-prod'!E:E,F873)=0,"Missing","Exist")</f>
        <v>Exist</v>
      </c>
    </row>
    <row r="874" hidden="1" spans="1:77">
      <c r="A874" s="16">
        <v>41431</v>
      </c>
      <c r="B874" s="16">
        <v>41529</v>
      </c>
      <c r="C874" t="s">
        <v>132</v>
      </c>
      <c r="D874" t="s">
        <v>142</v>
      </c>
      <c r="E874" t="s">
        <v>170</v>
      </c>
      <c r="F874" t="s">
        <v>1469</v>
      </c>
      <c r="G874" t="s">
        <v>81</v>
      </c>
      <c r="H874" t="s">
        <v>211</v>
      </c>
      <c r="I874" t="s">
        <v>124</v>
      </c>
      <c r="J874" s="17">
        <v>10.06</v>
      </c>
      <c r="K874" s="17">
        <v>1651.33</v>
      </c>
      <c r="L874" s="17">
        <v>1194.15</v>
      </c>
      <c r="M874" t="s">
        <v>84</v>
      </c>
      <c r="N874" t="s">
        <v>84</v>
      </c>
      <c r="O874" t="s">
        <v>84</v>
      </c>
      <c r="P874" t="s">
        <v>84</v>
      </c>
      <c r="Q874" s="17">
        <v>15002363</v>
      </c>
      <c r="R874" s="17">
        <v>28.49</v>
      </c>
      <c r="S874" t="s">
        <v>85</v>
      </c>
      <c r="T874" t="s">
        <v>84</v>
      </c>
      <c r="U874" t="s">
        <v>84</v>
      </c>
      <c r="V874" s="16">
        <v>41431</v>
      </c>
      <c r="W874" s="18">
        <v>41431.5</v>
      </c>
      <c r="X874" s="18">
        <v>41502.5</v>
      </c>
      <c r="Y874" s="17">
        <v>1543.13</v>
      </c>
      <c r="Z874" t="s">
        <v>87</v>
      </c>
      <c r="AA874" s="17">
        <v>1590.67</v>
      </c>
      <c r="AB874" s="17">
        <v>1152.48</v>
      </c>
      <c r="AC874" t="s">
        <v>84</v>
      </c>
      <c r="AD874" t="s">
        <v>84</v>
      </c>
      <c r="AE874" t="s">
        <v>84</v>
      </c>
      <c r="AF874" t="s">
        <v>84</v>
      </c>
      <c r="AG874" s="17">
        <v>14556288.83</v>
      </c>
      <c r="AH874" s="17">
        <v>26.81</v>
      </c>
      <c r="AI874" s="17">
        <v>0</v>
      </c>
      <c r="AJ874" s="17">
        <v>0</v>
      </c>
      <c r="AK874" t="s">
        <v>165</v>
      </c>
      <c r="AM874" s="17">
        <v>2.5</v>
      </c>
      <c r="AN874" s="17"/>
      <c r="AO874" s="17">
        <v>1440</v>
      </c>
      <c r="AP874" s="17"/>
      <c r="AQ874" s="17">
        <v>1995</v>
      </c>
      <c r="AR874" s="17"/>
      <c r="AS874" s="17">
        <v>2.63</v>
      </c>
      <c r="AT874" s="17"/>
      <c r="AU874" s="17">
        <v>1322.55</v>
      </c>
      <c r="AV874" s="17"/>
      <c r="AW874" s="17">
        <v>2723.75</v>
      </c>
      <c r="AX874" s="17"/>
      <c r="AY874" t="s">
        <v>92</v>
      </c>
      <c r="AZ874" t="s">
        <v>92</v>
      </c>
      <c r="BA874" t="s">
        <v>92</v>
      </c>
      <c r="BB874" t="s">
        <v>92</v>
      </c>
      <c r="BC874" t="s">
        <v>92</v>
      </c>
      <c r="BD874" t="s">
        <v>92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92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92</v>
      </c>
      <c r="BS874" t="s">
        <v>92</v>
      </c>
      <c r="BT874" t="s">
        <v>92</v>
      </c>
      <c r="BU874" t="s">
        <v>92</v>
      </c>
      <c r="BV874" t="s">
        <v>92</v>
      </c>
      <c r="BW874" t="s">
        <v>92</v>
      </c>
      <c r="BX874" t="s">
        <v>92</v>
      </c>
      <c r="BY874" t="str">
        <f>IF(COUNTIF('Data Upload-prod'!E:E,F874)=0,"Missing","Exist")</f>
        <v>Exist</v>
      </c>
    </row>
    <row r="875" hidden="1" spans="1:77">
      <c r="A875" s="16">
        <v>41430</v>
      </c>
      <c r="B875" t="s">
        <v>84</v>
      </c>
      <c r="C875" t="s">
        <v>227</v>
      </c>
      <c r="D875" t="s">
        <v>142</v>
      </c>
      <c r="E875" t="s">
        <v>1470</v>
      </c>
      <c r="F875" t="s">
        <v>1471</v>
      </c>
      <c r="G875" t="s">
        <v>81</v>
      </c>
      <c r="H875" t="s">
        <v>1374</v>
      </c>
      <c r="I875" t="s">
        <v>83</v>
      </c>
      <c r="J875" s="17">
        <v>141</v>
      </c>
      <c r="K875" s="17">
        <v>3344.82</v>
      </c>
      <c r="L875" s="17">
        <v>2106</v>
      </c>
      <c r="M875" t="s">
        <v>84</v>
      </c>
      <c r="N875" t="s">
        <v>84</v>
      </c>
      <c r="O875" t="s">
        <v>84</v>
      </c>
      <c r="P875" t="s">
        <v>84</v>
      </c>
      <c r="Q875" s="17">
        <v>32305000</v>
      </c>
      <c r="R875" s="17">
        <v>34.6</v>
      </c>
      <c r="S875" t="s">
        <v>85</v>
      </c>
      <c r="T875" t="s">
        <v>84</v>
      </c>
      <c r="U875" t="s">
        <v>84</v>
      </c>
      <c r="V875" s="16">
        <v>41516</v>
      </c>
      <c r="W875" s="18">
        <v>41515.6666666667</v>
      </c>
      <c r="X875" s="18">
        <v>41734</v>
      </c>
      <c r="Y875" s="17">
        <v>2449.5</v>
      </c>
      <c r="Z875" t="s">
        <v>87</v>
      </c>
      <c r="AA875" s="17">
        <v>2616</v>
      </c>
      <c r="AB875" s="17">
        <v>2071</v>
      </c>
      <c r="AC875" t="s">
        <v>84</v>
      </c>
      <c r="AD875" t="s">
        <v>84</v>
      </c>
      <c r="AE875" t="s">
        <v>84</v>
      </c>
      <c r="AF875" t="s">
        <v>84</v>
      </c>
      <c r="AG875" s="17">
        <v>30117819</v>
      </c>
      <c r="AH875" s="17">
        <v>35.27</v>
      </c>
      <c r="AI875" s="17">
        <v>19.1</v>
      </c>
      <c r="AJ875" s="17">
        <v>19.05</v>
      </c>
      <c r="AK875" t="s">
        <v>165</v>
      </c>
      <c r="AM875" s="17">
        <v>2.5</v>
      </c>
      <c r="AN875" s="17"/>
      <c r="AO875" s="17">
        <v>1440</v>
      </c>
      <c r="AP875" s="17"/>
      <c r="AQ875" s="17">
        <v>1995</v>
      </c>
      <c r="AR875" s="17"/>
      <c r="AS875" s="17">
        <v>3.36</v>
      </c>
      <c r="AT875" s="17"/>
      <c r="AU875" s="17">
        <v>2108</v>
      </c>
      <c r="AV875" s="17"/>
      <c r="AW875" s="17">
        <v>3765</v>
      </c>
      <c r="AX875" s="17"/>
      <c r="AY875" t="s">
        <v>92</v>
      </c>
      <c r="AZ875" t="s">
        <v>92</v>
      </c>
      <c r="BA875" t="s">
        <v>92</v>
      </c>
      <c r="BB875" t="s">
        <v>92</v>
      </c>
      <c r="BC875" t="s">
        <v>92</v>
      </c>
      <c r="BD875" t="s">
        <v>92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92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92</v>
      </c>
      <c r="BS875" t="s">
        <v>92</v>
      </c>
      <c r="BT875" t="s">
        <v>92</v>
      </c>
      <c r="BU875" t="s">
        <v>92</v>
      </c>
      <c r="BV875" t="s">
        <v>92</v>
      </c>
      <c r="BW875" t="s">
        <v>92</v>
      </c>
      <c r="BX875" t="s">
        <v>92</v>
      </c>
      <c r="BY875" t="str">
        <f>IF(COUNTIF('Data Upload-prod'!E:E,F875)=0,"Missing","Exist")</f>
        <v>Exist</v>
      </c>
    </row>
    <row r="876" hidden="1" spans="1:77">
      <c r="A876" s="16">
        <v>41430</v>
      </c>
      <c r="B876" s="16">
        <v>41822</v>
      </c>
      <c r="C876" t="s">
        <v>227</v>
      </c>
      <c r="D876" t="s">
        <v>142</v>
      </c>
      <c r="E876" t="s">
        <v>1470</v>
      </c>
      <c r="F876" t="s">
        <v>1472</v>
      </c>
      <c r="G876" t="s">
        <v>81</v>
      </c>
      <c r="H876" t="s">
        <v>1374</v>
      </c>
      <c r="I876" t="s">
        <v>83</v>
      </c>
      <c r="J876" s="17">
        <v>141</v>
      </c>
      <c r="K876" s="17">
        <v>2609.24</v>
      </c>
      <c r="L876" s="17">
        <v>2103</v>
      </c>
      <c r="M876" t="s">
        <v>84</v>
      </c>
      <c r="N876" t="s">
        <v>84</v>
      </c>
      <c r="O876" t="s">
        <v>84</v>
      </c>
      <c r="P876" t="s">
        <v>84</v>
      </c>
      <c r="Q876" s="17">
        <v>29497527</v>
      </c>
      <c r="R876" s="17">
        <v>36.12</v>
      </c>
      <c r="S876" t="s">
        <v>85</v>
      </c>
      <c r="T876" t="s">
        <v>84</v>
      </c>
      <c r="U876" t="s">
        <v>84</v>
      </c>
      <c r="V876" s="16">
        <v>41529.5729166667</v>
      </c>
      <c r="W876" s="18">
        <v>41529.2083333333</v>
      </c>
      <c r="X876" s="18">
        <v>41764.8854166667</v>
      </c>
      <c r="Y876" s="17">
        <v>2141.5</v>
      </c>
      <c r="Z876" t="s">
        <v>87</v>
      </c>
      <c r="AA876" s="17">
        <v>2308</v>
      </c>
      <c r="AB876" s="17">
        <v>2075.6</v>
      </c>
      <c r="AC876" t="s">
        <v>84</v>
      </c>
      <c r="AD876" t="s">
        <v>84</v>
      </c>
      <c r="AE876" t="s">
        <v>84</v>
      </c>
      <c r="AF876" t="s">
        <v>84</v>
      </c>
      <c r="AG876" s="17">
        <v>31120250</v>
      </c>
      <c r="AH876" s="17">
        <v>33.32</v>
      </c>
      <c r="AI876" s="17">
        <v>8.03</v>
      </c>
      <c r="AJ876" s="17">
        <v>8.03</v>
      </c>
      <c r="AK876" t="s">
        <v>165</v>
      </c>
      <c r="AM876" s="17">
        <v>2.5</v>
      </c>
      <c r="AN876" s="17"/>
      <c r="AO876" s="17">
        <v>1440</v>
      </c>
      <c r="AP876" s="17"/>
      <c r="AQ876" s="17">
        <v>1995</v>
      </c>
      <c r="AR876" s="17"/>
      <c r="AS876" s="17">
        <v>3.51</v>
      </c>
      <c r="AT876" s="17"/>
      <c r="AU876" s="17">
        <v>2166</v>
      </c>
      <c r="AV876" s="17"/>
      <c r="AW876" s="17">
        <v>4457</v>
      </c>
      <c r="AX876" s="17"/>
      <c r="AY876" t="s">
        <v>92</v>
      </c>
      <c r="AZ876" t="s">
        <v>92</v>
      </c>
      <c r="BA876" t="s">
        <v>92</v>
      </c>
      <c r="BB876" t="s">
        <v>92</v>
      </c>
      <c r="BC876" t="s">
        <v>92</v>
      </c>
      <c r="BD876" t="s">
        <v>92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92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92</v>
      </c>
      <c r="BS876" t="s">
        <v>92</v>
      </c>
      <c r="BT876" t="s">
        <v>92</v>
      </c>
      <c r="BU876" t="s">
        <v>92</v>
      </c>
      <c r="BV876" t="s">
        <v>92</v>
      </c>
      <c r="BW876" t="s">
        <v>92</v>
      </c>
      <c r="BX876" t="s">
        <v>92</v>
      </c>
      <c r="BY876" t="str">
        <f>IF(COUNTIF('Data Upload-prod'!E:E,F876)=0,"Missing","Exist")</f>
        <v>Exist</v>
      </c>
    </row>
    <row r="877" hidden="1" spans="1:77">
      <c r="A877" s="16">
        <v>41430</v>
      </c>
      <c r="B877" s="16">
        <v>41712</v>
      </c>
      <c r="C877" t="s">
        <v>227</v>
      </c>
      <c r="D877" t="s">
        <v>142</v>
      </c>
      <c r="E877" t="s">
        <v>1470</v>
      </c>
      <c r="F877" t="s">
        <v>1473</v>
      </c>
      <c r="G877" t="s">
        <v>81</v>
      </c>
      <c r="H877" t="s">
        <v>1374</v>
      </c>
      <c r="I877" t="s">
        <v>83</v>
      </c>
      <c r="J877" s="17">
        <v>141</v>
      </c>
      <c r="K877" s="17">
        <v>2810.12</v>
      </c>
      <c r="L877" s="17">
        <v>2101</v>
      </c>
      <c r="M877" t="s">
        <v>84</v>
      </c>
      <c r="N877" t="s">
        <v>84</v>
      </c>
      <c r="O877" t="s">
        <v>84</v>
      </c>
      <c r="P877" t="s">
        <v>84</v>
      </c>
      <c r="Q877" s="17">
        <v>31223368</v>
      </c>
      <c r="R877" s="17">
        <v>33.02</v>
      </c>
      <c r="S877" t="s">
        <v>85</v>
      </c>
      <c r="T877" t="s">
        <v>84</v>
      </c>
      <c r="U877" t="s">
        <v>84</v>
      </c>
      <c r="V877" s="16">
        <v>41512</v>
      </c>
      <c r="W877" s="18">
        <v>41511.6041666667</v>
      </c>
      <c r="X877" s="18">
        <v>41659.3333333333</v>
      </c>
      <c r="Y877" s="17">
        <v>2686.5</v>
      </c>
      <c r="Z877" t="s">
        <v>87</v>
      </c>
      <c r="AA877" s="17">
        <v>2853</v>
      </c>
      <c r="AB877" s="17">
        <v>2100</v>
      </c>
      <c r="AC877" t="s">
        <v>84</v>
      </c>
      <c r="AD877" t="s">
        <v>84</v>
      </c>
      <c r="AE877" t="s">
        <v>84</v>
      </c>
      <c r="AF877" t="s">
        <v>84</v>
      </c>
      <c r="AG877" s="17">
        <v>39143509</v>
      </c>
      <c r="AH877" s="17">
        <v>49.58</v>
      </c>
      <c r="AI877" s="17">
        <v>29.39</v>
      </c>
      <c r="AJ877" s="17">
        <v>23.07</v>
      </c>
      <c r="AK877" t="s">
        <v>165</v>
      </c>
      <c r="AM877" s="17">
        <v>2.5</v>
      </c>
      <c r="AN877" s="17"/>
      <c r="AO877" s="17">
        <v>1440</v>
      </c>
      <c r="AP877" s="17"/>
      <c r="AQ877" s="17">
        <v>1995</v>
      </c>
      <c r="AR877" s="17"/>
      <c r="AS877" s="13" t="s">
        <v>150</v>
      </c>
      <c r="AT877" s="13"/>
      <c r="AU877" s="13" t="s">
        <v>150</v>
      </c>
      <c r="AW877" s="13" t="s">
        <v>150</v>
      </c>
      <c r="AY877" t="s">
        <v>92</v>
      </c>
      <c r="AZ877" t="s">
        <v>92</v>
      </c>
      <c r="BA877" t="s">
        <v>92</v>
      </c>
      <c r="BB877" t="s">
        <v>92</v>
      </c>
      <c r="BC877" t="s">
        <v>92</v>
      </c>
      <c r="BD877" t="s">
        <v>92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92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92</v>
      </c>
      <c r="BS877" t="s">
        <v>92</v>
      </c>
      <c r="BT877" t="s">
        <v>92</v>
      </c>
      <c r="BU877" t="s">
        <v>92</v>
      </c>
      <c r="BV877" t="s">
        <v>92</v>
      </c>
      <c r="BW877" t="s">
        <v>92</v>
      </c>
      <c r="BX877" t="s">
        <v>92</v>
      </c>
      <c r="BY877" t="str">
        <f>IF(COUNTIF('Data Upload-prod'!E:E,F877)=0,"Missing","Exist")</f>
        <v>Exist</v>
      </c>
    </row>
    <row r="878" hidden="1" spans="1:77">
      <c r="A878" s="16">
        <v>41430</v>
      </c>
      <c r="B878" s="16">
        <v>41680</v>
      </c>
      <c r="C878" t="s">
        <v>227</v>
      </c>
      <c r="D878" t="s">
        <v>142</v>
      </c>
      <c r="E878" t="s">
        <v>1470</v>
      </c>
      <c r="F878" t="s">
        <v>1474</v>
      </c>
      <c r="G878" t="s">
        <v>81</v>
      </c>
      <c r="H878" t="s">
        <v>1374</v>
      </c>
      <c r="I878" t="s">
        <v>83</v>
      </c>
      <c r="J878" s="17">
        <v>141</v>
      </c>
      <c r="K878" s="17">
        <v>2144.16</v>
      </c>
      <c r="L878" s="17">
        <v>2076</v>
      </c>
      <c r="M878" t="s">
        <v>84</v>
      </c>
      <c r="N878" t="s">
        <v>84</v>
      </c>
      <c r="O878" t="s">
        <v>84</v>
      </c>
      <c r="P878" t="s">
        <v>84</v>
      </c>
      <c r="Q878" s="17">
        <v>30405142</v>
      </c>
      <c r="R878" s="17">
        <v>31.08</v>
      </c>
      <c r="S878" t="s">
        <v>85</v>
      </c>
      <c r="T878" t="s">
        <v>84</v>
      </c>
      <c r="U878" t="s">
        <v>84</v>
      </c>
      <c r="V878" s="16">
        <v>41523</v>
      </c>
      <c r="W878" s="18">
        <v>41522.7708333333</v>
      </c>
      <c r="X878" s="18">
        <v>41637.7083333333</v>
      </c>
      <c r="Y878" s="17">
        <v>1977.68</v>
      </c>
      <c r="Z878" t="s">
        <v>87</v>
      </c>
      <c r="AA878" s="17">
        <v>2144.18</v>
      </c>
      <c r="AB878" s="17">
        <v>2077.89</v>
      </c>
      <c r="AC878" t="s">
        <v>84</v>
      </c>
      <c r="AD878" t="s">
        <v>84</v>
      </c>
      <c r="AE878" t="s">
        <v>84</v>
      </c>
      <c r="AF878" t="s">
        <v>84</v>
      </c>
      <c r="AG878" s="17">
        <v>28357017</v>
      </c>
      <c r="AH878" s="17">
        <v>37.66</v>
      </c>
      <c r="AI878" s="17">
        <v>15.77</v>
      </c>
      <c r="AJ878" s="17">
        <v>15.63</v>
      </c>
      <c r="AK878" t="s">
        <v>208</v>
      </c>
      <c r="AM878" s="17">
        <v>1.7</v>
      </c>
      <c r="AN878" s="17"/>
      <c r="AO878" s="17">
        <v>720</v>
      </c>
      <c r="AP878" s="17"/>
      <c r="AQ878" s="17">
        <v>1270</v>
      </c>
      <c r="AR878" s="17"/>
      <c r="AS878" s="13" t="s">
        <v>150</v>
      </c>
      <c r="AT878" s="13"/>
      <c r="AU878" s="13" t="s">
        <v>150</v>
      </c>
      <c r="AW878" s="13" t="s">
        <v>150</v>
      </c>
      <c r="AY878" t="s">
        <v>92</v>
      </c>
      <c r="AZ878" t="s">
        <v>92</v>
      </c>
      <c r="BA878" t="s">
        <v>92</v>
      </c>
      <c r="BB878" t="s">
        <v>92</v>
      </c>
      <c r="BC878" t="s">
        <v>92</v>
      </c>
      <c r="BD878" t="s">
        <v>92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92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92</v>
      </c>
      <c r="BS878" t="s">
        <v>92</v>
      </c>
      <c r="BT878" t="s">
        <v>92</v>
      </c>
      <c r="BU878" t="s">
        <v>92</v>
      </c>
      <c r="BV878" t="s">
        <v>92</v>
      </c>
      <c r="BW878" t="s">
        <v>92</v>
      </c>
      <c r="BX878" t="s">
        <v>92</v>
      </c>
      <c r="BY878" t="str">
        <f>IF(COUNTIF('Data Upload-prod'!E:E,F878)=0,"Missing","Exist")</f>
        <v>Exist</v>
      </c>
    </row>
    <row r="879" hidden="1" spans="1:77">
      <c r="A879" s="16">
        <v>41430</v>
      </c>
      <c r="B879" s="16">
        <v>41705</v>
      </c>
      <c r="C879" t="s">
        <v>227</v>
      </c>
      <c r="D879" t="s">
        <v>142</v>
      </c>
      <c r="E879" t="s">
        <v>1470</v>
      </c>
      <c r="F879" t="s">
        <v>1475</v>
      </c>
      <c r="G879" t="s">
        <v>81</v>
      </c>
      <c r="H879" t="s">
        <v>1374</v>
      </c>
      <c r="I879" t="s">
        <v>83</v>
      </c>
      <c r="J879" s="17">
        <v>141</v>
      </c>
      <c r="K879" s="17">
        <v>2981.96</v>
      </c>
      <c r="L879" s="17">
        <v>2433</v>
      </c>
      <c r="M879" t="s">
        <v>84</v>
      </c>
      <c r="N879" t="s">
        <v>84</v>
      </c>
      <c r="O879" t="s">
        <v>84</v>
      </c>
      <c r="P879" t="s">
        <v>84</v>
      </c>
      <c r="Q879" s="17">
        <v>26486380</v>
      </c>
      <c r="R879" s="17">
        <v>27.3</v>
      </c>
      <c r="S879" t="s">
        <v>85</v>
      </c>
      <c r="T879" t="s">
        <v>84</v>
      </c>
      <c r="U879" t="s">
        <v>84</v>
      </c>
      <c r="V879" s="16">
        <v>41496</v>
      </c>
      <c r="W879" s="18">
        <v>41459</v>
      </c>
      <c r="X879" s="18">
        <v>41507.9583333333</v>
      </c>
      <c r="Y879" s="17">
        <v>933.5</v>
      </c>
      <c r="Z879" t="s">
        <v>87</v>
      </c>
      <c r="AA879" s="17">
        <v>1100</v>
      </c>
      <c r="AB879" s="17">
        <v>1068</v>
      </c>
      <c r="AC879" t="s">
        <v>84</v>
      </c>
      <c r="AD879" t="s">
        <v>84</v>
      </c>
      <c r="AE879" t="s">
        <v>84</v>
      </c>
      <c r="AF879" t="s">
        <v>84</v>
      </c>
      <c r="AG879" s="17">
        <v>7314013</v>
      </c>
      <c r="AH879" s="17">
        <v>11.89</v>
      </c>
      <c r="AI879" s="17">
        <v>22.7</v>
      </c>
      <c r="AJ879" s="17">
        <v>22.69</v>
      </c>
      <c r="AK879" t="s">
        <v>208</v>
      </c>
      <c r="AM879" s="17">
        <v>1.7</v>
      </c>
      <c r="AN879" s="17"/>
      <c r="AO879" s="17">
        <v>720</v>
      </c>
      <c r="AP879" s="17"/>
      <c r="AQ879" s="17">
        <v>1270</v>
      </c>
      <c r="AR879" s="17"/>
      <c r="AS879" s="13" t="s">
        <v>150</v>
      </c>
      <c r="AT879" s="13"/>
      <c r="AU879" s="13" t="s">
        <v>150</v>
      </c>
      <c r="AW879" s="13" t="s">
        <v>150</v>
      </c>
      <c r="AY879" t="s">
        <v>92</v>
      </c>
      <c r="AZ879" t="s">
        <v>92</v>
      </c>
      <c r="BA879" t="s">
        <v>92</v>
      </c>
      <c r="BB879" t="s">
        <v>92</v>
      </c>
      <c r="BC879" t="s">
        <v>92</v>
      </c>
      <c r="BD879" t="s">
        <v>92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92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92</v>
      </c>
      <c r="BS879" t="s">
        <v>92</v>
      </c>
      <c r="BT879" t="s">
        <v>92</v>
      </c>
      <c r="BU879" t="s">
        <v>92</v>
      </c>
      <c r="BV879" t="s">
        <v>92</v>
      </c>
      <c r="BW879" t="s">
        <v>92</v>
      </c>
      <c r="BX879" t="s">
        <v>92</v>
      </c>
      <c r="BY879" t="str">
        <f>IF(COUNTIF('Data Upload-prod'!E:E,F879)=0,"Missing","Exist")</f>
        <v>Exist</v>
      </c>
    </row>
    <row r="880" hidden="1" spans="1:77">
      <c r="A880" s="16">
        <v>41430</v>
      </c>
      <c r="B880" s="16">
        <v>41778</v>
      </c>
      <c r="C880" t="s">
        <v>227</v>
      </c>
      <c r="D880" t="s">
        <v>142</v>
      </c>
      <c r="E880" t="s">
        <v>1470</v>
      </c>
      <c r="F880" t="s">
        <v>1476</v>
      </c>
      <c r="G880" t="s">
        <v>81</v>
      </c>
      <c r="H880" t="s">
        <v>1374</v>
      </c>
      <c r="I880" t="s">
        <v>83</v>
      </c>
      <c r="J880" s="17">
        <v>141</v>
      </c>
      <c r="K880" s="17">
        <v>3769.41</v>
      </c>
      <c r="L880" s="17">
        <v>2093</v>
      </c>
      <c r="M880" t="s">
        <v>84</v>
      </c>
      <c r="N880" t="s">
        <v>84</v>
      </c>
      <c r="O880" t="s">
        <v>84</v>
      </c>
      <c r="P880" t="s">
        <v>84</v>
      </c>
      <c r="Q880" s="17">
        <v>32680401</v>
      </c>
      <c r="R880" s="17">
        <v>42.51</v>
      </c>
      <c r="S880" t="s">
        <v>85</v>
      </c>
      <c r="T880" t="s">
        <v>84</v>
      </c>
      <c r="U880" t="s">
        <v>84</v>
      </c>
      <c r="V880" s="16">
        <v>41526.8020833333</v>
      </c>
      <c r="W880" s="18">
        <v>41526</v>
      </c>
      <c r="X880" s="18">
        <v>41721.375</v>
      </c>
      <c r="Y880" s="17">
        <v>2431.5</v>
      </c>
      <c r="Z880" t="s">
        <v>87</v>
      </c>
      <c r="AA880" s="17">
        <v>2598</v>
      </c>
      <c r="AB880" s="17">
        <v>2070.18</v>
      </c>
      <c r="AC880" t="s">
        <v>84</v>
      </c>
      <c r="AD880" t="s">
        <v>84</v>
      </c>
      <c r="AE880" t="s">
        <v>84</v>
      </c>
      <c r="AF880" t="s">
        <v>84</v>
      </c>
      <c r="AG880" s="17">
        <v>23482323</v>
      </c>
      <c r="AH880" s="17">
        <v>30.88</v>
      </c>
      <c r="AI880" s="17">
        <v>3.07</v>
      </c>
      <c r="AJ880" s="17">
        <v>3.07</v>
      </c>
      <c r="AK880" t="s">
        <v>165</v>
      </c>
      <c r="AM880" s="17">
        <v>2.5</v>
      </c>
      <c r="AN880" s="17"/>
      <c r="AO880" s="17">
        <v>1440</v>
      </c>
      <c r="AP880" s="17"/>
      <c r="AQ880" s="17">
        <v>1995</v>
      </c>
      <c r="AR880" s="17"/>
      <c r="AS880" s="17">
        <v>2.95</v>
      </c>
      <c r="AT880" s="17"/>
      <c r="AU880" s="17">
        <v>21.76</v>
      </c>
      <c r="AV880" s="17"/>
      <c r="AW880" s="17">
        <v>28.74</v>
      </c>
      <c r="AX880" s="17"/>
      <c r="AY880" t="s">
        <v>92</v>
      </c>
      <c r="AZ880" t="s">
        <v>92</v>
      </c>
      <c r="BA880" t="s">
        <v>92</v>
      </c>
      <c r="BB880" t="s">
        <v>92</v>
      </c>
      <c r="BC880" t="s">
        <v>92</v>
      </c>
      <c r="BD880" t="s">
        <v>92</v>
      </c>
      <c r="BE880" t="s">
        <v>92</v>
      </c>
      <c r="BF880" t="s">
        <v>92</v>
      </c>
      <c r="BG880" t="s">
        <v>92</v>
      </c>
      <c r="BH880" t="s">
        <v>92</v>
      </c>
      <c r="BI880" t="s">
        <v>92</v>
      </c>
      <c r="BJ880" t="s">
        <v>92</v>
      </c>
      <c r="BK880" t="s">
        <v>92</v>
      </c>
      <c r="BL880" t="s">
        <v>92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92</v>
      </c>
      <c r="BS880" t="s">
        <v>92</v>
      </c>
      <c r="BT880" t="s">
        <v>92</v>
      </c>
      <c r="BU880" t="s">
        <v>92</v>
      </c>
      <c r="BV880" t="s">
        <v>92</v>
      </c>
      <c r="BW880" t="s">
        <v>92</v>
      </c>
      <c r="BX880" t="s">
        <v>92</v>
      </c>
      <c r="BY880" t="str">
        <f>IF(COUNTIF('Data Upload-prod'!E:E,F880)=0,"Missing","Exist")</f>
        <v>Exist</v>
      </c>
    </row>
    <row r="881" hidden="1" spans="1:77">
      <c r="A881" s="16">
        <v>41430</v>
      </c>
      <c r="B881" s="16">
        <v>41726</v>
      </c>
      <c r="C881" t="s">
        <v>227</v>
      </c>
      <c r="D881" t="s">
        <v>142</v>
      </c>
      <c r="E881" t="s">
        <v>1470</v>
      </c>
      <c r="F881" t="s">
        <v>1477</v>
      </c>
      <c r="G881" t="s">
        <v>81</v>
      </c>
      <c r="H881" t="s">
        <v>1374</v>
      </c>
      <c r="I881" t="s">
        <v>83</v>
      </c>
      <c r="J881" s="17">
        <v>141</v>
      </c>
      <c r="K881" s="17">
        <v>2890.8</v>
      </c>
      <c r="L881" s="17">
        <v>2190</v>
      </c>
      <c r="M881" t="s">
        <v>84</v>
      </c>
      <c r="N881" t="s">
        <v>84</v>
      </c>
      <c r="O881" t="s">
        <v>84</v>
      </c>
      <c r="P881" t="s">
        <v>84</v>
      </c>
      <c r="Q881" s="17">
        <v>32256000</v>
      </c>
      <c r="R881" s="17">
        <v>32.06</v>
      </c>
      <c r="S881" t="s">
        <v>106</v>
      </c>
      <c r="T881" t="s">
        <v>84</v>
      </c>
      <c r="U881" t="s">
        <v>84</v>
      </c>
      <c r="V881" s="16">
        <v>41519.6979166667</v>
      </c>
      <c r="W881" s="18">
        <v>41519.1041666667</v>
      </c>
      <c r="X881" s="18">
        <v>41675.5</v>
      </c>
      <c r="Y881" s="17">
        <v>2643.5</v>
      </c>
      <c r="Z881" t="s">
        <v>87</v>
      </c>
      <c r="AA881" s="17">
        <v>2810</v>
      </c>
      <c r="AB881" s="17">
        <v>2163</v>
      </c>
      <c r="AC881" t="s">
        <v>84</v>
      </c>
      <c r="AD881" t="s">
        <v>84</v>
      </c>
      <c r="AE881" t="s">
        <v>84</v>
      </c>
      <c r="AF881" t="s">
        <v>84</v>
      </c>
      <c r="AG881" s="17">
        <v>49222998</v>
      </c>
      <c r="AH881" s="17">
        <v>66.57</v>
      </c>
      <c r="AI881" s="17">
        <v>36.3</v>
      </c>
      <c r="AJ881" s="17">
        <v>34.77</v>
      </c>
      <c r="AK881" t="s">
        <v>208</v>
      </c>
      <c r="AM881" s="17">
        <v>1.7</v>
      </c>
      <c r="AN881" s="17"/>
      <c r="AO881" s="17">
        <v>720</v>
      </c>
      <c r="AP881" s="17"/>
      <c r="AQ881" s="17">
        <v>1270</v>
      </c>
      <c r="AR881" s="17"/>
      <c r="AS881" s="13" t="s">
        <v>150</v>
      </c>
      <c r="AT881" s="13"/>
      <c r="AU881" s="13" t="s">
        <v>150</v>
      </c>
      <c r="AW881" s="13" t="s">
        <v>150</v>
      </c>
      <c r="AY881" t="s">
        <v>92</v>
      </c>
      <c r="AZ881" t="s">
        <v>92</v>
      </c>
      <c r="BA881" t="s">
        <v>92</v>
      </c>
      <c r="BB881" t="s">
        <v>92</v>
      </c>
      <c r="BC881" t="s">
        <v>92</v>
      </c>
      <c r="BD881" t="s">
        <v>92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92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92</v>
      </c>
      <c r="BS881" t="s">
        <v>92</v>
      </c>
      <c r="BT881" t="s">
        <v>92</v>
      </c>
      <c r="BU881" t="s">
        <v>92</v>
      </c>
      <c r="BV881" t="s">
        <v>92</v>
      </c>
      <c r="BW881" t="s">
        <v>92</v>
      </c>
      <c r="BX881" t="s">
        <v>92</v>
      </c>
      <c r="BY881" t="str">
        <f>IF(COUNTIF('Data Upload-prod'!E:E,F881)=0,"Missing","Exist")</f>
        <v>Exist</v>
      </c>
    </row>
    <row r="882" hidden="1" spans="1:77">
      <c r="A882" s="16">
        <v>41417</v>
      </c>
      <c r="B882" s="16">
        <v>41563</v>
      </c>
      <c r="C882" t="s">
        <v>132</v>
      </c>
      <c r="D882" t="s">
        <v>120</v>
      </c>
      <c r="E882" t="s">
        <v>262</v>
      </c>
      <c r="F882" t="s">
        <v>1478</v>
      </c>
      <c r="G882" t="s">
        <v>81</v>
      </c>
      <c r="H882" t="s">
        <v>1304</v>
      </c>
      <c r="I882" t="s">
        <v>124</v>
      </c>
      <c r="J882" s="17">
        <v>86</v>
      </c>
      <c r="K882" s="17">
        <v>1446</v>
      </c>
      <c r="L882" s="17">
        <v>1190</v>
      </c>
      <c r="M882" t="s">
        <v>84</v>
      </c>
      <c r="N882" t="s">
        <v>84</v>
      </c>
      <c r="O882" t="s">
        <v>84</v>
      </c>
      <c r="P882" t="s">
        <v>84</v>
      </c>
      <c r="Q882" s="17">
        <v>13464693</v>
      </c>
      <c r="R882" s="17">
        <v>24</v>
      </c>
      <c r="S882" t="s">
        <v>85</v>
      </c>
      <c r="T882" t="s">
        <v>84</v>
      </c>
      <c r="U882" t="s">
        <v>86</v>
      </c>
      <c r="V882" s="16">
        <v>41489.21875</v>
      </c>
      <c r="W882" s="18">
        <v>41489</v>
      </c>
      <c r="X882" s="18">
        <v>41519.4375</v>
      </c>
      <c r="Y882" s="17">
        <v>4816.56</v>
      </c>
      <c r="Z882" t="s">
        <v>87</v>
      </c>
      <c r="AA882" s="17">
        <v>4941</v>
      </c>
      <c r="AB882" s="17">
        <v>3940.8</v>
      </c>
      <c r="AC882" t="s">
        <v>84</v>
      </c>
      <c r="AD882" t="s">
        <v>84</v>
      </c>
      <c r="AE882" t="s">
        <v>84</v>
      </c>
      <c r="AF882" t="s">
        <v>84</v>
      </c>
      <c r="AG882" s="17">
        <v>8470423.04</v>
      </c>
      <c r="AH882" s="17">
        <v>32</v>
      </c>
      <c r="AI882" s="17">
        <v>10</v>
      </c>
      <c r="AJ882" s="17">
        <v>10</v>
      </c>
      <c r="AK882" t="s">
        <v>208</v>
      </c>
      <c r="AM882" s="17">
        <v>2.2</v>
      </c>
      <c r="AN882" s="17"/>
      <c r="AO882" s="17">
        <v>830</v>
      </c>
      <c r="AP882" s="17"/>
      <c r="AQ882" s="17">
        <v>1455</v>
      </c>
      <c r="AR882" s="17"/>
      <c r="AS882" s="17">
        <v>1.81</v>
      </c>
      <c r="AT882" s="17"/>
      <c r="AU882" s="17">
        <v>744</v>
      </c>
      <c r="AV882" s="17"/>
      <c r="AW882" s="17">
        <v>1233</v>
      </c>
      <c r="AX882" s="17"/>
      <c r="AY882" t="s">
        <v>92</v>
      </c>
      <c r="AZ882" t="s">
        <v>92</v>
      </c>
      <c r="BA882" t="s">
        <v>92</v>
      </c>
      <c r="BB882" t="s">
        <v>92</v>
      </c>
      <c r="BC882" t="s">
        <v>92</v>
      </c>
      <c r="BD882" s="17">
        <v>3.69</v>
      </c>
      <c r="BE882" s="17">
        <v>2359596.46</v>
      </c>
      <c r="BF882" t="s">
        <v>92</v>
      </c>
      <c r="BG882" t="s">
        <v>92</v>
      </c>
      <c r="BH882" t="s">
        <v>93</v>
      </c>
      <c r="BI882" t="s">
        <v>94</v>
      </c>
      <c r="BJ882" t="s">
        <v>128</v>
      </c>
      <c r="BK882" t="s">
        <v>85</v>
      </c>
      <c r="BL882" t="s">
        <v>85</v>
      </c>
      <c r="BM882" t="s">
        <v>96</v>
      </c>
      <c r="BN882" t="s">
        <v>97</v>
      </c>
      <c r="BO882" t="s">
        <v>98</v>
      </c>
      <c r="BP882" t="s">
        <v>103</v>
      </c>
      <c r="BQ882" s="17">
        <v>125.56387</v>
      </c>
      <c r="BR882" t="s">
        <v>138</v>
      </c>
      <c r="BS882" t="s">
        <v>156</v>
      </c>
      <c r="BT882" t="s">
        <v>550</v>
      </c>
      <c r="BU882" s="17">
        <v>9.8</v>
      </c>
      <c r="BV882" t="s">
        <v>191</v>
      </c>
      <c r="BW882" t="s">
        <v>85</v>
      </c>
      <c r="BX882" t="s">
        <v>85</v>
      </c>
      <c r="BY882" t="str">
        <f>IF(COUNTIF('Data Upload-prod'!E:E,F882)=0,"Missing","Exist")</f>
        <v>Exist</v>
      </c>
    </row>
    <row r="883" hidden="1" spans="1:77">
      <c r="A883" s="16">
        <v>41416</v>
      </c>
      <c r="B883" s="16">
        <v>41530</v>
      </c>
      <c r="C883" t="s">
        <v>132</v>
      </c>
      <c r="D883" t="s">
        <v>120</v>
      </c>
      <c r="E883" t="s">
        <v>1479</v>
      </c>
      <c r="F883" t="s">
        <v>1480</v>
      </c>
      <c r="G883" t="s">
        <v>145</v>
      </c>
      <c r="H883" t="s">
        <v>319</v>
      </c>
      <c r="I883" t="s">
        <v>231</v>
      </c>
      <c r="J883" s="17">
        <v>63</v>
      </c>
      <c r="K883" s="17">
        <v>2904</v>
      </c>
      <c r="L883" s="17">
        <v>2799</v>
      </c>
      <c r="M883" s="17">
        <v>22789250</v>
      </c>
      <c r="N883" s="17">
        <v>28060530</v>
      </c>
      <c r="O883" s="17">
        <v>38.05</v>
      </c>
      <c r="P883" s="17">
        <v>48.05</v>
      </c>
      <c r="Q883" t="s">
        <v>84</v>
      </c>
      <c r="R883" t="s">
        <v>84</v>
      </c>
      <c r="S883" t="s">
        <v>85</v>
      </c>
      <c r="T883" t="s">
        <v>84</v>
      </c>
      <c r="U883" t="s">
        <v>84</v>
      </c>
      <c r="V883" s="16">
        <v>41437.375</v>
      </c>
      <c r="W883" s="18">
        <v>41433</v>
      </c>
      <c r="X883" s="18">
        <v>41470.6666666667</v>
      </c>
      <c r="Y883" s="17">
        <v>2811</v>
      </c>
      <c r="Z883" t="s">
        <v>87</v>
      </c>
      <c r="AA883" s="17">
        <v>2903</v>
      </c>
      <c r="AB883" s="17">
        <v>2799</v>
      </c>
      <c r="AC883" s="17">
        <v>22620810</v>
      </c>
      <c r="AD883" t="s">
        <v>84</v>
      </c>
      <c r="AE883" s="17">
        <v>40.67</v>
      </c>
      <c r="AF883" t="s">
        <v>84</v>
      </c>
      <c r="AG883" t="s">
        <v>84</v>
      </c>
      <c r="AH883" t="s">
        <v>84</v>
      </c>
      <c r="AI883" s="17">
        <v>8.61</v>
      </c>
      <c r="AJ883" s="17">
        <v>5.49</v>
      </c>
      <c r="AK883" t="s">
        <v>295</v>
      </c>
      <c r="AM883" s="17">
        <v>2.7</v>
      </c>
      <c r="AN883" s="17"/>
      <c r="AO883" s="17">
        <v>1490</v>
      </c>
      <c r="AP883" s="17"/>
      <c r="AQ883" s="17">
        <v>2760</v>
      </c>
      <c r="AR883" s="17"/>
      <c r="AS883" s="17">
        <v>1.95</v>
      </c>
      <c r="AT883" s="17"/>
      <c r="AU883" s="17">
        <v>869.73</v>
      </c>
      <c r="AV883" s="17"/>
      <c r="AW883" s="17">
        <v>2157</v>
      </c>
      <c r="AX883" s="17"/>
      <c r="AY883" t="s">
        <v>92</v>
      </c>
      <c r="AZ883" t="s">
        <v>92</v>
      </c>
      <c r="BA883" t="s">
        <v>92</v>
      </c>
      <c r="BB883" t="s">
        <v>92</v>
      </c>
      <c r="BC883" t="s">
        <v>92</v>
      </c>
      <c r="BD883" t="s">
        <v>92</v>
      </c>
      <c r="BE883" t="s">
        <v>92</v>
      </c>
      <c r="BF883" t="s">
        <v>92</v>
      </c>
      <c r="BG883" t="s">
        <v>92</v>
      </c>
      <c r="BH883" t="s">
        <v>92</v>
      </c>
      <c r="BI883" t="s">
        <v>92</v>
      </c>
      <c r="BJ883" t="s">
        <v>92</v>
      </c>
      <c r="BK883" t="s">
        <v>92</v>
      </c>
      <c r="BL883" t="s">
        <v>92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92</v>
      </c>
      <c r="BS883" t="s">
        <v>92</v>
      </c>
      <c r="BT883" t="s">
        <v>92</v>
      </c>
      <c r="BU883" t="s">
        <v>92</v>
      </c>
      <c r="BV883" t="s">
        <v>92</v>
      </c>
      <c r="BW883" t="s">
        <v>92</v>
      </c>
      <c r="BX883" t="s">
        <v>92</v>
      </c>
      <c r="BY883" t="str">
        <f>IF(COUNTIF('Data Upload-prod'!E:E,F883)=0,"Missing","Exist")</f>
        <v>Exist</v>
      </c>
    </row>
    <row r="884" hidden="1" spans="1:77">
      <c r="A884" s="16">
        <v>41414</v>
      </c>
      <c r="B884" s="16">
        <v>41529</v>
      </c>
      <c r="C884" t="s">
        <v>132</v>
      </c>
      <c r="D884" t="s">
        <v>78</v>
      </c>
      <c r="E884" t="s">
        <v>1481</v>
      </c>
      <c r="F884" t="s">
        <v>1482</v>
      </c>
      <c r="G884" t="s">
        <v>145</v>
      </c>
      <c r="H884" t="s">
        <v>202</v>
      </c>
      <c r="I884" t="s">
        <v>124</v>
      </c>
      <c r="J884" s="17">
        <v>60</v>
      </c>
      <c r="K884" s="17">
        <v>3623</v>
      </c>
      <c r="L884" s="17">
        <v>2700</v>
      </c>
      <c r="M884" s="17">
        <v>27740000</v>
      </c>
      <c r="N884" s="17">
        <v>38230000</v>
      </c>
      <c r="O884" s="17">
        <v>55.25</v>
      </c>
      <c r="P884" s="17">
        <v>77.25</v>
      </c>
      <c r="Q884" t="s">
        <v>84</v>
      </c>
      <c r="R884" t="s">
        <v>84</v>
      </c>
      <c r="S884" t="s">
        <v>85</v>
      </c>
      <c r="T884" t="s">
        <v>84</v>
      </c>
      <c r="U884" t="s">
        <v>84</v>
      </c>
      <c r="V884" s="16">
        <v>41437.0833333333</v>
      </c>
      <c r="W884" s="18">
        <v>41433.1458333333</v>
      </c>
      <c r="X884" s="18">
        <v>41490.4166666667</v>
      </c>
      <c r="Y884" s="17">
        <v>3596</v>
      </c>
      <c r="Z884" t="s">
        <v>87</v>
      </c>
      <c r="AA884" s="17">
        <v>3688</v>
      </c>
      <c r="AB884" s="17">
        <v>2658.71</v>
      </c>
      <c r="AC884" t="s">
        <v>84</v>
      </c>
      <c r="AD884" s="17">
        <v>18263530</v>
      </c>
      <c r="AE884" t="s">
        <v>84</v>
      </c>
      <c r="AF884" s="17">
        <v>48.1</v>
      </c>
      <c r="AG884" t="s">
        <v>84</v>
      </c>
      <c r="AH884" t="s">
        <v>84</v>
      </c>
      <c r="AI884" s="17">
        <v>8.88</v>
      </c>
      <c r="AJ884" s="17">
        <v>8.8</v>
      </c>
      <c r="AK884" t="s">
        <v>300</v>
      </c>
      <c r="AM884" s="17">
        <v>1.9</v>
      </c>
      <c r="AN884" s="17"/>
      <c r="AO884" s="17">
        <v>720</v>
      </c>
      <c r="AP884" s="17"/>
      <c r="AQ884" s="17">
        <v>1370</v>
      </c>
      <c r="AR884" s="17"/>
      <c r="AS884" s="17">
        <v>1.65</v>
      </c>
      <c r="AT884" s="17"/>
      <c r="AU884" s="17">
        <v>1017</v>
      </c>
      <c r="AV884" s="17"/>
      <c r="AW884" s="17">
        <v>1230</v>
      </c>
      <c r="AX884" s="17"/>
      <c r="AY884" t="s">
        <v>92</v>
      </c>
      <c r="AZ884" t="s">
        <v>92</v>
      </c>
      <c r="BA884" t="s">
        <v>92</v>
      </c>
      <c r="BB884" t="s">
        <v>92</v>
      </c>
      <c r="BC884" t="s">
        <v>92</v>
      </c>
      <c r="BD884" t="s">
        <v>92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92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92</v>
      </c>
      <c r="BS884" t="s">
        <v>92</v>
      </c>
      <c r="BT884" t="s">
        <v>92</v>
      </c>
      <c r="BU884" t="s">
        <v>92</v>
      </c>
      <c r="BV884" t="s">
        <v>92</v>
      </c>
      <c r="BW884" t="s">
        <v>92</v>
      </c>
      <c r="BX884" t="s">
        <v>92</v>
      </c>
      <c r="BY884" t="str">
        <f>IF(COUNTIF('Data Upload-prod'!E:E,F884)=0,"Missing","Exist")</f>
        <v>Exist</v>
      </c>
    </row>
    <row r="885" hidden="1" spans="1:77">
      <c r="A885" s="16">
        <v>41396</v>
      </c>
      <c r="B885" s="16">
        <v>41563</v>
      </c>
      <c r="C885" t="s">
        <v>132</v>
      </c>
      <c r="D885" t="s">
        <v>120</v>
      </c>
      <c r="E885" t="s">
        <v>262</v>
      </c>
      <c r="F885" t="s">
        <v>1483</v>
      </c>
      <c r="G885" t="s">
        <v>81</v>
      </c>
      <c r="H885" t="s">
        <v>1304</v>
      </c>
      <c r="I885" t="s">
        <v>124</v>
      </c>
      <c r="J885" s="17">
        <v>86</v>
      </c>
      <c r="K885" s="17">
        <v>1383</v>
      </c>
      <c r="L885" s="17">
        <v>1190</v>
      </c>
      <c r="M885" t="s">
        <v>84</v>
      </c>
      <c r="N885" t="s">
        <v>84</v>
      </c>
      <c r="O885" t="s">
        <v>84</v>
      </c>
      <c r="P885" t="s">
        <v>84</v>
      </c>
      <c r="Q885" s="17">
        <v>13438536</v>
      </c>
      <c r="R885" s="17">
        <v>23</v>
      </c>
      <c r="S885" t="s">
        <v>85</v>
      </c>
      <c r="T885" t="s">
        <v>84</v>
      </c>
      <c r="U885" t="s">
        <v>86</v>
      </c>
      <c r="V885" s="16">
        <v>41495</v>
      </c>
      <c r="W885" s="18">
        <v>41494</v>
      </c>
      <c r="X885" s="18">
        <v>41525</v>
      </c>
      <c r="Y885" s="17">
        <v>1356.56</v>
      </c>
      <c r="Z885" t="s">
        <v>87</v>
      </c>
      <c r="AA885" s="17">
        <v>1481</v>
      </c>
      <c r="AB885" s="17">
        <v>1204.1</v>
      </c>
      <c r="AC885" t="s">
        <v>84</v>
      </c>
      <c r="AD885" t="s">
        <v>84</v>
      </c>
      <c r="AE885" t="s">
        <v>84</v>
      </c>
      <c r="AF885" t="s">
        <v>84</v>
      </c>
      <c r="AG885" s="17">
        <v>8008370.89</v>
      </c>
      <c r="AH885" s="17">
        <v>18.2</v>
      </c>
      <c r="AI885" s="17">
        <v>19.75</v>
      </c>
      <c r="AJ885" s="17">
        <v>10.3</v>
      </c>
      <c r="AK885" t="s">
        <v>208</v>
      </c>
      <c r="AM885" s="17">
        <v>2.2</v>
      </c>
      <c r="AN885" s="17"/>
      <c r="AO885" s="17">
        <v>830</v>
      </c>
      <c r="AP885" s="17"/>
      <c r="AQ885" s="17">
        <v>1380</v>
      </c>
      <c r="AR885" s="17"/>
      <c r="AS885" s="17">
        <v>2.27</v>
      </c>
      <c r="AT885" s="17"/>
      <c r="AU885" s="17">
        <v>990</v>
      </c>
      <c r="AV885" s="17"/>
      <c r="AW885" s="17">
        <v>1648</v>
      </c>
      <c r="AX885" s="17"/>
      <c r="AY885" t="s">
        <v>92</v>
      </c>
      <c r="AZ885" t="s">
        <v>92</v>
      </c>
      <c r="BA885" t="s">
        <v>92</v>
      </c>
      <c r="BB885" t="s">
        <v>92</v>
      </c>
      <c r="BC885" t="s">
        <v>92</v>
      </c>
      <c r="BD885" s="17">
        <v>3.61</v>
      </c>
      <c r="BE885" s="17">
        <v>2146316.12</v>
      </c>
      <c r="BF885" t="s">
        <v>92</v>
      </c>
      <c r="BG885" t="s">
        <v>92</v>
      </c>
      <c r="BH885" t="s">
        <v>93</v>
      </c>
      <c r="BI885" t="s">
        <v>94</v>
      </c>
      <c r="BJ885" t="s">
        <v>128</v>
      </c>
      <c r="BK885" t="s">
        <v>85</v>
      </c>
      <c r="BL885" t="s">
        <v>85</v>
      </c>
      <c r="BM885" t="s">
        <v>96</v>
      </c>
      <c r="BN885" t="s">
        <v>97</v>
      </c>
      <c r="BO885" t="s">
        <v>98</v>
      </c>
      <c r="BP885" t="s">
        <v>103</v>
      </c>
      <c r="BQ885" s="17">
        <v>87.6027</v>
      </c>
      <c r="BR885" t="s">
        <v>138</v>
      </c>
      <c r="BS885" t="s">
        <v>156</v>
      </c>
      <c r="BT885" t="s">
        <v>550</v>
      </c>
      <c r="BU885" s="17">
        <v>9.8</v>
      </c>
      <c r="BV885" t="s">
        <v>191</v>
      </c>
      <c r="BW885" t="s">
        <v>85</v>
      </c>
      <c r="BX885" t="s">
        <v>85</v>
      </c>
      <c r="BY885" t="str">
        <f>IF(COUNTIF('Data Upload-prod'!E:E,F885)=0,"Missing","Exist")</f>
        <v>Exist</v>
      </c>
    </row>
    <row r="886" hidden="1" spans="1:77">
      <c r="A886" s="16">
        <v>41368</v>
      </c>
      <c r="B886" s="16">
        <v>41508</v>
      </c>
      <c r="C886" t="s">
        <v>132</v>
      </c>
      <c r="D886" t="s">
        <v>78</v>
      </c>
      <c r="E886" t="s">
        <v>842</v>
      </c>
      <c r="F886" t="s">
        <v>1484</v>
      </c>
      <c r="G886" t="s">
        <v>81</v>
      </c>
      <c r="H886" t="s">
        <v>172</v>
      </c>
      <c r="I886" t="s">
        <v>124</v>
      </c>
      <c r="J886" s="17">
        <v>63</v>
      </c>
      <c r="K886" s="17">
        <v>3200</v>
      </c>
      <c r="L886" s="17">
        <v>1711</v>
      </c>
      <c r="M886" t="s">
        <v>84</v>
      </c>
      <c r="N886" t="s">
        <v>84</v>
      </c>
      <c r="O886" t="s">
        <v>84</v>
      </c>
      <c r="P886" t="s">
        <v>84</v>
      </c>
      <c r="Q886" s="17">
        <v>18328000</v>
      </c>
      <c r="R886" s="17">
        <v>36.08</v>
      </c>
      <c r="S886" t="s">
        <v>85</v>
      </c>
      <c r="T886" t="s">
        <v>84</v>
      </c>
      <c r="U886" t="s">
        <v>86</v>
      </c>
      <c r="V886" s="16">
        <v>41389.7708333333</v>
      </c>
      <c r="W886" s="18">
        <v>41388.6875</v>
      </c>
      <c r="X886" s="18">
        <v>41465.3333333333</v>
      </c>
      <c r="Y886" s="17">
        <v>2942</v>
      </c>
      <c r="Z886" t="s">
        <v>87</v>
      </c>
      <c r="AA886" s="17">
        <v>3046</v>
      </c>
      <c r="AB886" s="17">
        <v>1934</v>
      </c>
      <c r="AC886" t="s">
        <v>84</v>
      </c>
      <c r="AD886" t="s">
        <v>84</v>
      </c>
      <c r="AE886" t="s">
        <v>84</v>
      </c>
      <c r="AF886" t="s">
        <v>84</v>
      </c>
      <c r="AG886" s="17">
        <v>17028972</v>
      </c>
      <c r="AH886" s="17">
        <v>43.88</v>
      </c>
      <c r="AI886" s="17">
        <v>12.92</v>
      </c>
      <c r="AJ886" s="17">
        <v>12.92</v>
      </c>
      <c r="AK886" t="s">
        <v>208</v>
      </c>
      <c r="AM886" s="17">
        <v>2.1</v>
      </c>
      <c r="AN886" s="17"/>
      <c r="AO886" s="17">
        <v>700</v>
      </c>
      <c r="AP886" s="17"/>
      <c r="AQ886" s="17">
        <v>1280</v>
      </c>
      <c r="AR886" s="17"/>
      <c r="AS886" s="17">
        <v>1.77</v>
      </c>
      <c r="AT886" s="17"/>
      <c r="AU886" s="17">
        <v>716</v>
      </c>
      <c r="AV886" s="17"/>
      <c r="AW886" s="17">
        <v>1704</v>
      </c>
      <c r="AX886" s="17"/>
      <c r="AY886" t="s">
        <v>92</v>
      </c>
      <c r="AZ886" t="s">
        <v>92</v>
      </c>
      <c r="BA886" t="s">
        <v>92</v>
      </c>
      <c r="BB886" t="s">
        <v>92</v>
      </c>
      <c r="BC886" t="s">
        <v>92</v>
      </c>
      <c r="BD886" s="17">
        <v>13.79</v>
      </c>
      <c r="BE886" s="17">
        <v>5179388.91</v>
      </c>
      <c r="BF886" t="s">
        <v>92</v>
      </c>
      <c r="BG886" t="s">
        <v>92</v>
      </c>
      <c r="BH886" t="s">
        <v>93</v>
      </c>
      <c r="BI886" t="s">
        <v>94</v>
      </c>
      <c r="BJ886" t="s">
        <v>173</v>
      </c>
      <c r="BK886" t="s">
        <v>85</v>
      </c>
      <c r="BL886" t="s">
        <v>85</v>
      </c>
      <c r="BM886" t="s">
        <v>96</v>
      </c>
      <c r="BN886" t="s">
        <v>569</v>
      </c>
      <c r="BO886" t="s">
        <v>98</v>
      </c>
      <c r="BP886" t="s">
        <v>99</v>
      </c>
      <c r="BQ886" s="17">
        <v>210</v>
      </c>
      <c r="BR886" t="s">
        <v>138</v>
      </c>
      <c r="BS886" t="s">
        <v>156</v>
      </c>
      <c r="BT886" t="s">
        <v>99</v>
      </c>
      <c r="BU886" s="17">
        <v>9.2</v>
      </c>
      <c r="BV886" t="s">
        <v>191</v>
      </c>
      <c r="BW886" t="s">
        <v>129</v>
      </c>
      <c r="BX886" t="s">
        <v>85</v>
      </c>
      <c r="BY886" t="str">
        <f>IF(COUNTIF('Data Upload-prod'!E:E,F886)=0,"Missing","Exist")</f>
        <v>Exist</v>
      </c>
    </row>
    <row r="887" hidden="1" spans="1:77">
      <c r="A887" s="16">
        <v>41368</v>
      </c>
      <c r="B887" s="16">
        <v>41527</v>
      </c>
      <c r="C887" t="s">
        <v>132</v>
      </c>
      <c r="D887" t="s">
        <v>120</v>
      </c>
      <c r="E887" t="s">
        <v>870</v>
      </c>
      <c r="F887" t="s">
        <v>1485</v>
      </c>
      <c r="G887" t="s">
        <v>145</v>
      </c>
      <c r="H887" t="s">
        <v>226</v>
      </c>
      <c r="I887" t="s">
        <v>124</v>
      </c>
      <c r="J887" s="17">
        <v>45.5</v>
      </c>
      <c r="K887" s="17">
        <v>2234</v>
      </c>
      <c r="L887" s="17">
        <v>2234</v>
      </c>
      <c r="M887" s="17">
        <v>16140000</v>
      </c>
      <c r="N887" s="17">
        <v>20850000</v>
      </c>
      <c r="O887" s="17">
        <v>28</v>
      </c>
      <c r="P887" s="17">
        <v>38</v>
      </c>
      <c r="Q887" t="s">
        <v>84</v>
      </c>
      <c r="R887" t="s">
        <v>84</v>
      </c>
      <c r="S887" t="s">
        <v>85</v>
      </c>
      <c r="T887" t="s">
        <v>84</v>
      </c>
      <c r="U887" t="s">
        <v>84</v>
      </c>
      <c r="V887" s="16">
        <v>41385.5625</v>
      </c>
      <c r="W887" s="18">
        <v>41382.5833333333</v>
      </c>
      <c r="X887" s="18">
        <v>41412.3333333333</v>
      </c>
      <c r="Y887" s="17">
        <v>2722.5</v>
      </c>
      <c r="Z887" t="s">
        <v>87</v>
      </c>
      <c r="AA887" s="17">
        <v>2804</v>
      </c>
      <c r="AB887" s="17">
        <v>2804</v>
      </c>
      <c r="AC887" s="17">
        <v>17149290</v>
      </c>
      <c r="AD887" t="s">
        <v>84</v>
      </c>
      <c r="AE887" s="17">
        <v>29.76</v>
      </c>
      <c r="AF887" t="s">
        <v>84</v>
      </c>
      <c r="AG887" t="s">
        <v>84</v>
      </c>
      <c r="AH887" t="s">
        <v>84</v>
      </c>
      <c r="AI887" s="17">
        <v>5.81</v>
      </c>
      <c r="AJ887" s="17">
        <v>5.81</v>
      </c>
      <c r="AK887" t="s">
        <v>544</v>
      </c>
      <c r="AM887" s="17">
        <v>1.2</v>
      </c>
      <c r="AN887" s="17"/>
      <c r="AO887" s="17">
        <v>385</v>
      </c>
      <c r="AP887" s="17"/>
      <c r="AQ887" s="17">
        <v>930</v>
      </c>
      <c r="AR887" s="17"/>
      <c r="AS887" s="17">
        <v>1.42</v>
      </c>
      <c r="AT887" s="17"/>
      <c r="AU887" s="17">
        <v>999</v>
      </c>
      <c r="AV887" s="17"/>
      <c r="AW887" s="17">
        <v>1903</v>
      </c>
      <c r="AX887" s="17"/>
      <c r="AY887" t="s">
        <v>92</v>
      </c>
      <c r="AZ887" t="s">
        <v>92</v>
      </c>
      <c r="BA887" t="s">
        <v>92</v>
      </c>
      <c r="BB887" t="s">
        <v>92</v>
      </c>
      <c r="BC887" t="s">
        <v>92</v>
      </c>
      <c r="BD887" t="s">
        <v>92</v>
      </c>
      <c r="BE887" t="s">
        <v>92</v>
      </c>
      <c r="BF887" t="s">
        <v>92</v>
      </c>
      <c r="BG887" t="s">
        <v>92</v>
      </c>
      <c r="BH887" t="s">
        <v>92</v>
      </c>
      <c r="BI887" t="s">
        <v>92</v>
      </c>
      <c r="BJ887" t="s">
        <v>92</v>
      </c>
      <c r="BK887" t="s">
        <v>92</v>
      </c>
      <c r="BL887" t="s">
        <v>92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92</v>
      </c>
      <c r="BS887" t="s">
        <v>92</v>
      </c>
      <c r="BT887" t="s">
        <v>92</v>
      </c>
      <c r="BU887" t="s">
        <v>92</v>
      </c>
      <c r="BV887" t="s">
        <v>92</v>
      </c>
      <c r="BW887" t="s">
        <v>92</v>
      </c>
      <c r="BX887" t="s">
        <v>92</v>
      </c>
      <c r="BY887" t="str">
        <f>IF(COUNTIF('Data Upload-prod'!E:E,F887)=0,"Missing","Exist")</f>
        <v>Exist</v>
      </c>
    </row>
    <row r="888" hidden="1" spans="1:77">
      <c r="A888" s="16">
        <v>41368</v>
      </c>
      <c r="B888" s="16">
        <v>41649</v>
      </c>
      <c r="C888" t="s">
        <v>132</v>
      </c>
      <c r="D888" t="s">
        <v>78</v>
      </c>
      <c r="E888" t="s">
        <v>1486</v>
      </c>
      <c r="F888" t="s">
        <v>1487</v>
      </c>
      <c r="G888" t="s">
        <v>81</v>
      </c>
      <c r="H888" t="s">
        <v>202</v>
      </c>
      <c r="I888" t="s">
        <v>124</v>
      </c>
      <c r="J888" s="17">
        <v>60.4</v>
      </c>
      <c r="K888" s="17">
        <v>3150</v>
      </c>
      <c r="L888" s="17">
        <v>2442</v>
      </c>
      <c r="M888" t="s">
        <v>84</v>
      </c>
      <c r="N888" t="s">
        <v>84</v>
      </c>
      <c r="O888" t="s">
        <v>84</v>
      </c>
      <c r="P888" t="s">
        <v>84</v>
      </c>
      <c r="Q888" s="17">
        <v>17164746.45</v>
      </c>
      <c r="R888" s="17">
        <v>42.94</v>
      </c>
      <c r="S888" t="s">
        <v>85</v>
      </c>
      <c r="T888" t="s">
        <v>84</v>
      </c>
      <c r="U888" t="s">
        <v>84</v>
      </c>
      <c r="V888" s="16">
        <v>41390</v>
      </c>
      <c r="W888" s="18">
        <v>41369.3333333333</v>
      </c>
      <c r="X888" s="18">
        <v>41433.1458333333</v>
      </c>
      <c r="Y888" s="17">
        <v>3031.6</v>
      </c>
      <c r="Z888" t="s">
        <v>87</v>
      </c>
      <c r="AA888" s="17">
        <v>3122</v>
      </c>
      <c r="AB888" s="17">
        <v>2722.6</v>
      </c>
      <c r="AC888" t="s">
        <v>84</v>
      </c>
      <c r="AD888" t="s">
        <v>84</v>
      </c>
      <c r="AE888" t="s">
        <v>84</v>
      </c>
      <c r="AF888" t="s">
        <v>84</v>
      </c>
      <c r="AG888" s="17">
        <v>22797299.02</v>
      </c>
      <c r="AH888" s="17">
        <v>64.12</v>
      </c>
      <c r="AI888" s="17">
        <v>19.16</v>
      </c>
      <c r="AJ888" s="17">
        <v>19.16</v>
      </c>
      <c r="AK888" t="s">
        <v>208</v>
      </c>
      <c r="AM888" s="17">
        <v>2.1</v>
      </c>
      <c r="AN888" s="17"/>
      <c r="AO888" s="17">
        <v>700</v>
      </c>
      <c r="AP888" s="17"/>
      <c r="AQ888" s="17">
        <v>1220</v>
      </c>
      <c r="AR888" s="17"/>
      <c r="AS888" s="17">
        <v>1.82</v>
      </c>
      <c r="AT888" s="17"/>
      <c r="AU888" s="17">
        <v>1013.82</v>
      </c>
      <c r="AV888" s="17"/>
      <c r="AW888" s="17">
        <v>1867.47</v>
      </c>
      <c r="AX888" s="17"/>
      <c r="AY888" t="s">
        <v>92</v>
      </c>
      <c r="AZ888" t="s">
        <v>92</v>
      </c>
      <c r="BA888" t="s">
        <v>92</v>
      </c>
      <c r="BB888" t="s">
        <v>92</v>
      </c>
      <c r="BC888" t="s">
        <v>92</v>
      </c>
      <c r="BD888" t="s">
        <v>92</v>
      </c>
      <c r="BE888" t="s">
        <v>92</v>
      </c>
      <c r="BF888" t="s">
        <v>92</v>
      </c>
      <c r="BG888" t="s">
        <v>92</v>
      </c>
      <c r="BH888" t="s">
        <v>92</v>
      </c>
      <c r="BI888" t="s">
        <v>92</v>
      </c>
      <c r="BJ888" t="s">
        <v>92</v>
      </c>
      <c r="BK888" t="s">
        <v>92</v>
      </c>
      <c r="BL888" t="s">
        <v>92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92</v>
      </c>
      <c r="BS888" t="s">
        <v>92</v>
      </c>
      <c r="BT888" t="s">
        <v>92</v>
      </c>
      <c r="BU888" t="s">
        <v>92</v>
      </c>
      <c r="BV888" t="s">
        <v>92</v>
      </c>
      <c r="BW888" t="s">
        <v>92</v>
      </c>
      <c r="BX888" t="s">
        <v>92</v>
      </c>
      <c r="BY888" t="str">
        <f>IF(COUNTIF('Data Upload-prod'!E:E,F888)=0,"Missing","Exist")</f>
        <v>Exist</v>
      </c>
    </row>
    <row r="889" hidden="1" spans="1:77">
      <c r="A889" s="16">
        <v>41368</v>
      </c>
      <c r="B889" s="16">
        <v>41691</v>
      </c>
      <c r="C889" t="s">
        <v>132</v>
      </c>
      <c r="D889" t="s">
        <v>142</v>
      </c>
      <c r="E889" t="s">
        <v>1319</v>
      </c>
      <c r="F889" t="s">
        <v>1488</v>
      </c>
      <c r="G889" t="s">
        <v>145</v>
      </c>
      <c r="H889" t="s">
        <v>1304</v>
      </c>
      <c r="I889" t="s">
        <v>124</v>
      </c>
      <c r="J889" s="17">
        <v>73</v>
      </c>
      <c r="K889" s="17">
        <v>3578</v>
      </c>
      <c r="L889" s="17">
        <v>3033</v>
      </c>
      <c r="M889" s="17">
        <v>31690000</v>
      </c>
      <c r="N889" s="17">
        <v>41085000</v>
      </c>
      <c r="O889" s="17">
        <v>41</v>
      </c>
      <c r="P889" s="17">
        <v>53</v>
      </c>
      <c r="Q889" t="s">
        <v>84</v>
      </c>
      <c r="R889" t="s">
        <v>84</v>
      </c>
      <c r="S889" t="s">
        <v>106</v>
      </c>
      <c r="T889" t="s">
        <v>84</v>
      </c>
      <c r="U889" t="s">
        <v>84</v>
      </c>
      <c r="V889" s="16">
        <v>41397.2291666667</v>
      </c>
      <c r="W889" s="18">
        <v>41392.3854166667</v>
      </c>
      <c r="X889" s="18">
        <v>41477.7708333333</v>
      </c>
      <c r="Y889" s="17">
        <v>2651</v>
      </c>
      <c r="Z889" t="s">
        <v>87</v>
      </c>
      <c r="AA889" s="17">
        <v>2757</v>
      </c>
      <c r="AB889" s="17">
        <v>2757</v>
      </c>
      <c r="AC889" s="17">
        <v>40808000</v>
      </c>
      <c r="AD889" t="s">
        <v>84</v>
      </c>
      <c r="AE889" s="17">
        <v>85.39</v>
      </c>
      <c r="AF889" t="s">
        <v>84</v>
      </c>
      <c r="AG889" t="s">
        <v>84</v>
      </c>
      <c r="AH889" t="s">
        <v>84</v>
      </c>
      <c r="AI889" s="17">
        <v>28.3</v>
      </c>
      <c r="AJ889" s="17">
        <v>18.49</v>
      </c>
      <c r="AK889" t="s">
        <v>333</v>
      </c>
      <c r="AM889" s="17">
        <v>3.8</v>
      </c>
      <c r="AN889" s="17"/>
      <c r="AO889" s="17">
        <v>2125</v>
      </c>
      <c r="AP889" s="17"/>
      <c r="AQ889" s="17">
        <v>3315</v>
      </c>
      <c r="AR889" s="17"/>
      <c r="AS889" s="13" t="s">
        <v>150</v>
      </c>
      <c r="AT889" s="13"/>
      <c r="AU889" s="13" t="s">
        <v>150</v>
      </c>
      <c r="AW889" s="13" t="s">
        <v>150</v>
      </c>
      <c r="AY889" t="s">
        <v>92</v>
      </c>
      <c r="AZ889" t="s">
        <v>92</v>
      </c>
      <c r="BA889" t="s">
        <v>92</v>
      </c>
      <c r="BB889" t="s">
        <v>92</v>
      </c>
      <c r="BC889" t="s">
        <v>92</v>
      </c>
      <c r="BD889" t="s">
        <v>92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92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92</v>
      </c>
      <c r="BS889" t="s">
        <v>92</v>
      </c>
      <c r="BT889" t="s">
        <v>92</v>
      </c>
      <c r="BU889" t="s">
        <v>92</v>
      </c>
      <c r="BV889" t="s">
        <v>92</v>
      </c>
      <c r="BW889" t="s">
        <v>92</v>
      </c>
      <c r="BX889" t="s">
        <v>92</v>
      </c>
      <c r="BY889" t="str">
        <f>IF(COUNTIF('Data Upload-prod'!E:E,F889)=0,"Missing","Exist")</f>
        <v>Exist</v>
      </c>
    </row>
    <row r="890" hidden="1" spans="1:77">
      <c r="A890" s="16">
        <v>41348</v>
      </c>
      <c r="B890" s="16">
        <v>41541</v>
      </c>
      <c r="C890" t="s">
        <v>132</v>
      </c>
      <c r="D890" t="s">
        <v>78</v>
      </c>
      <c r="E890" t="s">
        <v>1001</v>
      </c>
      <c r="F890" t="s">
        <v>1489</v>
      </c>
      <c r="G890" t="s">
        <v>81</v>
      </c>
      <c r="H890" t="s">
        <v>1490</v>
      </c>
      <c r="I890" t="s">
        <v>83</v>
      </c>
      <c r="J890" s="17">
        <v>68</v>
      </c>
      <c r="K890" s="17">
        <v>4425</v>
      </c>
      <c r="L890" s="17">
        <v>1833</v>
      </c>
      <c r="M890" t="s">
        <v>84</v>
      </c>
      <c r="N890" t="s">
        <v>84</v>
      </c>
      <c r="O890" t="s">
        <v>84</v>
      </c>
      <c r="P890" t="s">
        <v>84</v>
      </c>
      <c r="Q890" s="17">
        <v>21891666</v>
      </c>
      <c r="R890" s="17">
        <v>49.97</v>
      </c>
      <c r="S890" t="s">
        <v>85</v>
      </c>
      <c r="T890" t="s">
        <v>84</v>
      </c>
      <c r="U890" t="s">
        <v>86</v>
      </c>
      <c r="V890" s="16">
        <v>41363.3854166667</v>
      </c>
      <c r="W890" s="18">
        <v>41361.4375</v>
      </c>
      <c r="X890" s="18">
        <v>41403.5</v>
      </c>
      <c r="Y890" s="17">
        <v>4409</v>
      </c>
      <c r="Z890" t="s">
        <v>87</v>
      </c>
      <c r="AA890" s="17">
        <v>4513</v>
      </c>
      <c r="AB890" s="17">
        <v>1856</v>
      </c>
      <c r="AC890" t="s">
        <v>84</v>
      </c>
      <c r="AD890" t="s">
        <v>84</v>
      </c>
      <c r="AE890" t="s">
        <v>84</v>
      </c>
      <c r="AF890" t="s">
        <v>84</v>
      </c>
      <c r="AG890" s="17">
        <v>18919478.23</v>
      </c>
      <c r="AH890" s="17">
        <v>42.06</v>
      </c>
      <c r="AI890" s="17">
        <v>13.27</v>
      </c>
      <c r="AJ890" s="17">
        <v>13.27</v>
      </c>
      <c r="AK890" t="s">
        <v>208</v>
      </c>
      <c r="AM890" s="17">
        <v>2.1</v>
      </c>
      <c r="AN890" s="17"/>
      <c r="AO890" s="17">
        <v>700</v>
      </c>
      <c r="AP890" s="17"/>
      <c r="AQ890" s="17">
        <v>1220</v>
      </c>
      <c r="AR890" s="17"/>
      <c r="AS890" s="17">
        <v>1.64</v>
      </c>
      <c r="AT890" s="17"/>
      <c r="AU890" s="17">
        <v>883.2</v>
      </c>
      <c r="AV890" s="17"/>
      <c r="AW890" s="17">
        <v>1332.65</v>
      </c>
      <c r="AX890" s="17"/>
      <c r="AY890" t="s">
        <v>92</v>
      </c>
      <c r="AZ890" t="s">
        <v>92</v>
      </c>
      <c r="BA890" t="s">
        <v>92</v>
      </c>
      <c r="BB890" t="s">
        <v>92</v>
      </c>
      <c r="BC890" t="s">
        <v>92</v>
      </c>
      <c r="BD890" s="17">
        <v>10.72</v>
      </c>
      <c r="BE890" s="17">
        <v>4758133.22</v>
      </c>
      <c r="BF890" t="s">
        <v>92</v>
      </c>
      <c r="BG890" t="s">
        <v>92</v>
      </c>
      <c r="BH890" t="s">
        <v>93</v>
      </c>
      <c r="BI890" t="s">
        <v>94</v>
      </c>
      <c r="BJ890" t="s">
        <v>173</v>
      </c>
      <c r="BK890" t="s">
        <v>85</v>
      </c>
      <c r="BL890" t="s">
        <v>85</v>
      </c>
      <c r="BM890" t="s">
        <v>96</v>
      </c>
      <c r="BN890" t="s">
        <v>97</v>
      </c>
      <c r="BO890" t="s">
        <v>98</v>
      </c>
      <c r="BP890" t="s">
        <v>103</v>
      </c>
      <c r="BQ890" s="17">
        <v>150.926</v>
      </c>
      <c r="BR890" t="s">
        <v>138</v>
      </c>
      <c r="BS890" t="s">
        <v>156</v>
      </c>
      <c r="BT890" t="s">
        <v>550</v>
      </c>
      <c r="BU890" s="17">
        <v>9.8</v>
      </c>
      <c r="BV890" t="s">
        <v>191</v>
      </c>
      <c r="BW890" t="s">
        <v>85</v>
      </c>
      <c r="BX890" t="s">
        <v>85</v>
      </c>
      <c r="BY890" t="str">
        <f>IF(COUNTIF('Data Upload-prod'!E:E,F890)=0,"Missing","Exist")</f>
        <v>Exist</v>
      </c>
    </row>
    <row r="891" hidden="1" spans="1:77">
      <c r="A891" s="16">
        <v>41332</v>
      </c>
      <c r="B891" s="16">
        <v>41397</v>
      </c>
      <c r="C891" t="s">
        <v>132</v>
      </c>
      <c r="D891" t="s">
        <v>78</v>
      </c>
      <c r="E891" t="s">
        <v>628</v>
      </c>
      <c r="F891" t="s">
        <v>1491</v>
      </c>
      <c r="G891" t="s">
        <v>81</v>
      </c>
      <c r="H891" t="s">
        <v>1449</v>
      </c>
      <c r="I891" t="s">
        <v>83</v>
      </c>
      <c r="J891" s="17">
        <v>73</v>
      </c>
      <c r="K891" s="17">
        <v>1844</v>
      </c>
      <c r="L891" s="17">
        <v>1587</v>
      </c>
      <c r="M891" t="s">
        <v>84</v>
      </c>
      <c r="N891" t="s">
        <v>84</v>
      </c>
      <c r="O891" t="s">
        <v>84</v>
      </c>
      <c r="P891" t="s">
        <v>84</v>
      </c>
      <c r="Q891" s="17">
        <v>9883250</v>
      </c>
      <c r="R891" s="17">
        <v>21</v>
      </c>
      <c r="S891" t="s">
        <v>85</v>
      </c>
      <c r="T891" t="s">
        <v>84</v>
      </c>
      <c r="U891" t="s">
        <v>84</v>
      </c>
      <c r="V891" s="16">
        <v>41348</v>
      </c>
      <c r="W891" s="18">
        <v>41348</v>
      </c>
      <c r="X891" s="18">
        <v>41368</v>
      </c>
      <c r="Y891" s="17">
        <v>1660.9</v>
      </c>
      <c r="Z891" t="s">
        <v>87</v>
      </c>
      <c r="AA891" s="17">
        <v>1768</v>
      </c>
      <c r="AB891" s="17">
        <v>1526.77</v>
      </c>
      <c r="AC891" t="s">
        <v>84</v>
      </c>
      <c r="AD891" t="s">
        <v>84</v>
      </c>
      <c r="AE891" t="s">
        <v>84</v>
      </c>
      <c r="AF891" t="s">
        <v>84</v>
      </c>
      <c r="AG891" s="17">
        <v>7357348.88</v>
      </c>
      <c r="AH891" s="17">
        <v>20</v>
      </c>
      <c r="AI891" s="17">
        <v>0.31</v>
      </c>
      <c r="AJ891" s="17">
        <v>0.31</v>
      </c>
      <c r="AK891" t="s">
        <v>89</v>
      </c>
      <c r="AM891" s="17">
        <v>2.4</v>
      </c>
      <c r="AN891" s="17"/>
      <c r="AO891" s="17">
        <v>795</v>
      </c>
      <c r="AP891" s="17"/>
      <c r="AQ891" s="17">
        <v>1580</v>
      </c>
      <c r="AR891" s="17"/>
      <c r="AS891" s="17">
        <v>1.28</v>
      </c>
      <c r="AT891" s="17"/>
      <c r="AU891" s="17">
        <v>470</v>
      </c>
      <c r="AV891" s="17"/>
      <c r="AW891" s="17">
        <v>1340</v>
      </c>
      <c r="AX891" s="17"/>
      <c r="AY891" t="s">
        <v>92</v>
      </c>
      <c r="AZ891" t="s">
        <v>92</v>
      </c>
      <c r="BA891" t="s">
        <v>92</v>
      </c>
      <c r="BB891" t="s">
        <v>92</v>
      </c>
      <c r="BC891" t="s">
        <v>92</v>
      </c>
      <c r="BD891" t="s">
        <v>92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92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92</v>
      </c>
      <c r="BS891" t="s">
        <v>92</v>
      </c>
      <c r="BT891" t="s">
        <v>92</v>
      </c>
      <c r="BU891" t="s">
        <v>92</v>
      </c>
      <c r="BV891" t="s">
        <v>92</v>
      </c>
      <c r="BW891" t="s">
        <v>92</v>
      </c>
      <c r="BX891" t="s">
        <v>92</v>
      </c>
      <c r="BY891" t="str">
        <f>IF(COUNTIF('Data Upload-prod'!E:E,F891)=0,"Missing","Exist")</f>
        <v>Exist</v>
      </c>
    </row>
    <row r="892" hidden="1" spans="1:77">
      <c r="A892" s="16">
        <v>41313</v>
      </c>
      <c r="B892" s="16">
        <v>41397</v>
      </c>
      <c r="C892" t="s">
        <v>132</v>
      </c>
      <c r="D892" t="s">
        <v>120</v>
      </c>
      <c r="E892" t="s">
        <v>182</v>
      </c>
      <c r="F892" t="s">
        <v>1492</v>
      </c>
      <c r="G892" t="s">
        <v>81</v>
      </c>
      <c r="H892" t="s">
        <v>211</v>
      </c>
      <c r="I892" t="s">
        <v>124</v>
      </c>
      <c r="J892" s="17">
        <v>50.59</v>
      </c>
      <c r="K892" s="17">
        <v>2772.33</v>
      </c>
      <c r="L892" s="17">
        <v>1965.86</v>
      </c>
      <c r="M892" t="s">
        <v>84</v>
      </c>
      <c r="N892" t="s">
        <v>84</v>
      </c>
      <c r="O892" t="s">
        <v>84</v>
      </c>
      <c r="P892" t="s">
        <v>84</v>
      </c>
      <c r="Q892" s="17">
        <v>17888110</v>
      </c>
      <c r="R892" s="17">
        <v>38.92</v>
      </c>
      <c r="S892" t="s">
        <v>106</v>
      </c>
      <c r="T892" t="s">
        <v>84</v>
      </c>
      <c r="U892" t="s">
        <v>84</v>
      </c>
      <c r="V892" s="16">
        <v>41318.9583333333</v>
      </c>
      <c r="W892" s="18">
        <v>41318.6875</v>
      </c>
      <c r="X892" s="18">
        <v>41361.7916666667</v>
      </c>
      <c r="Y892" s="17">
        <v>2469.37</v>
      </c>
      <c r="Z892" t="s">
        <v>87</v>
      </c>
      <c r="AA892" s="17">
        <v>2560.2</v>
      </c>
      <c r="AB892" s="17">
        <v>1998.88</v>
      </c>
      <c r="AC892" t="s">
        <v>84</v>
      </c>
      <c r="AD892" t="s">
        <v>84</v>
      </c>
      <c r="AE892" t="s">
        <v>84</v>
      </c>
      <c r="AF892" t="s">
        <v>84</v>
      </c>
      <c r="AG892" s="17">
        <v>19692772.89</v>
      </c>
      <c r="AH892" s="17">
        <v>43.1</v>
      </c>
      <c r="AI892" s="17">
        <v>6.2</v>
      </c>
      <c r="AJ892" s="17">
        <v>6.2</v>
      </c>
      <c r="AK892" t="s">
        <v>208</v>
      </c>
      <c r="AM892" s="17">
        <v>2.2</v>
      </c>
      <c r="AN892" s="17"/>
      <c r="AO892" s="17">
        <v>830</v>
      </c>
      <c r="AP892" s="17"/>
      <c r="AQ892" s="17">
        <v>1395</v>
      </c>
      <c r="AR892" s="17"/>
      <c r="AS892" s="17">
        <v>2.79</v>
      </c>
      <c r="AT892" s="17"/>
      <c r="AU892" s="17">
        <v>1249</v>
      </c>
      <c r="AV892" s="17"/>
      <c r="AW892" s="17">
        <v>1796</v>
      </c>
      <c r="AX892" s="17"/>
      <c r="AY892" t="s">
        <v>92</v>
      </c>
      <c r="AZ892" t="s">
        <v>92</v>
      </c>
      <c r="BA892" t="s">
        <v>92</v>
      </c>
      <c r="BB892" t="s">
        <v>92</v>
      </c>
      <c r="BC892" t="s">
        <v>92</v>
      </c>
      <c r="BD892" t="s">
        <v>92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92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92</v>
      </c>
      <c r="BS892" t="s">
        <v>92</v>
      </c>
      <c r="BT892" t="s">
        <v>92</v>
      </c>
      <c r="BU892" t="s">
        <v>92</v>
      </c>
      <c r="BV892" t="s">
        <v>92</v>
      </c>
      <c r="BW892" t="s">
        <v>92</v>
      </c>
      <c r="BX892" t="s">
        <v>92</v>
      </c>
      <c r="BY892" t="str">
        <f>IF(COUNTIF('Data Upload-prod'!E:E,F892)=0,"Missing","Exist")</f>
        <v>Exist</v>
      </c>
    </row>
    <row r="893" hidden="1" spans="1:77">
      <c r="A893" s="16">
        <v>41283</v>
      </c>
      <c r="B893" s="16">
        <v>41422</v>
      </c>
      <c r="C893" t="s">
        <v>132</v>
      </c>
      <c r="D893" t="s">
        <v>78</v>
      </c>
      <c r="E893" t="s">
        <v>1493</v>
      </c>
      <c r="F893" t="s">
        <v>1494</v>
      </c>
      <c r="G893" t="s">
        <v>81</v>
      </c>
      <c r="H893" t="s">
        <v>1495</v>
      </c>
      <c r="I893" t="s">
        <v>83</v>
      </c>
      <c r="J893" s="17">
        <v>73.4</v>
      </c>
      <c r="K893" s="17">
        <v>2057</v>
      </c>
      <c r="L893" s="17">
        <v>1807</v>
      </c>
      <c r="M893" t="s">
        <v>84</v>
      </c>
      <c r="N893" t="s">
        <v>84</v>
      </c>
      <c r="O893" t="s">
        <v>84</v>
      </c>
      <c r="P893" t="s">
        <v>84</v>
      </c>
      <c r="Q893" s="17">
        <v>13797000</v>
      </c>
      <c r="R893" s="17">
        <v>26.6</v>
      </c>
      <c r="S893" t="s">
        <v>85</v>
      </c>
      <c r="T893" t="s">
        <v>84</v>
      </c>
      <c r="U893" t="s">
        <v>86</v>
      </c>
      <c r="V893" s="16">
        <v>41362</v>
      </c>
      <c r="W893" s="18">
        <v>41361.25</v>
      </c>
      <c r="X893" s="18">
        <v>41397.5</v>
      </c>
      <c r="Y893" s="17">
        <v>1962.84</v>
      </c>
      <c r="Z893" t="s">
        <v>87</v>
      </c>
      <c r="AA893" s="17">
        <v>2070</v>
      </c>
      <c r="AB893" s="17">
        <v>1810.6</v>
      </c>
      <c r="AC893" t="s">
        <v>84</v>
      </c>
      <c r="AD893" t="s">
        <v>84</v>
      </c>
      <c r="AE893" t="s">
        <v>84</v>
      </c>
      <c r="AF893" t="s">
        <v>84</v>
      </c>
      <c r="AG893" s="17">
        <v>12784258.01</v>
      </c>
      <c r="AH893" s="17">
        <v>31.06</v>
      </c>
      <c r="AI893" s="17">
        <v>16.9</v>
      </c>
      <c r="AJ893" s="17">
        <v>16.9</v>
      </c>
      <c r="AK893" t="s">
        <v>208</v>
      </c>
      <c r="AM893" s="17">
        <v>2.1</v>
      </c>
      <c r="AN893" s="17"/>
      <c r="AO893" s="17">
        <v>700</v>
      </c>
      <c r="AP893" s="17"/>
      <c r="AQ893" s="17">
        <v>1220</v>
      </c>
      <c r="AR893" s="17"/>
      <c r="AS893" s="17">
        <v>3.13</v>
      </c>
      <c r="AT893" s="17"/>
      <c r="AU893" s="17">
        <v>1268</v>
      </c>
      <c r="AV893" s="17"/>
      <c r="AW893" s="17">
        <v>1882</v>
      </c>
      <c r="AX893" s="17"/>
      <c r="AY893" t="s">
        <v>92</v>
      </c>
      <c r="AZ893" t="s">
        <v>92</v>
      </c>
      <c r="BA893" t="s">
        <v>92</v>
      </c>
      <c r="BB893" t="s">
        <v>92</v>
      </c>
      <c r="BC893" t="s">
        <v>92</v>
      </c>
      <c r="BD893" s="17">
        <v>12.88</v>
      </c>
      <c r="BE893" s="17">
        <v>3425190.46</v>
      </c>
      <c r="BF893" t="s">
        <v>92</v>
      </c>
      <c r="BG893" t="s">
        <v>92</v>
      </c>
      <c r="BH893" t="s">
        <v>93</v>
      </c>
      <c r="BI893" t="s">
        <v>94</v>
      </c>
      <c r="BJ893" t="s">
        <v>173</v>
      </c>
      <c r="BK893" t="s">
        <v>85</v>
      </c>
      <c r="BL893" t="s">
        <v>85</v>
      </c>
      <c r="BM893" t="s">
        <v>273</v>
      </c>
      <c r="BN893" t="s">
        <v>97</v>
      </c>
      <c r="BO893" t="s">
        <v>98</v>
      </c>
      <c r="BP893" t="s">
        <v>254</v>
      </c>
      <c r="BQ893" s="17">
        <v>95.149</v>
      </c>
      <c r="BR893" t="s">
        <v>100</v>
      </c>
      <c r="BS893" t="s">
        <v>156</v>
      </c>
      <c r="BT893" t="s">
        <v>255</v>
      </c>
      <c r="BU893" s="17">
        <v>8.5</v>
      </c>
      <c r="BV893" t="s">
        <v>131</v>
      </c>
      <c r="BW893" t="s">
        <v>85</v>
      </c>
      <c r="BX893" t="s">
        <v>85</v>
      </c>
      <c r="BY893" t="str">
        <f>IF(COUNTIF('Data Upload-prod'!E:E,F893)=0,"Missing","Exist")</f>
        <v>Exist</v>
      </c>
    </row>
    <row r="894" hidden="1" spans="1:77">
      <c r="A894" s="16">
        <v>41283</v>
      </c>
      <c r="B894" s="16">
        <v>41446</v>
      </c>
      <c r="C894" t="s">
        <v>132</v>
      </c>
      <c r="D894" t="s">
        <v>78</v>
      </c>
      <c r="E894" t="s">
        <v>1493</v>
      </c>
      <c r="F894" t="s">
        <v>1496</v>
      </c>
      <c r="G894" t="s">
        <v>81</v>
      </c>
      <c r="H894" t="s">
        <v>1495</v>
      </c>
      <c r="I894" t="s">
        <v>83</v>
      </c>
      <c r="J894" s="17">
        <v>73.4</v>
      </c>
      <c r="K894" s="17">
        <v>2608</v>
      </c>
      <c r="L894" s="17">
        <v>1811</v>
      </c>
      <c r="M894" t="s">
        <v>84</v>
      </c>
      <c r="N894" t="s">
        <v>84</v>
      </c>
      <c r="O894" t="s">
        <v>84</v>
      </c>
      <c r="P894" t="s">
        <v>84</v>
      </c>
      <c r="Q894" s="17">
        <v>14129120</v>
      </c>
      <c r="R894" s="17">
        <v>28.1</v>
      </c>
      <c r="S894" t="s">
        <v>85</v>
      </c>
      <c r="T894" t="s">
        <v>84</v>
      </c>
      <c r="U894" t="s">
        <v>86</v>
      </c>
      <c r="V894" s="16">
        <v>41364</v>
      </c>
      <c r="W894" s="18">
        <v>41364</v>
      </c>
      <c r="X894" s="18">
        <v>41423.4166666667</v>
      </c>
      <c r="Y894" s="17">
        <v>2464.84</v>
      </c>
      <c r="Z894" t="s">
        <v>87</v>
      </c>
      <c r="AA894" s="17">
        <v>2572</v>
      </c>
      <c r="AB894" s="17">
        <v>1789.78</v>
      </c>
      <c r="AC894" t="s">
        <v>84</v>
      </c>
      <c r="AD894" t="s">
        <v>84</v>
      </c>
      <c r="AE894" t="s">
        <v>84</v>
      </c>
      <c r="AF894" t="s">
        <v>84</v>
      </c>
      <c r="AG894" s="17">
        <v>10184359.56</v>
      </c>
      <c r="AH894" s="17">
        <v>28.17</v>
      </c>
      <c r="AI894" s="17">
        <v>5.79</v>
      </c>
      <c r="AJ894" s="17">
        <v>5.69</v>
      </c>
      <c r="AK894" t="s">
        <v>208</v>
      </c>
      <c r="AM894" s="17">
        <v>2.1</v>
      </c>
      <c r="AN894" s="17"/>
      <c r="AO894" s="17">
        <v>700</v>
      </c>
      <c r="AP894" s="17"/>
      <c r="AQ894" s="17">
        <v>1220</v>
      </c>
      <c r="AR894" s="17"/>
      <c r="AS894" s="17">
        <v>2.55</v>
      </c>
      <c r="AT894" s="17"/>
      <c r="AU894" s="17">
        <v>927</v>
      </c>
      <c r="AV894" s="17"/>
      <c r="AW894" s="17">
        <v>1299</v>
      </c>
      <c r="AX894" s="17"/>
      <c r="AY894" t="s">
        <v>92</v>
      </c>
      <c r="AZ894" t="s">
        <v>92</v>
      </c>
      <c r="BA894" t="s">
        <v>92</v>
      </c>
      <c r="BB894" t="s">
        <v>92</v>
      </c>
      <c r="BC894" t="s">
        <v>92</v>
      </c>
      <c r="BD894" s="17">
        <v>7.21</v>
      </c>
      <c r="BE894" s="17">
        <v>3078046.13</v>
      </c>
      <c r="BF894" t="s">
        <v>92</v>
      </c>
      <c r="BG894" t="s">
        <v>92</v>
      </c>
      <c r="BH894" t="s">
        <v>93</v>
      </c>
      <c r="BI894" t="s">
        <v>94</v>
      </c>
      <c r="BJ894" t="s">
        <v>173</v>
      </c>
      <c r="BK894" t="s">
        <v>85</v>
      </c>
      <c r="BL894" t="s">
        <v>85</v>
      </c>
      <c r="BM894" t="s">
        <v>273</v>
      </c>
      <c r="BN894" t="s">
        <v>97</v>
      </c>
      <c r="BO894" t="s">
        <v>98</v>
      </c>
      <c r="BP894" t="s">
        <v>254</v>
      </c>
      <c r="BQ894" s="17">
        <v>91.868</v>
      </c>
      <c r="BR894" t="s">
        <v>100</v>
      </c>
      <c r="BS894" t="s">
        <v>156</v>
      </c>
      <c r="BT894" t="s">
        <v>255</v>
      </c>
      <c r="BU894" s="17">
        <v>8.5</v>
      </c>
      <c r="BV894" t="s">
        <v>131</v>
      </c>
      <c r="BW894" t="s">
        <v>85</v>
      </c>
      <c r="BX894" t="s">
        <v>85</v>
      </c>
      <c r="BY894" t="str">
        <f>IF(COUNTIF('Data Upload-prod'!E:E,F894)=0,"Missing","Exist")</f>
        <v>Exist</v>
      </c>
    </row>
    <row r="895" hidden="1" spans="1:77">
      <c r="A895" s="16">
        <v>41242</v>
      </c>
      <c r="B895" s="16">
        <v>41578</v>
      </c>
      <c r="C895" t="s">
        <v>132</v>
      </c>
      <c r="D895" t="s">
        <v>78</v>
      </c>
      <c r="E895" t="s">
        <v>422</v>
      </c>
      <c r="F895" t="s">
        <v>1497</v>
      </c>
      <c r="G895" t="s">
        <v>81</v>
      </c>
      <c r="H895" t="s">
        <v>1262</v>
      </c>
      <c r="I895" t="s">
        <v>124</v>
      </c>
      <c r="J895" s="17">
        <v>71.62</v>
      </c>
      <c r="K895" s="17">
        <v>3618</v>
      </c>
      <c r="L895" s="17">
        <v>1681</v>
      </c>
      <c r="M895" t="s">
        <v>84</v>
      </c>
      <c r="N895" t="s">
        <v>84</v>
      </c>
      <c r="O895" t="s">
        <v>84</v>
      </c>
      <c r="P895" t="s">
        <v>84</v>
      </c>
      <c r="Q895" s="17">
        <v>23659498</v>
      </c>
      <c r="R895" s="17">
        <v>45.1</v>
      </c>
      <c r="S895" t="s">
        <v>85</v>
      </c>
      <c r="T895" t="s">
        <v>84</v>
      </c>
      <c r="U895" t="s">
        <v>86</v>
      </c>
      <c r="V895" s="16">
        <v>41250</v>
      </c>
      <c r="W895" s="18">
        <v>41249</v>
      </c>
      <c r="X895" s="18">
        <v>41417</v>
      </c>
      <c r="Y895" s="17">
        <v>3025.33</v>
      </c>
      <c r="Z895" t="s">
        <v>87</v>
      </c>
      <c r="AA895" s="17">
        <v>3125</v>
      </c>
      <c r="AB895" s="17">
        <v>1661</v>
      </c>
      <c r="AC895" t="s">
        <v>84</v>
      </c>
      <c r="AD895" t="s">
        <v>84</v>
      </c>
      <c r="AE895" t="s">
        <v>84</v>
      </c>
      <c r="AF895" t="s">
        <v>84</v>
      </c>
      <c r="AG895" s="17">
        <v>23565265.5</v>
      </c>
      <c r="AH895" s="17">
        <v>50.44</v>
      </c>
      <c r="AI895" s="17">
        <v>9.42</v>
      </c>
      <c r="AJ895" s="17">
        <v>9.32</v>
      </c>
      <c r="AK895" t="s">
        <v>208</v>
      </c>
      <c r="AM895" s="17">
        <v>2.1</v>
      </c>
      <c r="AN895" s="17"/>
      <c r="AO895" s="17">
        <v>700</v>
      </c>
      <c r="AP895" s="17"/>
      <c r="AQ895" s="17">
        <v>1225</v>
      </c>
      <c r="AR895" s="17"/>
      <c r="AS895" s="17">
        <v>2.33</v>
      </c>
      <c r="AT895" s="17"/>
      <c r="AU895" s="17">
        <v>1077</v>
      </c>
      <c r="AV895" s="17"/>
      <c r="AW895" s="17">
        <v>1456</v>
      </c>
      <c r="AX895" s="17"/>
      <c r="AY895" t="s">
        <v>92</v>
      </c>
      <c r="AZ895" t="s">
        <v>92</v>
      </c>
      <c r="BA895" t="s">
        <v>92</v>
      </c>
      <c r="BB895" t="s">
        <v>92</v>
      </c>
      <c r="BC895" t="s">
        <v>92</v>
      </c>
      <c r="BD895" s="17">
        <v>4.63</v>
      </c>
      <c r="BE895" s="17">
        <v>2209590.25</v>
      </c>
      <c r="BF895" t="s">
        <v>92</v>
      </c>
      <c r="BG895" t="s">
        <v>92</v>
      </c>
      <c r="BH895" t="s">
        <v>93</v>
      </c>
      <c r="BI895" t="s">
        <v>94</v>
      </c>
      <c r="BJ895" t="s">
        <v>173</v>
      </c>
      <c r="BK895" t="s">
        <v>85</v>
      </c>
      <c r="BL895" t="s">
        <v>85</v>
      </c>
      <c r="BM895" t="s">
        <v>96</v>
      </c>
      <c r="BN895" t="s">
        <v>97</v>
      </c>
      <c r="BO895" t="s">
        <v>98</v>
      </c>
      <c r="BP895" t="s">
        <v>103</v>
      </c>
      <c r="BQ895" s="17">
        <v>88.587</v>
      </c>
      <c r="BR895" t="s">
        <v>100</v>
      </c>
      <c r="BS895" t="s">
        <v>156</v>
      </c>
      <c r="BT895" t="s">
        <v>550</v>
      </c>
      <c r="BU895" s="17">
        <v>8.3</v>
      </c>
      <c r="BV895" t="s">
        <v>191</v>
      </c>
      <c r="BW895" t="s">
        <v>85</v>
      </c>
      <c r="BX895" t="s">
        <v>85</v>
      </c>
      <c r="BY895" t="str">
        <f>IF(COUNTIF('Data Upload-prod'!E:E,F895)=0,"Missing","Exist")</f>
        <v>Exist</v>
      </c>
    </row>
    <row r="896" hidden="1" spans="1:77">
      <c r="A896" s="16">
        <v>41236</v>
      </c>
      <c r="B896" s="16">
        <v>41466</v>
      </c>
      <c r="C896" t="s">
        <v>132</v>
      </c>
      <c r="D896" t="s">
        <v>78</v>
      </c>
      <c r="E896" t="s">
        <v>1498</v>
      </c>
      <c r="F896" t="s">
        <v>1499</v>
      </c>
      <c r="G896" t="s">
        <v>145</v>
      </c>
      <c r="H896" t="s">
        <v>1188</v>
      </c>
      <c r="I896" t="s">
        <v>231</v>
      </c>
      <c r="J896" s="17">
        <v>63</v>
      </c>
      <c r="K896" s="17">
        <v>2940</v>
      </c>
      <c r="L896" s="17">
        <v>2782</v>
      </c>
      <c r="M896" s="17">
        <v>27670000</v>
      </c>
      <c r="N896" s="17">
        <v>32170000</v>
      </c>
      <c r="O896" s="17">
        <v>55.48</v>
      </c>
      <c r="P896" s="17">
        <v>65.98</v>
      </c>
      <c r="Q896" t="s">
        <v>84</v>
      </c>
      <c r="R896" t="s">
        <v>84</v>
      </c>
      <c r="S896" t="s">
        <v>85</v>
      </c>
      <c r="T896" t="s">
        <v>84</v>
      </c>
      <c r="U896" t="s">
        <v>84</v>
      </c>
      <c r="V896" s="16">
        <v>41308.2083333333</v>
      </c>
      <c r="W896" s="18">
        <v>41295.5729166667</v>
      </c>
      <c r="X896" s="18">
        <v>41367.625</v>
      </c>
      <c r="Y896" s="17">
        <v>2950</v>
      </c>
      <c r="Z896" t="s">
        <v>87</v>
      </c>
      <c r="AA896" s="17">
        <v>3040</v>
      </c>
      <c r="AB896" s="17">
        <v>2853</v>
      </c>
      <c r="AC896" t="s">
        <v>84</v>
      </c>
      <c r="AD896" s="17">
        <v>31418760</v>
      </c>
      <c r="AE896" t="s">
        <v>84</v>
      </c>
      <c r="AF896" s="17">
        <v>99</v>
      </c>
      <c r="AG896" t="s">
        <v>84</v>
      </c>
      <c r="AH896" t="s">
        <v>84</v>
      </c>
      <c r="AI896" s="17">
        <v>4.79</v>
      </c>
      <c r="AJ896" s="17">
        <v>3.6</v>
      </c>
      <c r="AK896" t="s">
        <v>333</v>
      </c>
      <c r="AM896" s="17">
        <v>3.8</v>
      </c>
      <c r="AN896" s="17"/>
      <c r="AO896" s="17">
        <v>2125</v>
      </c>
      <c r="AP896" s="17"/>
      <c r="AQ896" s="17">
        <v>3315</v>
      </c>
      <c r="AR896" s="17"/>
      <c r="AS896" s="17">
        <v>2.23</v>
      </c>
      <c r="AT896" s="17"/>
      <c r="AU896" s="17">
        <v>1811.2</v>
      </c>
      <c r="AV896" s="17"/>
      <c r="AW896" s="17">
        <v>2019.6</v>
      </c>
      <c r="AX896" s="17"/>
      <c r="AY896" t="s">
        <v>92</v>
      </c>
      <c r="AZ896" t="s">
        <v>92</v>
      </c>
      <c r="BA896" t="s">
        <v>92</v>
      </c>
      <c r="BB896" t="s">
        <v>92</v>
      </c>
      <c r="BC896" t="s">
        <v>92</v>
      </c>
      <c r="BD896" t="s">
        <v>92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92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92</v>
      </c>
      <c r="BS896" t="s">
        <v>92</v>
      </c>
      <c r="BT896" t="s">
        <v>92</v>
      </c>
      <c r="BU896" t="s">
        <v>92</v>
      </c>
      <c r="BV896" t="s">
        <v>92</v>
      </c>
      <c r="BW896" t="s">
        <v>92</v>
      </c>
      <c r="BX896" t="s">
        <v>92</v>
      </c>
      <c r="BY896" t="str">
        <f>IF(COUNTIF('Data Upload-prod'!E:E,F896)=0,"Missing","Exist")</f>
        <v>Exist</v>
      </c>
    </row>
    <row r="897" hidden="1" spans="1:77">
      <c r="A897" s="16">
        <v>41229</v>
      </c>
      <c r="B897" s="16">
        <v>41365</v>
      </c>
      <c r="C897" t="s">
        <v>132</v>
      </c>
      <c r="D897" t="s">
        <v>142</v>
      </c>
      <c r="E897" t="s">
        <v>170</v>
      </c>
      <c r="F897" t="s">
        <v>1500</v>
      </c>
      <c r="G897" t="s">
        <v>81</v>
      </c>
      <c r="H897" t="s">
        <v>1255</v>
      </c>
      <c r="I897" t="s">
        <v>124</v>
      </c>
      <c r="J897" s="17">
        <v>10.06</v>
      </c>
      <c r="K897" s="17">
        <v>1430.36</v>
      </c>
      <c r="L897" s="17">
        <v>1129.84</v>
      </c>
      <c r="M897" t="s">
        <v>84</v>
      </c>
      <c r="N897" t="s">
        <v>84</v>
      </c>
      <c r="O897" t="s">
        <v>84</v>
      </c>
      <c r="P897" t="s">
        <v>84</v>
      </c>
      <c r="Q897" s="17">
        <v>12998765</v>
      </c>
      <c r="R897" s="17">
        <v>26.92</v>
      </c>
      <c r="S897" t="s">
        <v>106</v>
      </c>
      <c r="T897" t="s">
        <v>84</v>
      </c>
      <c r="U897" t="s">
        <v>84</v>
      </c>
      <c r="V897" s="16">
        <v>41270</v>
      </c>
      <c r="W897" s="18">
        <v>41270.3958333333</v>
      </c>
      <c r="X897" s="18">
        <v>41318.6666666667</v>
      </c>
      <c r="Y897" s="17">
        <v>1382.75</v>
      </c>
      <c r="Z897" t="s">
        <v>87</v>
      </c>
      <c r="AA897" s="17">
        <v>1429.44</v>
      </c>
      <c r="AB897" s="17">
        <v>1149.54</v>
      </c>
      <c r="AC897" t="s">
        <v>84</v>
      </c>
      <c r="AD897" t="s">
        <v>84</v>
      </c>
      <c r="AE897" t="s">
        <v>84</v>
      </c>
      <c r="AF897" t="s">
        <v>84</v>
      </c>
      <c r="AG897" s="17">
        <v>12895020.14</v>
      </c>
      <c r="AH897" s="17">
        <v>28.25</v>
      </c>
      <c r="AI897" s="17">
        <v>9.73</v>
      </c>
      <c r="AJ897" s="17">
        <v>7.52</v>
      </c>
      <c r="AK897" t="s">
        <v>165</v>
      </c>
      <c r="AM897" s="17">
        <v>2.5</v>
      </c>
      <c r="AN897" s="17"/>
      <c r="AO897" s="17">
        <v>1440</v>
      </c>
      <c r="AP897" s="17"/>
      <c r="AQ897" s="17">
        <v>1995</v>
      </c>
      <c r="AR897" s="17"/>
      <c r="AS897" s="17">
        <v>3.33</v>
      </c>
      <c r="AT897" s="17"/>
      <c r="AU897" s="17">
        <v>1317.94</v>
      </c>
      <c r="AV897" s="17"/>
      <c r="AW897" s="17">
        <v>2346.24</v>
      </c>
      <c r="AX897" s="17"/>
      <c r="AY897" t="s">
        <v>92</v>
      </c>
      <c r="AZ897" t="s">
        <v>92</v>
      </c>
      <c r="BA897" t="s">
        <v>92</v>
      </c>
      <c r="BB897" t="s">
        <v>92</v>
      </c>
      <c r="BC897" t="s">
        <v>92</v>
      </c>
      <c r="BD897" t="s">
        <v>92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92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92</v>
      </c>
      <c r="BS897" t="s">
        <v>92</v>
      </c>
      <c r="BT897" t="s">
        <v>92</v>
      </c>
      <c r="BU897" t="s">
        <v>92</v>
      </c>
      <c r="BV897" t="s">
        <v>92</v>
      </c>
      <c r="BW897" t="s">
        <v>92</v>
      </c>
      <c r="BX897" t="s">
        <v>92</v>
      </c>
      <c r="BY897" t="str">
        <f>IF(COUNTIF('Data Upload-prod'!E:E,F897)=0,"Missing","Exist")</f>
        <v>Exist</v>
      </c>
    </row>
    <row r="898" hidden="1" spans="1:77">
      <c r="A898" s="16">
        <v>41220</v>
      </c>
      <c r="B898" s="16">
        <v>41356</v>
      </c>
      <c r="C898" t="s">
        <v>132</v>
      </c>
      <c r="D898" t="s">
        <v>78</v>
      </c>
      <c r="E898" t="s">
        <v>1501</v>
      </c>
      <c r="F898" t="s">
        <v>1502</v>
      </c>
      <c r="G898" t="s">
        <v>81</v>
      </c>
      <c r="H898" t="s">
        <v>198</v>
      </c>
      <c r="I898" t="s">
        <v>83</v>
      </c>
      <c r="J898" s="17">
        <v>61</v>
      </c>
      <c r="K898" s="17">
        <v>5365</v>
      </c>
      <c r="L898" s="17">
        <v>2290.8</v>
      </c>
      <c r="M898" t="s">
        <v>84</v>
      </c>
      <c r="N898" t="s">
        <v>84</v>
      </c>
      <c r="O898" t="s">
        <v>84</v>
      </c>
      <c r="P898" t="s">
        <v>84</v>
      </c>
      <c r="Q898" s="17">
        <v>26227538</v>
      </c>
      <c r="R898" s="17">
        <v>54.06</v>
      </c>
      <c r="S898" t="s">
        <v>85</v>
      </c>
      <c r="T898" t="s">
        <v>84</v>
      </c>
      <c r="U898" t="s">
        <v>86</v>
      </c>
      <c r="V898" s="16">
        <v>41225</v>
      </c>
      <c r="W898" s="18">
        <v>41224</v>
      </c>
      <c r="X898" s="18">
        <v>41273</v>
      </c>
      <c r="Y898" s="17">
        <v>5136.62</v>
      </c>
      <c r="Z898" t="s">
        <v>87</v>
      </c>
      <c r="AA898" s="17">
        <v>5232</v>
      </c>
      <c r="AB898" s="17">
        <v>2298.1</v>
      </c>
      <c r="AC898" t="s">
        <v>84</v>
      </c>
      <c r="AD898" t="s">
        <v>84</v>
      </c>
      <c r="AE898" t="s">
        <v>84</v>
      </c>
      <c r="AF898" t="s">
        <v>84</v>
      </c>
      <c r="AG898" s="17">
        <v>20264386.93</v>
      </c>
      <c r="AH898" s="17">
        <v>48.77</v>
      </c>
      <c r="AI898" s="17">
        <v>23.16</v>
      </c>
      <c r="AJ898" s="17">
        <v>14.55</v>
      </c>
      <c r="AK898" t="s">
        <v>208</v>
      </c>
      <c r="AM898" s="17">
        <v>2.1</v>
      </c>
      <c r="AN898" s="17"/>
      <c r="AO898" s="17">
        <v>700</v>
      </c>
      <c r="AP898" s="17"/>
      <c r="AQ898" s="17">
        <v>1220</v>
      </c>
      <c r="AR898" s="17"/>
      <c r="AS898" s="17">
        <v>1.98</v>
      </c>
      <c r="AT898" s="17"/>
      <c r="AU898" s="17">
        <v>829</v>
      </c>
      <c r="AV898" s="17"/>
      <c r="AW898" s="17">
        <v>1217</v>
      </c>
      <c r="AX898" s="17"/>
      <c r="AY898" t="s">
        <v>92</v>
      </c>
      <c r="AZ898" t="s">
        <v>92</v>
      </c>
      <c r="BA898" t="s">
        <v>92</v>
      </c>
      <c r="BB898" t="s">
        <v>92</v>
      </c>
      <c r="BC898" t="s">
        <v>92</v>
      </c>
      <c r="BD898" s="17">
        <v>12.63</v>
      </c>
      <c r="BE898" s="17">
        <v>3895032.58</v>
      </c>
      <c r="BF898" t="s">
        <v>92</v>
      </c>
      <c r="BG898" t="s">
        <v>92</v>
      </c>
      <c r="BH898" t="s">
        <v>93</v>
      </c>
      <c r="BI898" t="s">
        <v>94</v>
      </c>
      <c r="BJ898" t="s">
        <v>173</v>
      </c>
      <c r="BK898" t="s">
        <v>85</v>
      </c>
      <c r="BL898" t="s">
        <v>85</v>
      </c>
      <c r="BM898" t="s">
        <v>273</v>
      </c>
      <c r="BN898" t="s">
        <v>97</v>
      </c>
      <c r="BO898" t="s">
        <v>98</v>
      </c>
      <c r="BP898" t="s">
        <v>139</v>
      </c>
      <c r="BQ898" s="17">
        <v>26.248</v>
      </c>
      <c r="BR898" t="s">
        <v>100</v>
      </c>
      <c r="BS898" t="s">
        <v>92</v>
      </c>
      <c r="BT898" t="s">
        <v>139</v>
      </c>
      <c r="BU898" s="17">
        <v>8.5</v>
      </c>
      <c r="BV898" t="s">
        <v>110</v>
      </c>
      <c r="BW898" t="s">
        <v>85</v>
      </c>
      <c r="BX898" t="s">
        <v>85</v>
      </c>
      <c r="BY898" t="str">
        <f>IF(COUNTIF('Data Upload-prod'!E:E,F898)=0,"Missing","Exist")</f>
        <v>Exist</v>
      </c>
    </row>
    <row r="899" hidden="1" spans="1:77">
      <c r="A899" s="16">
        <v>41220</v>
      </c>
      <c r="B899" s="16">
        <v>41327</v>
      </c>
      <c r="C899" t="s">
        <v>132</v>
      </c>
      <c r="D899" t="s">
        <v>120</v>
      </c>
      <c r="E899" t="s">
        <v>182</v>
      </c>
      <c r="F899" t="s">
        <v>1503</v>
      </c>
      <c r="G899" t="s">
        <v>81</v>
      </c>
      <c r="H899" t="s">
        <v>211</v>
      </c>
      <c r="I899" t="s">
        <v>124</v>
      </c>
      <c r="J899" s="17">
        <v>50.59</v>
      </c>
      <c r="K899" s="17">
        <v>2620.54</v>
      </c>
      <c r="L899" s="17">
        <v>2033.22</v>
      </c>
      <c r="M899" t="s">
        <v>84</v>
      </c>
      <c r="N899" t="s">
        <v>84</v>
      </c>
      <c r="O899" t="s">
        <v>84</v>
      </c>
      <c r="P899" t="s">
        <v>84</v>
      </c>
      <c r="Q899" s="17">
        <v>12552520</v>
      </c>
      <c r="R899" s="17">
        <v>25.9</v>
      </c>
      <c r="S899" t="s">
        <v>85</v>
      </c>
      <c r="T899" t="s">
        <v>84</v>
      </c>
      <c r="U899" t="s">
        <v>84</v>
      </c>
      <c r="V899" s="16">
        <v>41231</v>
      </c>
      <c r="W899" s="18">
        <v>41231</v>
      </c>
      <c r="X899" s="18">
        <v>41256</v>
      </c>
      <c r="Y899" s="17">
        <v>2573.61</v>
      </c>
      <c r="Z899" t="s">
        <v>87</v>
      </c>
      <c r="AA899" s="17">
        <v>2664.43</v>
      </c>
      <c r="AB899" s="17">
        <v>2069.31</v>
      </c>
      <c r="AC899" t="s">
        <v>84</v>
      </c>
      <c r="AD899" t="s">
        <v>84</v>
      </c>
      <c r="AE899" t="s">
        <v>84</v>
      </c>
      <c r="AF899" t="s">
        <v>84</v>
      </c>
      <c r="AG899" s="17">
        <v>11710840</v>
      </c>
      <c r="AH899" s="17">
        <v>25.49</v>
      </c>
      <c r="AI899" s="17">
        <v>4.56</v>
      </c>
      <c r="AJ899" s="17">
        <v>4.56</v>
      </c>
      <c r="AK899" t="s">
        <v>208</v>
      </c>
      <c r="AM899" s="17">
        <v>2.2</v>
      </c>
      <c r="AN899" s="17"/>
      <c r="AO899" s="17">
        <v>830</v>
      </c>
      <c r="AP899" s="17"/>
      <c r="AQ899" s="17">
        <v>1395</v>
      </c>
      <c r="AR899" s="17"/>
      <c r="AS899" s="17">
        <v>1.96</v>
      </c>
      <c r="AT899" s="17"/>
      <c r="AU899" s="17">
        <v>866</v>
      </c>
      <c r="AV899" s="17"/>
      <c r="AW899" s="17">
        <v>1288</v>
      </c>
      <c r="AX899" s="17"/>
      <c r="AY899" t="s">
        <v>92</v>
      </c>
      <c r="AZ899" t="s">
        <v>92</v>
      </c>
      <c r="BA899" t="s">
        <v>92</v>
      </c>
      <c r="BB899" t="s">
        <v>92</v>
      </c>
      <c r="BC899" t="s">
        <v>92</v>
      </c>
      <c r="BD899" t="s">
        <v>92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92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92</v>
      </c>
      <c r="BS899" t="s">
        <v>92</v>
      </c>
      <c r="BT899" t="s">
        <v>92</v>
      </c>
      <c r="BU899" t="s">
        <v>92</v>
      </c>
      <c r="BV899" t="s">
        <v>92</v>
      </c>
      <c r="BW899" t="s">
        <v>92</v>
      </c>
      <c r="BX899" t="s">
        <v>92</v>
      </c>
      <c r="BY899" t="str">
        <f>IF(COUNTIF('Data Upload-prod'!E:E,F899)=0,"Missing","Exist")</f>
        <v>Exist</v>
      </c>
    </row>
    <row r="900" hidden="1" spans="1:77">
      <c r="A900" s="16">
        <v>41204</v>
      </c>
      <c r="B900" t="s">
        <v>84</v>
      </c>
      <c r="C900" t="s">
        <v>132</v>
      </c>
      <c r="D900" t="s">
        <v>78</v>
      </c>
      <c r="E900" t="s">
        <v>628</v>
      </c>
      <c r="F900" t="s">
        <v>1504</v>
      </c>
      <c r="G900" t="s">
        <v>81</v>
      </c>
      <c r="H900" t="s">
        <v>1449</v>
      </c>
      <c r="I900" t="s">
        <v>83</v>
      </c>
      <c r="J900" s="17">
        <v>76.7</v>
      </c>
      <c r="K900" s="17">
        <v>1664</v>
      </c>
      <c r="L900" s="17">
        <v>1328</v>
      </c>
      <c r="M900" t="s">
        <v>84</v>
      </c>
      <c r="N900" t="s">
        <v>84</v>
      </c>
      <c r="O900" t="s">
        <v>84</v>
      </c>
      <c r="P900" t="s">
        <v>84</v>
      </c>
      <c r="Q900" s="17">
        <v>10122180</v>
      </c>
      <c r="R900" s="17">
        <v>21.1</v>
      </c>
      <c r="S900" t="s">
        <v>85</v>
      </c>
      <c r="T900" t="s">
        <v>84</v>
      </c>
      <c r="U900" t="s">
        <v>86</v>
      </c>
      <c r="V900" s="16">
        <v>41207</v>
      </c>
      <c r="W900" s="18">
        <v>41207</v>
      </c>
      <c r="X900" s="18">
        <v>41221</v>
      </c>
      <c r="Y900" s="17">
        <v>1551.99</v>
      </c>
      <c r="Z900" t="s">
        <v>87</v>
      </c>
      <c r="AA900" s="17">
        <v>1663</v>
      </c>
      <c r="AB900" s="17">
        <v>1327.31</v>
      </c>
      <c r="AC900" t="s">
        <v>84</v>
      </c>
      <c r="AD900" t="s">
        <v>84</v>
      </c>
      <c r="AE900" t="s">
        <v>84</v>
      </c>
      <c r="AF900" t="s">
        <v>84</v>
      </c>
      <c r="AG900" s="17">
        <v>5476538.57</v>
      </c>
      <c r="AH900" s="17">
        <v>13.33</v>
      </c>
      <c r="AI900" s="17">
        <v>0.78</v>
      </c>
      <c r="AJ900" s="17">
        <v>0.78</v>
      </c>
      <c r="AK900" t="s">
        <v>208</v>
      </c>
      <c r="AM900" s="17">
        <v>2.1</v>
      </c>
      <c r="AN900" s="17"/>
      <c r="AO900" s="17">
        <v>700</v>
      </c>
      <c r="AP900" s="17"/>
      <c r="AQ900" s="17">
        <v>1225</v>
      </c>
      <c r="AR900" s="17"/>
      <c r="AS900" s="17">
        <v>1.62</v>
      </c>
      <c r="AT900" s="17"/>
      <c r="AU900" s="17">
        <v>510</v>
      </c>
      <c r="AV900" s="17"/>
      <c r="AW900" s="17">
        <v>1820</v>
      </c>
      <c r="AX900" s="17"/>
      <c r="AY900" t="s">
        <v>92</v>
      </c>
      <c r="AZ900" t="s">
        <v>92</v>
      </c>
      <c r="BA900" t="s">
        <v>92</v>
      </c>
      <c r="BB900" t="s">
        <v>92</v>
      </c>
      <c r="BC900" t="s">
        <v>92</v>
      </c>
      <c r="BD900" s="17">
        <v>3.79</v>
      </c>
      <c r="BE900" s="17">
        <v>1474725.58</v>
      </c>
      <c r="BF900" t="s">
        <v>92</v>
      </c>
      <c r="BG900" t="s">
        <v>92</v>
      </c>
      <c r="BH900" t="s">
        <v>93</v>
      </c>
      <c r="BI900" t="s">
        <v>94</v>
      </c>
      <c r="BJ900" t="s">
        <v>128</v>
      </c>
      <c r="BK900" t="s">
        <v>85</v>
      </c>
      <c r="BL900" t="s">
        <v>85</v>
      </c>
      <c r="BM900" t="s">
        <v>96</v>
      </c>
      <c r="BN900" t="s">
        <v>253</v>
      </c>
      <c r="BO900" t="s">
        <v>98</v>
      </c>
      <c r="BP900" t="s">
        <v>99</v>
      </c>
      <c r="BQ900" s="17">
        <v>178</v>
      </c>
      <c r="BR900" t="s">
        <v>100</v>
      </c>
      <c r="BS900" t="s">
        <v>285</v>
      </c>
      <c r="BT900" t="s">
        <v>99</v>
      </c>
      <c r="BU900" s="17">
        <v>8.5</v>
      </c>
      <c r="BV900" t="s">
        <v>110</v>
      </c>
      <c r="BW900" t="s">
        <v>85</v>
      </c>
      <c r="BX900" t="s">
        <v>85</v>
      </c>
      <c r="BY900" t="str">
        <f>IF(COUNTIF('Data Upload-prod'!E:E,F900)=0,"Missing","Exist")</f>
        <v>Exist</v>
      </c>
    </row>
    <row r="901" hidden="1" spans="1:77">
      <c r="A901" s="16">
        <v>41204</v>
      </c>
      <c r="B901" t="s">
        <v>84</v>
      </c>
      <c r="C901" t="s">
        <v>132</v>
      </c>
      <c r="D901" t="s">
        <v>78</v>
      </c>
      <c r="E901" t="s">
        <v>1001</v>
      </c>
      <c r="F901" t="s">
        <v>1505</v>
      </c>
      <c r="G901" t="s">
        <v>81</v>
      </c>
      <c r="H901" t="s">
        <v>1490</v>
      </c>
      <c r="I901" t="s">
        <v>83</v>
      </c>
      <c r="J901" s="17">
        <v>68</v>
      </c>
      <c r="K901" s="17">
        <v>4628</v>
      </c>
      <c r="L901" s="17">
        <v>2234</v>
      </c>
      <c r="M901" t="s">
        <v>84</v>
      </c>
      <c r="N901" t="s">
        <v>84</v>
      </c>
      <c r="O901" t="s">
        <v>84</v>
      </c>
      <c r="P901" t="s">
        <v>84</v>
      </c>
      <c r="Q901" s="17">
        <v>25437541</v>
      </c>
      <c r="R901" s="17">
        <v>58.12</v>
      </c>
      <c r="S901" t="s">
        <v>85</v>
      </c>
      <c r="T901" t="s">
        <v>84</v>
      </c>
      <c r="U901" t="s">
        <v>86</v>
      </c>
      <c r="V901" s="16">
        <v>41239</v>
      </c>
      <c r="W901" s="18">
        <v>41236</v>
      </c>
      <c r="X901" s="18">
        <v>41303</v>
      </c>
      <c r="Y901" s="17">
        <v>4396</v>
      </c>
      <c r="Z901" t="s">
        <v>87</v>
      </c>
      <c r="AA901" s="17">
        <v>4500</v>
      </c>
      <c r="AB901" s="17">
        <v>2208</v>
      </c>
      <c r="AC901" t="s">
        <v>84</v>
      </c>
      <c r="AD901" t="s">
        <v>84</v>
      </c>
      <c r="AE901" t="s">
        <v>84</v>
      </c>
      <c r="AF901" t="s">
        <v>84</v>
      </c>
      <c r="AG901" s="17">
        <v>24590534.45</v>
      </c>
      <c r="AH901" s="17">
        <v>67.25</v>
      </c>
      <c r="AI901" s="17">
        <v>28.13</v>
      </c>
      <c r="AJ901" s="17">
        <v>15.32</v>
      </c>
      <c r="AK901" t="s">
        <v>114</v>
      </c>
      <c r="AM901" s="17">
        <v>2.2</v>
      </c>
      <c r="AN901" s="17"/>
      <c r="AO901" s="17">
        <v>915</v>
      </c>
      <c r="AP901" s="17"/>
      <c r="AQ901" s="17">
        <v>1520</v>
      </c>
      <c r="AR901" s="17"/>
      <c r="AS901" s="17">
        <v>2.58</v>
      </c>
      <c r="AT901" s="17"/>
      <c r="AU901" s="17">
        <v>1596</v>
      </c>
      <c r="AV901" s="17"/>
      <c r="AW901" s="17">
        <v>1737</v>
      </c>
      <c r="AX901" s="17"/>
      <c r="AY901" t="s">
        <v>92</v>
      </c>
      <c r="AZ901" t="s">
        <v>92</v>
      </c>
      <c r="BA901" t="s">
        <v>92</v>
      </c>
      <c r="BB901" t="s">
        <v>92</v>
      </c>
      <c r="BC901" t="s">
        <v>92</v>
      </c>
      <c r="BD901" s="17">
        <v>20.67</v>
      </c>
      <c r="BE901" s="17">
        <v>6660439.22</v>
      </c>
      <c r="BF901" t="s">
        <v>92</v>
      </c>
      <c r="BG901" t="s">
        <v>92</v>
      </c>
      <c r="BH901" t="s">
        <v>93</v>
      </c>
      <c r="BI901" t="s">
        <v>94</v>
      </c>
      <c r="BJ901" t="s">
        <v>173</v>
      </c>
      <c r="BK901" t="s">
        <v>85</v>
      </c>
      <c r="BL901" t="s">
        <v>85</v>
      </c>
      <c r="BM901" t="s">
        <v>96</v>
      </c>
      <c r="BN901" t="s">
        <v>97</v>
      </c>
      <c r="BO901" t="s">
        <v>98</v>
      </c>
      <c r="BP901" t="s">
        <v>103</v>
      </c>
      <c r="BQ901" s="17">
        <v>108.273</v>
      </c>
      <c r="BR901" t="s">
        <v>138</v>
      </c>
      <c r="BS901" t="s">
        <v>156</v>
      </c>
      <c r="BT901" t="s">
        <v>550</v>
      </c>
      <c r="BU901" s="17">
        <v>8.5</v>
      </c>
      <c r="BV901" t="s">
        <v>191</v>
      </c>
      <c r="BW901" t="s">
        <v>85</v>
      </c>
      <c r="BX901" t="s">
        <v>85</v>
      </c>
      <c r="BY901" t="str">
        <f>IF(COUNTIF('Data Upload-prod'!E:E,F901)=0,"Missing","Exist")</f>
        <v>Exist</v>
      </c>
    </row>
    <row r="902" hidden="1" spans="1:77">
      <c r="A902" s="16">
        <v>41192</v>
      </c>
      <c r="B902" s="16">
        <v>41288</v>
      </c>
      <c r="C902" t="s">
        <v>132</v>
      </c>
      <c r="D902" t="s">
        <v>120</v>
      </c>
      <c r="E902" t="s">
        <v>1506</v>
      </c>
      <c r="F902" t="s">
        <v>1507</v>
      </c>
      <c r="G902" t="s">
        <v>145</v>
      </c>
      <c r="H902" t="s">
        <v>319</v>
      </c>
      <c r="I902" t="s">
        <v>231</v>
      </c>
      <c r="J902" s="17">
        <v>85.8</v>
      </c>
      <c r="K902" s="17">
        <v>1309</v>
      </c>
      <c r="L902" s="17">
        <v>1280</v>
      </c>
      <c r="M902" s="17">
        <v>12099100</v>
      </c>
      <c r="N902" s="17">
        <v>16997460</v>
      </c>
      <c r="O902" s="17">
        <v>20.5</v>
      </c>
      <c r="P902" s="17">
        <v>32</v>
      </c>
      <c r="Q902" t="s">
        <v>84</v>
      </c>
      <c r="R902" t="s">
        <v>84</v>
      </c>
      <c r="S902" t="s">
        <v>85</v>
      </c>
      <c r="T902" t="s">
        <v>84</v>
      </c>
      <c r="U902" t="s">
        <v>84</v>
      </c>
      <c r="V902" s="16">
        <v>41203.1875</v>
      </c>
      <c r="W902" s="18">
        <v>41199.5416666667</v>
      </c>
      <c r="X902" s="18">
        <v>41231</v>
      </c>
      <c r="Y902" s="17">
        <v>1194.2</v>
      </c>
      <c r="Z902" t="s">
        <v>87</v>
      </c>
      <c r="AA902" s="17">
        <v>1309</v>
      </c>
      <c r="AB902" s="17">
        <v>1309</v>
      </c>
      <c r="AC902" t="s">
        <v>84</v>
      </c>
      <c r="AD902" s="17">
        <v>16155920</v>
      </c>
      <c r="AE902" t="s">
        <v>84</v>
      </c>
      <c r="AF902" s="17">
        <v>31.46</v>
      </c>
      <c r="AG902" t="s">
        <v>84</v>
      </c>
      <c r="AH902" t="s">
        <v>84</v>
      </c>
      <c r="AI902" s="17">
        <v>16.52</v>
      </c>
      <c r="AJ902" s="17">
        <v>15.33</v>
      </c>
      <c r="AK902" t="s">
        <v>323</v>
      </c>
      <c r="AM902" s="17">
        <v>4.4</v>
      </c>
      <c r="AN902" s="17"/>
      <c r="AO902" s="17">
        <v>1980</v>
      </c>
      <c r="AP902" s="17"/>
      <c r="AQ902" s="17">
        <v>2760</v>
      </c>
      <c r="AR902" s="17"/>
      <c r="AS902" s="17">
        <v>2.42</v>
      </c>
      <c r="AT902" s="17"/>
      <c r="AU902" s="17">
        <v>1528</v>
      </c>
      <c r="AV902" s="17"/>
      <c r="AW902" s="17">
        <v>4124</v>
      </c>
      <c r="AX902" s="17"/>
      <c r="AY902" t="s">
        <v>92</v>
      </c>
      <c r="AZ902" t="s">
        <v>92</v>
      </c>
      <c r="BA902" t="s">
        <v>92</v>
      </c>
      <c r="BB902" t="s">
        <v>92</v>
      </c>
      <c r="BC902" t="s">
        <v>92</v>
      </c>
      <c r="BD902" t="s">
        <v>92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92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92</v>
      </c>
      <c r="BS902" t="s">
        <v>92</v>
      </c>
      <c r="BT902" t="s">
        <v>92</v>
      </c>
      <c r="BU902" t="s">
        <v>92</v>
      </c>
      <c r="BV902" t="s">
        <v>92</v>
      </c>
      <c r="BW902" t="s">
        <v>92</v>
      </c>
      <c r="BX902" t="s">
        <v>92</v>
      </c>
      <c r="BY902" t="str">
        <f>IF(COUNTIF('Data Upload-prod'!E:E,F902)=0,"Missing","Exist")</f>
        <v>Exist</v>
      </c>
    </row>
    <row r="903" hidden="1" spans="1:77">
      <c r="A903" s="16">
        <v>41180</v>
      </c>
      <c r="B903" s="16">
        <v>41346</v>
      </c>
      <c r="C903" t="s">
        <v>233</v>
      </c>
      <c r="D903" t="s">
        <v>78</v>
      </c>
      <c r="E903" t="s">
        <v>1508</v>
      </c>
      <c r="F903" t="s">
        <v>1509</v>
      </c>
      <c r="G903" t="s">
        <v>145</v>
      </c>
      <c r="H903" t="s">
        <v>1432</v>
      </c>
      <c r="I903" t="s">
        <v>124</v>
      </c>
      <c r="J903" s="17">
        <v>72</v>
      </c>
      <c r="K903" s="17">
        <v>3934</v>
      </c>
      <c r="L903" s="17">
        <v>3934</v>
      </c>
      <c r="M903" s="17">
        <v>25761187</v>
      </c>
      <c r="N903" s="17">
        <v>58142727</v>
      </c>
      <c r="O903" s="17">
        <v>49.9</v>
      </c>
      <c r="P903" s="17">
        <v>120.3</v>
      </c>
      <c r="Q903" t="s">
        <v>84</v>
      </c>
      <c r="R903" t="s">
        <v>84</v>
      </c>
      <c r="S903" t="s">
        <v>85</v>
      </c>
      <c r="T903" t="s">
        <v>84</v>
      </c>
      <c r="U903" t="s">
        <v>84</v>
      </c>
      <c r="V903" s="16">
        <v>41230</v>
      </c>
      <c r="W903" s="18">
        <v>41223</v>
      </c>
      <c r="X903" s="18">
        <v>41320.8333333333</v>
      </c>
      <c r="Y903" s="17">
        <v>3924</v>
      </c>
      <c r="Z903" t="s">
        <v>87</v>
      </c>
      <c r="AA903" s="17">
        <v>4030</v>
      </c>
      <c r="AB903" s="17">
        <v>4029.7</v>
      </c>
      <c r="AC903" t="s">
        <v>84</v>
      </c>
      <c r="AD903" s="17">
        <v>40800000</v>
      </c>
      <c r="AE903" t="s">
        <v>84</v>
      </c>
      <c r="AF903" s="17">
        <v>97</v>
      </c>
      <c r="AG903" t="s">
        <v>84</v>
      </c>
      <c r="AH903" t="s">
        <v>84</v>
      </c>
      <c r="AI903" s="17">
        <v>8.9</v>
      </c>
      <c r="AJ903" s="17">
        <v>8.9</v>
      </c>
      <c r="AK903" t="s">
        <v>333</v>
      </c>
      <c r="AM903" s="17">
        <v>3.8</v>
      </c>
      <c r="AN903" s="17"/>
      <c r="AO903" s="17">
        <v>2125</v>
      </c>
      <c r="AP903" s="17"/>
      <c r="AQ903" s="17">
        <v>3315</v>
      </c>
      <c r="AR903" s="17"/>
      <c r="AS903" s="13" t="s">
        <v>150</v>
      </c>
      <c r="AT903" s="13"/>
      <c r="AU903" s="13" t="s">
        <v>150</v>
      </c>
      <c r="AW903" s="13" t="s">
        <v>150</v>
      </c>
      <c r="AY903" t="s">
        <v>92</v>
      </c>
      <c r="AZ903" t="s">
        <v>92</v>
      </c>
      <c r="BA903" t="s">
        <v>92</v>
      </c>
      <c r="BB903" t="s">
        <v>92</v>
      </c>
      <c r="BC903" t="s">
        <v>92</v>
      </c>
      <c r="BD903" t="s">
        <v>92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92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92</v>
      </c>
      <c r="BS903" t="s">
        <v>92</v>
      </c>
      <c r="BT903" t="s">
        <v>92</v>
      </c>
      <c r="BU903" t="s">
        <v>92</v>
      </c>
      <c r="BV903" t="s">
        <v>92</v>
      </c>
      <c r="BW903" t="s">
        <v>92</v>
      </c>
      <c r="BX903" t="s">
        <v>92</v>
      </c>
      <c r="BY903" t="str">
        <f>IF(COUNTIF('Data Upload-prod'!E:E,F903)=0,"Missing","Exist")</f>
        <v>Exist</v>
      </c>
    </row>
    <row r="904" hidden="1" spans="1:77">
      <c r="A904" s="16">
        <v>41159</v>
      </c>
      <c r="B904" s="16">
        <v>41227</v>
      </c>
      <c r="C904" t="s">
        <v>132</v>
      </c>
      <c r="D904" t="s">
        <v>78</v>
      </c>
      <c r="E904" t="s">
        <v>628</v>
      </c>
      <c r="F904" t="s">
        <v>1510</v>
      </c>
      <c r="G904" t="s">
        <v>81</v>
      </c>
      <c r="H904" t="s">
        <v>1449</v>
      </c>
      <c r="I904" t="s">
        <v>83</v>
      </c>
      <c r="J904" s="17">
        <v>76.7</v>
      </c>
      <c r="K904" s="17">
        <v>2610</v>
      </c>
      <c r="L904" s="17">
        <v>1363</v>
      </c>
      <c r="M904" t="s">
        <v>84</v>
      </c>
      <c r="N904" t="s">
        <v>84</v>
      </c>
      <c r="O904" t="s">
        <v>84</v>
      </c>
      <c r="P904" t="s">
        <v>84</v>
      </c>
      <c r="Q904" s="17">
        <v>10705177</v>
      </c>
      <c r="R904" s="17">
        <v>20.7</v>
      </c>
      <c r="S904" t="s">
        <v>85</v>
      </c>
      <c r="T904" t="s">
        <v>84</v>
      </c>
      <c r="U904" t="s">
        <v>86</v>
      </c>
      <c r="V904" s="16">
        <v>41168</v>
      </c>
      <c r="W904" s="18">
        <v>41168</v>
      </c>
      <c r="X904" s="18">
        <v>41191</v>
      </c>
      <c r="Y904" s="17">
        <v>2508.99</v>
      </c>
      <c r="Z904" t="s">
        <v>87</v>
      </c>
      <c r="AA904" s="17">
        <v>2620</v>
      </c>
      <c r="AB904" s="17">
        <v>1357</v>
      </c>
      <c r="AC904" t="s">
        <v>84</v>
      </c>
      <c r="AD904" t="s">
        <v>84</v>
      </c>
      <c r="AE904" t="s">
        <v>84</v>
      </c>
      <c r="AF904" t="s">
        <v>84</v>
      </c>
      <c r="AG904" s="17">
        <v>8992347.45</v>
      </c>
      <c r="AH904" s="17">
        <v>22.73</v>
      </c>
      <c r="AI904" s="17">
        <v>2.29</v>
      </c>
      <c r="AJ904" s="17">
        <v>1.83</v>
      </c>
      <c r="AK904" t="s">
        <v>165</v>
      </c>
      <c r="AM904" s="17">
        <v>3.2</v>
      </c>
      <c r="AN904" s="17"/>
      <c r="AO904" s="17">
        <v>1300</v>
      </c>
      <c r="AP904" s="17"/>
      <c r="AQ904" s="17">
        <v>1830</v>
      </c>
      <c r="AR904" s="17"/>
      <c r="AS904" s="17">
        <v>2.19</v>
      </c>
      <c r="AT904" s="17"/>
      <c r="AU904" s="17">
        <v>870</v>
      </c>
      <c r="AV904" s="17"/>
      <c r="AW904" s="17">
        <v>1090</v>
      </c>
      <c r="AX904" s="17"/>
      <c r="AY904" t="s">
        <v>92</v>
      </c>
      <c r="AZ904" t="s">
        <v>92</v>
      </c>
      <c r="BA904" t="s">
        <v>92</v>
      </c>
      <c r="BB904" t="s">
        <v>92</v>
      </c>
      <c r="BC904" t="s">
        <v>92</v>
      </c>
      <c r="BD904" s="17">
        <v>5.23</v>
      </c>
      <c r="BE904" s="17">
        <v>1843959.55</v>
      </c>
      <c r="BF904" t="s">
        <v>92</v>
      </c>
      <c r="BG904" t="s">
        <v>92</v>
      </c>
      <c r="BH904" t="s">
        <v>93</v>
      </c>
      <c r="BI904" t="s">
        <v>94</v>
      </c>
      <c r="BJ904" t="s">
        <v>128</v>
      </c>
      <c r="BK904" t="s">
        <v>85</v>
      </c>
      <c r="BL904" t="s">
        <v>85</v>
      </c>
      <c r="BM904" t="s">
        <v>96</v>
      </c>
      <c r="BN904" t="s">
        <v>490</v>
      </c>
      <c r="BO904" t="s">
        <v>98</v>
      </c>
      <c r="BP904" t="s">
        <v>99</v>
      </c>
      <c r="BQ904" s="17">
        <v>217</v>
      </c>
      <c r="BR904" t="s">
        <v>100</v>
      </c>
      <c r="BS904" t="s">
        <v>285</v>
      </c>
      <c r="BT904" t="s">
        <v>99</v>
      </c>
      <c r="BU904" s="17">
        <v>8.5</v>
      </c>
      <c r="BV904" t="s">
        <v>110</v>
      </c>
      <c r="BW904" t="s">
        <v>85</v>
      </c>
      <c r="BX904" t="s">
        <v>85</v>
      </c>
      <c r="BY904" t="str">
        <f>IF(COUNTIF('Data Upload-prod'!E:E,F904)=0,"Missing","Exist")</f>
        <v>Exist</v>
      </c>
    </row>
    <row r="905" hidden="1" spans="1:77">
      <c r="A905" s="16">
        <v>41132</v>
      </c>
      <c r="B905" s="16">
        <v>41376</v>
      </c>
      <c r="C905" t="s">
        <v>132</v>
      </c>
      <c r="D905" t="s">
        <v>78</v>
      </c>
      <c r="E905" t="s">
        <v>1493</v>
      </c>
      <c r="F905" t="s">
        <v>1511</v>
      </c>
      <c r="G905" t="s">
        <v>81</v>
      </c>
      <c r="H905" t="s">
        <v>1495</v>
      </c>
      <c r="I905" t="s">
        <v>83</v>
      </c>
      <c r="J905" s="17">
        <v>73.4</v>
      </c>
      <c r="K905" s="17">
        <v>2842</v>
      </c>
      <c r="L905" s="17">
        <v>1834</v>
      </c>
      <c r="M905" t="s">
        <v>84</v>
      </c>
      <c r="N905" t="s">
        <v>84</v>
      </c>
      <c r="O905" t="s">
        <v>84</v>
      </c>
      <c r="P905" t="s">
        <v>84</v>
      </c>
      <c r="Q905" s="17">
        <v>17433330</v>
      </c>
      <c r="R905" s="17">
        <v>33.64</v>
      </c>
      <c r="S905" t="s">
        <v>85</v>
      </c>
      <c r="T905" t="s">
        <v>84</v>
      </c>
      <c r="U905" t="s">
        <v>84</v>
      </c>
      <c r="V905" s="16">
        <v>41202.1875</v>
      </c>
      <c r="W905" s="18">
        <v>41201</v>
      </c>
      <c r="X905" s="18">
        <v>41372.1111111111</v>
      </c>
      <c r="Y905" s="17">
        <v>2667.84</v>
      </c>
      <c r="Z905" t="s">
        <v>87</v>
      </c>
      <c r="AA905" s="17">
        <v>2775</v>
      </c>
      <c r="AB905" s="17">
        <v>1798.5</v>
      </c>
      <c r="AC905" t="s">
        <v>84</v>
      </c>
      <c r="AD905" t="s">
        <v>84</v>
      </c>
      <c r="AE905" t="s">
        <v>84</v>
      </c>
      <c r="AF905" t="s">
        <v>84</v>
      </c>
      <c r="AG905" s="17">
        <v>16874680.49</v>
      </c>
      <c r="AH905" s="17">
        <v>51.16</v>
      </c>
      <c r="AI905" s="17">
        <v>15.9</v>
      </c>
      <c r="AJ905" s="17">
        <v>15.9</v>
      </c>
      <c r="AK905" t="s">
        <v>208</v>
      </c>
      <c r="AM905" s="17">
        <v>2.1</v>
      </c>
      <c r="AN905" s="17"/>
      <c r="AO905" s="17">
        <v>700</v>
      </c>
      <c r="AP905" s="17"/>
      <c r="AQ905" s="17">
        <v>1220</v>
      </c>
      <c r="AR905" s="17"/>
      <c r="AS905" s="17">
        <v>2.69</v>
      </c>
      <c r="AT905" s="17"/>
      <c r="AU905" s="17">
        <v>974.14</v>
      </c>
      <c r="AV905" s="17"/>
      <c r="AW905" s="17">
        <v>1903.74</v>
      </c>
      <c r="AX905" s="17"/>
      <c r="AY905" t="s">
        <v>92</v>
      </c>
      <c r="AZ905" t="s">
        <v>92</v>
      </c>
      <c r="BA905" t="s">
        <v>92</v>
      </c>
      <c r="BB905" t="s">
        <v>92</v>
      </c>
      <c r="BC905" t="s">
        <v>92</v>
      </c>
      <c r="BD905" t="s">
        <v>92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92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92</v>
      </c>
      <c r="BS905" t="s">
        <v>92</v>
      </c>
      <c r="BT905" t="s">
        <v>92</v>
      </c>
      <c r="BU905" t="s">
        <v>92</v>
      </c>
      <c r="BV905" t="s">
        <v>92</v>
      </c>
      <c r="BW905" t="s">
        <v>92</v>
      </c>
      <c r="BX905" t="s">
        <v>92</v>
      </c>
      <c r="BY905" t="str">
        <f>IF(COUNTIF('Data Upload-prod'!E:E,F905)=0,"Missing","Exist")</f>
        <v>Exist</v>
      </c>
    </row>
    <row r="906" hidden="1" spans="1:77">
      <c r="A906" s="16">
        <v>41130</v>
      </c>
      <c r="B906" s="16">
        <v>41220</v>
      </c>
      <c r="C906" t="s">
        <v>233</v>
      </c>
      <c r="D906" t="s">
        <v>78</v>
      </c>
      <c r="E906" t="s">
        <v>1512</v>
      </c>
      <c r="F906" t="s">
        <v>1513</v>
      </c>
      <c r="G906" t="s">
        <v>145</v>
      </c>
      <c r="H906" t="s">
        <v>1432</v>
      </c>
      <c r="I906" t="s">
        <v>124</v>
      </c>
      <c r="J906" s="17">
        <v>63.4</v>
      </c>
      <c r="K906" s="17">
        <v>3584</v>
      </c>
      <c r="L906" s="17">
        <v>3584</v>
      </c>
      <c r="M906" s="17">
        <v>18700000</v>
      </c>
      <c r="N906" s="17">
        <v>23200000</v>
      </c>
      <c r="O906" s="17">
        <v>45</v>
      </c>
      <c r="P906" s="17">
        <v>57</v>
      </c>
      <c r="Q906" t="s">
        <v>84</v>
      </c>
      <c r="R906" t="s">
        <v>84</v>
      </c>
      <c r="S906" t="s">
        <v>85</v>
      </c>
      <c r="T906" t="s">
        <v>84</v>
      </c>
      <c r="U906" t="s">
        <v>84</v>
      </c>
      <c r="V906" s="16">
        <v>41150</v>
      </c>
      <c r="W906" s="18">
        <v>41147</v>
      </c>
      <c r="X906" s="18">
        <v>41185.0416666667</v>
      </c>
      <c r="Y906" s="17">
        <v>3832.6</v>
      </c>
      <c r="Z906" t="s">
        <v>87</v>
      </c>
      <c r="AA906" s="17">
        <v>3930</v>
      </c>
      <c r="AB906" s="17">
        <v>3929.64</v>
      </c>
      <c r="AC906" s="17">
        <v>16880000</v>
      </c>
      <c r="AD906" t="s">
        <v>84</v>
      </c>
      <c r="AE906" s="17">
        <v>45.35</v>
      </c>
      <c r="AF906" t="s">
        <v>84</v>
      </c>
      <c r="AG906" t="s">
        <v>84</v>
      </c>
      <c r="AH906" t="s">
        <v>84</v>
      </c>
      <c r="AI906" s="17">
        <v>4.59</v>
      </c>
      <c r="AJ906" s="17">
        <v>4.59</v>
      </c>
      <c r="AK906" t="s">
        <v>333</v>
      </c>
      <c r="AM906" s="17">
        <v>3.8</v>
      </c>
      <c r="AN906" s="17"/>
      <c r="AO906" s="17">
        <v>2125</v>
      </c>
      <c r="AP906" s="17"/>
      <c r="AQ906" s="17">
        <v>3315</v>
      </c>
      <c r="AR906" s="17"/>
      <c r="AS906" s="13" t="s">
        <v>150</v>
      </c>
      <c r="AT906" s="13"/>
      <c r="AU906" s="13" t="s">
        <v>150</v>
      </c>
      <c r="AW906" s="13" t="s">
        <v>150</v>
      </c>
      <c r="AY906" t="s">
        <v>92</v>
      </c>
      <c r="AZ906" t="s">
        <v>92</v>
      </c>
      <c r="BA906" t="s">
        <v>92</v>
      </c>
      <c r="BB906" t="s">
        <v>92</v>
      </c>
      <c r="BC906" t="s">
        <v>92</v>
      </c>
      <c r="BD906" t="s">
        <v>92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92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92</v>
      </c>
      <c r="BS906" t="s">
        <v>92</v>
      </c>
      <c r="BT906" t="s">
        <v>92</v>
      </c>
      <c r="BU906" t="s">
        <v>92</v>
      </c>
      <c r="BV906" t="s">
        <v>92</v>
      </c>
      <c r="BW906" t="s">
        <v>92</v>
      </c>
      <c r="BX906" t="s">
        <v>92</v>
      </c>
      <c r="BY906" t="str">
        <f>IF(COUNTIF('Data Upload-prod'!E:E,F906)=0,"Missing","Exist")</f>
        <v>Exist</v>
      </c>
    </row>
    <row r="907" hidden="1" spans="1:77">
      <c r="A907" s="16">
        <v>41124</v>
      </c>
      <c r="B907" s="16">
        <v>41246</v>
      </c>
      <c r="C907" t="s">
        <v>132</v>
      </c>
      <c r="D907" t="s">
        <v>142</v>
      </c>
      <c r="E907" t="s">
        <v>1514</v>
      </c>
      <c r="F907" t="s">
        <v>1515</v>
      </c>
      <c r="G907" t="s">
        <v>145</v>
      </c>
      <c r="H907" t="s">
        <v>1516</v>
      </c>
      <c r="I907" t="s">
        <v>147</v>
      </c>
      <c r="J907" s="17">
        <v>934</v>
      </c>
      <c r="K907" s="17">
        <v>2695</v>
      </c>
      <c r="L907" s="17">
        <v>2695</v>
      </c>
      <c r="M907" s="17">
        <v>60907200</v>
      </c>
      <c r="N907" s="17">
        <v>60907200</v>
      </c>
      <c r="O907" s="17">
        <v>41.72</v>
      </c>
      <c r="P907" s="17">
        <v>41.72</v>
      </c>
      <c r="Q907" t="s">
        <v>84</v>
      </c>
      <c r="R907" t="s">
        <v>84</v>
      </c>
      <c r="S907" t="s">
        <v>85</v>
      </c>
      <c r="T907" t="s">
        <v>84</v>
      </c>
      <c r="U907" t="s">
        <v>84</v>
      </c>
      <c r="V907" s="16">
        <v>41127.4270833333</v>
      </c>
      <c r="W907" s="18">
        <v>41126</v>
      </c>
      <c r="X907" s="18">
        <v>41150.6666666667</v>
      </c>
      <c r="Y907" s="17">
        <v>1655.15</v>
      </c>
      <c r="Z907" t="s">
        <v>148</v>
      </c>
      <c r="AA907" s="17">
        <v>2614.15</v>
      </c>
      <c r="AB907" s="17">
        <v>2613.8</v>
      </c>
      <c r="AC907" t="s">
        <v>84</v>
      </c>
      <c r="AD907" s="17">
        <v>40300000</v>
      </c>
      <c r="AE907" t="s">
        <v>84</v>
      </c>
      <c r="AF907" s="17">
        <v>24.67</v>
      </c>
      <c r="AG907" t="s">
        <v>84</v>
      </c>
      <c r="AH907" t="s">
        <v>84</v>
      </c>
      <c r="AI907" s="17">
        <v>11.61</v>
      </c>
      <c r="AJ907" s="17">
        <v>11.61</v>
      </c>
      <c r="AK907" t="s">
        <v>232</v>
      </c>
      <c r="AM907" s="17">
        <v>4.4</v>
      </c>
      <c r="AN907" s="17"/>
      <c r="AO907" s="17">
        <v>4200</v>
      </c>
      <c r="AP907" s="17"/>
      <c r="AQ907" s="17">
        <v>6400</v>
      </c>
      <c r="AR907" s="17"/>
      <c r="AS907" s="17">
        <v>2.92</v>
      </c>
      <c r="AT907" s="17"/>
      <c r="AU907" s="17">
        <v>5260</v>
      </c>
      <c r="AV907" s="17"/>
      <c r="AW907" s="17">
        <v>7074</v>
      </c>
      <c r="AX907" s="17"/>
      <c r="AY907" t="s">
        <v>92</v>
      </c>
      <c r="AZ907" t="s">
        <v>92</v>
      </c>
      <c r="BA907" t="s">
        <v>92</v>
      </c>
      <c r="BB907" t="s">
        <v>92</v>
      </c>
      <c r="BC907" t="s">
        <v>92</v>
      </c>
      <c r="BD907" t="s">
        <v>92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92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92</v>
      </c>
      <c r="BS907" t="s">
        <v>92</v>
      </c>
      <c r="BT907" t="s">
        <v>92</v>
      </c>
      <c r="BU907" t="s">
        <v>92</v>
      </c>
      <c r="BV907" t="s">
        <v>92</v>
      </c>
      <c r="BW907" t="s">
        <v>92</v>
      </c>
      <c r="BX907" t="s">
        <v>92</v>
      </c>
      <c r="BY907" t="str">
        <f>IF(COUNTIF('Data Upload-prod'!E:E,F907)=0,"Missing","Exist")</f>
        <v>Exist</v>
      </c>
    </row>
    <row r="908" hidden="1" spans="1:77">
      <c r="A908" s="16">
        <v>41102</v>
      </c>
      <c r="B908" s="16">
        <v>41158</v>
      </c>
      <c r="C908" t="s">
        <v>132</v>
      </c>
      <c r="D908" t="s">
        <v>78</v>
      </c>
      <c r="E908" t="s">
        <v>1517</v>
      </c>
      <c r="F908" t="s">
        <v>1518</v>
      </c>
      <c r="G908" t="s">
        <v>145</v>
      </c>
      <c r="H908" t="s">
        <v>1255</v>
      </c>
      <c r="I908" t="s">
        <v>124</v>
      </c>
      <c r="J908" s="17">
        <v>68.5</v>
      </c>
      <c r="K908" s="17">
        <v>1108</v>
      </c>
      <c r="L908" s="17">
        <v>1058</v>
      </c>
      <c r="M908" s="17">
        <v>10800000</v>
      </c>
      <c r="N908" s="17">
        <v>15400000</v>
      </c>
      <c r="O908" s="17">
        <v>22</v>
      </c>
      <c r="P908" s="17">
        <v>33</v>
      </c>
      <c r="Q908" t="s">
        <v>84</v>
      </c>
      <c r="R908" t="s">
        <v>84</v>
      </c>
      <c r="S908" t="s">
        <v>85</v>
      </c>
      <c r="T908" t="s">
        <v>84</v>
      </c>
      <c r="U908" t="s">
        <v>84</v>
      </c>
      <c r="V908" s="16">
        <v>41114.0729166667</v>
      </c>
      <c r="W908" s="18">
        <v>41110.5416666667</v>
      </c>
      <c r="X908" s="18">
        <v>41131.4583333333</v>
      </c>
      <c r="Y908" s="17">
        <v>999.17</v>
      </c>
      <c r="Z908" t="s">
        <v>87</v>
      </c>
      <c r="AA908" s="17">
        <v>1105</v>
      </c>
      <c r="AB908" s="17">
        <v>1105</v>
      </c>
      <c r="AC908" t="s">
        <v>84</v>
      </c>
      <c r="AD908" s="17">
        <v>7769017</v>
      </c>
      <c r="AE908" t="s">
        <v>84</v>
      </c>
      <c r="AF908" s="17">
        <v>15.54</v>
      </c>
      <c r="AG908" t="s">
        <v>84</v>
      </c>
      <c r="AH908" t="s">
        <v>84</v>
      </c>
      <c r="AI908" s="17">
        <v>8.3</v>
      </c>
      <c r="AJ908" s="17">
        <v>2.7</v>
      </c>
      <c r="AK908" t="s">
        <v>300</v>
      </c>
      <c r="AM908" s="17">
        <v>1.9</v>
      </c>
      <c r="AN908" s="17"/>
      <c r="AO908" s="17">
        <v>720</v>
      </c>
      <c r="AP908" s="17"/>
      <c r="AQ908" s="17">
        <v>1370</v>
      </c>
      <c r="AR908" s="17"/>
      <c r="AS908" s="17">
        <v>1.23</v>
      </c>
      <c r="AT908" s="17"/>
      <c r="AU908" s="17">
        <v>2337</v>
      </c>
      <c r="AV908" s="17"/>
      <c r="AW908" s="17">
        <v>4889</v>
      </c>
      <c r="AX908" s="17"/>
      <c r="AY908" t="s">
        <v>92</v>
      </c>
      <c r="AZ908" t="s">
        <v>92</v>
      </c>
      <c r="BA908" t="s">
        <v>92</v>
      </c>
      <c r="BB908" t="s">
        <v>92</v>
      </c>
      <c r="BC908" t="s">
        <v>92</v>
      </c>
      <c r="BD908" t="s">
        <v>92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92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92</v>
      </c>
      <c r="BS908" t="s">
        <v>92</v>
      </c>
      <c r="BT908" t="s">
        <v>92</v>
      </c>
      <c r="BU908" t="s">
        <v>92</v>
      </c>
      <c r="BV908" t="s">
        <v>92</v>
      </c>
      <c r="BW908" t="s">
        <v>92</v>
      </c>
      <c r="BX908" t="s">
        <v>92</v>
      </c>
      <c r="BY908" t="str">
        <f>IF(COUNTIF('Data Upload-prod'!E:E,F908)=0,"Missing","Exist")</f>
        <v>Exist</v>
      </c>
    </row>
    <row r="909" hidden="1" spans="1:77">
      <c r="A909" s="16">
        <v>41092</v>
      </c>
      <c r="B909" s="16">
        <v>41187</v>
      </c>
      <c r="C909" t="s">
        <v>132</v>
      </c>
      <c r="D909" t="s">
        <v>78</v>
      </c>
      <c r="E909" t="s">
        <v>628</v>
      </c>
      <c r="F909" t="s">
        <v>1519</v>
      </c>
      <c r="G909" t="s">
        <v>81</v>
      </c>
      <c r="H909" t="s">
        <v>1449</v>
      </c>
      <c r="I909" t="s">
        <v>83</v>
      </c>
      <c r="J909" s="17">
        <v>74.22</v>
      </c>
      <c r="K909" s="17">
        <v>3100</v>
      </c>
      <c r="L909" s="17">
        <v>1439</v>
      </c>
      <c r="M909" t="s">
        <v>84</v>
      </c>
      <c r="N909" t="s">
        <v>84</v>
      </c>
      <c r="O909" t="s">
        <v>84</v>
      </c>
      <c r="P909" t="s">
        <v>84</v>
      </c>
      <c r="Q909" s="17">
        <v>12139809</v>
      </c>
      <c r="R909" s="17">
        <v>21.05</v>
      </c>
      <c r="S909" t="s">
        <v>85</v>
      </c>
      <c r="T909" t="s">
        <v>84</v>
      </c>
      <c r="U909" t="s">
        <v>86</v>
      </c>
      <c r="V909" s="16">
        <v>41108</v>
      </c>
      <c r="W909" s="18">
        <v>41108</v>
      </c>
      <c r="X909" s="18">
        <v>41142</v>
      </c>
      <c r="Y909" s="17">
        <v>3231.75</v>
      </c>
      <c r="Z909" t="s">
        <v>87</v>
      </c>
      <c r="AA909" s="17">
        <v>3340</v>
      </c>
      <c r="AB909" s="17">
        <v>1522.5</v>
      </c>
      <c r="AC909" t="s">
        <v>84</v>
      </c>
      <c r="AD909" t="s">
        <v>84</v>
      </c>
      <c r="AE909" t="s">
        <v>84</v>
      </c>
      <c r="AF909" t="s">
        <v>84</v>
      </c>
      <c r="AG909" s="17">
        <v>12658733.75</v>
      </c>
      <c r="AH909" s="17">
        <v>32.23</v>
      </c>
      <c r="AI909" s="17">
        <v>37.17</v>
      </c>
      <c r="AJ909" s="17">
        <v>37.17</v>
      </c>
      <c r="AK909" t="s">
        <v>208</v>
      </c>
      <c r="AM909" s="17">
        <v>2.1</v>
      </c>
      <c r="AN909" s="17"/>
      <c r="AO909" s="17">
        <v>700</v>
      </c>
      <c r="AP909" s="17"/>
      <c r="AQ909" s="17">
        <v>1220</v>
      </c>
      <c r="AR909" s="17"/>
      <c r="AS909" s="17">
        <v>0.94</v>
      </c>
      <c r="AT909" s="17"/>
      <c r="AU909" s="17">
        <v>570</v>
      </c>
      <c r="AV909" s="17"/>
      <c r="AW909" s="17">
        <v>1160</v>
      </c>
      <c r="AX909" s="17"/>
      <c r="AY909" t="s">
        <v>92</v>
      </c>
      <c r="AZ909" t="s">
        <v>92</v>
      </c>
      <c r="BA909" t="s">
        <v>92</v>
      </c>
      <c r="BB909" t="s">
        <v>92</v>
      </c>
      <c r="BC909" t="s">
        <v>92</v>
      </c>
      <c r="BD909" s="17">
        <v>18.29</v>
      </c>
      <c r="BE909" s="17">
        <v>5449816.66</v>
      </c>
      <c r="BF909" t="s">
        <v>92</v>
      </c>
      <c r="BG909" t="s">
        <v>92</v>
      </c>
      <c r="BH909" t="s">
        <v>93</v>
      </c>
      <c r="BI909" t="s">
        <v>94</v>
      </c>
      <c r="BJ909" t="s">
        <v>173</v>
      </c>
      <c r="BK909" t="s">
        <v>85</v>
      </c>
      <c r="BL909" t="s">
        <v>85</v>
      </c>
      <c r="BM909" t="s">
        <v>273</v>
      </c>
      <c r="BN909" t="s">
        <v>174</v>
      </c>
      <c r="BO909" t="s">
        <v>98</v>
      </c>
      <c r="BP909" t="s">
        <v>254</v>
      </c>
      <c r="BQ909" s="17">
        <v>270</v>
      </c>
      <c r="BR909" t="s">
        <v>100</v>
      </c>
      <c r="BS909" t="s">
        <v>156</v>
      </c>
      <c r="BT909" t="s">
        <v>255</v>
      </c>
      <c r="BU909" s="17">
        <v>8.5</v>
      </c>
      <c r="BV909" t="s">
        <v>110</v>
      </c>
      <c r="BW909" t="s">
        <v>85</v>
      </c>
      <c r="BX909" t="s">
        <v>85</v>
      </c>
      <c r="BY909" t="str">
        <f>IF(COUNTIF('Data Upload-prod'!E:E,F909)=0,"Missing","Exist")</f>
        <v>Exist</v>
      </c>
    </row>
    <row r="910" hidden="1" spans="1:77">
      <c r="A910" s="16">
        <v>41075</v>
      </c>
      <c r="B910" s="16">
        <v>41200</v>
      </c>
      <c r="C910" t="s">
        <v>132</v>
      </c>
      <c r="D910" t="s">
        <v>142</v>
      </c>
      <c r="E910" t="s">
        <v>1520</v>
      </c>
      <c r="F910" t="s">
        <v>1521</v>
      </c>
      <c r="G910" t="s">
        <v>145</v>
      </c>
      <c r="H910" t="s">
        <v>319</v>
      </c>
      <c r="I910" t="s">
        <v>231</v>
      </c>
      <c r="J910" s="17">
        <v>219.6</v>
      </c>
      <c r="K910" s="17">
        <v>4129</v>
      </c>
      <c r="L910" s="17">
        <v>4129</v>
      </c>
      <c r="M910" s="17">
        <v>28034643.49</v>
      </c>
      <c r="N910" s="17">
        <v>28034643.49</v>
      </c>
      <c r="O910" s="17">
        <v>53</v>
      </c>
      <c r="P910" s="17">
        <v>53</v>
      </c>
      <c r="Q910" t="s">
        <v>84</v>
      </c>
      <c r="R910" t="s">
        <v>84</v>
      </c>
      <c r="S910" t="s">
        <v>85</v>
      </c>
      <c r="T910" t="s">
        <v>84</v>
      </c>
      <c r="U910" t="s">
        <v>84</v>
      </c>
      <c r="V910" s="16">
        <v>41085</v>
      </c>
      <c r="W910" s="18">
        <v>41080.25</v>
      </c>
      <c r="X910" s="18">
        <v>41126.5</v>
      </c>
      <c r="Y910" s="17">
        <v>3880.4</v>
      </c>
      <c r="Z910" t="s">
        <v>87</v>
      </c>
      <c r="AA910" s="17">
        <v>4129</v>
      </c>
      <c r="AB910" s="17">
        <v>4126.76</v>
      </c>
      <c r="AC910" s="17">
        <v>22642531.6</v>
      </c>
      <c r="AD910" t="s">
        <v>84</v>
      </c>
      <c r="AE910" s="17">
        <v>46.25</v>
      </c>
      <c r="AF910" t="s">
        <v>84</v>
      </c>
      <c r="AG910" t="s">
        <v>84</v>
      </c>
      <c r="AH910" t="s">
        <v>84</v>
      </c>
      <c r="AI910" s="17">
        <v>13.87</v>
      </c>
      <c r="AJ910" s="17">
        <v>13</v>
      </c>
      <c r="AK910" t="s">
        <v>333</v>
      </c>
      <c r="AM910" s="17">
        <v>3.8</v>
      </c>
      <c r="AN910" s="17"/>
      <c r="AO910" s="17">
        <v>2125</v>
      </c>
      <c r="AP910" s="17"/>
      <c r="AQ910" s="17">
        <v>3315</v>
      </c>
      <c r="AR910" s="17"/>
      <c r="AS910" s="17">
        <v>2.28</v>
      </c>
      <c r="AT910" s="17"/>
      <c r="AU910" s="17">
        <v>1197.94</v>
      </c>
      <c r="AV910" s="17"/>
      <c r="AW910" s="17">
        <v>1778.64</v>
      </c>
      <c r="AX910" s="17"/>
      <c r="AY910" t="s">
        <v>92</v>
      </c>
      <c r="AZ910" t="s">
        <v>92</v>
      </c>
      <c r="BA910" t="s">
        <v>92</v>
      </c>
      <c r="BB910" t="s">
        <v>92</v>
      </c>
      <c r="BC910" t="s">
        <v>92</v>
      </c>
      <c r="BD910" t="s">
        <v>92</v>
      </c>
      <c r="BE910" t="s">
        <v>92</v>
      </c>
      <c r="BF910" t="s">
        <v>92</v>
      </c>
      <c r="BG910" t="s">
        <v>92</v>
      </c>
      <c r="BH910" t="s">
        <v>92</v>
      </c>
      <c r="BI910" t="s">
        <v>92</v>
      </c>
      <c r="BJ910" t="s">
        <v>92</v>
      </c>
      <c r="BK910" t="s">
        <v>92</v>
      </c>
      <c r="BL910" t="s">
        <v>92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92</v>
      </c>
      <c r="BS910" t="s">
        <v>92</v>
      </c>
      <c r="BT910" t="s">
        <v>92</v>
      </c>
      <c r="BU910" t="s">
        <v>92</v>
      </c>
      <c r="BV910" t="s">
        <v>92</v>
      </c>
      <c r="BW910" t="s">
        <v>92</v>
      </c>
      <c r="BX910" t="s">
        <v>92</v>
      </c>
      <c r="BY910" t="str">
        <f>IF(COUNTIF('Data Upload-prod'!E:E,F910)=0,"Missing","Exist")</f>
        <v>Exist</v>
      </c>
    </row>
    <row r="911" hidden="1" spans="1:77">
      <c r="A911" s="16">
        <v>41060</v>
      </c>
      <c r="B911" s="16">
        <v>41200</v>
      </c>
      <c r="C911" t="s">
        <v>132</v>
      </c>
      <c r="D911" t="s">
        <v>78</v>
      </c>
      <c r="E911" t="s">
        <v>628</v>
      </c>
      <c r="F911" t="s">
        <v>1522</v>
      </c>
      <c r="G911" t="s">
        <v>81</v>
      </c>
      <c r="H911" t="s">
        <v>1449</v>
      </c>
      <c r="I911" t="s">
        <v>83</v>
      </c>
      <c r="J911" s="17">
        <v>74.22</v>
      </c>
      <c r="K911" s="17">
        <v>2535</v>
      </c>
      <c r="L911" s="17">
        <v>1475</v>
      </c>
      <c r="M911" t="s">
        <v>84</v>
      </c>
      <c r="N911" t="s">
        <v>84</v>
      </c>
      <c r="O911" t="s">
        <v>84</v>
      </c>
      <c r="P911" t="s">
        <v>84</v>
      </c>
      <c r="Q911" s="17">
        <v>13619420</v>
      </c>
      <c r="R911" s="17">
        <v>27.5</v>
      </c>
      <c r="S911" t="s">
        <v>85</v>
      </c>
      <c r="T911" t="s">
        <v>84</v>
      </c>
      <c r="U911" t="s">
        <v>86</v>
      </c>
      <c r="V911" s="16">
        <v>41078</v>
      </c>
      <c r="W911" s="18">
        <v>41078</v>
      </c>
      <c r="X911" s="18">
        <v>41108</v>
      </c>
      <c r="Y911" s="17">
        <v>2397.75</v>
      </c>
      <c r="Z911" t="s">
        <v>87</v>
      </c>
      <c r="AA911" s="17">
        <v>2506</v>
      </c>
      <c r="AB911" s="17">
        <v>1531.46</v>
      </c>
      <c r="AC911" t="s">
        <v>84</v>
      </c>
      <c r="AD911" t="s">
        <v>84</v>
      </c>
      <c r="AE911" t="s">
        <v>84</v>
      </c>
      <c r="AF911" t="s">
        <v>84</v>
      </c>
      <c r="AG911" s="17">
        <v>11126984.33</v>
      </c>
      <c r="AH911" s="17">
        <v>29.69</v>
      </c>
      <c r="AI911" s="17">
        <v>2.67</v>
      </c>
      <c r="AJ911" s="17">
        <v>2.67</v>
      </c>
      <c r="AK911" t="s">
        <v>208</v>
      </c>
      <c r="AM911" s="17">
        <v>2.1</v>
      </c>
      <c r="AN911" s="17"/>
      <c r="AO911" s="17">
        <v>700</v>
      </c>
      <c r="AP911" s="17"/>
      <c r="AQ911" s="17">
        <v>1220</v>
      </c>
      <c r="AR911" s="17"/>
      <c r="AS911" s="17">
        <v>1.29</v>
      </c>
      <c r="AT911" s="17"/>
      <c r="AU911" s="17">
        <v>500</v>
      </c>
      <c r="AV911" s="17"/>
      <c r="AW911" s="17">
        <v>1350</v>
      </c>
      <c r="AX911" s="17"/>
      <c r="AY911" t="s">
        <v>92</v>
      </c>
      <c r="AZ911" t="s">
        <v>92</v>
      </c>
      <c r="BA911" t="s">
        <v>92</v>
      </c>
      <c r="BB911" t="s">
        <v>92</v>
      </c>
      <c r="BC911" t="s">
        <v>92</v>
      </c>
      <c r="BD911" s="17">
        <v>7.04</v>
      </c>
      <c r="BE911" s="17">
        <v>2781493.06</v>
      </c>
      <c r="BF911" t="s">
        <v>92</v>
      </c>
      <c r="BG911" t="s">
        <v>92</v>
      </c>
      <c r="BH911" t="s">
        <v>93</v>
      </c>
      <c r="BI911" t="s">
        <v>94</v>
      </c>
      <c r="BJ911" t="s">
        <v>173</v>
      </c>
      <c r="BK911" t="s">
        <v>85</v>
      </c>
      <c r="BL911" t="s">
        <v>85</v>
      </c>
      <c r="BM911" t="s">
        <v>273</v>
      </c>
      <c r="BN911" t="s">
        <v>174</v>
      </c>
      <c r="BO911" t="s">
        <v>98</v>
      </c>
      <c r="BP911" t="s">
        <v>254</v>
      </c>
      <c r="BQ911" s="17">
        <v>263</v>
      </c>
      <c r="BR911" t="s">
        <v>100</v>
      </c>
      <c r="BS911" t="s">
        <v>156</v>
      </c>
      <c r="BT911" t="s">
        <v>255</v>
      </c>
      <c r="BU911" s="17">
        <v>8.5</v>
      </c>
      <c r="BV911" t="s">
        <v>110</v>
      </c>
      <c r="BW911" t="s">
        <v>85</v>
      </c>
      <c r="BX911" t="s">
        <v>85</v>
      </c>
      <c r="BY911" t="str">
        <f>IF(COUNTIF('Data Upload-prod'!E:E,F911)=0,"Missing","Exist")</f>
        <v>Exist</v>
      </c>
    </row>
    <row r="912" hidden="1" spans="1:77">
      <c r="A912" s="16">
        <v>41045</v>
      </c>
      <c r="B912" s="16">
        <v>41102</v>
      </c>
      <c r="C912" t="s">
        <v>132</v>
      </c>
      <c r="D912" t="s">
        <v>78</v>
      </c>
      <c r="E912" t="s">
        <v>628</v>
      </c>
      <c r="F912" t="s">
        <v>1523</v>
      </c>
      <c r="G912" t="s">
        <v>81</v>
      </c>
      <c r="H912" t="s">
        <v>1449</v>
      </c>
      <c r="I912" t="s">
        <v>83</v>
      </c>
      <c r="J912" s="17">
        <v>74.22</v>
      </c>
      <c r="K912" s="17">
        <v>1892</v>
      </c>
      <c r="L912" s="17">
        <v>1368</v>
      </c>
      <c r="M912" t="s">
        <v>84</v>
      </c>
      <c r="N912" t="s">
        <v>84</v>
      </c>
      <c r="O912" t="s">
        <v>84</v>
      </c>
      <c r="P912" t="s">
        <v>84</v>
      </c>
      <c r="Q912" s="17">
        <v>10552860</v>
      </c>
      <c r="R912" s="17">
        <v>20.3</v>
      </c>
      <c r="S912" t="s">
        <v>85</v>
      </c>
      <c r="T912" t="s">
        <v>84</v>
      </c>
      <c r="U912" t="s">
        <v>84</v>
      </c>
      <c r="V912" s="16">
        <v>41046</v>
      </c>
      <c r="W912" s="18">
        <v>41046.5</v>
      </c>
      <c r="X912" s="18">
        <v>41078.9166666667</v>
      </c>
      <c r="Y912" s="17">
        <v>1832.75</v>
      </c>
      <c r="Z912" t="s">
        <v>87</v>
      </c>
      <c r="AA912" s="17">
        <v>1941</v>
      </c>
      <c r="AB912" s="17">
        <v>1391</v>
      </c>
      <c r="AC912" t="s">
        <v>84</v>
      </c>
      <c r="AD912" t="s">
        <v>84</v>
      </c>
      <c r="AE912" t="s">
        <v>84</v>
      </c>
      <c r="AF912" t="s">
        <v>84</v>
      </c>
      <c r="AG912" s="17">
        <v>8325494.65</v>
      </c>
      <c r="AH912" s="17">
        <v>18.63</v>
      </c>
      <c r="AI912" s="17">
        <v>9.39</v>
      </c>
      <c r="AJ912" s="17">
        <v>8.96</v>
      </c>
      <c r="AK912" t="s">
        <v>208</v>
      </c>
      <c r="AM912" s="17">
        <v>2.1</v>
      </c>
      <c r="AN912" s="17"/>
      <c r="AO912" s="17">
        <v>700</v>
      </c>
      <c r="AP912" s="17"/>
      <c r="AQ912" s="17">
        <v>1220</v>
      </c>
      <c r="AR912" s="17"/>
      <c r="AS912" s="17">
        <v>1.32</v>
      </c>
      <c r="AT912" s="17"/>
      <c r="AU912" s="17">
        <v>480</v>
      </c>
      <c r="AV912" s="17"/>
      <c r="AW912" s="17">
        <v>1310</v>
      </c>
      <c r="AX912" s="17"/>
      <c r="AY912" t="s">
        <v>92</v>
      </c>
      <c r="AZ912" t="s">
        <v>92</v>
      </c>
      <c r="BA912" t="s">
        <v>92</v>
      </c>
      <c r="BB912" t="s">
        <v>92</v>
      </c>
      <c r="BC912" t="s">
        <v>92</v>
      </c>
      <c r="BD912" t="s">
        <v>92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92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 t="s">
        <v>92</v>
      </c>
      <c r="BS912" t="s">
        <v>92</v>
      </c>
      <c r="BT912" t="s">
        <v>92</v>
      </c>
      <c r="BU912" t="s">
        <v>92</v>
      </c>
      <c r="BV912" t="s">
        <v>92</v>
      </c>
      <c r="BW912" t="s">
        <v>92</v>
      </c>
      <c r="BX912" t="s">
        <v>92</v>
      </c>
      <c r="BY912" t="str">
        <f>IF(COUNTIF('Data Upload-prod'!E:E,F912)=0,"Missing","Exist")</f>
        <v>Exist</v>
      </c>
    </row>
    <row r="913" hidden="1" spans="1:77">
      <c r="A913" s="16">
        <v>41040</v>
      </c>
      <c r="B913" s="16">
        <v>41102</v>
      </c>
      <c r="C913" t="s">
        <v>132</v>
      </c>
      <c r="D913" t="s">
        <v>78</v>
      </c>
      <c r="E913" t="s">
        <v>628</v>
      </c>
      <c r="F913" t="s">
        <v>1524</v>
      </c>
      <c r="G913" t="s">
        <v>81</v>
      </c>
      <c r="H913" t="s">
        <v>1449</v>
      </c>
      <c r="I913" t="s">
        <v>83</v>
      </c>
      <c r="J913" s="17">
        <v>74.22</v>
      </c>
      <c r="K913" s="17">
        <v>1495</v>
      </c>
      <c r="L913" s="17">
        <v>1372</v>
      </c>
      <c r="M913" t="s">
        <v>84</v>
      </c>
      <c r="N913" t="s">
        <v>84</v>
      </c>
      <c r="O913" t="s">
        <v>84</v>
      </c>
      <c r="P913" t="s">
        <v>84</v>
      </c>
      <c r="Q913" s="17">
        <v>10338318</v>
      </c>
      <c r="R913" s="17">
        <v>19.5</v>
      </c>
      <c r="S913" t="s">
        <v>85</v>
      </c>
      <c r="T913" t="s">
        <v>84</v>
      </c>
      <c r="U913" t="s">
        <v>86</v>
      </c>
      <c r="V913" s="16">
        <v>41044</v>
      </c>
      <c r="W913" s="18">
        <v>41044.3333333333</v>
      </c>
      <c r="X913" s="18">
        <v>41067.7916666667</v>
      </c>
      <c r="Y913" s="17">
        <v>1394.75</v>
      </c>
      <c r="Z913" t="s">
        <v>87</v>
      </c>
      <c r="AA913" s="17">
        <v>1503</v>
      </c>
      <c r="AB913" s="17">
        <v>1376.46</v>
      </c>
      <c r="AC913" t="s">
        <v>84</v>
      </c>
      <c r="AD913" t="s">
        <v>84</v>
      </c>
      <c r="AE913" t="s">
        <v>84</v>
      </c>
      <c r="AF913" t="s">
        <v>84</v>
      </c>
      <c r="AG913" s="17">
        <v>7362956.36</v>
      </c>
      <c r="AH913" s="17">
        <v>16.7</v>
      </c>
      <c r="AI913" s="17">
        <v>0.37</v>
      </c>
      <c r="AJ913" s="17">
        <v>0.37</v>
      </c>
      <c r="AK913" t="s">
        <v>208</v>
      </c>
      <c r="AM913" s="17">
        <v>2.1</v>
      </c>
      <c r="AN913" s="17"/>
      <c r="AO913" s="17">
        <v>700</v>
      </c>
      <c r="AP913" s="17"/>
      <c r="AQ913" s="17">
        <v>1225</v>
      </c>
      <c r="AR913" s="17"/>
      <c r="AS913" s="17">
        <v>1.7</v>
      </c>
      <c r="AT913" s="17"/>
      <c r="AU913" s="17">
        <v>630</v>
      </c>
      <c r="AV913" s="17"/>
      <c r="AW913" s="17">
        <v>1490</v>
      </c>
      <c r="AX913" s="17"/>
      <c r="AY913" t="s">
        <v>92</v>
      </c>
      <c r="AZ913" t="s">
        <v>92</v>
      </c>
      <c r="BA913" t="s">
        <v>92</v>
      </c>
      <c r="BB913" t="s">
        <v>92</v>
      </c>
      <c r="BC913" t="s">
        <v>92</v>
      </c>
      <c r="BD913" s="17">
        <v>7.58</v>
      </c>
      <c r="BE913" s="17">
        <v>2960056.77</v>
      </c>
      <c r="BF913" t="s">
        <v>92</v>
      </c>
      <c r="BG913" t="s">
        <v>92</v>
      </c>
      <c r="BH913" t="s">
        <v>93</v>
      </c>
      <c r="BI913" t="s">
        <v>94</v>
      </c>
      <c r="BJ913" t="s">
        <v>128</v>
      </c>
      <c r="BK913" t="s">
        <v>85</v>
      </c>
      <c r="BL913" t="s">
        <v>85</v>
      </c>
      <c r="BM913" t="s">
        <v>96</v>
      </c>
      <c r="BN913" t="s">
        <v>174</v>
      </c>
      <c r="BO913" t="s">
        <v>216</v>
      </c>
      <c r="BP913" t="s">
        <v>99</v>
      </c>
      <c r="BQ913" s="17">
        <v>312</v>
      </c>
      <c r="BR913" t="s">
        <v>100</v>
      </c>
      <c r="BS913" t="s">
        <v>285</v>
      </c>
      <c r="BT913" t="s">
        <v>99</v>
      </c>
      <c r="BU913" s="17">
        <v>8.5</v>
      </c>
      <c r="BV913" t="s">
        <v>110</v>
      </c>
      <c r="BW913" t="s">
        <v>85</v>
      </c>
      <c r="BX913" t="s">
        <v>85</v>
      </c>
      <c r="BY913" t="str">
        <f>IF(COUNTIF('Data Upload-prod'!E:E,F913)=0,"Missing","Exist")</f>
        <v>Exist</v>
      </c>
    </row>
    <row r="914" hidden="1" spans="1:77">
      <c r="A914" s="16">
        <v>41019</v>
      </c>
      <c r="B914" s="16">
        <v>41074</v>
      </c>
      <c r="C914" t="s">
        <v>132</v>
      </c>
      <c r="D914" t="s">
        <v>78</v>
      </c>
      <c r="E914" t="s">
        <v>628</v>
      </c>
      <c r="F914" t="s">
        <v>1525</v>
      </c>
      <c r="G914" t="s">
        <v>81</v>
      </c>
      <c r="H914" t="s">
        <v>1449</v>
      </c>
      <c r="I914" t="s">
        <v>83</v>
      </c>
      <c r="J914" s="17">
        <v>74.22</v>
      </c>
      <c r="K914" s="17">
        <v>2080</v>
      </c>
      <c r="L914" s="17">
        <v>1403</v>
      </c>
      <c r="M914" t="s">
        <v>84</v>
      </c>
      <c r="N914" t="s">
        <v>84</v>
      </c>
      <c r="O914" t="s">
        <v>84</v>
      </c>
      <c r="P914" t="s">
        <v>84</v>
      </c>
      <c r="Q914" s="17">
        <v>9476490</v>
      </c>
      <c r="R914" s="17">
        <v>18.17</v>
      </c>
      <c r="S914" t="s">
        <v>85</v>
      </c>
      <c r="T914" t="s">
        <v>84</v>
      </c>
      <c r="U914" t="s">
        <v>86</v>
      </c>
      <c r="V914" s="16">
        <v>41029</v>
      </c>
      <c r="W914" s="18">
        <v>41029.4791666667</v>
      </c>
      <c r="X914" s="18">
        <v>41044</v>
      </c>
      <c r="Y914" s="17">
        <v>1922.75</v>
      </c>
      <c r="Z914" t="s">
        <v>87</v>
      </c>
      <c r="AA914" s="17">
        <v>2031</v>
      </c>
      <c r="AB914" s="17">
        <v>1372.37</v>
      </c>
      <c r="AC914" t="s">
        <v>84</v>
      </c>
      <c r="AD914" t="s">
        <v>84</v>
      </c>
      <c r="AE914" t="s">
        <v>84</v>
      </c>
      <c r="AF914" t="s">
        <v>84</v>
      </c>
      <c r="AG914" s="17">
        <v>6724225.08</v>
      </c>
      <c r="AH914" s="17">
        <v>14.85</v>
      </c>
      <c r="AI914" s="17">
        <v>3.65</v>
      </c>
      <c r="AJ914" s="17">
        <v>3.65</v>
      </c>
      <c r="AK914" t="s">
        <v>208</v>
      </c>
      <c r="AM914" s="17">
        <v>2.1</v>
      </c>
      <c r="AN914" s="17"/>
      <c r="AO914" s="17">
        <v>700</v>
      </c>
      <c r="AP914" s="17"/>
      <c r="AQ914" s="17">
        <v>1225</v>
      </c>
      <c r="AR914" s="17"/>
      <c r="AS914" s="17">
        <v>1.47</v>
      </c>
      <c r="AT914" s="17"/>
      <c r="AU914" s="17">
        <v>680</v>
      </c>
      <c r="AV914" s="17"/>
      <c r="AW914" s="17">
        <v>1050</v>
      </c>
      <c r="AX914" s="17"/>
      <c r="AY914" t="s">
        <v>92</v>
      </c>
      <c r="AZ914" t="s">
        <v>92</v>
      </c>
      <c r="BA914" t="s">
        <v>92</v>
      </c>
      <c r="BB914" t="s">
        <v>92</v>
      </c>
      <c r="BC914" t="s">
        <v>92</v>
      </c>
      <c r="BD914" s="17">
        <v>4.65</v>
      </c>
      <c r="BE914" s="17">
        <v>1742122.8</v>
      </c>
      <c r="BF914" t="s">
        <v>92</v>
      </c>
      <c r="BG914" t="s">
        <v>92</v>
      </c>
      <c r="BH914" t="s">
        <v>93</v>
      </c>
      <c r="BI914" t="s">
        <v>94</v>
      </c>
      <c r="BJ914" t="s">
        <v>128</v>
      </c>
      <c r="BK914" t="s">
        <v>85</v>
      </c>
      <c r="BL914" t="s">
        <v>85</v>
      </c>
      <c r="BM914" t="s">
        <v>96</v>
      </c>
      <c r="BN914" t="s">
        <v>490</v>
      </c>
      <c r="BO914" t="s">
        <v>98</v>
      </c>
      <c r="BP914" t="s">
        <v>99</v>
      </c>
      <c r="BQ914" s="17">
        <v>368</v>
      </c>
      <c r="BR914" t="s">
        <v>100</v>
      </c>
      <c r="BS914" t="s">
        <v>285</v>
      </c>
      <c r="BT914" t="s">
        <v>99</v>
      </c>
      <c r="BU914" s="17">
        <v>8.5</v>
      </c>
      <c r="BV914" t="s">
        <v>110</v>
      </c>
      <c r="BW914" t="s">
        <v>85</v>
      </c>
      <c r="BX914" t="s">
        <v>85</v>
      </c>
      <c r="BY914" t="str">
        <f>IF(COUNTIF('Data Upload-prod'!E:E,F914)=0,"Missing","Exist")</f>
        <v>Exist</v>
      </c>
    </row>
    <row r="915" hidden="1" spans="1:77">
      <c r="A915" s="16">
        <v>40956</v>
      </c>
      <c r="B915" s="16">
        <v>41250</v>
      </c>
      <c r="C915" t="s">
        <v>132</v>
      </c>
      <c r="D915" t="s">
        <v>78</v>
      </c>
      <c r="E915" t="s">
        <v>842</v>
      </c>
      <c r="F915" t="s">
        <v>1526</v>
      </c>
      <c r="G915" t="s">
        <v>81</v>
      </c>
      <c r="H915" t="s">
        <v>172</v>
      </c>
      <c r="I915" t="s">
        <v>124</v>
      </c>
      <c r="J915" s="17">
        <v>63</v>
      </c>
      <c r="K915" s="17">
        <v>3634</v>
      </c>
      <c r="L915" s="17">
        <v>1532.1</v>
      </c>
      <c r="M915" t="s">
        <v>84</v>
      </c>
      <c r="N915" t="s">
        <v>84</v>
      </c>
      <c r="O915" t="s">
        <v>84</v>
      </c>
      <c r="P915" t="s">
        <v>84</v>
      </c>
      <c r="Q915" s="17">
        <v>23336560</v>
      </c>
      <c r="R915" s="17">
        <v>47.31</v>
      </c>
      <c r="S915" t="s">
        <v>85</v>
      </c>
      <c r="T915" t="s">
        <v>84</v>
      </c>
      <c r="U915" t="s">
        <v>86</v>
      </c>
      <c r="V915" s="16">
        <v>40960.5520833333</v>
      </c>
      <c r="W915" s="18">
        <v>40959</v>
      </c>
      <c r="X915" s="18">
        <v>41120.5</v>
      </c>
      <c r="Y915" s="17">
        <v>3530</v>
      </c>
      <c r="Z915" t="s">
        <v>87</v>
      </c>
      <c r="AA915" s="17">
        <v>3634</v>
      </c>
      <c r="AB915" s="17">
        <v>1532.1</v>
      </c>
      <c r="AC915" t="s">
        <v>84</v>
      </c>
      <c r="AD915" t="s">
        <v>84</v>
      </c>
      <c r="AE915" t="s">
        <v>84</v>
      </c>
      <c r="AF915" t="s">
        <v>84</v>
      </c>
      <c r="AG915" s="17">
        <v>20031722</v>
      </c>
      <c r="AH915" s="17">
        <v>47.31</v>
      </c>
      <c r="AI915" s="17">
        <v>8.42</v>
      </c>
      <c r="AJ915" s="17">
        <v>8.42</v>
      </c>
      <c r="AK915" t="s">
        <v>114</v>
      </c>
      <c r="AM915" s="17">
        <v>2.2</v>
      </c>
      <c r="AN915" s="17"/>
      <c r="AO915" s="17">
        <v>915</v>
      </c>
      <c r="AP915" s="17"/>
      <c r="AQ915" s="17">
        <v>1450</v>
      </c>
      <c r="AR915" s="17"/>
      <c r="AS915" s="17">
        <v>2.73</v>
      </c>
      <c r="AT915" s="17"/>
      <c r="AU915" s="17">
        <v>1089</v>
      </c>
      <c r="AV915" s="17"/>
      <c r="AW915" s="17">
        <v>1730</v>
      </c>
      <c r="AX915" s="17"/>
      <c r="AY915" t="s">
        <v>92</v>
      </c>
      <c r="AZ915" t="s">
        <v>92</v>
      </c>
      <c r="BA915" t="s">
        <v>92</v>
      </c>
      <c r="BB915" t="s">
        <v>92</v>
      </c>
      <c r="BC915" t="s">
        <v>92</v>
      </c>
      <c r="BD915" s="17">
        <v>9.25</v>
      </c>
      <c r="BE915" s="17">
        <v>3788936.75</v>
      </c>
      <c r="BF915" t="s">
        <v>92</v>
      </c>
      <c r="BG915" t="s">
        <v>92</v>
      </c>
      <c r="BH915" t="s">
        <v>93</v>
      </c>
      <c r="BI915" t="s">
        <v>94</v>
      </c>
      <c r="BJ915" t="s">
        <v>128</v>
      </c>
      <c r="BK915" t="s">
        <v>85</v>
      </c>
      <c r="BL915" t="s">
        <v>85</v>
      </c>
      <c r="BM915" t="s">
        <v>96</v>
      </c>
      <c r="BN915" t="s">
        <v>97</v>
      </c>
      <c r="BO915" t="s">
        <v>98</v>
      </c>
      <c r="BP915" t="s">
        <v>99</v>
      </c>
      <c r="BQ915" s="17">
        <v>1896</v>
      </c>
      <c r="BR915" t="s">
        <v>138</v>
      </c>
      <c r="BS915" t="s">
        <v>130</v>
      </c>
      <c r="BT915" t="s">
        <v>99</v>
      </c>
      <c r="BU915" s="17">
        <v>9</v>
      </c>
      <c r="BV915" t="s">
        <v>191</v>
      </c>
      <c r="BW915" t="s">
        <v>129</v>
      </c>
      <c r="BX915" t="s">
        <v>85</v>
      </c>
      <c r="BY915" t="str">
        <f>IF(COUNTIF('Data Upload-prod'!E:E,F915)=0,"Missing","Exist")</f>
        <v>Exist</v>
      </c>
    </row>
    <row r="916" hidden="1" spans="1:77">
      <c r="A916" s="16">
        <v>40934</v>
      </c>
      <c r="B916" s="16">
        <v>41038</v>
      </c>
      <c r="C916" t="s">
        <v>132</v>
      </c>
      <c r="D916" t="s">
        <v>78</v>
      </c>
      <c r="E916" t="s">
        <v>1493</v>
      </c>
      <c r="F916" t="s">
        <v>1527</v>
      </c>
      <c r="G916" t="s">
        <v>81</v>
      </c>
      <c r="H916" t="s">
        <v>1495</v>
      </c>
      <c r="I916" t="s">
        <v>83</v>
      </c>
      <c r="J916" s="17">
        <v>73.4</v>
      </c>
      <c r="K916" s="17">
        <v>1894</v>
      </c>
      <c r="L916" s="17">
        <v>1556</v>
      </c>
      <c r="M916" t="s">
        <v>84</v>
      </c>
      <c r="N916" t="s">
        <v>84</v>
      </c>
      <c r="O916" t="s">
        <v>84</v>
      </c>
      <c r="P916" t="s">
        <v>84</v>
      </c>
      <c r="Q916" s="17">
        <v>14017130</v>
      </c>
      <c r="R916" s="17">
        <v>24.57</v>
      </c>
      <c r="S916" t="s">
        <v>85</v>
      </c>
      <c r="T916" t="s">
        <v>84</v>
      </c>
      <c r="U916" t="s">
        <v>86</v>
      </c>
      <c r="V916" s="16">
        <v>40941.125</v>
      </c>
      <c r="W916" s="18">
        <v>40937.5833333333</v>
      </c>
      <c r="X916" s="18">
        <v>41010.5</v>
      </c>
      <c r="Y916" s="17">
        <v>1782.84</v>
      </c>
      <c r="Z916" t="s">
        <v>87</v>
      </c>
      <c r="AA916" s="17">
        <v>1890</v>
      </c>
      <c r="AB916" s="17">
        <v>1560</v>
      </c>
      <c r="AC916" t="s">
        <v>84</v>
      </c>
      <c r="AD916" t="s">
        <v>84</v>
      </c>
      <c r="AE916" t="s">
        <v>84</v>
      </c>
      <c r="AF916" t="s">
        <v>84</v>
      </c>
      <c r="AG916" s="17">
        <v>9084218</v>
      </c>
      <c r="AH916" s="17">
        <v>22.83</v>
      </c>
      <c r="AI916" s="17">
        <v>14.97</v>
      </c>
      <c r="AJ916" s="17">
        <v>14.97</v>
      </c>
      <c r="AK916" t="s">
        <v>208</v>
      </c>
      <c r="AM916" s="17">
        <v>2.1</v>
      </c>
      <c r="AN916" s="17"/>
      <c r="AO916" s="17">
        <v>700</v>
      </c>
      <c r="AP916" s="17"/>
      <c r="AQ916" s="17">
        <v>1220</v>
      </c>
      <c r="AR916" s="17"/>
      <c r="AS916" s="17">
        <v>1.27</v>
      </c>
      <c r="AT916" s="17"/>
      <c r="AU916" s="17">
        <v>707</v>
      </c>
      <c r="AV916" s="17"/>
      <c r="AW916" s="17">
        <v>1620</v>
      </c>
      <c r="AX916" s="17"/>
      <c r="AY916" t="s">
        <v>92</v>
      </c>
      <c r="AZ916" t="s">
        <v>92</v>
      </c>
      <c r="BA916" t="s">
        <v>92</v>
      </c>
      <c r="BB916" t="s">
        <v>92</v>
      </c>
      <c r="BC916" t="s">
        <v>92</v>
      </c>
      <c r="BD916" s="17">
        <v>12.09</v>
      </c>
      <c r="BE916" s="17">
        <v>4337694.88</v>
      </c>
      <c r="BF916" t="s">
        <v>92</v>
      </c>
      <c r="BG916" t="s">
        <v>92</v>
      </c>
      <c r="BH916" t="s">
        <v>93</v>
      </c>
      <c r="BI916" t="s">
        <v>94</v>
      </c>
      <c r="BJ916" t="s">
        <v>173</v>
      </c>
      <c r="BK916" t="s">
        <v>85</v>
      </c>
      <c r="BL916" t="s">
        <v>85</v>
      </c>
      <c r="BM916" t="s">
        <v>96</v>
      </c>
      <c r="BN916" t="s">
        <v>569</v>
      </c>
      <c r="BO916" t="s">
        <v>216</v>
      </c>
      <c r="BP916" t="s">
        <v>630</v>
      </c>
      <c r="BQ916" s="17">
        <v>159.1285</v>
      </c>
      <c r="BR916" t="s">
        <v>100</v>
      </c>
      <c r="BS916" t="s">
        <v>156</v>
      </c>
      <c r="BT916" t="s">
        <v>630</v>
      </c>
      <c r="BU916" s="17">
        <v>9.5</v>
      </c>
      <c r="BV916" t="s">
        <v>340</v>
      </c>
      <c r="BW916" t="s">
        <v>85</v>
      </c>
      <c r="BX916" t="s">
        <v>85</v>
      </c>
      <c r="BY916" t="str">
        <f>IF(COUNTIF('Data Upload-prod'!E:E,F916)=0,"Missing","Exist")</f>
        <v>Exist</v>
      </c>
    </row>
    <row r="917" hidden="1" spans="1:77">
      <c r="A917" s="16">
        <v>40906</v>
      </c>
      <c r="B917" s="16">
        <v>41012</v>
      </c>
      <c r="C917" t="s">
        <v>132</v>
      </c>
      <c r="D917" t="s">
        <v>78</v>
      </c>
      <c r="E917" t="s">
        <v>842</v>
      </c>
      <c r="F917" t="s">
        <v>1528</v>
      </c>
      <c r="G917" t="s">
        <v>81</v>
      </c>
      <c r="H917" t="s">
        <v>172</v>
      </c>
      <c r="I917" t="s">
        <v>124</v>
      </c>
      <c r="J917" s="17">
        <v>63</v>
      </c>
      <c r="K917" s="17">
        <v>2043.5</v>
      </c>
      <c r="L917" s="17">
        <v>1708.5</v>
      </c>
      <c r="M917" t="s">
        <v>84</v>
      </c>
      <c r="N917" t="s">
        <v>84</v>
      </c>
      <c r="O917" t="s">
        <v>84</v>
      </c>
      <c r="P917" t="s">
        <v>84</v>
      </c>
      <c r="Q917" s="17">
        <v>10459750</v>
      </c>
      <c r="R917" s="17">
        <v>25.11</v>
      </c>
      <c r="S917" t="s">
        <v>85</v>
      </c>
      <c r="T917" t="s">
        <v>84</v>
      </c>
      <c r="U917" t="s">
        <v>86</v>
      </c>
      <c r="V917" s="16">
        <v>40915</v>
      </c>
      <c r="W917" s="18">
        <v>40915.1666666667</v>
      </c>
      <c r="X917" s="18">
        <v>40958</v>
      </c>
      <c r="Y917" s="17">
        <v>2097.5</v>
      </c>
      <c r="Z917" t="s">
        <v>87</v>
      </c>
      <c r="AA917" s="17">
        <v>2200</v>
      </c>
      <c r="AB917" s="17">
        <v>1701</v>
      </c>
      <c r="AC917" t="s">
        <v>84</v>
      </c>
      <c r="AD917" t="s">
        <v>84</v>
      </c>
      <c r="AE917" t="s">
        <v>84</v>
      </c>
      <c r="AF917" t="s">
        <v>84</v>
      </c>
      <c r="AG917" s="17">
        <v>9590527</v>
      </c>
      <c r="AH917" s="17">
        <v>24.23</v>
      </c>
      <c r="AI917" s="17">
        <v>1.45</v>
      </c>
      <c r="AJ917" s="17">
        <v>1.45</v>
      </c>
      <c r="AK917" t="s">
        <v>208</v>
      </c>
      <c r="AM917" s="17">
        <v>2.1</v>
      </c>
      <c r="AN917" s="17"/>
      <c r="AO917" s="17">
        <v>700</v>
      </c>
      <c r="AP917" s="17"/>
      <c r="AQ917" s="17">
        <v>1220</v>
      </c>
      <c r="AR917" s="17"/>
      <c r="AS917" s="17">
        <v>1.4</v>
      </c>
      <c r="AT917" s="17"/>
      <c r="AU917" s="17">
        <v>674.85</v>
      </c>
      <c r="AV917" s="17"/>
      <c r="AW917" s="17">
        <v>1395</v>
      </c>
      <c r="AX917" s="17"/>
      <c r="AY917" t="s">
        <v>92</v>
      </c>
      <c r="AZ917" t="s">
        <v>92</v>
      </c>
      <c r="BA917" t="s">
        <v>92</v>
      </c>
      <c r="BB917" t="s">
        <v>92</v>
      </c>
      <c r="BC917" t="s">
        <v>92</v>
      </c>
      <c r="BD917" s="17">
        <v>9.88</v>
      </c>
      <c r="BE917" s="17">
        <v>2886369.96</v>
      </c>
      <c r="BF917" t="s">
        <v>92</v>
      </c>
      <c r="BG917" t="s">
        <v>92</v>
      </c>
      <c r="BH917" t="s">
        <v>93</v>
      </c>
      <c r="BI917" t="s">
        <v>94</v>
      </c>
      <c r="BJ917" t="s">
        <v>173</v>
      </c>
      <c r="BK917" t="s">
        <v>85</v>
      </c>
      <c r="BL917" t="s">
        <v>85</v>
      </c>
      <c r="BM917" t="s">
        <v>96</v>
      </c>
      <c r="BN917" t="s">
        <v>253</v>
      </c>
      <c r="BO917" t="s">
        <v>98</v>
      </c>
      <c r="BP917" t="s">
        <v>99</v>
      </c>
      <c r="BQ917" s="17">
        <v>131</v>
      </c>
      <c r="BR917" t="s">
        <v>138</v>
      </c>
      <c r="BS917" t="s">
        <v>156</v>
      </c>
      <c r="BT917" t="s">
        <v>99</v>
      </c>
      <c r="BU917" s="17">
        <v>9</v>
      </c>
      <c r="BV917" t="s">
        <v>191</v>
      </c>
      <c r="BW917" t="s">
        <v>129</v>
      </c>
      <c r="BX917" t="s">
        <v>85</v>
      </c>
      <c r="BY917" t="str">
        <f>IF(COUNTIF('Data Upload-prod'!E:E,F917)=0,"Missing","Exist")</f>
        <v>Exist</v>
      </c>
    </row>
    <row r="918" hidden="1" spans="1:77">
      <c r="A918" s="16">
        <v>40905</v>
      </c>
      <c r="B918" s="16">
        <v>41101</v>
      </c>
      <c r="C918" t="s">
        <v>132</v>
      </c>
      <c r="D918" t="s">
        <v>78</v>
      </c>
      <c r="E918" t="s">
        <v>1493</v>
      </c>
      <c r="F918" t="s">
        <v>1529</v>
      </c>
      <c r="G918" t="s">
        <v>81</v>
      </c>
      <c r="H918" t="s">
        <v>1495</v>
      </c>
      <c r="I918" t="s">
        <v>83</v>
      </c>
      <c r="J918" s="17">
        <v>73.4</v>
      </c>
      <c r="K918" s="17">
        <v>2175</v>
      </c>
      <c r="L918" s="17">
        <v>1424</v>
      </c>
      <c r="M918" t="s">
        <v>84</v>
      </c>
      <c r="N918" t="s">
        <v>84</v>
      </c>
      <c r="O918" t="s">
        <v>84</v>
      </c>
      <c r="P918" t="s">
        <v>84</v>
      </c>
      <c r="Q918" s="17">
        <v>9439509</v>
      </c>
      <c r="R918" s="17">
        <v>24.76</v>
      </c>
      <c r="S918" t="s">
        <v>106</v>
      </c>
      <c r="T918" t="s">
        <v>84</v>
      </c>
      <c r="U918" t="s">
        <v>86</v>
      </c>
      <c r="V918" s="16">
        <v>40935.5833333333</v>
      </c>
      <c r="W918" s="18">
        <v>40934.4166666667</v>
      </c>
      <c r="X918" s="18">
        <v>41028.6666666667</v>
      </c>
      <c r="Y918" s="17">
        <v>1849.84</v>
      </c>
      <c r="Z918" t="s">
        <v>87</v>
      </c>
      <c r="AA918" s="17">
        <v>1957</v>
      </c>
      <c r="AB918" s="17">
        <v>1295.9</v>
      </c>
      <c r="AC918" t="s">
        <v>84</v>
      </c>
      <c r="AD918" t="s">
        <v>84</v>
      </c>
      <c r="AE918" t="s">
        <v>84</v>
      </c>
      <c r="AF918" t="s">
        <v>84</v>
      </c>
      <c r="AG918" s="17">
        <v>14599673.9</v>
      </c>
      <c r="AH918" s="17">
        <v>54.13</v>
      </c>
      <c r="AI918" s="17">
        <v>60.93</v>
      </c>
      <c r="AJ918" s="17">
        <v>60.47</v>
      </c>
      <c r="AK918" t="s">
        <v>208</v>
      </c>
      <c r="AM918" s="17">
        <v>2.1</v>
      </c>
      <c r="AN918" s="17"/>
      <c r="AO918" s="17">
        <v>700</v>
      </c>
      <c r="AP918" s="17"/>
      <c r="AQ918" s="17">
        <v>1220</v>
      </c>
      <c r="AR918" s="17"/>
      <c r="AS918" s="17">
        <v>4.9</v>
      </c>
      <c r="AT918" s="17"/>
      <c r="AU918" s="17">
        <v>1974</v>
      </c>
      <c r="AV918" s="17"/>
      <c r="AW918" s="17">
        <v>2440</v>
      </c>
      <c r="AX918" s="17"/>
      <c r="AY918" t="s">
        <v>92</v>
      </c>
      <c r="AZ918" t="s">
        <v>92</v>
      </c>
      <c r="BA918" t="s">
        <v>92</v>
      </c>
      <c r="BB918" t="s">
        <v>92</v>
      </c>
      <c r="BC918" t="s">
        <v>92</v>
      </c>
      <c r="BD918" s="17">
        <v>9.48</v>
      </c>
      <c r="BE918" s="17">
        <v>2042280.92</v>
      </c>
      <c r="BF918" t="s">
        <v>92</v>
      </c>
      <c r="BG918" t="s">
        <v>92</v>
      </c>
      <c r="BH918" t="s">
        <v>93</v>
      </c>
      <c r="BI918" t="s">
        <v>94</v>
      </c>
      <c r="BJ918" t="s">
        <v>173</v>
      </c>
      <c r="BK918" t="s">
        <v>85</v>
      </c>
      <c r="BL918" t="s">
        <v>85</v>
      </c>
      <c r="BM918" t="s">
        <v>96</v>
      </c>
      <c r="BN918" t="s">
        <v>253</v>
      </c>
      <c r="BO918" t="s">
        <v>216</v>
      </c>
      <c r="BP918" t="s">
        <v>103</v>
      </c>
      <c r="BQ918" s="17">
        <v>236.232</v>
      </c>
      <c r="BR918" t="s">
        <v>100</v>
      </c>
      <c r="BS918" t="s">
        <v>156</v>
      </c>
      <c r="BT918" t="s">
        <v>550</v>
      </c>
      <c r="BU918" s="17">
        <v>10.2</v>
      </c>
      <c r="BV918" t="s">
        <v>340</v>
      </c>
      <c r="BW918" t="s">
        <v>85</v>
      </c>
      <c r="BX918" t="s">
        <v>85</v>
      </c>
      <c r="BY918" t="str">
        <f>IF(COUNTIF('Data Upload-prod'!E:E,F918)=0,"Missing","Exist")</f>
        <v>Exist</v>
      </c>
    </row>
    <row r="919" hidden="1" spans="1:77">
      <c r="A919" s="16">
        <v>40900</v>
      </c>
      <c r="B919" s="16">
        <v>41023</v>
      </c>
      <c r="C919" t="s">
        <v>132</v>
      </c>
      <c r="D919" t="s">
        <v>78</v>
      </c>
      <c r="E919" t="s">
        <v>1356</v>
      </c>
      <c r="F919" t="s">
        <v>1530</v>
      </c>
      <c r="G919" t="s">
        <v>145</v>
      </c>
      <c r="H919" t="s">
        <v>1255</v>
      </c>
      <c r="I919" t="s">
        <v>124</v>
      </c>
      <c r="J919" s="17">
        <v>72.8</v>
      </c>
      <c r="K919" s="17">
        <v>2149</v>
      </c>
      <c r="L919" s="17">
        <v>2066</v>
      </c>
      <c r="M919" s="17">
        <v>16624550</v>
      </c>
      <c r="N919" s="17">
        <v>21099970</v>
      </c>
      <c r="O919" s="17">
        <v>38.25</v>
      </c>
      <c r="P919" s="17">
        <v>49.75</v>
      </c>
      <c r="Q919" t="s">
        <v>84</v>
      </c>
      <c r="R919" t="s">
        <v>84</v>
      </c>
      <c r="S919" t="s">
        <v>85</v>
      </c>
      <c r="T919" t="s">
        <v>84</v>
      </c>
      <c r="U919" t="s">
        <v>84</v>
      </c>
      <c r="V919" s="16">
        <v>40913</v>
      </c>
      <c r="W919" s="18">
        <v>40909.625</v>
      </c>
      <c r="X919" s="18">
        <v>40964.75</v>
      </c>
      <c r="Y919" s="17">
        <v>2273.4</v>
      </c>
      <c r="Z919" t="s">
        <v>87</v>
      </c>
      <c r="AA919" s="17">
        <v>2382</v>
      </c>
      <c r="AB919" s="17">
        <v>2296.95</v>
      </c>
      <c r="AC919" t="s">
        <v>84</v>
      </c>
      <c r="AD919" s="17">
        <v>22190400</v>
      </c>
      <c r="AE919" t="s">
        <v>84</v>
      </c>
      <c r="AF919" s="17">
        <v>55.14</v>
      </c>
      <c r="AG919" t="s">
        <v>84</v>
      </c>
      <c r="AH919" t="s">
        <v>84</v>
      </c>
      <c r="AI919" s="17">
        <v>10.69</v>
      </c>
      <c r="AJ919" s="17">
        <v>10.69</v>
      </c>
      <c r="AK919" t="s">
        <v>333</v>
      </c>
      <c r="AM919" s="17">
        <v>3.8</v>
      </c>
      <c r="AN919" s="17"/>
      <c r="AO919" s="17">
        <v>2125</v>
      </c>
      <c r="AP919" s="17"/>
      <c r="AQ919" s="17">
        <v>3315</v>
      </c>
      <c r="AR919" s="17"/>
      <c r="AS919" s="17">
        <v>2.15</v>
      </c>
      <c r="AT919" s="17"/>
      <c r="AU919" s="17">
        <v>1148</v>
      </c>
      <c r="AV919" s="17"/>
      <c r="AW919" s="17">
        <v>1893</v>
      </c>
      <c r="AX919" s="17"/>
      <c r="AY919" t="s">
        <v>92</v>
      </c>
      <c r="AZ919" t="s">
        <v>92</v>
      </c>
      <c r="BA919" t="s">
        <v>92</v>
      </c>
      <c r="BB919" t="s">
        <v>92</v>
      </c>
      <c r="BC919" t="s">
        <v>92</v>
      </c>
      <c r="BD919" t="s">
        <v>92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92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92</v>
      </c>
      <c r="BS919" t="s">
        <v>92</v>
      </c>
      <c r="BT919" t="s">
        <v>92</v>
      </c>
      <c r="BU919" t="s">
        <v>92</v>
      </c>
      <c r="BV919" t="s">
        <v>92</v>
      </c>
      <c r="BW919" t="s">
        <v>92</v>
      </c>
      <c r="BX919" t="s">
        <v>92</v>
      </c>
      <c r="BY919" t="str">
        <f>IF(COUNTIF('Data Upload-prod'!E:E,F919)=0,"Missing","Exist")</f>
        <v>Exist</v>
      </c>
    </row>
    <row r="920" hidden="1" spans="1:77">
      <c r="A920" s="16">
        <v>40882</v>
      </c>
      <c r="B920" s="16">
        <v>41019</v>
      </c>
      <c r="C920" t="s">
        <v>132</v>
      </c>
      <c r="D920" t="s">
        <v>120</v>
      </c>
      <c r="E920" t="s">
        <v>1531</v>
      </c>
      <c r="F920" t="s">
        <v>1532</v>
      </c>
      <c r="G920" t="s">
        <v>145</v>
      </c>
      <c r="H920" t="s">
        <v>1533</v>
      </c>
      <c r="I920" t="s">
        <v>124</v>
      </c>
      <c r="J920" s="17">
        <v>105.6</v>
      </c>
      <c r="K920" s="17">
        <v>3976</v>
      </c>
      <c r="L920" s="17">
        <v>3976</v>
      </c>
      <c r="M920" s="17">
        <v>25543845.84</v>
      </c>
      <c r="N920" s="17">
        <v>30704286.31</v>
      </c>
      <c r="O920" s="17">
        <v>56</v>
      </c>
      <c r="P920" s="17">
        <v>65.3</v>
      </c>
      <c r="Q920" t="s">
        <v>84</v>
      </c>
      <c r="R920" t="s">
        <v>84</v>
      </c>
      <c r="S920" t="s">
        <v>85</v>
      </c>
      <c r="T920" t="s">
        <v>84</v>
      </c>
      <c r="U920" t="s">
        <v>84</v>
      </c>
      <c r="V920" s="16">
        <v>40924</v>
      </c>
      <c r="W920" s="18">
        <v>40922.3541666667</v>
      </c>
      <c r="X920" s="18">
        <v>40986.65625</v>
      </c>
      <c r="Y920" s="17">
        <v>3699.8</v>
      </c>
      <c r="Z920" t="s">
        <v>87</v>
      </c>
      <c r="AA920" s="17">
        <v>3831</v>
      </c>
      <c r="AB920" s="17">
        <v>3831</v>
      </c>
      <c r="AC920" s="17">
        <v>29757147.08</v>
      </c>
      <c r="AD920" t="s">
        <v>84</v>
      </c>
      <c r="AE920" s="17">
        <v>64.3</v>
      </c>
      <c r="AF920" t="s">
        <v>84</v>
      </c>
      <c r="AG920" t="s">
        <v>84</v>
      </c>
      <c r="AH920" t="s">
        <v>84</v>
      </c>
      <c r="AI920" s="17">
        <v>5.43</v>
      </c>
      <c r="AJ920" s="17">
        <v>5.17</v>
      </c>
      <c r="AK920" t="s">
        <v>323</v>
      </c>
      <c r="AM920" s="17">
        <v>4.4</v>
      </c>
      <c r="AN920" s="17"/>
      <c r="AO920" s="17">
        <v>1980</v>
      </c>
      <c r="AP920" s="17"/>
      <c r="AQ920" s="17">
        <v>2760</v>
      </c>
      <c r="AR920" s="17"/>
      <c r="AS920" s="17">
        <v>4.6</v>
      </c>
      <c r="AT920" s="17"/>
      <c r="AU920" s="17">
        <v>2111.76</v>
      </c>
      <c r="AV920" s="17"/>
      <c r="AW920" s="17">
        <v>2451.36</v>
      </c>
      <c r="AX920" s="17"/>
      <c r="AY920" t="s">
        <v>92</v>
      </c>
      <c r="AZ920" t="s">
        <v>92</v>
      </c>
      <c r="BA920" t="s">
        <v>92</v>
      </c>
      <c r="BB920" t="s">
        <v>92</v>
      </c>
      <c r="BC920" t="s">
        <v>92</v>
      </c>
      <c r="BD920" t="s">
        <v>92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92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92</v>
      </c>
      <c r="BS920" t="s">
        <v>92</v>
      </c>
      <c r="BT920" t="s">
        <v>92</v>
      </c>
      <c r="BU920" t="s">
        <v>92</v>
      </c>
      <c r="BV920" t="s">
        <v>92</v>
      </c>
      <c r="BW920" t="s">
        <v>92</v>
      </c>
      <c r="BX920" t="s">
        <v>92</v>
      </c>
      <c r="BY920" t="str">
        <f>IF(COUNTIF('Data Upload-prod'!E:E,F920)=0,"Missing","Exist")</f>
        <v>Exist</v>
      </c>
    </row>
    <row r="921" hidden="1" spans="1:77">
      <c r="A921" s="16">
        <v>40877</v>
      </c>
      <c r="B921" s="16">
        <v>41046</v>
      </c>
      <c r="C921" t="s">
        <v>132</v>
      </c>
      <c r="D921" t="s">
        <v>78</v>
      </c>
      <c r="E921" t="s">
        <v>628</v>
      </c>
      <c r="F921" t="s">
        <v>1534</v>
      </c>
      <c r="G921" t="s">
        <v>81</v>
      </c>
      <c r="H921" t="s">
        <v>1449</v>
      </c>
      <c r="I921" t="s">
        <v>83</v>
      </c>
      <c r="J921" s="17">
        <v>74.22</v>
      </c>
      <c r="K921" s="17">
        <v>1680</v>
      </c>
      <c r="L921" s="17">
        <v>1422</v>
      </c>
      <c r="M921" t="s">
        <v>84</v>
      </c>
      <c r="N921" t="s">
        <v>84</v>
      </c>
      <c r="O921" t="s">
        <v>84</v>
      </c>
      <c r="P921" t="s">
        <v>84</v>
      </c>
      <c r="Q921" s="17">
        <v>10155396</v>
      </c>
      <c r="R921" s="17">
        <v>21.6</v>
      </c>
      <c r="S921" t="s">
        <v>85</v>
      </c>
      <c r="T921" t="s">
        <v>84</v>
      </c>
      <c r="U921" t="s">
        <v>86</v>
      </c>
      <c r="V921" s="16">
        <v>40981</v>
      </c>
      <c r="W921" s="18">
        <v>40981.1041666667</v>
      </c>
      <c r="X921" s="18">
        <v>41001.8333333333</v>
      </c>
      <c r="Y921" s="17">
        <v>1545.75</v>
      </c>
      <c r="Z921" t="s">
        <v>87</v>
      </c>
      <c r="AA921" s="17">
        <v>1654</v>
      </c>
      <c r="AB921" s="17">
        <v>1385.48</v>
      </c>
      <c r="AC921" t="s">
        <v>84</v>
      </c>
      <c r="AD921" t="s">
        <v>84</v>
      </c>
      <c r="AE921" t="s">
        <v>84</v>
      </c>
      <c r="AF921" t="s">
        <v>84</v>
      </c>
      <c r="AG921" s="17">
        <v>8633504.72</v>
      </c>
      <c r="AH921" s="17">
        <v>20.23</v>
      </c>
      <c r="AI921" s="17">
        <v>2.2</v>
      </c>
      <c r="AJ921" s="17">
        <v>2.2</v>
      </c>
      <c r="AK921" t="s">
        <v>165</v>
      </c>
      <c r="AM921" s="17">
        <v>3.2</v>
      </c>
      <c r="AN921" s="17"/>
      <c r="AO921" s="17">
        <v>1300</v>
      </c>
      <c r="AP921" s="17"/>
      <c r="AQ921" s="17">
        <v>1830</v>
      </c>
      <c r="AR921" s="17"/>
      <c r="AS921" s="17">
        <v>1.97</v>
      </c>
      <c r="AT921" s="17"/>
      <c r="AU921" s="17">
        <v>598</v>
      </c>
      <c r="AV921" s="17"/>
      <c r="AW921" s="17">
        <v>1109</v>
      </c>
      <c r="AX921" s="17"/>
      <c r="AY921" t="s">
        <v>92</v>
      </c>
      <c r="AZ921" t="s">
        <v>92</v>
      </c>
      <c r="BA921" t="s">
        <v>92</v>
      </c>
      <c r="BB921" t="s">
        <v>92</v>
      </c>
      <c r="BC921" t="s">
        <v>92</v>
      </c>
      <c r="BD921" s="17">
        <v>4.9</v>
      </c>
      <c r="BE921" s="17">
        <v>1961843.63</v>
      </c>
      <c r="BF921" t="s">
        <v>92</v>
      </c>
      <c r="BG921" t="s">
        <v>92</v>
      </c>
      <c r="BH921" t="s">
        <v>93</v>
      </c>
      <c r="BI921" t="s">
        <v>94</v>
      </c>
      <c r="BJ921" t="s">
        <v>128</v>
      </c>
      <c r="BK921" t="s">
        <v>85</v>
      </c>
      <c r="BL921" t="s">
        <v>85</v>
      </c>
      <c r="BM921" t="s">
        <v>96</v>
      </c>
      <c r="BN921" t="s">
        <v>490</v>
      </c>
      <c r="BO921" t="s">
        <v>98</v>
      </c>
      <c r="BP921" t="s">
        <v>99</v>
      </c>
      <c r="BQ921" s="17">
        <v>112</v>
      </c>
      <c r="BR921" t="s">
        <v>100</v>
      </c>
      <c r="BS921" t="s">
        <v>285</v>
      </c>
      <c r="BT921" t="s">
        <v>99</v>
      </c>
      <c r="BU921" s="17">
        <v>8.5</v>
      </c>
      <c r="BV921" t="s">
        <v>110</v>
      </c>
      <c r="BW921" t="s">
        <v>85</v>
      </c>
      <c r="BX921" t="s">
        <v>85</v>
      </c>
      <c r="BY921" t="str">
        <f>IF(COUNTIF('Data Upload-prod'!E:E,F921)=0,"Missing","Exist")</f>
        <v>Exist</v>
      </c>
    </row>
    <row r="922" hidden="1" spans="1:77">
      <c r="A922" s="16">
        <v>40877</v>
      </c>
      <c r="B922" s="16">
        <v>41068</v>
      </c>
      <c r="C922" t="s">
        <v>132</v>
      </c>
      <c r="D922" t="s">
        <v>78</v>
      </c>
      <c r="E922" t="s">
        <v>628</v>
      </c>
      <c r="F922" t="s">
        <v>1535</v>
      </c>
      <c r="G922" t="s">
        <v>81</v>
      </c>
      <c r="H922" t="s">
        <v>1449</v>
      </c>
      <c r="I922" t="s">
        <v>83</v>
      </c>
      <c r="J922" s="17">
        <v>74.22</v>
      </c>
      <c r="K922" s="17">
        <v>2780</v>
      </c>
      <c r="L922" s="17">
        <v>1416</v>
      </c>
      <c r="M922" t="s">
        <v>84</v>
      </c>
      <c r="N922" t="s">
        <v>84</v>
      </c>
      <c r="O922" t="s">
        <v>84</v>
      </c>
      <c r="P922" t="s">
        <v>84</v>
      </c>
      <c r="Q922" s="17">
        <v>13789239</v>
      </c>
      <c r="R922" s="17">
        <v>22.3</v>
      </c>
      <c r="S922" t="s">
        <v>85</v>
      </c>
      <c r="T922" t="s">
        <v>84</v>
      </c>
      <c r="U922" t="s">
        <v>86</v>
      </c>
      <c r="V922" s="16">
        <v>41003.6666666667</v>
      </c>
      <c r="W922" s="18">
        <v>41001.8333333333</v>
      </c>
      <c r="X922" s="18">
        <v>41029.4791666667</v>
      </c>
      <c r="Y922" s="17">
        <v>2746.76</v>
      </c>
      <c r="Z922" t="s">
        <v>87</v>
      </c>
      <c r="AA922" s="17">
        <v>2855</v>
      </c>
      <c r="AB922" s="17">
        <v>1418.46</v>
      </c>
      <c r="AC922" t="s">
        <v>84</v>
      </c>
      <c r="AD922" t="s">
        <v>84</v>
      </c>
      <c r="AE922" t="s">
        <v>84</v>
      </c>
      <c r="AF922" t="s">
        <v>84</v>
      </c>
      <c r="AG922" s="17">
        <v>11664719.79</v>
      </c>
      <c r="AH922" s="17">
        <v>27.65</v>
      </c>
      <c r="AI922" s="17">
        <v>6.71</v>
      </c>
      <c r="AJ922" s="17">
        <v>6.71</v>
      </c>
      <c r="AK922" t="s">
        <v>114</v>
      </c>
      <c r="AM922" s="17">
        <v>2.2</v>
      </c>
      <c r="AN922" s="17"/>
      <c r="AO922" s="17">
        <v>915</v>
      </c>
      <c r="AP922" s="17"/>
      <c r="AQ922" s="17">
        <v>1450</v>
      </c>
      <c r="AR922" s="17"/>
      <c r="AS922" s="17">
        <v>1.41</v>
      </c>
      <c r="AT922" s="17"/>
      <c r="AU922" s="17">
        <v>740</v>
      </c>
      <c r="AV922" s="17"/>
      <c r="AW922" s="17">
        <v>1250</v>
      </c>
      <c r="AX922" s="17"/>
      <c r="AY922" t="s">
        <v>92</v>
      </c>
      <c r="AZ922" t="s">
        <v>92</v>
      </c>
      <c r="BA922" t="s">
        <v>92</v>
      </c>
      <c r="BB922" t="s">
        <v>92</v>
      </c>
      <c r="BC922" t="s">
        <v>92</v>
      </c>
      <c r="BD922" s="17">
        <v>6.06</v>
      </c>
      <c r="BE922" s="17">
        <v>2373667.13</v>
      </c>
      <c r="BF922" t="s">
        <v>92</v>
      </c>
      <c r="BG922" t="s">
        <v>92</v>
      </c>
      <c r="BH922" t="s">
        <v>93</v>
      </c>
      <c r="BI922" t="s">
        <v>94</v>
      </c>
      <c r="BJ922" t="s">
        <v>128</v>
      </c>
      <c r="BK922" t="s">
        <v>85</v>
      </c>
      <c r="BL922" t="s">
        <v>85</v>
      </c>
      <c r="BM922" t="s">
        <v>96</v>
      </c>
      <c r="BN922" t="s">
        <v>490</v>
      </c>
      <c r="BO922" t="s">
        <v>98</v>
      </c>
      <c r="BP922" t="s">
        <v>99</v>
      </c>
      <c r="BQ922" s="17">
        <v>427</v>
      </c>
      <c r="BR922" t="s">
        <v>100</v>
      </c>
      <c r="BS922" t="s">
        <v>285</v>
      </c>
      <c r="BT922" t="s">
        <v>99</v>
      </c>
      <c r="BU922" s="17">
        <v>8.5</v>
      </c>
      <c r="BV922" t="s">
        <v>110</v>
      </c>
      <c r="BW922" t="s">
        <v>85</v>
      </c>
      <c r="BX922" t="s">
        <v>85</v>
      </c>
      <c r="BY922" t="str">
        <f>IF(COUNTIF('Data Upload-prod'!E:E,F922)=0,"Missing","Exist")</f>
        <v>Exist</v>
      </c>
    </row>
    <row r="923" hidden="1" spans="1:77">
      <c r="A923" s="16">
        <v>40876</v>
      </c>
      <c r="B923" s="16">
        <v>41085</v>
      </c>
      <c r="C923" t="s">
        <v>132</v>
      </c>
      <c r="D923" t="s">
        <v>120</v>
      </c>
      <c r="E923" t="s">
        <v>1536</v>
      </c>
      <c r="F923" t="s">
        <v>1537</v>
      </c>
      <c r="G923" t="s">
        <v>81</v>
      </c>
      <c r="H923" t="s">
        <v>1188</v>
      </c>
      <c r="I923" t="s">
        <v>231</v>
      </c>
      <c r="J923" s="17">
        <v>78</v>
      </c>
      <c r="K923" s="17">
        <v>1964</v>
      </c>
      <c r="L923" s="17">
        <v>1840</v>
      </c>
      <c r="M923" t="s">
        <v>84</v>
      </c>
      <c r="N923" t="s">
        <v>84</v>
      </c>
      <c r="O923" t="s">
        <v>84</v>
      </c>
      <c r="P923" t="s">
        <v>84</v>
      </c>
      <c r="Q923" s="17">
        <v>37791540</v>
      </c>
      <c r="R923" s="17">
        <v>61</v>
      </c>
      <c r="S923" t="s">
        <v>85</v>
      </c>
      <c r="T923" t="s">
        <v>84</v>
      </c>
      <c r="U923" t="s">
        <v>320</v>
      </c>
      <c r="V923" s="16">
        <v>40892</v>
      </c>
      <c r="W923" s="18">
        <v>40891</v>
      </c>
      <c r="X923" s="18">
        <v>41004</v>
      </c>
      <c r="Y923" s="17">
        <v>1859</v>
      </c>
      <c r="Z923" t="s">
        <v>87</v>
      </c>
      <c r="AA923" s="17">
        <v>1964</v>
      </c>
      <c r="AB923" s="17">
        <v>1847.56</v>
      </c>
      <c r="AC923" t="s">
        <v>84</v>
      </c>
      <c r="AD923" t="s">
        <v>84</v>
      </c>
      <c r="AE923" t="s">
        <v>84</v>
      </c>
      <c r="AF923" t="s">
        <v>84</v>
      </c>
      <c r="AG923" s="17">
        <v>44740601.09</v>
      </c>
      <c r="AH923" s="17">
        <v>68.6</v>
      </c>
      <c r="AI923" s="17">
        <v>5.3</v>
      </c>
      <c r="AJ923" s="17">
        <v>2.99</v>
      </c>
      <c r="AK923" t="s">
        <v>126</v>
      </c>
      <c r="AM923" s="17">
        <v>2.5</v>
      </c>
      <c r="AN923" s="17"/>
      <c r="AO923" s="17">
        <v>1010</v>
      </c>
      <c r="AP923" s="17"/>
      <c r="AQ923" s="17">
        <v>1635</v>
      </c>
      <c r="AR923" s="17"/>
      <c r="AS923" s="17">
        <v>6.08</v>
      </c>
      <c r="AT923" s="17"/>
      <c r="AU923" s="17">
        <v>3429.69</v>
      </c>
      <c r="AV923" s="17"/>
      <c r="AW923" s="17">
        <v>7594.06</v>
      </c>
      <c r="AX923" s="17"/>
      <c r="AY923" t="s">
        <v>92</v>
      </c>
      <c r="AZ923" t="s">
        <v>92</v>
      </c>
      <c r="BA923" t="s">
        <v>92</v>
      </c>
      <c r="BB923" t="s">
        <v>92</v>
      </c>
      <c r="BC923" t="s">
        <v>92</v>
      </c>
      <c r="BD923" s="17">
        <v>13.33</v>
      </c>
      <c r="BE923" s="17">
        <v>13507706.36</v>
      </c>
      <c r="BF923" t="s">
        <v>92</v>
      </c>
      <c r="BG923" t="s">
        <v>92</v>
      </c>
      <c r="BH923" t="s">
        <v>127</v>
      </c>
      <c r="BI923" t="s">
        <v>94</v>
      </c>
      <c r="BJ923" t="s">
        <v>109</v>
      </c>
      <c r="BK923" t="s">
        <v>85</v>
      </c>
      <c r="BL923" t="s">
        <v>85</v>
      </c>
      <c r="BM923" t="s">
        <v>137</v>
      </c>
      <c r="BN923" t="s">
        <v>97</v>
      </c>
      <c r="BO923" t="s">
        <v>98</v>
      </c>
      <c r="BP923" t="s">
        <v>139</v>
      </c>
      <c r="BQ923" s="17">
        <v>0</v>
      </c>
      <c r="BR923" t="s">
        <v>100</v>
      </c>
      <c r="BS923" t="s">
        <v>156</v>
      </c>
      <c r="BT923" t="s">
        <v>139</v>
      </c>
      <c r="BU923" s="17">
        <v>15.2</v>
      </c>
      <c r="BV923" t="s">
        <v>1538</v>
      </c>
      <c r="BW923" t="s">
        <v>85</v>
      </c>
      <c r="BX923" t="s">
        <v>85</v>
      </c>
      <c r="BY923" t="str">
        <f>IF(COUNTIF('Data Upload-prod'!E:E,F923)=0,"Missing","Exist")</f>
        <v>Exist</v>
      </c>
    </row>
    <row r="924" hidden="1" spans="1:77">
      <c r="A924" s="16">
        <v>40835</v>
      </c>
      <c r="B924" s="16">
        <v>41085</v>
      </c>
      <c r="C924" t="s">
        <v>132</v>
      </c>
      <c r="D924" t="s">
        <v>120</v>
      </c>
      <c r="E924" t="s">
        <v>1536</v>
      </c>
      <c r="F924" t="s">
        <v>1539</v>
      </c>
      <c r="G924" t="s">
        <v>81</v>
      </c>
      <c r="H924" t="s">
        <v>1188</v>
      </c>
      <c r="I924" t="s">
        <v>231</v>
      </c>
      <c r="J924" s="17">
        <v>78</v>
      </c>
      <c r="K924" s="17">
        <v>1869</v>
      </c>
      <c r="L924" s="17">
        <v>1737</v>
      </c>
      <c r="M924" t="s">
        <v>84</v>
      </c>
      <c r="N924" t="s">
        <v>84</v>
      </c>
      <c r="O924" t="s">
        <v>84</v>
      </c>
      <c r="P924" t="s">
        <v>84</v>
      </c>
      <c r="Q924" s="17">
        <v>37450000</v>
      </c>
      <c r="R924" s="17">
        <v>56</v>
      </c>
      <c r="S924" t="s">
        <v>85</v>
      </c>
      <c r="T924" t="s">
        <v>84</v>
      </c>
      <c r="U924" t="s">
        <v>320</v>
      </c>
      <c r="V924" s="16">
        <v>40848</v>
      </c>
      <c r="W924" s="18">
        <v>40844.375</v>
      </c>
      <c r="X924" s="18">
        <v>40992.7708333333</v>
      </c>
      <c r="Y924" s="17">
        <v>1764</v>
      </c>
      <c r="Z924" t="s">
        <v>87</v>
      </c>
      <c r="AA924" s="17">
        <v>1869</v>
      </c>
      <c r="AB924" s="17">
        <v>1735</v>
      </c>
      <c r="AC924" t="s">
        <v>84</v>
      </c>
      <c r="AD924" t="s">
        <v>84</v>
      </c>
      <c r="AE924" t="s">
        <v>84</v>
      </c>
      <c r="AF924" t="s">
        <v>84</v>
      </c>
      <c r="AG924" s="17">
        <v>51486560.04</v>
      </c>
      <c r="AH924" s="17">
        <v>91.69</v>
      </c>
      <c r="AI924" s="17">
        <v>8.2</v>
      </c>
      <c r="AJ924" s="17">
        <v>6.17</v>
      </c>
      <c r="AK924" t="s">
        <v>126</v>
      </c>
      <c r="AM924" s="17">
        <v>2.5</v>
      </c>
      <c r="AN924" s="17"/>
      <c r="AO924" s="17">
        <v>1010</v>
      </c>
      <c r="AP924" s="17"/>
      <c r="AQ924" s="17">
        <v>1635</v>
      </c>
      <c r="AR924" s="17"/>
      <c r="AS924" s="17">
        <v>9.76</v>
      </c>
      <c r="AT924" s="17"/>
      <c r="AU924" s="17">
        <v>4473.13</v>
      </c>
      <c r="AV924" s="17"/>
      <c r="AW924" s="17">
        <v>9183.13</v>
      </c>
      <c r="AX924" s="17"/>
      <c r="AY924" t="s">
        <v>92</v>
      </c>
      <c r="AZ924" t="s">
        <v>92</v>
      </c>
      <c r="BA924" t="s">
        <v>92</v>
      </c>
      <c r="BB924" t="s">
        <v>92</v>
      </c>
      <c r="BC924" t="s">
        <v>92</v>
      </c>
      <c r="BD924" s="17">
        <v>11.52</v>
      </c>
      <c r="BE924" s="17">
        <v>14251186</v>
      </c>
      <c r="BF924" t="s">
        <v>92</v>
      </c>
      <c r="BG924" t="s">
        <v>92</v>
      </c>
      <c r="BH924" t="s">
        <v>127</v>
      </c>
      <c r="BI924" t="s">
        <v>94</v>
      </c>
      <c r="BJ924" t="s">
        <v>109</v>
      </c>
      <c r="BK924" t="s">
        <v>85</v>
      </c>
      <c r="BL924" t="s">
        <v>85</v>
      </c>
      <c r="BM924" t="s">
        <v>137</v>
      </c>
      <c r="BN924" t="s">
        <v>97</v>
      </c>
      <c r="BO924" t="s">
        <v>98</v>
      </c>
      <c r="BP924" t="s">
        <v>139</v>
      </c>
      <c r="BQ924" s="17">
        <v>0</v>
      </c>
      <c r="BR924" t="s">
        <v>138</v>
      </c>
      <c r="BS924" t="s">
        <v>156</v>
      </c>
      <c r="BT924" t="s">
        <v>139</v>
      </c>
      <c r="BU924" s="17">
        <v>15.2</v>
      </c>
      <c r="BV924" t="s">
        <v>1538</v>
      </c>
      <c r="BW924" t="s">
        <v>85</v>
      </c>
      <c r="BX924" t="s">
        <v>85</v>
      </c>
      <c r="BY924" t="str">
        <f>IF(COUNTIF('Data Upload-prod'!E:E,F924)=0,"Missing","Exist")</f>
        <v>Exist</v>
      </c>
    </row>
    <row r="925" hidden="1" spans="1:77">
      <c r="A925" s="16">
        <v>39435</v>
      </c>
      <c r="B925" t="s">
        <v>84</v>
      </c>
      <c r="C925" t="s">
        <v>132</v>
      </c>
      <c r="D925" t="s">
        <v>142</v>
      </c>
      <c r="E925" t="s">
        <v>1540</v>
      </c>
      <c r="F925" t="s">
        <v>1541</v>
      </c>
      <c r="G925" t="s">
        <v>81</v>
      </c>
      <c r="H925" t="s">
        <v>1542</v>
      </c>
      <c r="I925" t="s">
        <v>124</v>
      </c>
      <c r="J925" s="17">
        <v>35</v>
      </c>
      <c r="K925" s="17">
        <v>2293</v>
      </c>
      <c r="L925" s="17">
        <v>1485</v>
      </c>
      <c r="M925" t="s">
        <v>84</v>
      </c>
      <c r="N925" t="s">
        <v>84</v>
      </c>
      <c r="O925" t="s">
        <v>84</v>
      </c>
      <c r="P925" t="s">
        <v>84</v>
      </c>
      <c r="Q925" s="17">
        <v>10140000</v>
      </c>
      <c r="R925" s="17">
        <v>26.88</v>
      </c>
      <c r="S925" t="s">
        <v>85</v>
      </c>
      <c r="T925" t="s">
        <v>84</v>
      </c>
      <c r="U925" t="s">
        <v>86</v>
      </c>
      <c r="V925" s="16">
        <v>39457</v>
      </c>
      <c r="W925" s="18">
        <v>39457</v>
      </c>
      <c r="X925" s="18">
        <v>39485</v>
      </c>
      <c r="Y925" s="17">
        <v>2779</v>
      </c>
      <c r="Z925" t="s">
        <v>87</v>
      </c>
      <c r="AA925" s="17">
        <v>2850</v>
      </c>
      <c r="AB925" s="17">
        <v>1471</v>
      </c>
      <c r="AC925" t="s">
        <v>84</v>
      </c>
      <c r="AD925" t="s">
        <v>84</v>
      </c>
      <c r="AE925" t="s">
        <v>84</v>
      </c>
      <c r="AF925" t="s">
        <v>84</v>
      </c>
      <c r="AG925" s="17">
        <v>8250164.52</v>
      </c>
      <c r="AH925" s="17">
        <v>28.91</v>
      </c>
      <c r="AI925" s="17">
        <v>6.99</v>
      </c>
      <c r="AJ925" s="17">
        <v>6.99</v>
      </c>
      <c r="AK925" t="s">
        <v>208</v>
      </c>
      <c r="AM925" s="17">
        <v>1.7</v>
      </c>
      <c r="AN925" s="17"/>
      <c r="AO925" s="17">
        <v>720</v>
      </c>
      <c r="AP925" s="17"/>
      <c r="AQ925" s="17">
        <v>1285</v>
      </c>
      <c r="AR925" s="17"/>
      <c r="AS925" s="17">
        <v>2.95</v>
      </c>
      <c r="AT925" s="17"/>
      <c r="AU925" s="17">
        <v>3277</v>
      </c>
      <c r="AV925" s="17"/>
      <c r="AW925" s="17">
        <v>3438</v>
      </c>
      <c r="AX925" s="17"/>
      <c r="AY925" t="s">
        <v>92</v>
      </c>
      <c r="AZ925" t="s">
        <v>92</v>
      </c>
      <c r="BA925" t="s">
        <v>92</v>
      </c>
      <c r="BB925" t="s">
        <v>92</v>
      </c>
      <c r="BC925" t="s">
        <v>92</v>
      </c>
      <c r="BD925" s="17">
        <v>4.6</v>
      </c>
      <c r="BE925" s="17">
        <v>2339661.86</v>
      </c>
      <c r="BF925" t="s">
        <v>92</v>
      </c>
      <c r="BG925" t="s">
        <v>92</v>
      </c>
      <c r="BH925" t="s">
        <v>93</v>
      </c>
      <c r="BI925" t="s">
        <v>94</v>
      </c>
      <c r="BJ925" t="s">
        <v>128</v>
      </c>
      <c r="BK925" t="s">
        <v>85</v>
      </c>
      <c r="BL925" t="s">
        <v>85</v>
      </c>
      <c r="BM925" t="s">
        <v>96</v>
      </c>
      <c r="BN925" t="s">
        <v>490</v>
      </c>
      <c r="BO925" t="s">
        <v>98</v>
      </c>
      <c r="BP925" t="s">
        <v>103</v>
      </c>
      <c r="BQ925" s="17">
        <v>1161.474</v>
      </c>
      <c r="BR925" t="s">
        <v>100</v>
      </c>
      <c r="BS925" t="s">
        <v>156</v>
      </c>
      <c r="BT925" t="s">
        <v>550</v>
      </c>
      <c r="BU925" s="17">
        <v>9.2</v>
      </c>
      <c r="BV925" t="s">
        <v>191</v>
      </c>
      <c r="BW925" t="s">
        <v>85</v>
      </c>
      <c r="BX925" t="s">
        <v>85</v>
      </c>
      <c r="BY925" t="str">
        <f>IF(COUNTIF('Data Upload-prod'!E:E,F925)=0,"Missing","Exist")</f>
        <v>Exist</v>
      </c>
    </row>
    <row r="926" spans="1:77">
      <c r="A926" s="16">
        <v>39398</v>
      </c>
      <c r="B926" t="s">
        <v>84</v>
      </c>
      <c r="C926" t="s">
        <v>132</v>
      </c>
      <c r="D926" t="s">
        <v>142</v>
      </c>
      <c r="E926" t="s">
        <v>1540</v>
      </c>
      <c r="F926" t="s">
        <v>1543</v>
      </c>
      <c r="G926" t="s">
        <v>81</v>
      </c>
      <c r="H926" t="s">
        <v>1542</v>
      </c>
      <c r="I926" t="s">
        <v>124</v>
      </c>
      <c r="J926" s="17">
        <v>35</v>
      </c>
      <c r="K926" s="17">
        <v>1511</v>
      </c>
      <c r="L926" s="17">
        <v>1432.2</v>
      </c>
      <c r="M926" t="s">
        <v>84</v>
      </c>
      <c r="N926" t="s">
        <v>84</v>
      </c>
      <c r="O926" t="s">
        <v>84</v>
      </c>
      <c r="P926" t="s">
        <v>84</v>
      </c>
      <c r="Q926" s="17">
        <v>5720000</v>
      </c>
      <c r="R926" s="17">
        <v>13.93</v>
      </c>
      <c r="S926" t="s">
        <v>85</v>
      </c>
      <c r="T926" t="s">
        <v>84</v>
      </c>
      <c r="U926" t="s">
        <v>86</v>
      </c>
      <c r="V926" s="16">
        <v>39432</v>
      </c>
      <c r="W926" s="18">
        <v>39432</v>
      </c>
      <c r="X926" s="18">
        <v>39443</v>
      </c>
      <c r="Y926" s="17">
        <v>1421</v>
      </c>
      <c r="Z926" t="s">
        <v>87</v>
      </c>
      <c r="AA926" s="17">
        <v>1492</v>
      </c>
      <c r="AB926" s="17">
        <v>1428</v>
      </c>
      <c r="AC926" t="s">
        <v>84</v>
      </c>
      <c r="AD926" t="s">
        <v>84</v>
      </c>
      <c r="AE926" t="s">
        <v>84</v>
      </c>
      <c r="AF926" t="s">
        <v>84</v>
      </c>
      <c r="AG926" s="17">
        <v>3811171.42</v>
      </c>
      <c r="AH926" s="17">
        <v>11.79</v>
      </c>
      <c r="AI926" s="17">
        <v>11.22</v>
      </c>
      <c r="AJ926" s="17">
        <v>11.22</v>
      </c>
      <c r="AK926" t="s">
        <v>208</v>
      </c>
      <c r="AL926" t="s">
        <v>208</v>
      </c>
      <c r="AM926" s="17">
        <v>1.7</v>
      </c>
      <c r="AN926" s="17">
        <v>1.7</v>
      </c>
      <c r="AO926" s="17">
        <v>720</v>
      </c>
      <c r="AP926" s="17">
        <v>720</v>
      </c>
      <c r="AQ926" s="17">
        <v>1285</v>
      </c>
      <c r="AR926" s="17">
        <v>1285</v>
      </c>
      <c r="AS926" s="13" t="s">
        <v>90</v>
      </c>
      <c r="AT926" s="19">
        <v>2.24</v>
      </c>
      <c r="AU926" s="13" t="s">
        <v>90</v>
      </c>
      <c r="AV926" s="13">
        <v>2953</v>
      </c>
      <c r="AW926" s="13" t="s">
        <v>90</v>
      </c>
      <c r="AX926" s="13">
        <v>3106</v>
      </c>
      <c r="AY926" t="s">
        <v>92</v>
      </c>
      <c r="AZ926" t="s">
        <v>92</v>
      </c>
      <c r="BA926" t="s">
        <v>92</v>
      </c>
      <c r="BB926" t="s">
        <v>92</v>
      </c>
      <c r="BC926" t="s">
        <v>92</v>
      </c>
      <c r="BD926" s="17">
        <v>5.94</v>
      </c>
      <c r="BE926" s="17">
        <v>3073851.32</v>
      </c>
      <c r="BF926" t="s">
        <v>92</v>
      </c>
      <c r="BG926" t="s">
        <v>92</v>
      </c>
      <c r="BH926" t="s">
        <v>93</v>
      </c>
      <c r="BI926" t="s">
        <v>94</v>
      </c>
      <c r="BJ926" t="s">
        <v>128</v>
      </c>
      <c r="BK926" t="s">
        <v>85</v>
      </c>
      <c r="BL926" t="s">
        <v>85</v>
      </c>
      <c r="BM926" t="s">
        <v>96</v>
      </c>
      <c r="BN926" t="s">
        <v>569</v>
      </c>
      <c r="BO926" t="s">
        <v>98</v>
      </c>
      <c r="BP926" t="s">
        <v>103</v>
      </c>
      <c r="BQ926" s="17">
        <v>1049.92</v>
      </c>
      <c r="BR926" t="s">
        <v>138</v>
      </c>
      <c r="BS926" t="s">
        <v>156</v>
      </c>
      <c r="BT926" t="s">
        <v>550</v>
      </c>
      <c r="BU926" s="17">
        <v>9.2</v>
      </c>
      <c r="BV926" t="s">
        <v>191</v>
      </c>
      <c r="BW926" t="s">
        <v>85</v>
      </c>
      <c r="BX926" t="s">
        <v>85</v>
      </c>
      <c r="BY926" t="str">
        <f>IF(COUNTIF('Data Upload-prod'!E:E,F926)=0,"Missing","Exist")</f>
        <v>Exist</v>
      </c>
    </row>
    <row r="927" hidden="1" spans="1:77">
      <c r="A927" t="s">
        <v>84</v>
      </c>
      <c r="B927" s="16">
        <v>43120</v>
      </c>
      <c r="C927" t="s">
        <v>132</v>
      </c>
      <c r="D927" t="s">
        <v>120</v>
      </c>
      <c r="E927" t="s">
        <v>912</v>
      </c>
      <c r="F927" t="s">
        <v>1544</v>
      </c>
      <c r="G927" t="s">
        <v>81</v>
      </c>
      <c r="H927" t="s">
        <v>363</v>
      </c>
      <c r="I927" t="s">
        <v>124</v>
      </c>
      <c r="J927" s="17">
        <v>42.97</v>
      </c>
      <c r="K927" s="17">
        <v>4919.54</v>
      </c>
      <c r="L927" s="17">
        <v>4567.21</v>
      </c>
      <c r="M927" t="s">
        <v>84</v>
      </c>
      <c r="N927" t="s">
        <v>84</v>
      </c>
      <c r="O927" t="s">
        <v>84</v>
      </c>
      <c r="P927" t="s">
        <v>84</v>
      </c>
      <c r="Q927" s="17">
        <v>63683684.92</v>
      </c>
      <c r="R927" s="17">
        <v>145.33</v>
      </c>
      <c r="S927" t="s">
        <v>85</v>
      </c>
      <c r="T927" t="s">
        <v>84</v>
      </c>
      <c r="U927" t="s">
        <v>86</v>
      </c>
      <c r="V927" s="16">
        <v>42888</v>
      </c>
      <c r="W927" s="18">
        <v>42888.4166666667</v>
      </c>
      <c r="X927" s="18">
        <v>43085.6875</v>
      </c>
      <c r="Y927" s="17">
        <v>4619.17</v>
      </c>
      <c r="Z927" t="s">
        <v>87</v>
      </c>
      <c r="AA927" s="17">
        <v>4706.49</v>
      </c>
      <c r="AB927" s="17">
        <v>4357.21</v>
      </c>
      <c r="AC927" t="s">
        <v>84</v>
      </c>
      <c r="AD927" t="s">
        <v>84</v>
      </c>
      <c r="AE927" t="s">
        <v>84</v>
      </c>
      <c r="AF927" t="s">
        <v>84</v>
      </c>
      <c r="AG927" s="17">
        <v>52369233.95</v>
      </c>
      <c r="AH927" s="17">
        <v>139.67</v>
      </c>
      <c r="AI927" s="17">
        <v>29.65</v>
      </c>
      <c r="AJ927" s="17">
        <v>29.5</v>
      </c>
      <c r="AK927" t="s">
        <v>276</v>
      </c>
      <c r="AM927" s="17">
        <v>3.7</v>
      </c>
      <c r="AN927" s="17"/>
      <c r="AO927" s="17">
        <v>1585</v>
      </c>
      <c r="AP927" s="17"/>
      <c r="AQ927" s="17">
        <v>3040</v>
      </c>
      <c r="AR927" s="17"/>
      <c r="AS927" s="17">
        <v>3.79</v>
      </c>
      <c r="AT927" s="17"/>
      <c r="AU927" s="17">
        <v>1762.07</v>
      </c>
      <c r="AV927" s="17"/>
      <c r="AW927" s="17">
        <v>3455.12</v>
      </c>
      <c r="AX927" s="17"/>
      <c r="AY927" t="s">
        <v>92</v>
      </c>
      <c r="AZ927" t="s">
        <v>92</v>
      </c>
      <c r="BA927" t="s">
        <v>92</v>
      </c>
      <c r="BB927" t="s">
        <v>92</v>
      </c>
      <c r="BC927" t="s">
        <v>92</v>
      </c>
      <c r="BD927" s="17">
        <v>17.31</v>
      </c>
      <c r="BE927" s="17">
        <v>11739482</v>
      </c>
      <c r="BF927" t="s">
        <v>92</v>
      </c>
      <c r="BG927" t="s">
        <v>92</v>
      </c>
      <c r="BH927" t="s">
        <v>93</v>
      </c>
      <c r="BI927" t="s">
        <v>94</v>
      </c>
      <c r="BJ927" t="s">
        <v>173</v>
      </c>
      <c r="BK927" t="s">
        <v>85</v>
      </c>
      <c r="BL927" t="s">
        <v>85</v>
      </c>
      <c r="BM927" t="s">
        <v>159</v>
      </c>
      <c r="BN927" t="s">
        <v>174</v>
      </c>
      <c r="BO927" t="s">
        <v>98</v>
      </c>
      <c r="BP927" t="s">
        <v>99</v>
      </c>
      <c r="BQ927" s="17">
        <v>2007</v>
      </c>
      <c r="BR927" t="s">
        <v>100</v>
      </c>
      <c r="BS927" t="s">
        <v>92</v>
      </c>
      <c r="BT927" t="s">
        <v>99</v>
      </c>
      <c r="BU927" s="17">
        <v>9.9</v>
      </c>
      <c r="BV927" t="s">
        <v>191</v>
      </c>
      <c r="BW927" t="s">
        <v>85</v>
      </c>
      <c r="BX927" t="s">
        <v>85</v>
      </c>
      <c r="BY927" t="str">
        <f>IF(COUNTIF('Data Upload-prod'!E:E,F927)=0,"Missing","Exist")</f>
        <v>Exist</v>
      </c>
    </row>
    <row r="928" hidden="1" spans="1:77">
      <c r="A928" t="s">
        <v>84</v>
      </c>
      <c r="B928" s="16">
        <v>45391</v>
      </c>
      <c r="C928" t="s">
        <v>132</v>
      </c>
      <c r="D928" t="s">
        <v>120</v>
      </c>
      <c r="E928" t="s">
        <v>463</v>
      </c>
      <c r="F928" t="s">
        <v>1545</v>
      </c>
      <c r="G928" t="s">
        <v>81</v>
      </c>
      <c r="H928" t="s">
        <v>397</v>
      </c>
      <c r="I928" t="s">
        <v>124</v>
      </c>
      <c r="J928" s="17">
        <v>69.49</v>
      </c>
      <c r="K928" s="17">
        <v>1490</v>
      </c>
      <c r="L928" s="17">
        <v>1421</v>
      </c>
      <c r="M928" t="s">
        <v>84</v>
      </c>
      <c r="N928" t="s">
        <v>84</v>
      </c>
      <c r="O928" t="s">
        <v>84</v>
      </c>
      <c r="P928" t="s">
        <v>84</v>
      </c>
      <c r="Q928" s="17">
        <v>9760000</v>
      </c>
      <c r="R928" s="17">
        <v>21.04</v>
      </c>
      <c r="S928" t="s">
        <v>381</v>
      </c>
      <c r="T928" t="s">
        <v>84</v>
      </c>
      <c r="U928" t="s">
        <v>86</v>
      </c>
      <c r="V928" s="16">
        <v>45321</v>
      </c>
      <c r="W928" s="18">
        <v>45320.8333333333</v>
      </c>
      <c r="X928" s="18">
        <v>45335.6875</v>
      </c>
      <c r="Y928" s="17">
        <v>1356</v>
      </c>
      <c r="Z928" t="s">
        <v>87</v>
      </c>
      <c r="AA928" s="17">
        <v>1465</v>
      </c>
      <c r="AB928" s="17">
        <v>1397.65</v>
      </c>
      <c r="AC928" t="s">
        <v>84</v>
      </c>
      <c r="AD928" t="s">
        <v>84</v>
      </c>
      <c r="AE928" t="s">
        <v>84</v>
      </c>
      <c r="AF928" t="s">
        <v>84</v>
      </c>
      <c r="AG928" s="17">
        <v>7183030</v>
      </c>
      <c r="AH928" s="17">
        <v>15.42</v>
      </c>
      <c r="AI928" s="17">
        <v>3.18</v>
      </c>
      <c r="AJ928" s="17">
        <v>3.18</v>
      </c>
      <c r="AK928" t="s">
        <v>208</v>
      </c>
      <c r="AM928" s="17">
        <v>2.2</v>
      </c>
      <c r="AN928" s="17"/>
      <c r="AO928" s="17">
        <v>830</v>
      </c>
      <c r="AP928" s="17"/>
      <c r="AQ928" s="17">
        <v>1380</v>
      </c>
      <c r="AR928" s="17"/>
      <c r="AS928" s="17">
        <v>2.09</v>
      </c>
      <c r="AT928" s="17"/>
      <c r="AU928" s="17">
        <v>977</v>
      </c>
      <c r="AV928" s="17"/>
      <c r="AW928" s="17">
        <v>1726</v>
      </c>
      <c r="AX928" s="17"/>
      <c r="AY928" t="s">
        <v>92</v>
      </c>
      <c r="AZ928" t="s">
        <v>92</v>
      </c>
      <c r="BA928" t="s">
        <v>92</v>
      </c>
      <c r="BB928" t="s">
        <v>92</v>
      </c>
      <c r="BC928" t="s">
        <v>92</v>
      </c>
      <c r="BD928" s="17">
        <v>6.68</v>
      </c>
      <c r="BE928" s="17">
        <v>3129357</v>
      </c>
      <c r="BF928" s="17">
        <v>1.39</v>
      </c>
      <c r="BG928" s="17">
        <v>651</v>
      </c>
      <c r="BH928" t="s">
        <v>93</v>
      </c>
      <c r="BI928" t="s">
        <v>94</v>
      </c>
      <c r="BJ928" t="s">
        <v>128</v>
      </c>
      <c r="BK928" t="s">
        <v>85</v>
      </c>
      <c r="BL928" t="s">
        <v>85</v>
      </c>
      <c r="BM928" t="s">
        <v>96</v>
      </c>
      <c r="BN928" t="s">
        <v>97</v>
      </c>
      <c r="BO928" t="s">
        <v>216</v>
      </c>
      <c r="BP928" t="s">
        <v>99</v>
      </c>
      <c r="BQ928" s="17">
        <v>1394</v>
      </c>
      <c r="BR928" t="s">
        <v>138</v>
      </c>
      <c r="BS928" t="s">
        <v>285</v>
      </c>
      <c r="BT928" t="s">
        <v>99</v>
      </c>
      <c r="BU928" s="17">
        <v>9</v>
      </c>
      <c r="BV928" t="s">
        <v>191</v>
      </c>
      <c r="BW928" t="s">
        <v>85</v>
      </c>
      <c r="BX928" t="s">
        <v>85</v>
      </c>
      <c r="BY928" t="str">
        <f>IF(COUNTIF('Data Upload-prod'!E:E,F928)=0,"Missing","Exist")</f>
        <v>Exist</v>
      </c>
    </row>
    <row r="929" hidden="1" spans="1:77">
      <c r="A929" t="s">
        <v>84</v>
      </c>
      <c r="B929" s="16">
        <v>42157</v>
      </c>
      <c r="C929" t="s">
        <v>132</v>
      </c>
      <c r="D929" t="s">
        <v>78</v>
      </c>
      <c r="E929" t="s">
        <v>1001</v>
      </c>
      <c r="F929" t="s">
        <v>1546</v>
      </c>
      <c r="G929" t="s">
        <v>81</v>
      </c>
      <c r="H929" t="s">
        <v>837</v>
      </c>
      <c r="I929" t="s">
        <v>83</v>
      </c>
      <c r="J929" s="17">
        <v>68</v>
      </c>
      <c r="K929" s="17">
        <v>3883</v>
      </c>
      <c r="L929" s="17">
        <v>1973</v>
      </c>
      <c r="M929" t="s">
        <v>84</v>
      </c>
      <c r="N929" t="s">
        <v>84</v>
      </c>
      <c r="O929" t="s">
        <v>84</v>
      </c>
      <c r="P929" t="s">
        <v>84</v>
      </c>
      <c r="Q929" s="17">
        <v>43571877</v>
      </c>
      <c r="R929" s="17">
        <v>76.95</v>
      </c>
      <c r="S929" t="s">
        <v>85</v>
      </c>
      <c r="T929" t="s">
        <v>84</v>
      </c>
      <c r="U929" t="s">
        <v>86</v>
      </c>
      <c r="V929" s="16">
        <v>42048</v>
      </c>
      <c r="W929" s="18">
        <v>42023.4166666667</v>
      </c>
      <c r="X929" s="18">
        <v>42126.1666666667</v>
      </c>
      <c r="Y929" s="17">
        <v>3770.82</v>
      </c>
      <c r="Z929" t="s">
        <v>87</v>
      </c>
      <c r="AA929" s="17">
        <v>3873</v>
      </c>
      <c r="AB929" s="17">
        <v>1972.5</v>
      </c>
      <c r="AC929" t="s">
        <v>84</v>
      </c>
      <c r="AD929" t="s">
        <v>84</v>
      </c>
      <c r="AE929" t="s">
        <v>84</v>
      </c>
      <c r="AF929" t="s">
        <v>84</v>
      </c>
      <c r="AG929" s="17">
        <v>30992318.01</v>
      </c>
      <c r="AH929" s="17">
        <v>75.13</v>
      </c>
      <c r="AI929" s="17">
        <v>8.87</v>
      </c>
      <c r="AJ929" s="17">
        <v>8.87</v>
      </c>
      <c r="AK929" t="s">
        <v>89</v>
      </c>
      <c r="AM929" s="17">
        <v>2.4</v>
      </c>
      <c r="AN929" s="17"/>
      <c r="AO929" s="17">
        <v>795</v>
      </c>
      <c r="AP929" s="17"/>
      <c r="AQ929" s="17">
        <v>1400</v>
      </c>
      <c r="AR929" s="17"/>
      <c r="AS929" s="17">
        <v>2.4</v>
      </c>
      <c r="AT929" s="17"/>
      <c r="AU929" s="17">
        <v>1024.93</v>
      </c>
      <c r="AV929" s="17"/>
      <c r="AW929" s="17">
        <v>2646.4</v>
      </c>
      <c r="AX929" s="17"/>
      <c r="AY929" t="s">
        <v>92</v>
      </c>
      <c r="AZ929" t="s">
        <v>92</v>
      </c>
      <c r="BA929" t="s">
        <v>92</v>
      </c>
      <c r="BB929" t="s">
        <v>92</v>
      </c>
      <c r="BC929" t="s">
        <v>92</v>
      </c>
      <c r="BD929" s="17">
        <v>23.75</v>
      </c>
      <c r="BE929" s="17">
        <v>10193698.53</v>
      </c>
      <c r="BF929" t="s">
        <v>92</v>
      </c>
      <c r="BG929" t="s">
        <v>92</v>
      </c>
      <c r="BH929" t="s">
        <v>93</v>
      </c>
      <c r="BI929" t="s">
        <v>94</v>
      </c>
      <c r="BJ929" t="s">
        <v>128</v>
      </c>
      <c r="BK929" t="s">
        <v>85</v>
      </c>
      <c r="BL929" t="s">
        <v>85</v>
      </c>
      <c r="BM929" t="s">
        <v>96</v>
      </c>
      <c r="BN929" t="s">
        <v>253</v>
      </c>
      <c r="BO929" t="s">
        <v>216</v>
      </c>
      <c r="BP929" t="s">
        <v>103</v>
      </c>
      <c r="BQ929" s="17">
        <v>1187.722</v>
      </c>
      <c r="BR929" t="s">
        <v>100</v>
      </c>
      <c r="BS929" t="s">
        <v>285</v>
      </c>
      <c r="BT929" t="s">
        <v>550</v>
      </c>
      <c r="BU929" s="17">
        <v>8.5</v>
      </c>
      <c r="BV929" t="s">
        <v>191</v>
      </c>
      <c r="BW929" t="s">
        <v>85</v>
      </c>
      <c r="BX929" t="s">
        <v>85</v>
      </c>
      <c r="BY929" t="str">
        <f>IF(COUNTIF('Data Upload-prod'!E:E,F929)=0,"Missing","Exist")</f>
        <v>Exist</v>
      </c>
    </row>
    <row r="930" hidden="1" spans="1:77">
      <c r="A930" t="s">
        <v>84</v>
      </c>
      <c r="B930" s="16">
        <v>41834</v>
      </c>
      <c r="C930" t="s">
        <v>132</v>
      </c>
      <c r="D930" t="s">
        <v>78</v>
      </c>
      <c r="E930" t="s">
        <v>1547</v>
      </c>
      <c r="F930" t="s">
        <v>1548</v>
      </c>
      <c r="G930" t="s">
        <v>145</v>
      </c>
      <c r="H930" t="s">
        <v>319</v>
      </c>
      <c r="I930" t="s">
        <v>231</v>
      </c>
      <c r="J930" s="17">
        <v>103</v>
      </c>
      <c r="K930" s="17">
        <v>1229</v>
      </c>
      <c r="L930" s="17">
        <v>1229</v>
      </c>
      <c r="M930" s="17">
        <v>31100000</v>
      </c>
      <c r="N930" s="17">
        <v>43600000</v>
      </c>
      <c r="O930" s="17">
        <v>33.8</v>
      </c>
      <c r="P930" s="17">
        <v>51.7</v>
      </c>
      <c r="Q930" t="s">
        <v>84</v>
      </c>
      <c r="R930" t="s">
        <v>84</v>
      </c>
      <c r="S930" t="s">
        <v>85</v>
      </c>
      <c r="T930" t="s">
        <v>84</v>
      </c>
      <c r="U930" t="s">
        <v>84</v>
      </c>
      <c r="V930" s="16">
        <v>41699.78125</v>
      </c>
      <c r="W930" s="18">
        <v>41698.1979166667</v>
      </c>
      <c r="X930" s="18">
        <v>41727.7916666667</v>
      </c>
      <c r="Y930" s="17">
        <v>1147.63</v>
      </c>
      <c r="Z930" t="s">
        <v>87</v>
      </c>
      <c r="AA930" s="17">
        <v>1279.63</v>
      </c>
      <c r="AB930" s="17">
        <v>1276</v>
      </c>
      <c r="AC930" s="17">
        <v>20512762.48</v>
      </c>
      <c r="AD930" t="s">
        <v>84</v>
      </c>
      <c r="AE930" s="17">
        <v>29.59</v>
      </c>
      <c r="AF930" t="s">
        <v>84</v>
      </c>
      <c r="AG930" t="s">
        <v>84</v>
      </c>
      <c r="AH930" t="s">
        <v>84</v>
      </c>
      <c r="AI930" s="17">
        <v>10.26</v>
      </c>
      <c r="AJ930" s="17">
        <v>10.26</v>
      </c>
      <c r="AK930" t="s">
        <v>323</v>
      </c>
      <c r="AM930" s="17">
        <v>4.4</v>
      </c>
      <c r="AN930" s="17"/>
      <c r="AO930" s="17">
        <v>1980</v>
      </c>
      <c r="AP930" s="17"/>
      <c r="AQ930" s="17">
        <v>2760</v>
      </c>
      <c r="AR930" s="17"/>
      <c r="AS930" s="17">
        <v>4.41</v>
      </c>
      <c r="AT930" s="17"/>
      <c r="AU930" s="17">
        <v>2836</v>
      </c>
      <c r="AV930" s="17"/>
      <c r="AW930" s="17">
        <v>5169</v>
      </c>
      <c r="AX930" s="17"/>
      <c r="AY930" t="s">
        <v>92</v>
      </c>
      <c r="AZ930" t="s">
        <v>92</v>
      </c>
      <c r="BA930" t="s">
        <v>92</v>
      </c>
      <c r="BB930" t="s">
        <v>92</v>
      </c>
      <c r="BC930" t="s">
        <v>92</v>
      </c>
      <c r="BD930" t="s">
        <v>92</v>
      </c>
      <c r="BE930" t="s">
        <v>92</v>
      </c>
      <c r="BF930" t="s">
        <v>92</v>
      </c>
      <c r="BG930" t="s">
        <v>92</v>
      </c>
      <c r="BH930" t="s">
        <v>92</v>
      </c>
      <c r="BI930" t="s">
        <v>92</v>
      </c>
      <c r="BJ930" t="s">
        <v>92</v>
      </c>
      <c r="BK930" t="s">
        <v>92</v>
      </c>
      <c r="BL930" t="s">
        <v>92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92</v>
      </c>
      <c r="BS930" t="s">
        <v>92</v>
      </c>
      <c r="BT930" t="s">
        <v>92</v>
      </c>
      <c r="BU930" t="s">
        <v>92</v>
      </c>
      <c r="BV930" t="s">
        <v>92</v>
      </c>
      <c r="BW930" t="s">
        <v>92</v>
      </c>
      <c r="BX930" t="s">
        <v>92</v>
      </c>
      <c r="BY930" t="str">
        <f>IF(COUNTIF('Data Upload-prod'!E:E,F930)=0,"Missing","Exist")</f>
        <v>Exist</v>
      </c>
    </row>
    <row r="931" hidden="1" spans="1:77">
      <c r="A931" t="s">
        <v>84</v>
      </c>
      <c r="B931" s="16">
        <v>42809</v>
      </c>
      <c r="C931" t="s">
        <v>132</v>
      </c>
      <c r="D931" t="s">
        <v>120</v>
      </c>
      <c r="E931" t="s">
        <v>700</v>
      </c>
      <c r="F931" t="s">
        <v>1549</v>
      </c>
      <c r="G931" t="s">
        <v>81</v>
      </c>
      <c r="H931" t="s">
        <v>198</v>
      </c>
      <c r="I931" t="s">
        <v>83</v>
      </c>
      <c r="J931" s="17">
        <v>77.72</v>
      </c>
      <c r="K931" s="17">
        <v>2085.64</v>
      </c>
      <c r="L931" s="17">
        <v>1800.06</v>
      </c>
      <c r="M931" t="s">
        <v>84</v>
      </c>
      <c r="N931" t="s">
        <v>84</v>
      </c>
      <c r="O931" t="s">
        <v>84</v>
      </c>
      <c r="P931" t="s">
        <v>84</v>
      </c>
      <c r="Q931" s="17">
        <v>15645510.13</v>
      </c>
      <c r="R931" s="17">
        <v>41.9</v>
      </c>
      <c r="S931" t="s">
        <v>85</v>
      </c>
      <c r="T931" t="s">
        <v>84</v>
      </c>
      <c r="U931" t="s">
        <v>86</v>
      </c>
      <c r="V931" s="16">
        <v>42625</v>
      </c>
      <c r="W931" s="18">
        <v>42625.5833333333</v>
      </c>
      <c r="X931" s="18">
        <v>42762</v>
      </c>
      <c r="Y931" s="17">
        <v>2023.9</v>
      </c>
      <c r="Z931" t="s">
        <v>87</v>
      </c>
      <c r="AA931" s="17">
        <v>2131.36</v>
      </c>
      <c r="AB931" s="17">
        <v>1785.89</v>
      </c>
      <c r="AC931" t="s">
        <v>84</v>
      </c>
      <c r="AD931" t="s">
        <v>84</v>
      </c>
      <c r="AE931" t="s">
        <v>84</v>
      </c>
      <c r="AF931" t="s">
        <v>84</v>
      </c>
      <c r="AG931" s="17">
        <v>12730555.66</v>
      </c>
      <c r="AH931" s="17">
        <v>39.92</v>
      </c>
      <c r="AI931" s="17">
        <v>12.8</v>
      </c>
      <c r="AJ931" s="17">
        <v>12.7</v>
      </c>
      <c r="AK931" t="s">
        <v>208</v>
      </c>
      <c r="AM931" s="17">
        <v>2.2</v>
      </c>
      <c r="AN931" s="17"/>
      <c r="AO931" s="17">
        <v>830</v>
      </c>
      <c r="AP931" s="17"/>
      <c r="AQ931" s="17">
        <v>1790</v>
      </c>
      <c r="AR931" s="17"/>
      <c r="AS931" s="17">
        <v>1.9</v>
      </c>
      <c r="AT931" s="17"/>
      <c r="AU931" s="17">
        <v>799.7</v>
      </c>
      <c r="AV931" s="17"/>
      <c r="AW931" s="17">
        <v>1453.7</v>
      </c>
      <c r="AX931" s="17"/>
      <c r="AY931" t="s">
        <v>92</v>
      </c>
      <c r="AZ931" t="s">
        <v>92</v>
      </c>
      <c r="BA931" t="s">
        <v>92</v>
      </c>
      <c r="BB931" t="s">
        <v>92</v>
      </c>
      <c r="BC931" t="s">
        <v>92</v>
      </c>
      <c r="BD931" s="17">
        <v>14.06</v>
      </c>
      <c r="BE931" s="17">
        <v>4612698.28</v>
      </c>
      <c r="BF931" t="s">
        <v>92</v>
      </c>
      <c r="BG931" t="s">
        <v>92</v>
      </c>
      <c r="BH931" t="s">
        <v>93</v>
      </c>
      <c r="BI931" t="s">
        <v>94</v>
      </c>
      <c r="BJ931" t="s">
        <v>215</v>
      </c>
      <c r="BK931" t="s">
        <v>85</v>
      </c>
      <c r="BL931" t="s">
        <v>85</v>
      </c>
      <c r="BM931" t="s">
        <v>96</v>
      </c>
      <c r="BN931" t="s">
        <v>97</v>
      </c>
      <c r="BO931" t="s">
        <v>98</v>
      </c>
      <c r="BP931" t="s">
        <v>103</v>
      </c>
      <c r="BQ931" s="17">
        <v>21</v>
      </c>
      <c r="BR931" t="s">
        <v>138</v>
      </c>
      <c r="BS931" t="s">
        <v>92</v>
      </c>
      <c r="BT931" t="s">
        <v>550</v>
      </c>
      <c r="BU931" s="17">
        <v>8.5</v>
      </c>
      <c r="BV931" t="s">
        <v>131</v>
      </c>
      <c r="BW931" t="s">
        <v>85</v>
      </c>
      <c r="BX931" t="s">
        <v>85</v>
      </c>
      <c r="BY931" t="str">
        <f>IF(COUNTIF('Data Upload-prod'!E:E,F931)=0,"Missing","Exist")</f>
        <v>Exist</v>
      </c>
    </row>
    <row r="932" hidden="1" spans="1:77">
      <c r="A932" t="s">
        <v>84</v>
      </c>
      <c r="B932" s="16">
        <v>42019</v>
      </c>
      <c r="C932" t="s">
        <v>360</v>
      </c>
      <c r="D932" t="s">
        <v>120</v>
      </c>
      <c r="E932" t="s">
        <v>715</v>
      </c>
      <c r="F932" t="s">
        <v>1550</v>
      </c>
      <c r="G932" t="s">
        <v>81</v>
      </c>
      <c r="H932" t="s">
        <v>185</v>
      </c>
      <c r="I932" t="s">
        <v>124</v>
      </c>
      <c r="J932" s="17">
        <v>35</v>
      </c>
      <c r="K932" s="17">
        <v>2114.84</v>
      </c>
      <c r="L932" s="17">
        <v>1549.37</v>
      </c>
      <c r="M932" t="s">
        <v>84</v>
      </c>
      <c r="N932" t="s">
        <v>84</v>
      </c>
      <c r="O932" t="s">
        <v>84</v>
      </c>
      <c r="P932" t="s">
        <v>84</v>
      </c>
      <c r="Q932" s="17">
        <v>7194032.1</v>
      </c>
      <c r="R932" s="17">
        <v>8.54</v>
      </c>
      <c r="S932" t="s">
        <v>85</v>
      </c>
      <c r="T932" t="s">
        <v>84</v>
      </c>
      <c r="U932" t="s">
        <v>84</v>
      </c>
      <c r="V932" s="16">
        <v>41903</v>
      </c>
      <c r="W932" s="18">
        <v>41901.875</v>
      </c>
      <c r="X932" s="18">
        <v>41974.375</v>
      </c>
      <c r="Y932" s="17">
        <v>1937.16</v>
      </c>
      <c r="Z932" t="s">
        <v>87</v>
      </c>
      <c r="AA932" s="17">
        <v>2015</v>
      </c>
      <c r="AB932" s="17">
        <v>1498</v>
      </c>
      <c r="AC932" t="s">
        <v>84</v>
      </c>
      <c r="AD932" t="s">
        <v>84</v>
      </c>
      <c r="AE932" t="s">
        <v>84</v>
      </c>
      <c r="AF932" t="s">
        <v>84</v>
      </c>
      <c r="AG932" s="17">
        <v>5617497</v>
      </c>
      <c r="AH932" s="17">
        <v>8.94</v>
      </c>
      <c r="AI932" s="17">
        <v>0</v>
      </c>
      <c r="AJ932" s="17">
        <v>0</v>
      </c>
      <c r="AK932" t="s">
        <v>497</v>
      </c>
      <c r="AM932" s="17">
        <v>1.4</v>
      </c>
      <c r="AN932" s="17"/>
      <c r="AO932" s="17">
        <v>550</v>
      </c>
      <c r="AP932" s="17"/>
      <c r="AQ932" s="17">
        <v>870</v>
      </c>
      <c r="AR932" s="17"/>
      <c r="AS932" s="17">
        <v>1.15</v>
      </c>
      <c r="AT932" s="17"/>
      <c r="AU932" s="17">
        <v>730</v>
      </c>
      <c r="AV932" s="17"/>
      <c r="AW932" s="17">
        <v>864</v>
      </c>
      <c r="AX932" s="17"/>
      <c r="AY932" t="s">
        <v>92</v>
      </c>
      <c r="AZ932" t="s">
        <v>92</v>
      </c>
      <c r="BA932" t="s">
        <v>92</v>
      </c>
      <c r="BB932" t="s">
        <v>92</v>
      </c>
      <c r="BC932" t="s">
        <v>92</v>
      </c>
      <c r="BD932" t="s">
        <v>92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92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92</v>
      </c>
      <c r="BS932" t="s">
        <v>92</v>
      </c>
      <c r="BT932" t="s">
        <v>92</v>
      </c>
      <c r="BU932" t="s">
        <v>92</v>
      </c>
      <c r="BV932" t="s">
        <v>92</v>
      </c>
      <c r="BW932" t="s">
        <v>92</v>
      </c>
      <c r="BX932" t="s">
        <v>92</v>
      </c>
      <c r="BY932" t="str">
        <f>IF(COUNTIF('Data Upload-prod'!E:E,F932)=0,"Missing","Exist")</f>
        <v>Exist</v>
      </c>
    </row>
    <row r="933" hidden="1" spans="1:77">
      <c r="A933" t="s">
        <v>84</v>
      </c>
      <c r="B933" s="16">
        <v>41059</v>
      </c>
      <c r="C933" t="s">
        <v>132</v>
      </c>
      <c r="D933" t="s">
        <v>78</v>
      </c>
      <c r="E933" t="s">
        <v>1493</v>
      </c>
      <c r="F933" t="s">
        <v>1551</v>
      </c>
      <c r="G933" t="s">
        <v>81</v>
      </c>
      <c r="H933" t="s">
        <v>1495</v>
      </c>
      <c r="I933" t="s">
        <v>83</v>
      </c>
      <c r="J933" s="17">
        <v>73.4</v>
      </c>
      <c r="K933" s="17">
        <v>1661</v>
      </c>
      <c r="L933" s="17">
        <v>1430</v>
      </c>
      <c r="M933" t="s">
        <v>84</v>
      </c>
      <c r="N933" t="s">
        <v>84</v>
      </c>
      <c r="O933" t="s">
        <v>84</v>
      </c>
      <c r="P933" t="s">
        <v>84</v>
      </c>
      <c r="Q933" s="17">
        <v>9547010</v>
      </c>
      <c r="R933" s="17">
        <v>25.9</v>
      </c>
      <c r="S933" t="s">
        <v>85</v>
      </c>
      <c r="T933" t="s">
        <v>84</v>
      </c>
      <c r="U933" t="s">
        <v>86</v>
      </c>
      <c r="V933" s="16">
        <v>40933</v>
      </c>
      <c r="W933" s="18">
        <v>40931.5625</v>
      </c>
      <c r="X933" s="18">
        <v>41019.2083333333</v>
      </c>
      <c r="Y933" s="17">
        <v>1549.84</v>
      </c>
      <c r="Z933" t="s">
        <v>87</v>
      </c>
      <c r="AA933" s="17">
        <v>1657</v>
      </c>
      <c r="AB933" s="17">
        <v>1429.86</v>
      </c>
      <c r="AC933" t="s">
        <v>84</v>
      </c>
      <c r="AD933" t="s">
        <v>84</v>
      </c>
      <c r="AE933" t="s">
        <v>84</v>
      </c>
      <c r="AF933" t="s">
        <v>84</v>
      </c>
      <c r="AG933" s="17">
        <v>6028129</v>
      </c>
      <c r="AH933" s="17">
        <v>20.14</v>
      </c>
      <c r="AI933" s="17">
        <v>4.46</v>
      </c>
      <c r="AJ933" s="17">
        <v>4.46</v>
      </c>
      <c r="AK933" t="s">
        <v>208</v>
      </c>
      <c r="AM933" s="17">
        <v>2.1</v>
      </c>
      <c r="AN933" s="17"/>
      <c r="AO933" s="17">
        <v>700</v>
      </c>
      <c r="AP933" s="17"/>
      <c r="AQ933" s="17">
        <v>1220</v>
      </c>
      <c r="AR933" s="17"/>
      <c r="AS933" s="17">
        <v>1.86</v>
      </c>
      <c r="AT933" s="17"/>
      <c r="AU933" s="17">
        <v>599</v>
      </c>
      <c r="AV933" s="17"/>
      <c r="AW933" s="17">
        <v>1109</v>
      </c>
      <c r="AX933" s="17"/>
      <c r="AY933" t="s">
        <v>92</v>
      </c>
      <c r="AZ933" t="s">
        <v>92</v>
      </c>
      <c r="BA933" t="s">
        <v>92</v>
      </c>
      <c r="BB933" t="s">
        <v>92</v>
      </c>
      <c r="BC933" t="s">
        <v>92</v>
      </c>
      <c r="BD933" s="17">
        <v>8.71</v>
      </c>
      <c r="BE933" s="17">
        <v>2480708.59</v>
      </c>
      <c r="BF933" t="s">
        <v>92</v>
      </c>
      <c r="BG933" t="s">
        <v>92</v>
      </c>
      <c r="BH933" t="s">
        <v>93</v>
      </c>
      <c r="BI933" t="s">
        <v>94</v>
      </c>
      <c r="BJ933" t="s">
        <v>173</v>
      </c>
      <c r="BK933" t="s">
        <v>85</v>
      </c>
      <c r="BL933" t="s">
        <v>85</v>
      </c>
      <c r="BM933" t="s">
        <v>96</v>
      </c>
      <c r="BN933" t="s">
        <v>569</v>
      </c>
      <c r="BO933" t="s">
        <v>216</v>
      </c>
      <c r="BP933" t="s">
        <v>103</v>
      </c>
      <c r="BQ933" s="17">
        <v>217.5303</v>
      </c>
      <c r="BR933" t="s">
        <v>100</v>
      </c>
      <c r="BS933" t="s">
        <v>156</v>
      </c>
      <c r="BT933" t="s">
        <v>550</v>
      </c>
      <c r="BU933" s="17">
        <v>10.2</v>
      </c>
      <c r="BV933" t="s">
        <v>340</v>
      </c>
      <c r="BW933" t="s">
        <v>85</v>
      </c>
      <c r="BX933" t="s">
        <v>85</v>
      </c>
      <c r="BY933" t="str">
        <f>IF(COUNTIF('Data Upload-prod'!E:E,F933)=0,"Missing","Exist")</f>
        <v>Exist</v>
      </c>
    </row>
    <row r="934" hidden="1" spans="1:77">
      <c r="A934" t="s">
        <v>84</v>
      </c>
      <c r="B934" s="16">
        <v>40991</v>
      </c>
      <c r="C934" t="s">
        <v>132</v>
      </c>
      <c r="D934" t="s">
        <v>78</v>
      </c>
      <c r="E934" t="s">
        <v>842</v>
      </c>
      <c r="F934" t="s">
        <v>1552</v>
      </c>
      <c r="G934" t="s">
        <v>81</v>
      </c>
      <c r="H934" t="s">
        <v>172</v>
      </c>
      <c r="I934" t="s">
        <v>124</v>
      </c>
      <c r="J934" s="17">
        <v>63</v>
      </c>
      <c r="K934" s="17">
        <v>2510</v>
      </c>
      <c r="L934" s="17">
        <v>1658</v>
      </c>
      <c r="M934" t="s">
        <v>84</v>
      </c>
      <c r="N934" t="s">
        <v>84</v>
      </c>
      <c r="O934" t="s">
        <v>84</v>
      </c>
      <c r="P934" t="s">
        <v>84</v>
      </c>
      <c r="Q934" s="17">
        <v>14474000</v>
      </c>
      <c r="R934" s="17">
        <v>28.56</v>
      </c>
      <c r="S934" t="s">
        <v>85</v>
      </c>
      <c r="T934" t="s">
        <v>84</v>
      </c>
      <c r="U934" t="s">
        <v>84</v>
      </c>
      <c r="V934" s="16">
        <v>40884.25</v>
      </c>
      <c r="W934" s="18">
        <v>40884.25</v>
      </c>
      <c r="X934" s="18">
        <v>40949.7916666667</v>
      </c>
      <c r="Y934" s="17">
        <v>2275.39</v>
      </c>
      <c r="Z934" t="s">
        <v>87</v>
      </c>
      <c r="AA934" s="17">
        <v>2360</v>
      </c>
      <c r="AB934" s="17">
        <v>1721.45</v>
      </c>
      <c r="AC934" t="s">
        <v>84</v>
      </c>
      <c r="AD934" t="s">
        <v>84</v>
      </c>
      <c r="AE934" t="s">
        <v>84</v>
      </c>
      <c r="AF934" t="s">
        <v>84</v>
      </c>
      <c r="AG934" s="17">
        <v>17554160</v>
      </c>
      <c r="AH934" s="17">
        <v>47.27</v>
      </c>
      <c r="AI934" s="17">
        <v>11.23</v>
      </c>
      <c r="AJ934" s="17">
        <v>4.98</v>
      </c>
      <c r="AK934" t="s">
        <v>165</v>
      </c>
      <c r="AM934" s="17">
        <v>3.2</v>
      </c>
      <c r="AN934" s="17"/>
      <c r="AO934" s="17">
        <v>1300</v>
      </c>
      <c r="AP934" s="17"/>
      <c r="AQ934" s="17">
        <v>1830</v>
      </c>
      <c r="AR934" s="17"/>
      <c r="AS934" s="17">
        <v>1.72</v>
      </c>
      <c r="AT934" s="17"/>
      <c r="AU934" s="17">
        <v>1011</v>
      </c>
      <c r="AV934" s="17"/>
      <c r="AW934" s="17">
        <v>1832</v>
      </c>
      <c r="AX934" s="17"/>
      <c r="AY934" t="s">
        <v>92</v>
      </c>
      <c r="AZ934" t="s">
        <v>92</v>
      </c>
      <c r="BA934" t="s">
        <v>92</v>
      </c>
      <c r="BB934" t="s">
        <v>92</v>
      </c>
      <c r="BC934" t="s">
        <v>92</v>
      </c>
      <c r="BD934" t="s">
        <v>92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92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92</v>
      </c>
      <c r="BS934" t="s">
        <v>92</v>
      </c>
      <c r="BT934" t="s">
        <v>92</v>
      </c>
      <c r="BU934" t="s">
        <v>92</v>
      </c>
      <c r="BV934" t="s">
        <v>92</v>
      </c>
      <c r="BW934" t="s">
        <v>92</v>
      </c>
      <c r="BX934" t="s">
        <v>92</v>
      </c>
      <c r="BY934" t="str">
        <f>IF(COUNTIF('Data Upload-prod'!E:E,F934)=0,"Missing","Exist")</f>
        <v>Exist</v>
      </c>
    </row>
    <row r="935" hidden="1" spans="1:77">
      <c r="A935" t="s">
        <v>84</v>
      </c>
      <c r="B935" s="16">
        <v>42293</v>
      </c>
      <c r="C935" t="s">
        <v>233</v>
      </c>
      <c r="D935" t="s">
        <v>78</v>
      </c>
      <c r="E935" t="s">
        <v>239</v>
      </c>
      <c r="F935" t="s">
        <v>1553</v>
      </c>
      <c r="G935" t="s">
        <v>81</v>
      </c>
      <c r="H935" t="s">
        <v>1216</v>
      </c>
      <c r="I935" t="s">
        <v>124</v>
      </c>
      <c r="J935" s="17">
        <v>74.7</v>
      </c>
      <c r="K935" s="17">
        <v>2640</v>
      </c>
      <c r="L935" s="17">
        <v>1656</v>
      </c>
      <c r="M935" t="s">
        <v>84</v>
      </c>
      <c r="N935" t="s">
        <v>84</v>
      </c>
      <c r="O935" t="s">
        <v>84</v>
      </c>
      <c r="P935" t="s">
        <v>84</v>
      </c>
      <c r="Q935" s="17">
        <v>21000000</v>
      </c>
      <c r="R935" s="17">
        <v>35.9</v>
      </c>
      <c r="S935" t="s">
        <v>106</v>
      </c>
      <c r="T935" t="s">
        <v>84</v>
      </c>
      <c r="U935" t="s">
        <v>86</v>
      </c>
      <c r="V935" s="16">
        <v>41865</v>
      </c>
      <c r="W935" s="18">
        <v>41859</v>
      </c>
      <c r="X935" s="18">
        <v>42239.3125</v>
      </c>
      <c r="Y935" s="17">
        <v>2156.26</v>
      </c>
      <c r="Z935" t="s">
        <v>87</v>
      </c>
      <c r="AA935" s="17">
        <v>2275</v>
      </c>
      <c r="AB935" s="17">
        <v>1657.2</v>
      </c>
      <c r="AC935" t="s">
        <v>84</v>
      </c>
      <c r="AD935" t="s">
        <v>84</v>
      </c>
      <c r="AE935" t="s">
        <v>84</v>
      </c>
      <c r="AF935" t="s">
        <v>84</v>
      </c>
      <c r="AG935" s="17">
        <v>18000000</v>
      </c>
      <c r="AH935" s="17">
        <v>28.4</v>
      </c>
      <c r="AI935" s="17">
        <v>3.6</v>
      </c>
      <c r="AJ935" s="17">
        <v>3.6</v>
      </c>
      <c r="AK935" t="s">
        <v>165</v>
      </c>
      <c r="AM935" s="17">
        <v>3.2</v>
      </c>
      <c r="AN935" s="17"/>
      <c r="AO935" s="17">
        <v>1300</v>
      </c>
      <c r="AP935" s="17"/>
      <c r="AQ935" s="17">
        <v>2230</v>
      </c>
      <c r="AR935" s="17"/>
      <c r="AS935" s="17">
        <v>2.81</v>
      </c>
      <c r="AT935" s="17"/>
      <c r="AU935" s="17">
        <v>1678.83</v>
      </c>
      <c r="AV935" s="17"/>
      <c r="AW935" s="17">
        <v>2405.34</v>
      </c>
      <c r="AX935" s="17"/>
      <c r="AY935" t="s">
        <v>92</v>
      </c>
      <c r="AZ935" t="s">
        <v>92</v>
      </c>
      <c r="BA935" t="s">
        <v>92</v>
      </c>
      <c r="BB935" t="s">
        <v>92</v>
      </c>
      <c r="BC935" t="s">
        <v>92</v>
      </c>
      <c r="BD935" s="17">
        <v>4.9</v>
      </c>
      <c r="BE935" s="17">
        <v>4200000</v>
      </c>
      <c r="BF935" t="s">
        <v>92</v>
      </c>
      <c r="BG935" t="s">
        <v>92</v>
      </c>
      <c r="BH935" t="s">
        <v>93</v>
      </c>
      <c r="BI935" t="s">
        <v>94</v>
      </c>
      <c r="BJ935" t="s">
        <v>128</v>
      </c>
      <c r="BK935" t="s">
        <v>85</v>
      </c>
      <c r="BL935" t="s">
        <v>129</v>
      </c>
      <c r="BM935" t="s">
        <v>96</v>
      </c>
      <c r="BN935" t="s">
        <v>97</v>
      </c>
      <c r="BO935" t="s">
        <v>98</v>
      </c>
      <c r="BP935" t="s">
        <v>103</v>
      </c>
      <c r="BQ935" s="17">
        <v>426.53</v>
      </c>
      <c r="BR935" t="s">
        <v>138</v>
      </c>
      <c r="BS935" t="s">
        <v>130</v>
      </c>
      <c r="BT935" t="s">
        <v>103</v>
      </c>
      <c r="BU935" s="17">
        <v>11.5</v>
      </c>
      <c r="BV935" t="s">
        <v>101</v>
      </c>
      <c r="BW935" t="s">
        <v>129</v>
      </c>
      <c r="BX935" t="s">
        <v>85</v>
      </c>
      <c r="BY935" t="str">
        <f>IF(COUNTIF('Data Upload-prod'!E:E,F935)=0,"Missing","Exist")</f>
        <v>Exist</v>
      </c>
    </row>
    <row r="936" hidden="1" spans="1:77">
      <c r="A936" t="s">
        <v>84</v>
      </c>
      <c r="B936" s="16">
        <v>41243</v>
      </c>
      <c r="C936" t="s">
        <v>132</v>
      </c>
      <c r="D936" t="s">
        <v>78</v>
      </c>
      <c r="E936" t="s">
        <v>628</v>
      </c>
      <c r="F936" t="s">
        <v>1554</v>
      </c>
      <c r="G936" t="s">
        <v>81</v>
      </c>
      <c r="H936" t="s">
        <v>1449</v>
      </c>
      <c r="I936" t="s">
        <v>83</v>
      </c>
      <c r="J936" s="17">
        <v>76.7</v>
      </c>
      <c r="K936" s="17">
        <v>2514</v>
      </c>
      <c r="L936" s="17">
        <v>1399</v>
      </c>
      <c r="M936" t="s">
        <v>84</v>
      </c>
      <c r="N936" t="s">
        <v>84</v>
      </c>
      <c r="O936" t="s">
        <v>84</v>
      </c>
      <c r="P936" t="s">
        <v>84</v>
      </c>
      <c r="Q936" s="17">
        <v>10199329</v>
      </c>
      <c r="R936" s="17">
        <v>20.05</v>
      </c>
      <c r="S936" t="s">
        <v>85</v>
      </c>
      <c r="T936" t="s">
        <v>84</v>
      </c>
      <c r="U936" t="s">
        <v>86</v>
      </c>
      <c r="V936" s="16">
        <v>41192</v>
      </c>
      <c r="W936" s="18">
        <v>41192</v>
      </c>
      <c r="X936" s="18">
        <v>41207</v>
      </c>
      <c r="Y936" s="17">
        <v>2399.99</v>
      </c>
      <c r="Z936" t="s">
        <v>87</v>
      </c>
      <c r="AA936" s="17">
        <v>2511</v>
      </c>
      <c r="AB936" s="17">
        <v>1403.87</v>
      </c>
      <c r="AC936" t="s">
        <v>84</v>
      </c>
      <c r="AD936" t="s">
        <v>84</v>
      </c>
      <c r="AE936" t="s">
        <v>84</v>
      </c>
      <c r="AF936" t="s">
        <v>84</v>
      </c>
      <c r="AG936" s="17">
        <v>6916368.27</v>
      </c>
      <c r="AH936" s="17">
        <v>15.67</v>
      </c>
      <c r="AI936" s="17">
        <v>5.32</v>
      </c>
      <c r="AJ936" s="17">
        <v>5.32</v>
      </c>
      <c r="AK936" t="s">
        <v>208</v>
      </c>
      <c r="AM936" s="17">
        <v>2.1</v>
      </c>
      <c r="AN936" s="17"/>
      <c r="AO936" s="17">
        <v>700</v>
      </c>
      <c r="AP936" s="17"/>
      <c r="AQ936" s="17">
        <v>1220</v>
      </c>
      <c r="AR936" s="17"/>
      <c r="AS936" s="17">
        <v>1.16</v>
      </c>
      <c r="AT936" s="17"/>
      <c r="AU936" s="17">
        <v>520</v>
      </c>
      <c r="AV936" s="17"/>
      <c r="AW936" s="17">
        <v>890</v>
      </c>
      <c r="AX936" s="17"/>
      <c r="AY936" t="s">
        <v>92</v>
      </c>
      <c r="AZ936" t="s">
        <v>92</v>
      </c>
      <c r="BA936" t="s">
        <v>92</v>
      </c>
      <c r="BB936" t="s">
        <v>92</v>
      </c>
      <c r="BC936" t="s">
        <v>92</v>
      </c>
      <c r="BD936" s="17">
        <v>5.94</v>
      </c>
      <c r="BE936" s="17">
        <v>1849741.53</v>
      </c>
      <c r="BF936" t="s">
        <v>92</v>
      </c>
      <c r="BG936" t="s">
        <v>92</v>
      </c>
      <c r="BH936" t="s">
        <v>93</v>
      </c>
      <c r="BI936" t="s">
        <v>94</v>
      </c>
      <c r="BJ936" t="s">
        <v>173</v>
      </c>
      <c r="BK936" t="s">
        <v>85</v>
      </c>
      <c r="BL936" t="s">
        <v>85</v>
      </c>
      <c r="BM936" t="s">
        <v>273</v>
      </c>
      <c r="BN936" t="s">
        <v>490</v>
      </c>
      <c r="BO936" t="s">
        <v>98</v>
      </c>
      <c r="BP936" t="s">
        <v>254</v>
      </c>
      <c r="BQ936" s="17">
        <v>256</v>
      </c>
      <c r="BR936" t="s">
        <v>100</v>
      </c>
      <c r="BS936" t="s">
        <v>156</v>
      </c>
      <c r="BT936" t="s">
        <v>255</v>
      </c>
      <c r="BU936" s="17">
        <v>8.5</v>
      </c>
      <c r="BV936" t="s">
        <v>110</v>
      </c>
      <c r="BW936" t="s">
        <v>85</v>
      </c>
      <c r="BX936" t="s">
        <v>85</v>
      </c>
      <c r="BY936" t="str">
        <f>IF(COUNTIF('Data Upload-prod'!E:E,F936)=0,"Missing","Exist")</f>
        <v>Exist</v>
      </c>
    </row>
    <row r="937" hidden="1" spans="1:77">
      <c r="A937" t="s">
        <v>84</v>
      </c>
      <c r="B937" s="16">
        <v>44055</v>
      </c>
      <c r="C937" t="s">
        <v>360</v>
      </c>
      <c r="D937" t="s">
        <v>142</v>
      </c>
      <c r="E937" t="s">
        <v>486</v>
      </c>
      <c r="F937" t="s">
        <v>1555</v>
      </c>
      <c r="G937" t="s">
        <v>81</v>
      </c>
      <c r="H937" t="s">
        <v>825</v>
      </c>
      <c r="I937" t="s">
        <v>147</v>
      </c>
      <c r="J937" s="17">
        <v>1189</v>
      </c>
      <c r="K937" s="17">
        <v>2120</v>
      </c>
      <c r="L937" s="17">
        <v>2100</v>
      </c>
      <c r="M937" t="s">
        <v>84</v>
      </c>
      <c r="N937" t="s">
        <v>84</v>
      </c>
      <c r="O937" t="s">
        <v>84</v>
      </c>
      <c r="P937" t="s">
        <v>84</v>
      </c>
      <c r="Q937" s="17">
        <v>22889618</v>
      </c>
      <c r="R937" s="17">
        <v>17.4</v>
      </c>
      <c r="S937" t="s">
        <v>85</v>
      </c>
      <c r="T937" t="s">
        <v>84</v>
      </c>
      <c r="U937" t="s">
        <v>320</v>
      </c>
      <c r="V937" s="16">
        <v>43946.1875</v>
      </c>
      <c r="W937" s="18">
        <v>43946</v>
      </c>
      <c r="X937" s="18">
        <v>44016</v>
      </c>
      <c r="Y937" s="17">
        <v>796</v>
      </c>
      <c r="Z937" t="s">
        <v>148</v>
      </c>
      <c r="AA937" s="17">
        <v>2009</v>
      </c>
      <c r="AB937" s="17">
        <v>2009</v>
      </c>
      <c r="AC937" t="s">
        <v>84</v>
      </c>
      <c r="AD937" t="s">
        <v>84</v>
      </c>
      <c r="AE937" t="s">
        <v>84</v>
      </c>
      <c r="AF937" t="s">
        <v>84</v>
      </c>
      <c r="AG937" s="17">
        <v>23066336</v>
      </c>
      <c r="AH937" s="17">
        <v>24.2</v>
      </c>
      <c r="AI937" s="17">
        <v>3.87</v>
      </c>
      <c r="AJ937" s="17">
        <v>3.87</v>
      </c>
      <c r="AK937" t="s">
        <v>591</v>
      </c>
      <c r="AM937" s="17">
        <v>4</v>
      </c>
      <c r="AN937" s="17"/>
      <c r="AO937" s="17">
        <v>3640</v>
      </c>
      <c r="AP937" s="17"/>
      <c r="AQ937" s="17">
        <v>8010</v>
      </c>
      <c r="AR937" s="17"/>
      <c r="AS937" s="17">
        <v>2.6</v>
      </c>
      <c r="AT937" s="17"/>
      <c r="AU937" s="17">
        <v>1854</v>
      </c>
      <c r="AV937" s="17"/>
      <c r="AW937" s="17">
        <v>5743</v>
      </c>
      <c r="AX937" s="17"/>
      <c r="AY937" t="s">
        <v>92</v>
      </c>
      <c r="AZ937" t="s">
        <v>92</v>
      </c>
      <c r="BA937" t="s">
        <v>92</v>
      </c>
      <c r="BB937" t="s">
        <v>92</v>
      </c>
      <c r="BC937" t="s">
        <v>92</v>
      </c>
      <c r="BD937" s="17">
        <v>15.46</v>
      </c>
      <c r="BE937" s="17">
        <v>14735766.72</v>
      </c>
      <c r="BF937" t="s">
        <v>92</v>
      </c>
      <c r="BG937" t="s">
        <v>92</v>
      </c>
      <c r="BH937" t="s">
        <v>93</v>
      </c>
      <c r="BI937" t="s">
        <v>94</v>
      </c>
      <c r="BJ937" t="s">
        <v>367</v>
      </c>
      <c r="BK937" t="s">
        <v>85</v>
      </c>
      <c r="BL937" t="s">
        <v>85</v>
      </c>
      <c r="BM937" t="s">
        <v>159</v>
      </c>
      <c r="BN937" t="s">
        <v>97</v>
      </c>
      <c r="BO937" t="s">
        <v>98</v>
      </c>
      <c r="BP937" t="s">
        <v>99</v>
      </c>
      <c r="BQ937" s="17">
        <v>127.959</v>
      </c>
      <c r="BR937" t="s">
        <v>138</v>
      </c>
      <c r="BS937" t="s">
        <v>92</v>
      </c>
      <c r="BT937" t="s">
        <v>99</v>
      </c>
      <c r="BU937" s="17">
        <v>10.4</v>
      </c>
      <c r="BV937" t="s">
        <v>340</v>
      </c>
      <c r="BW937" t="s">
        <v>266</v>
      </c>
      <c r="BX937" t="s">
        <v>85</v>
      </c>
      <c r="BY937" t="str">
        <f>IF(COUNTIF('Data Upload-prod'!E:E,F937)=0,"Missing","Exist")</f>
        <v>Exist</v>
      </c>
    </row>
    <row r="938" hidden="1" spans="1:77">
      <c r="A938" t="s">
        <v>84</v>
      </c>
      <c r="B938" s="16">
        <v>44568</v>
      </c>
      <c r="C938" t="s">
        <v>360</v>
      </c>
      <c r="D938" t="s">
        <v>120</v>
      </c>
      <c r="E938" t="s">
        <v>715</v>
      </c>
      <c r="F938" t="s">
        <v>1556</v>
      </c>
      <c r="G938" t="s">
        <v>81</v>
      </c>
      <c r="H938" t="s">
        <v>289</v>
      </c>
      <c r="I938" t="s">
        <v>124</v>
      </c>
      <c r="J938" s="17">
        <v>40.85</v>
      </c>
      <c r="K938" s="17">
        <v>1906.9</v>
      </c>
      <c r="L938" s="17">
        <v>1429.13</v>
      </c>
      <c r="M938" t="s">
        <v>84</v>
      </c>
      <c r="N938" t="s">
        <v>84</v>
      </c>
      <c r="O938" t="s">
        <v>84</v>
      </c>
      <c r="P938" t="s">
        <v>84</v>
      </c>
      <c r="Q938" s="17">
        <v>5463297.17</v>
      </c>
      <c r="R938" s="17">
        <v>11.17</v>
      </c>
      <c r="S938" t="s">
        <v>85</v>
      </c>
      <c r="T938" t="s">
        <v>84</v>
      </c>
      <c r="U938" t="s">
        <v>86</v>
      </c>
      <c r="V938" s="16">
        <v>44388.65625</v>
      </c>
      <c r="W938" s="18">
        <v>44362.3229166667</v>
      </c>
      <c r="X938" s="18">
        <v>44503.75</v>
      </c>
      <c r="Y938" s="17">
        <v>1790.15</v>
      </c>
      <c r="Z938" t="s">
        <v>87</v>
      </c>
      <c r="AA938" s="17">
        <v>1877</v>
      </c>
      <c r="AB938" s="17">
        <v>1416.86</v>
      </c>
      <c r="AC938" t="s">
        <v>84</v>
      </c>
      <c r="AD938" t="s">
        <v>84</v>
      </c>
      <c r="AE938" t="s">
        <v>84</v>
      </c>
      <c r="AF938" t="s">
        <v>84</v>
      </c>
      <c r="AG938" s="17">
        <v>5810461.96</v>
      </c>
      <c r="AH938" s="17">
        <v>14.71</v>
      </c>
      <c r="AI938" s="17">
        <v>0.57</v>
      </c>
      <c r="AJ938" s="17">
        <v>0.57</v>
      </c>
      <c r="AK938" t="s">
        <v>114</v>
      </c>
      <c r="AM938" s="17">
        <v>2.2</v>
      </c>
      <c r="AN938" s="17"/>
      <c r="AO938" s="17">
        <v>915</v>
      </c>
      <c r="AP938" s="17"/>
      <c r="AQ938" s="17">
        <v>1450</v>
      </c>
      <c r="AR938" s="17"/>
      <c r="AS938" s="17">
        <v>2.11</v>
      </c>
      <c r="AT938" s="17"/>
      <c r="AU938" s="17">
        <v>697</v>
      </c>
      <c r="AV938" s="17"/>
      <c r="AW938" s="17">
        <v>943</v>
      </c>
      <c r="AX938" s="17"/>
      <c r="AY938" t="s">
        <v>92</v>
      </c>
      <c r="AZ938" t="s">
        <v>92</v>
      </c>
      <c r="BA938" t="s">
        <v>92</v>
      </c>
      <c r="BB938" t="s">
        <v>92</v>
      </c>
      <c r="BC938" t="s">
        <v>92</v>
      </c>
      <c r="BD938" s="17">
        <v>2.89</v>
      </c>
      <c r="BE938" s="17">
        <v>1773504</v>
      </c>
      <c r="BF938" t="s">
        <v>92</v>
      </c>
      <c r="BG938" t="s">
        <v>92</v>
      </c>
      <c r="BH938" t="s">
        <v>93</v>
      </c>
      <c r="BI938" t="s">
        <v>94</v>
      </c>
      <c r="BJ938" t="s">
        <v>625</v>
      </c>
      <c r="BK938" t="s">
        <v>85</v>
      </c>
      <c r="BL938" t="s">
        <v>85</v>
      </c>
      <c r="BM938" t="s">
        <v>96</v>
      </c>
      <c r="BN938" t="s">
        <v>97</v>
      </c>
      <c r="BO938" t="s">
        <v>98</v>
      </c>
      <c r="BP938" t="s">
        <v>99</v>
      </c>
      <c r="BQ938" s="17">
        <v>69</v>
      </c>
      <c r="BR938" t="s">
        <v>138</v>
      </c>
      <c r="BS938" t="s">
        <v>92</v>
      </c>
      <c r="BT938" t="s">
        <v>99</v>
      </c>
      <c r="BU938" s="17">
        <v>9.3</v>
      </c>
      <c r="BV938" t="s">
        <v>308</v>
      </c>
      <c r="BW938" t="s">
        <v>85</v>
      </c>
      <c r="BX938" t="s">
        <v>85</v>
      </c>
      <c r="BY938" t="str">
        <f>IF(COUNTIF('Data Upload-prod'!E:E,F938)=0,"Missing","Exist")</f>
        <v>Exist</v>
      </c>
    </row>
    <row r="939" hidden="1" spans="1:77">
      <c r="A939" t="s">
        <v>84</v>
      </c>
      <c r="B939" t="s">
        <v>84</v>
      </c>
      <c r="C939" t="s">
        <v>132</v>
      </c>
      <c r="D939" t="s">
        <v>78</v>
      </c>
      <c r="E939" t="s">
        <v>628</v>
      </c>
      <c r="F939" t="s">
        <v>1557</v>
      </c>
      <c r="G939" t="s">
        <v>81</v>
      </c>
      <c r="H939" t="s">
        <v>1449</v>
      </c>
      <c r="I939" t="s">
        <v>83</v>
      </c>
      <c r="J939" s="17">
        <v>76.7</v>
      </c>
      <c r="K939" s="17">
        <v>1903.7</v>
      </c>
      <c r="L939" s="17">
        <v>1903.7</v>
      </c>
      <c r="M939" t="s">
        <v>84</v>
      </c>
      <c r="N939" t="s">
        <v>84</v>
      </c>
      <c r="O939" t="s">
        <v>84</v>
      </c>
      <c r="P939" t="s">
        <v>84</v>
      </c>
      <c r="Q939" s="17">
        <v>2512210</v>
      </c>
      <c r="R939" s="17">
        <v>7</v>
      </c>
      <c r="S939" t="s">
        <v>106</v>
      </c>
      <c r="T939" t="s">
        <v>84</v>
      </c>
      <c r="U939" t="s">
        <v>86</v>
      </c>
      <c r="V939" s="16">
        <v>41249</v>
      </c>
      <c r="W939" s="18">
        <v>41231</v>
      </c>
      <c r="X939" s="18">
        <v>41262</v>
      </c>
      <c r="Y939" s="17">
        <v>1996.99</v>
      </c>
      <c r="Z939" t="s">
        <v>87</v>
      </c>
      <c r="AA939" s="17">
        <v>2108</v>
      </c>
      <c r="AB939" s="17">
        <v>1339.6</v>
      </c>
      <c r="AC939" t="s">
        <v>84</v>
      </c>
      <c r="AD939" t="s">
        <v>84</v>
      </c>
      <c r="AE939" t="s">
        <v>84</v>
      </c>
      <c r="AF939" t="s">
        <v>84</v>
      </c>
      <c r="AG939" s="17">
        <v>7207518.59</v>
      </c>
      <c r="AH939" s="17">
        <v>19.17</v>
      </c>
      <c r="AI939" s="17">
        <v>1.86</v>
      </c>
      <c r="AJ939" s="17">
        <v>1.86</v>
      </c>
      <c r="AK939" t="s">
        <v>208</v>
      </c>
      <c r="AM939" s="17">
        <v>2.1</v>
      </c>
      <c r="AN939" s="17"/>
      <c r="AO939" s="17">
        <v>700</v>
      </c>
      <c r="AP939" s="17"/>
      <c r="AQ939" s="17">
        <v>1225</v>
      </c>
      <c r="AR939" s="17"/>
      <c r="AS939" s="17">
        <v>1.4</v>
      </c>
      <c r="AT939" s="17"/>
      <c r="AU939" s="17">
        <v>530</v>
      </c>
      <c r="AV939" s="17"/>
      <c r="AW939" s="17">
        <v>1860</v>
      </c>
      <c r="AX939" s="17"/>
      <c r="AY939" t="s">
        <v>92</v>
      </c>
      <c r="AZ939" t="s">
        <v>92</v>
      </c>
      <c r="BA939" t="s">
        <v>92</v>
      </c>
      <c r="BB939" t="s">
        <v>92</v>
      </c>
      <c r="BC939" t="s">
        <v>92</v>
      </c>
      <c r="BD939" s="17">
        <v>5.21</v>
      </c>
      <c r="BE939" s="17">
        <v>1746215.36</v>
      </c>
      <c r="BF939" t="s">
        <v>92</v>
      </c>
      <c r="BG939" t="s">
        <v>92</v>
      </c>
      <c r="BH939" t="s">
        <v>93</v>
      </c>
      <c r="BI939" t="s">
        <v>94</v>
      </c>
      <c r="BJ939" t="s">
        <v>128</v>
      </c>
      <c r="BK939" t="s">
        <v>85</v>
      </c>
      <c r="BL939" t="s">
        <v>85</v>
      </c>
      <c r="BM939" t="s">
        <v>96</v>
      </c>
      <c r="BN939" t="s">
        <v>490</v>
      </c>
      <c r="BO939" t="s">
        <v>98</v>
      </c>
      <c r="BP939" t="s">
        <v>99</v>
      </c>
      <c r="BQ939" s="17">
        <v>434</v>
      </c>
      <c r="BR939" t="s">
        <v>100</v>
      </c>
      <c r="BS939" t="s">
        <v>285</v>
      </c>
      <c r="BT939" t="s">
        <v>99</v>
      </c>
      <c r="BU939" s="17">
        <v>8.5</v>
      </c>
      <c r="BV939" t="s">
        <v>110</v>
      </c>
      <c r="BW939" t="s">
        <v>85</v>
      </c>
      <c r="BX939" t="s">
        <v>85</v>
      </c>
      <c r="BY939" t="str">
        <f>IF(COUNTIF('Data Upload-prod'!E:E,F939)=0,"Missing","Exist")</f>
        <v>Exist</v>
      </c>
    </row>
    <row r="940" hidden="1" spans="1:77">
      <c r="A940" t="s">
        <v>84</v>
      </c>
      <c r="B940" t="s">
        <v>84</v>
      </c>
      <c r="C940" t="s">
        <v>360</v>
      </c>
      <c r="D940" t="s">
        <v>120</v>
      </c>
      <c r="E940" t="s">
        <v>648</v>
      </c>
      <c r="F940" t="s">
        <v>1558</v>
      </c>
      <c r="G940" t="s">
        <v>81</v>
      </c>
      <c r="H940" t="s">
        <v>289</v>
      </c>
      <c r="I940" t="s">
        <v>124</v>
      </c>
      <c r="J940" s="17">
        <v>47.5</v>
      </c>
      <c r="K940" s="17">
        <v>3349</v>
      </c>
      <c r="L940" s="17">
        <v>1509</v>
      </c>
      <c r="M940" t="s">
        <v>84</v>
      </c>
      <c r="N940" t="s">
        <v>84</v>
      </c>
      <c r="O940" t="s">
        <v>84</v>
      </c>
      <c r="P940" t="s">
        <v>84</v>
      </c>
      <c r="Q940" s="17">
        <v>7173379.61</v>
      </c>
      <c r="R940" s="17">
        <v>15.46</v>
      </c>
      <c r="S940" t="s">
        <v>85</v>
      </c>
      <c r="T940" t="s">
        <v>84</v>
      </c>
      <c r="U940" t="s">
        <v>84</v>
      </c>
      <c r="V940" t="s">
        <v>84</v>
      </c>
      <c r="W940" t="s">
        <v>84</v>
      </c>
      <c r="X940" t="s">
        <v>84</v>
      </c>
      <c r="Y940" s="17">
        <v>3498.4</v>
      </c>
      <c r="Z940" t="s">
        <v>87</v>
      </c>
      <c r="AA940" s="17">
        <v>3588</v>
      </c>
      <c r="AB940" s="17">
        <v>1368.85</v>
      </c>
      <c r="AC940" t="s">
        <v>84</v>
      </c>
      <c r="AD940" t="s">
        <v>84</v>
      </c>
      <c r="AE940" t="s">
        <v>84</v>
      </c>
      <c r="AF940" t="s">
        <v>84</v>
      </c>
      <c r="AG940" s="17">
        <v>9887752.68</v>
      </c>
      <c r="AH940" s="17">
        <v>29.73</v>
      </c>
      <c r="AI940" s="17">
        <v>19.38</v>
      </c>
      <c r="AJ940" s="17">
        <v>19.38</v>
      </c>
      <c r="AK940" t="s">
        <v>89</v>
      </c>
      <c r="AM940" s="17">
        <v>2.4</v>
      </c>
      <c r="AN940" s="17"/>
      <c r="AO940" s="17">
        <v>795</v>
      </c>
      <c r="AP940" s="17"/>
      <c r="AQ940" s="17">
        <v>1200</v>
      </c>
      <c r="AR940" s="17"/>
      <c r="AS940" s="17">
        <v>2.7</v>
      </c>
      <c r="AT940" s="17"/>
      <c r="AU940" s="17">
        <v>599.92</v>
      </c>
      <c r="AV940" s="17"/>
      <c r="AW940" s="17">
        <v>925.64</v>
      </c>
      <c r="AX940" s="17"/>
      <c r="AY940" t="s">
        <v>92</v>
      </c>
      <c r="AZ940" t="s">
        <v>92</v>
      </c>
      <c r="BA940" t="s">
        <v>92</v>
      </c>
      <c r="BB940" t="s">
        <v>92</v>
      </c>
      <c r="BC940" t="s">
        <v>92</v>
      </c>
      <c r="BD940" t="s">
        <v>92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92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92</v>
      </c>
      <c r="BS940" t="s">
        <v>92</v>
      </c>
      <c r="BT940" t="s">
        <v>92</v>
      </c>
      <c r="BU940" t="s">
        <v>92</v>
      </c>
      <c r="BV940" t="s">
        <v>92</v>
      </c>
      <c r="BW940" t="s">
        <v>92</v>
      </c>
      <c r="BX940" t="s">
        <v>92</v>
      </c>
      <c r="BY940" t="str">
        <f>IF(COUNTIF('Data Upload-prod'!E:E,F940)=0,"Missing","Exist")</f>
        <v>Exist</v>
      </c>
    </row>
    <row r="941" hidden="1" spans="1:77">
      <c r="A941" t="s">
        <v>84</v>
      </c>
      <c r="B941" s="16">
        <v>41711</v>
      </c>
      <c r="C941" t="s">
        <v>132</v>
      </c>
      <c r="D941" t="s">
        <v>78</v>
      </c>
      <c r="E941" t="s">
        <v>422</v>
      </c>
      <c r="F941" t="s">
        <v>1559</v>
      </c>
      <c r="G941" t="s">
        <v>81</v>
      </c>
      <c r="H941" t="s">
        <v>1560</v>
      </c>
      <c r="I941" t="s">
        <v>83</v>
      </c>
      <c r="J941" s="17">
        <v>71.3</v>
      </c>
      <c r="K941" s="17">
        <v>4258</v>
      </c>
      <c r="L941" s="17">
        <v>2145</v>
      </c>
      <c r="M941" t="s">
        <v>84</v>
      </c>
      <c r="N941" t="s">
        <v>84</v>
      </c>
      <c r="O941" t="s">
        <v>84</v>
      </c>
      <c r="P941" t="s">
        <v>84</v>
      </c>
      <c r="Q941" s="17">
        <v>27906260</v>
      </c>
      <c r="R941" s="17">
        <v>60.95</v>
      </c>
      <c r="S941" t="s">
        <v>106</v>
      </c>
      <c r="T941" t="s">
        <v>84</v>
      </c>
      <c r="U941" t="s">
        <v>86</v>
      </c>
      <c r="V941" s="16">
        <v>41552</v>
      </c>
      <c r="W941" s="18">
        <v>41519</v>
      </c>
      <c r="X941" s="18">
        <v>41653</v>
      </c>
      <c r="Y941" s="17">
        <v>3953.8</v>
      </c>
      <c r="Z941" t="s">
        <v>87</v>
      </c>
      <c r="AA941" s="17">
        <v>4056</v>
      </c>
      <c r="AB941" s="17">
        <v>2162</v>
      </c>
      <c r="AC941" t="s">
        <v>84</v>
      </c>
      <c r="AD941" t="s">
        <v>84</v>
      </c>
      <c r="AE941" t="s">
        <v>84</v>
      </c>
      <c r="AF941" t="s">
        <v>84</v>
      </c>
      <c r="AG941" s="17">
        <v>37299998.04</v>
      </c>
      <c r="AH941" s="17">
        <v>109.59</v>
      </c>
      <c r="AI941" s="17">
        <v>27.78</v>
      </c>
      <c r="AJ941" s="17">
        <v>26.39</v>
      </c>
      <c r="AK941" t="s">
        <v>165</v>
      </c>
      <c r="AM941" s="17">
        <v>3.2</v>
      </c>
      <c r="AN941" s="17"/>
      <c r="AO941" s="17">
        <v>1300</v>
      </c>
      <c r="AP941" s="17"/>
      <c r="AQ941" s="17">
        <v>1830</v>
      </c>
      <c r="AR941" s="17"/>
      <c r="AS941" s="17">
        <v>5.32</v>
      </c>
      <c r="AT941" s="17"/>
      <c r="AU941" s="17">
        <v>1908</v>
      </c>
      <c r="AV941" s="17"/>
      <c r="AW941" s="17">
        <v>2565</v>
      </c>
      <c r="AX941" s="17"/>
      <c r="AY941" t="s">
        <v>92</v>
      </c>
      <c r="AZ941" t="s">
        <v>92</v>
      </c>
      <c r="BA941" t="s">
        <v>92</v>
      </c>
      <c r="BB941" t="s">
        <v>92</v>
      </c>
      <c r="BC941" t="s">
        <v>92</v>
      </c>
      <c r="BD941" s="17">
        <v>16.54</v>
      </c>
      <c r="BE941" s="17">
        <v>4399308.38</v>
      </c>
      <c r="BF941" t="s">
        <v>92</v>
      </c>
      <c r="BG941" t="s">
        <v>92</v>
      </c>
      <c r="BH941" t="s">
        <v>93</v>
      </c>
      <c r="BI941" t="s">
        <v>94</v>
      </c>
      <c r="BJ941" t="s">
        <v>173</v>
      </c>
      <c r="BK941" t="s">
        <v>85</v>
      </c>
      <c r="BL941" t="s">
        <v>85</v>
      </c>
      <c r="BM941" t="s">
        <v>96</v>
      </c>
      <c r="BN941" t="s">
        <v>569</v>
      </c>
      <c r="BO941" t="s">
        <v>216</v>
      </c>
      <c r="BP941" t="s">
        <v>103</v>
      </c>
      <c r="BQ941" s="17">
        <v>3307.248</v>
      </c>
      <c r="BR941" t="s">
        <v>138</v>
      </c>
      <c r="BS941" t="s">
        <v>92</v>
      </c>
      <c r="BT941" t="s">
        <v>550</v>
      </c>
      <c r="BU941" s="17">
        <v>8.4</v>
      </c>
      <c r="BV941" t="s">
        <v>191</v>
      </c>
      <c r="BW941" t="s">
        <v>85</v>
      </c>
      <c r="BX941" t="s">
        <v>85</v>
      </c>
      <c r="BY941" t="str">
        <f>IF(COUNTIF('Data Upload-prod'!E:E,F941)=0,"Missing","Exist")</f>
        <v>Exist</v>
      </c>
    </row>
    <row r="942" hidden="1" spans="1:77">
      <c r="A942" t="s">
        <v>84</v>
      </c>
      <c r="B942" s="16">
        <v>41976</v>
      </c>
      <c r="C942" t="s">
        <v>132</v>
      </c>
      <c r="D942" t="s">
        <v>142</v>
      </c>
      <c r="E942" t="s">
        <v>166</v>
      </c>
      <c r="F942" t="s">
        <v>1561</v>
      </c>
      <c r="G942" t="s">
        <v>81</v>
      </c>
      <c r="H942" t="s">
        <v>1277</v>
      </c>
      <c r="I942" t="s">
        <v>124</v>
      </c>
      <c r="J942" s="17">
        <v>59.1</v>
      </c>
      <c r="K942" s="17">
        <v>4849.13</v>
      </c>
      <c r="L942" s="17">
        <v>4501.9</v>
      </c>
      <c r="M942" t="s">
        <v>84</v>
      </c>
      <c r="N942" t="s">
        <v>84</v>
      </c>
      <c r="O942" t="s">
        <v>84</v>
      </c>
      <c r="P942" t="s">
        <v>84</v>
      </c>
      <c r="Q942" s="17">
        <v>68522800</v>
      </c>
      <c r="R942" s="17">
        <v>93.8</v>
      </c>
      <c r="S942" t="s">
        <v>85</v>
      </c>
      <c r="T942" t="s">
        <v>84</v>
      </c>
      <c r="U942" t="s">
        <v>84</v>
      </c>
      <c r="V942" s="16">
        <v>41562.125</v>
      </c>
      <c r="W942" s="18">
        <v>41562.125</v>
      </c>
      <c r="X942" s="18">
        <v>41851.3333333333</v>
      </c>
      <c r="Y942" s="17">
        <v>4646.17</v>
      </c>
      <c r="Z942" t="s">
        <v>87</v>
      </c>
      <c r="AA942" s="17">
        <v>4761.96</v>
      </c>
      <c r="AB942" s="17">
        <v>4541.6</v>
      </c>
      <c r="AC942" t="s">
        <v>84</v>
      </c>
      <c r="AD942" t="s">
        <v>84</v>
      </c>
      <c r="AE942" t="s">
        <v>84</v>
      </c>
      <c r="AF942" t="s">
        <v>84</v>
      </c>
      <c r="AG942" s="17">
        <v>47297858</v>
      </c>
      <c r="AH942" s="17">
        <v>79.75</v>
      </c>
      <c r="AI942" s="17">
        <v>5.74</v>
      </c>
      <c r="AJ942" s="17">
        <v>5.74</v>
      </c>
      <c r="AK942" t="s">
        <v>276</v>
      </c>
      <c r="AM942" s="17">
        <v>3.7</v>
      </c>
      <c r="AN942" s="17"/>
      <c r="AO942" s="17">
        <v>1585</v>
      </c>
      <c r="AP942" s="17"/>
      <c r="AQ942" s="17">
        <v>3400</v>
      </c>
      <c r="AR942" s="17"/>
      <c r="AS942" s="17">
        <v>3.16</v>
      </c>
      <c r="AT942" s="17"/>
      <c r="AU942" s="17">
        <v>2701</v>
      </c>
      <c r="AV942" s="17"/>
      <c r="AW942" s="17">
        <v>3156</v>
      </c>
      <c r="AX942" s="17"/>
      <c r="AY942" t="s">
        <v>92</v>
      </c>
      <c r="AZ942" t="s">
        <v>92</v>
      </c>
      <c r="BA942" t="s">
        <v>92</v>
      </c>
      <c r="BB942" t="s">
        <v>92</v>
      </c>
      <c r="BC942" t="s">
        <v>92</v>
      </c>
      <c r="BD942" t="s">
        <v>92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92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92</v>
      </c>
      <c r="BS942" t="s">
        <v>92</v>
      </c>
      <c r="BT942" t="s">
        <v>92</v>
      </c>
      <c r="BU942" t="s">
        <v>92</v>
      </c>
      <c r="BV942" t="s">
        <v>92</v>
      </c>
      <c r="BW942" t="s">
        <v>92</v>
      </c>
      <c r="BX942" t="s">
        <v>92</v>
      </c>
      <c r="BY942" t="str">
        <f>IF(COUNTIF('Data Upload-prod'!E:E,F942)=0,"Missing","Exist")</f>
        <v>Exist</v>
      </c>
    </row>
    <row r="943" hidden="1" spans="1:77">
      <c r="A943" t="s">
        <v>84</v>
      </c>
      <c r="B943" s="16">
        <v>41253</v>
      </c>
      <c r="C943" t="s">
        <v>132</v>
      </c>
      <c r="D943" t="s">
        <v>78</v>
      </c>
      <c r="E943" t="s">
        <v>1562</v>
      </c>
      <c r="F943" t="s">
        <v>1563</v>
      </c>
      <c r="G943" t="s">
        <v>145</v>
      </c>
      <c r="H943" t="s">
        <v>1255</v>
      </c>
      <c r="I943" t="s">
        <v>124</v>
      </c>
      <c r="J943" s="17">
        <v>56</v>
      </c>
      <c r="K943" s="17">
        <v>2060</v>
      </c>
      <c r="L943" s="17">
        <v>2060</v>
      </c>
      <c r="M943" s="17">
        <v>20680090</v>
      </c>
      <c r="N943" s="17">
        <v>29200000</v>
      </c>
      <c r="O943" s="17">
        <v>46</v>
      </c>
      <c r="P943" s="17">
        <v>62</v>
      </c>
      <c r="Q943" t="s">
        <v>84</v>
      </c>
      <c r="R943" t="s">
        <v>84</v>
      </c>
      <c r="S943" t="s">
        <v>85</v>
      </c>
      <c r="T943" t="s">
        <v>84</v>
      </c>
      <c r="U943" t="s">
        <v>84</v>
      </c>
      <c r="V943" s="16">
        <v>41136</v>
      </c>
      <c r="W943" s="18">
        <v>41125</v>
      </c>
      <c r="X943" s="18">
        <v>41184.3333333333</v>
      </c>
      <c r="Y943" s="17">
        <v>1989.3</v>
      </c>
      <c r="Z943" t="s">
        <v>87</v>
      </c>
      <c r="AA943" s="17">
        <v>2070</v>
      </c>
      <c r="AB943" s="17">
        <v>2069.27</v>
      </c>
      <c r="AC943" t="s">
        <v>84</v>
      </c>
      <c r="AD943" s="17">
        <v>19661850</v>
      </c>
      <c r="AE943" t="s">
        <v>84</v>
      </c>
      <c r="AF943" s="17">
        <v>50.25</v>
      </c>
      <c r="AG943" t="s">
        <v>84</v>
      </c>
      <c r="AH943" t="s">
        <v>84</v>
      </c>
      <c r="AI943" s="17">
        <v>2.18</v>
      </c>
      <c r="AJ943" s="17">
        <v>2.18</v>
      </c>
      <c r="AK943" t="s">
        <v>300</v>
      </c>
      <c r="AM943" s="17">
        <v>1.9</v>
      </c>
      <c r="AN943" s="17"/>
      <c r="AO943" s="17">
        <v>720</v>
      </c>
      <c r="AP943" s="17"/>
      <c r="AQ943" s="17">
        <v>1370</v>
      </c>
      <c r="AR943" s="17"/>
      <c r="AS943" s="17">
        <v>1.6</v>
      </c>
      <c r="AT943" s="17"/>
      <c r="AU943" s="17">
        <v>1022.7</v>
      </c>
      <c r="AV943" s="17"/>
      <c r="AW943" s="17">
        <v>2452</v>
      </c>
      <c r="AX943" s="17"/>
      <c r="AY943" t="s">
        <v>92</v>
      </c>
      <c r="AZ943" t="s">
        <v>92</v>
      </c>
      <c r="BA943" t="s">
        <v>92</v>
      </c>
      <c r="BB943" t="s">
        <v>92</v>
      </c>
      <c r="BC943" t="s">
        <v>92</v>
      </c>
      <c r="BD943" t="s">
        <v>92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92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92</v>
      </c>
      <c r="BS943" t="s">
        <v>92</v>
      </c>
      <c r="BT943" t="s">
        <v>92</v>
      </c>
      <c r="BU943" t="s">
        <v>92</v>
      </c>
      <c r="BV943" t="s">
        <v>92</v>
      </c>
      <c r="BW943" t="s">
        <v>92</v>
      </c>
      <c r="BX943" t="s">
        <v>92</v>
      </c>
      <c r="BY943" t="str">
        <f>IF(COUNTIF('Data Upload-prod'!E:E,F943)=0,"Missing","Exist")</f>
        <v>Exist</v>
      </c>
    </row>
    <row r="944" hidden="1" spans="1:77">
      <c r="A944" t="s">
        <v>84</v>
      </c>
      <c r="B944" s="16">
        <v>44568</v>
      </c>
      <c r="C944" t="s">
        <v>360</v>
      </c>
      <c r="D944" t="s">
        <v>120</v>
      </c>
      <c r="E944" t="s">
        <v>715</v>
      </c>
      <c r="F944" t="s">
        <v>1564</v>
      </c>
      <c r="G944" t="s">
        <v>81</v>
      </c>
      <c r="H944" t="s">
        <v>289</v>
      </c>
      <c r="I944" t="s">
        <v>124</v>
      </c>
      <c r="J944" s="17">
        <v>40.85</v>
      </c>
      <c r="K944" s="17">
        <v>1626.81</v>
      </c>
      <c r="L944" s="17">
        <v>1466.7</v>
      </c>
      <c r="M944" t="s">
        <v>84</v>
      </c>
      <c r="N944" t="s">
        <v>84</v>
      </c>
      <c r="O944" t="s">
        <v>84</v>
      </c>
      <c r="P944" t="s">
        <v>84</v>
      </c>
      <c r="Q944" s="17">
        <v>6085097.3</v>
      </c>
      <c r="R944" s="17">
        <v>12.87</v>
      </c>
      <c r="S944" t="s">
        <v>106</v>
      </c>
      <c r="T944" t="s">
        <v>84</v>
      </c>
      <c r="U944" t="s">
        <v>86</v>
      </c>
      <c r="V944" s="16">
        <v>44386.1770833333</v>
      </c>
      <c r="W944" s="18">
        <v>44379.7395833333</v>
      </c>
      <c r="X944" s="18">
        <v>44449.7083333333</v>
      </c>
      <c r="Y944" s="17">
        <v>1525.15</v>
      </c>
      <c r="Z944" t="s">
        <v>87</v>
      </c>
      <c r="AA944" s="17">
        <v>1612</v>
      </c>
      <c r="AB944" s="17">
        <v>1458.25</v>
      </c>
      <c r="AC944" t="s">
        <v>84</v>
      </c>
      <c r="AD944" t="s">
        <v>84</v>
      </c>
      <c r="AE944" t="s">
        <v>84</v>
      </c>
      <c r="AF944" t="s">
        <v>84</v>
      </c>
      <c r="AG944" s="17">
        <v>6654338.7</v>
      </c>
      <c r="AH944" s="17">
        <v>19.79</v>
      </c>
      <c r="AI944" s="17">
        <v>22.58</v>
      </c>
      <c r="AJ944" s="17">
        <v>22.58</v>
      </c>
      <c r="AK944" t="s">
        <v>114</v>
      </c>
      <c r="AM944" s="17">
        <v>2.2</v>
      </c>
      <c r="AN944" s="17"/>
      <c r="AO944" s="17">
        <v>915</v>
      </c>
      <c r="AP944" s="17"/>
      <c r="AQ944" s="17">
        <v>1450</v>
      </c>
      <c r="AR944" s="17"/>
      <c r="AS944" s="17">
        <v>2.18</v>
      </c>
      <c r="AT944" s="17"/>
      <c r="AU944" s="17">
        <v>720</v>
      </c>
      <c r="AV944" s="17"/>
      <c r="AW944" s="17">
        <v>898</v>
      </c>
      <c r="AX944" s="17"/>
      <c r="AY944" t="s">
        <v>92</v>
      </c>
      <c r="AZ944" t="s">
        <v>92</v>
      </c>
      <c r="BA944" t="s">
        <v>92</v>
      </c>
      <c r="BB944" t="s">
        <v>92</v>
      </c>
      <c r="BC944" t="s">
        <v>92</v>
      </c>
      <c r="BD944" s="17">
        <v>2.1</v>
      </c>
      <c r="BE944" s="17">
        <v>1586700</v>
      </c>
      <c r="BF944" t="s">
        <v>92</v>
      </c>
      <c r="BG944" t="s">
        <v>92</v>
      </c>
      <c r="BH944" t="s">
        <v>93</v>
      </c>
      <c r="BI944" t="s">
        <v>94</v>
      </c>
      <c r="BJ944" t="s">
        <v>625</v>
      </c>
      <c r="BK944" t="s">
        <v>85</v>
      </c>
      <c r="BL944" t="s">
        <v>85</v>
      </c>
      <c r="BM944" t="s">
        <v>96</v>
      </c>
      <c r="BN944" t="s">
        <v>97</v>
      </c>
      <c r="BO944" t="s">
        <v>98</v>
      </c>
      <c r="BP944" t="s">
        <v>99</v>
      </c>
      <c r="BQ944" s="17">
        <v>72</v>
      </c>
      <c r="BR944" t="s">
        <v>138</v>
      </c>
      <c r="BS944" t="s">
        <v>92</v>
      </c>
      <c r="BT944" t="s">
        <v>99</v>
      </c>
      <c r="BU944" s="17">
        <v>9.3</v>
      </c>
      <c r="BV944" t="s">
        <v>308</v>
      </c>
      <c r="BW944" t="s">
        <v>85</v>
      </c>
      <c r="BX944" t="s">
        <v>85</v>
      </c>
      <c r="BY944" t="str">
        <f>IF(COUNTIF('Data Upload-prod'!E:E,F944)=0,"Missing","Exist")</f>
        <v>Exist</v>
      </c>
    </row>
    <row r="945" hidden="1" spans="1:77">
      <c r="A945" t="s">
        <v>84</v>
      </c>
      <c r="B945" s="16">
        <v>41431</v>
      </c>
      <c r="C945" t="s">
        <v>132</v>
      </c>
      <c r="D945" t="s">
        <v>78</v>
      </c>
      <c r="E945" t="s">
        <v>842</v>
      </c>
      <c r="F945" t="s">
        <v>1565</v>
      </c>
      <c r="G945" t="s">
        <v>81</v>
      </c>
      <c r="H945" t="s">
        <v>172</v>
      </c>
      <c r="I945" t="s">
        <v>124</v>
      </c>
      <c r="J945" s="17">
        <v>63</v>
      </c>
      <c r="K945" s="17">
        <v>3273</v>
      </c>
      <c r="L945" s="17">
        <v>2114</v>
      </c>
      <c r="M945" t="s">
        <v>84</v>
      </c>
      <c r="N945" t="s">
        <v>84</v>
      </c>
      <c r="O945" t="s">
        <v>84</v>
      </c>
      <c r="P945" t="s">
        <v>84</v>
      </c>
      <c r="Q945" s="17">
        <v>34880710</v>
      </c>
      <c r="R945" s="17">
        <v>50.22</v>
      </c>
      <c r="S945" t="s">
        <v>85</v>
      </c>
      <c r="T945" t="s">
        <v>84</v>
      </c>
      <c r="U945" t="s">
        <v>86</v>
      </c>
      <c r="V945" s="16">
        <v>41284</v>
      </c>
      <c r="W945" s="18">
        <v>41284.1458333333</v>
      </c>
      <c r="X945" s="18">
        <v>41355</v>
      </c>
      <c r="Y945" s="17">
        <v>3190</v>
      </c>
      <c r="Z945" t="s">
        <v>87</v>
      </c>
      <c r="AA945" s="17">
        <v>3294</v>
      </c>
      <c r="AB945" s="17">
        <v>1762.99</v>
      </c>
      <c r="AC945" t="s">
        <v>84</v>
      </c>
      <c r="AD945" t="s">
        <v>84</v>
      </c>
      <c r="AE945" t="s">
        <v>84</v>
      </c>
      <c r="AF945" t="s">
        <v>84</v>
      </c>
      <c r="AG945" s="17">
        <v>21171414</v>
      </c>
      <c r="AH945" s="17">
        <v>54.79</v>
      </c>
      <c r="AI945" s="17">
        <v>19.13</v>
      </c>
      <c r="AJ945" s="17">
        <v>19.13</v>
      </c>
      <c r="AK945" t="s">
        <v>165</v>
      </c>
      <c r="AM945" s="17">
        <v>3.2</v>
      </c>
      <c r="AN945" s="17"/>
      <c r="AO945" s="17">
        <v>1300</v>
      </c>
      <c r="AP945" s="17"/>
      <c r="AQ945" s="17">
        <v>1830</v>
      </c>
      <c r="AR945" s="17"/>
      <c r="AS945" s="17">
        <v>2.61</v>
      </c>
      <c r="AT945" s="17"/>
      <c r="AU945" s="17">
        <v>1080</v>
      </c>
      <c r="AV945" s="17"/>
      <c r="AW945" s="17">
        <v>2023</v>
      </c>
      <c r="AX945" s="17"/>
      <c r="AY945" t="s">
        <v>92</v>
      </c>
      <c r="AZ945" t="s">
        <v>92</v>
      </c>
      <c r="BA945" t="s">
        <v>92</v>
      </c>
      <c r="BB945" t="s">
        <v>92</v>
      </c>
      <c r="BC945" t="s">
        <v>92</v>
      </c>
      <c r="BD945" s="17">
        <v>9.3</v>
      </c>
      <c r="BE945" s="17">
        <v>4558297.99</v>
      </c>
      <c r="BF945" t="s">
        <v>92</v>
      </c>
      <c r="BG945" t="s">
        <v>92</v>
      </c>
      <c r="BH945" t="s">
        <v>93</v>
      </c>
      <c r="BI945" t="s">
        <v>94</v>
      </c>
      <c r="BJ945" t="s">
        <v>173</v>
      </c>
      <c r="BK945" t="s">
        <v>85</v>
      </c>
      <c r="BL945" t="s">
        <v>85</v>
      </c>
      <c r="BM945" t="s">
        <v>96</v>
      </c>
      <c r="BN945" t="s">
        <v>569</v>
      </c>
      <c r="BO945" t="s">
        <v>98</v>
      </c>
      <c r="BP945" t="s">
        <v>99</v>
      </c>
      <c r="BQ945" s="17">
        <v>262</v>
      </c>
      <c r="BR945" t="s">
        <v>138</v>
      </c>
      <c r="BS945" t="s">
        <v>156</v>
      </c>
      <c r="BT945" t="s">
        <v>99</v>
      </c>
      <c r="BU945" s="17">
        <v>9.2</v>
      </c>
      <c r="BV945" t="s">
        <v>191</v>
      </c>
      <c r="BW945" t="s">
        <v>129</v>
      </c>
      <c r="BX945" t="s">
        <v>85</v>
      </c>
      <c r="BY945" t="str">
        <f>IF(COUNTIF('Data Upload-prod'!E:E,F945)=0,"Missing","Exist")</f>
        <v>Exist</v>
      </c>
    </row>
    <row r="946" hidden="1" spans="1:77">
      <c r="A946" t="s">
        <v>84</v>
      </c>
      <c r="B946" t="s">
        <v>84</v>
      </c>
      <c r="C946" t="s">
        <v>141</v>
      </c>
      <c r="D946" t="s">
        <v>120</v>
      </c>
      <c r="E946" t="s">
        <v>535</v>
      </c>
      <c r="F946" t="s">
        <v>1566</v>
      </c>
      <c r="G946" t="s">
        <v>81</v>
      </c>
      <c r="H946" t="s">
        <v>1567</v>
      </c>
      <c r="I946" t="s">
        <v>83</v>
      </c>
      <c r="J946" s="17">
        <v>105.15</v>
      </c>
      <c r="K946" s="17">
        <v>1667.48</v>
      </c>
      <c r="L946" s="17">
        <v>1360.26</v>
      </c>
      <c r="M946" t="s">
        <v>84</v>
      </c>
      <c r="N946" t="s">
        <v>84</v>
      </c>
      <c r="O946" t="s">
        <v>84</v>
      </c>
      <c r="P946" t="s">
        <v>84</v>
      </c>
      <c r="Q946" s="17">
        <v>25819773.75</v>
      </c>
      <c r="R946" s="17">
        <v>43.12</v>
      </c>
      <c r="S946" t="s">
        <v>85</v>
      </c>
      <c r="T946" t="s">
        <v>84</v>
      </c>
      <c r="U946" t="s">
        <v>84</v>
      </c>
      <c r="V946" s="16">
        <v>41811.8229166667</v>
      </c>
      <c r="W946" s="18">
        <v>41807.5</v>
      </c>
      <c r="X946" s="18">
        <v>41896</v>
      </c>
      <c r="Y946" s="17">
        <v>1533.68</v>
      </c>
      <c r="Z946" t="s">
        <v>87</v>
      </c>
      <c r="AA946" s="17">
        <v>1672.66</v>
      </c>
      <c r="AB946" s="17">
        <v>1360.26</v>
      </c>
      <c r="AC946" t="s">
        <v>84</v>
      </c>
      <c r="AD946" t="s">
        <v>84</v>
      </c>
      <c r="AE946" t="s">
        <v>84</v>
      </c>
      <c r="AF946" t="s">
        <v>84</v>
      </c>
      <c r="AG946" s="17">
        <v>26103166</v>
      </c>
      <c r="AH946" s="17">
        <v>53.68</v>
      </c>
      <c r="AI946" s="17">
        <v>5.94</v>
      </c>
      <c r="AJ946" s="17">
        <v>5.08</v>
      </c>
      <c r="AK946" t="s">
        <v>126</v>
      </c>
      <c r="AM946" s="17">
        <v>2.5</v>
      </c>
      <c r="AN946" s="17"/>
      <c r="AO946" s="17">
        <v>1010</v>
      </c>
      <c r="AP946" s="17"/>
      <c r="AQ946" s="17">
        <v>1870</v>
      </c>
      <c r="AR946" s="17"/>
      <c r="AS946" s="17">
        <v>2.63</v>
      </c>
      <c r="AT946" s="17"/>
      <c r="AU946" s="17">
        <v>2196</v>
      </c>
      <c r="AV946" s="17"/>
      <c r="AW946" s="17">
        <v>1535</v>
      </c>
      <c r="AX946" s="17"/>
      <c r="AY946" t="s">
        <v>92</v>
      </c>
      <c r="AZ946" t="s">
        <v>92</v>
      </c>
      <c r="BA946" t="s">
        <v>92</v>
      </c>
      <c r="BB946" t="s">
        <v>92</v>
      </c>
      <c r="BC946" t="s">
        <v>92</v>
      </c>
      <c r="BD946" t="s">
        <v>92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92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92</v>
      </c>
      <c r="BS946" t="s">
        <v>92</v>
      </c>
      <c r="BT946" t="s">
        <v>92</v>
      </c>
      <c r="BU946" t="s">
        <v>92</v>
      </c>
      <c r="BV946" t="s">
        <v>92</v>
      </c>
      <c r="BW946" t="s">
        <v>92</v>
      </c>
      <c r="BX946" t="s">
        <v>92</v>
      </c>
      <c r="BY946" t="str">
        <f>IF(COUNTIF('Data Upload-prod'!E:E,F946)=0,"Missing","Exist")</f>
        <v>Exist</v>
      </c>
    </row>
    <row r="947" hidden="1" spans="1:77">
      <c r="A947" t="s">
        <v>84</v>
      </c>
      <c r="B947" s="16">
        <v>41331</v>
      </c>
      <c r="C947" t="s">
        <v>132</v>
      </c>
      <c r="D947" t="s">
        <v>120</v>
      </c>
      <c r="E947" t="s">
        <v>463</v>
      </c>
      <c r="F947" t="s">
        <v>1568</v>
      </c>
      <c r="G947" t="s">
        <v>81</v>
      </c>
      <c r="H947" t="s">
        <v>1560</v>
      </c>
      <c r="I947" t="s">
        <v>83</v>
      </c>
      <c r="J947" s="17">
        <v>67.66</v>
      </c>
      <c r="K947" s="17">
        <v>1965.86</v>
      </c>
      <c r="L947" s="17">
        <v>1882.66</v>
      </c>
      <c r="M947" t="s">
        <v>84</v>
      </c>
      <c r="N947" t="s">
        <v>84</v>
      </c>
      <c r="O947" t="s">
        <v>84</v>
      </c>
      <c r="P947" t="s">
        <v>84</v>
      </c>
      <c r="Q947" s="17">
        <v>16678598.45</v>
      </c>
      <c r="R947" s="17">
        <v>40</v>
      </c>
      <c r="S947" t="s">
        <v>85</v>
      </c>
      <c r="T947" t="s">
        <v>84</v>
      </c>
      <c r="U947" t="s">
        <v>84</v>
      </c>
      <c r="V947" s="16">
        <v>41178</v>
      </c>
      <c r="W947" s="18">
        <v>41171</v>
      </c>
      <c r="X947" s="18">
        <v>41204</v>
      </c>
      <c r="Y947" s="17">
        <v>1882.2</v>
      </c>
      <c r="Z947" t="s">
        <v>87</v>
      </c>
      <c r="AA947" s="17">
        <v>1976.53</v>
      </c>
      <c r="AB947" s="17">
        <v>1895.3</v>
      </c>
      <c r="AC947" t="s">
        <v>84</v>
      </c>
      <c r="AD947" t="s">
        <v>84</v>
      </c>
      <c r="AE947" t="s">
        <v>84</v>
      </c>
      <c r="AF947" t="s">
        <v>84</v>
      </c>
      <c r="AG947" s="17">
        <v>13078655</v>
      </c>
      <c r="AH947" s="17">
        <v>32.58</v>
      </c>
      <c r="AI947" s="17">
        <v>2.88</v>
      </c>
      <c r="AJ947" s="17">
        <v>2.88</v>
      </c>
      <c r="AK947" t="s">
        <v>208</v>
      </c>
      <c r="AM947" s="17">
        <v>2.2</v>
      </c>
      <c r="AN947" s="17"/>
      <c r="AO947" s="17">
        <v>830</v>
      </c>
      <c r="AP947" s="17"/>
      <c r="AQ947" s="17">
        <v>1790</v>
      </c>
      <c r="AR947" s="17"/>
      <c r="AS947" s="17">
        <v>1.79</v>
      </c>
      <c r="AT947" s="17"/>
      <c r="AU947" s="17">
        <v>884</v>
      </c>
      <c r="AV947" s="17"/>
      <c r="AW947" s="17">
        <v>2523</v>
      </c>
      <c r="AX947" s="17"/>
      <c r="AY947" t="s">
        <v>92</v>
      </c>
      <c r="AZ947" t="s">
        <v>92</v>
      </c>
      <c r="BA947" t="s">
        <v>92</v>
      </c>
      <c r="BB947" t="s">
        <v>92</v>
      </c>
      <c r="BC947" t="s">
        <v>92</v>
      </c>
      <c r="BD947" t="s">
        <v>92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92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92</v>
      </c>
      <c r="BS947" t="s">
        <v>92</v>
      </c>
      <c r="BT947" t="s">
        <v>92</v>
      </c>
      <c r="BU947" t="s">
        <v>92</v>
      </c>
      <c r="BV947" t="s">
        <v>92</v>
      </c>
      <c r="BW947" t="s">
        <v>92</v>
      </c>
      <c r="BX947" t="s">
        <v>92</v>
      </c>
      <c r="BY947" t="str">
        <f>IF(COUNTIF('Data Upload-prod'!E:E,F947)=0,"Missing","Exist")</f>
        <v>Exist</v>
      </c>
    </row>
    <row r="948" hidden="1" spans="1:77">
      <c r="A948" t="s">
        <v>84</v>
      </c>
      <c r="B948" s="16">
        <v>42149</v>
      </c>
      <c r="C948" t="s">
        <v>132</v>
      </c>
      <c r="D948" t="s">
        <v>78</v>
      </c>
      <c r="E948" t="s">
        <v>1569</v>
      </c>
      <c r="F948" t="s">
        <v>1570</v>
      </c>
      <c r="G948" t="s">
        <v>145</v>
      </c>
      <c r="H948" t="s">
        <v>181</v>
      </c>
      <c r="I948" t="s">
        <v>124</v>
      </c>
      <c r="J948" s="17">
        <v>61.1</v>
      </c>
      <c r="K948" s="17">
        <v>1660</v>
      </c>
      <c r="L948" s="17">
        <v>1660</v>
      </c>
      <c r="M948" s="17">
        <v>16380000</v>
      </c>
      <c r="N948" s="17">
        <v>24381730.8</v>
      </c>
      <c r="O948" s="17">
        <v>31.44</v>
      </c>
      <c r="P948" s="17">
        <v>44.82</v>
      </c>
      <c r="Q948" t="s">
        <v>84</v>
      </c>
      <c r="R948" t="s">
        <v>84</v>
      </c>
      <c r="S948" t="s">
        <v>85</v>
      </c>
      <c r="T948" t="s">
        <v>84</v>
      </c>
      <c r="U948" t="s">
        <v>84</v>
      </c>
      <c r="V948" s="16">
        <v>42050</v>
      </c>
      <c r="W948" s="18">
        <v>42036.96875</v>
      </c>
      <c r="X948" s="18">
        <v>42077.7291666667</v>
      </c>
      <c r="Y948" s="17">
        <v>1594</v>
      </c>
      <c r="Z948" t="s">
        <v>87</v>
      </c>
      <c r="AA948" s="17">
        <v>1690</v>
      </c>
      <c r="AB948" s="17">
        <v>1690</v>
      </c>
      <c r="AC948" t="s">
        <v>84</v>
      </c>
      <c r="AD948" s="17">
        <v>20219467</v>
      </c>
      <c r="AE948" t="s">
        <v>84</v>
      </c>
      <c r="AF948" s="17">
        <v>40.76</v>
      </c>
      <c r="AG948" t="s">
        <v>84</v>
      </c>
      <c r="AH948" t="s">
        <v>84</v>
      </c>
      <c r="AI948" s="17">
        <v>4.71</v>
      </c>
      <c r="AJ948" s="17">
        <v>2.58</v>
      </c>
      <c r="AK948" t="s">
        <v>544</v>
      </c>
      <c r="AM948" s="17">
        <v>1.2</v>
      </c>
      <c r="AN948" s="17"/>
      <c r="AO948" s="17">
        <v>385</v>
      </c>
      <c r="AP948" s="17"/>
      <c r="AQ948" s="17">
        <v>930</v>
      </c>
      <c r="AR948" s="17"/>
      <c r="AS948" s="17">
        <v>1.22</v>
      </c>
      <c r="AT948" s="17"/>
      <c r="AU948" s="17">
        <v>865.4</v>
      </c>
      <c r="AV948" s="17"/>
      <c r="AW948" s="17">
        <v>3647.3</v>
      </c>
      <c r="AX948" s="17"/>
      <c r="AY948" t="s">
        <v>92</v>
      </c>
      <c r="AZ948" t="s">
        <v>92</v>
      </c>
      <c r="BA948" t="s">
        <v>92</v>
      </c>
      <c r="BB948" t="s">
        <v>92</v>
      </c>
      <c r="BC948" t="s">
        <v>92</v>
      </c>
      <c r="BD948" t="s">
        <v>92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92</v>
      </c>
      <c r="BM948" t="s">
        <v>92</v>
      </c>
      <c r="BN948" t="s">
        <v>92</v>
      </c>
      <c r="BO948" t="s">
        <v>92</v>
      </c>
      <c r="BP948" t="s">
        <v>92</v>
      </c>
      <c r="BQ948" t="s">
        <v>92</v>
      </c>
      <c r="BR948" t="s">
        <v>92</v>
      </c>
      <c r="BS948" t="s">
        <v>92</v>
      </c>
      <c r="BT948" t="s">
        <v>92</v>
      </c>
      <c r="BU948" t="s">
        <v>92</v>
      </c>
      <c r="BV948" t="s">
        <v>92</v>
      </c>
      <c r="BW948" t="s">
        <v>92</v>
      </c>
      <c r="BX948" t="s">
        <v>92</v>
      </c>
      <c r="BY948" t="str">
        <f>IF(COUNTIF('Data Upload-prod'!E:E,F948)=0,"Missing","Exist")</f>
        <v>Exist</v>
      </c>
    </row>
    <row r="949" hidden="1" spans="1:77">
      <c r="A949" t="s">
        <v>84</v>
      </c>
      <c r="B949" s="16">
        <v>41820</v>
      </c>
      <c r="C949" t="s">
        <v>141</v>
      </c>
      <c r="D949" t="s">
        <v>142</v>
      </c>
      <c r="E949" t="s">
        <v>1571</v>
      </c>
      <c r="F949" t="s">
        <v>1572</v>
      </c>
      <c r="G949" t="s">
        <v>145</v>
      </c>
      <c r="H949" t="s">
        <v>1573</v>
      </c>
      <c r="I949" t="s">
        <v>231</v>
      </c>
      <c r="J949" s="17">
        <v>47.85</v>
      </c>
      <c r="K949" s="17">
        <v>3698.26</v>
      </c>
      <c r="L949" s="17">
        <v>2682.11</v>
      </c>
      <c r="M949" s="17">
        <v>54940000</v>
      </c>
      <c r="N949" s="17">
        <v>63890000</v>
      </c>
      <c r="O949" s="17">
        <v>46.96</v>
      </c>
      <c r="P949" s="17">
        <v>58.13</v>
      </c>
      <c r="Q949" t="s">
        <v>84</v>
      </c>
      <c r="R949" t="s">
        <v>84</v>
      </c>
      <c r="S949" t="s">
        <v>381</v>
      </c>
      <c r="T949" t="s">
        <v>84</v>
      </c>
      <c r="U949" t="s">
        <v>84</v>
      </c>
      <c r="V949" s="16">
        <v>41647</v>
      </c>
      <c r="W949" s="18">
        <v>41643.5</v>
      </c>
      <c r="X949" s="18">
        <v>41729.6458333333</v>
      </c>
      <c r="Y949" s="17">
        <v>842.12</v>
      </c>
      <c r="Z949" t="s">
        <v>87</v>
      </c>
      <c r="AA949" s="17">
        <v>915.88</v>
      </c>
      <c r="AB949" s="17">
        <v>647.36</v>
      </c>
      <c r="AC949" t="s">
        <v>84</v>
      </c>
      <c r="AD949" s="17">
        <v>59588211</v>
      </c>
      <c r="AE949" t="s">
        <v>84</v>
      </c>
      <c r="AF949" s="17">
        <v>83.5</v>
      </c>
      <c r="AG949" t="s">
        <v>84</v>
      </c>
      <c r="AH949" t="s">
        <v>84</v>
      </c>
      <c r="AI949" t="s">
        <v>92</v>
      </c>
      <c r="AJ949" t="s">
        <v>92</v>
      </c>
      <c r="AK949" t="s">
        <v>323</v>
      </c>
      <c r="AM949" s="17">
        <v>4.4</v>
      </c>
      <c r="AN949" s="17"/>
      <c r="AO949" s="17">
        <v>1980</v>
      </c>
      <c r="AP949" s="17"/>
      <c r="AQ949" s="17">
        <v>2760</v>
      </c>
      <c r="AR949" s="17"/>
      <c r="AS949" s="13" t="s">
        <v>150</v>
      </c>
      <c r="AT949" s="13"/>
      <c r="AU949" s="13" t="s">
        <v>150</v>
      </c>
      <c r="AW949" s="13" t="s">
        <v>150</v>
      </c>
      <c r="AY949" t="s">
        <v>92</v>
      </c>
      <c r="AZ949" t="s">
        <v>92</v>
      </c>
      <c r="BA949" t="s">
        <v>92</v>
      </c>
      <c r="BB949" t="s">
        <v>92</v>
      </c>
      <c r="BC949" t="s">
        <v>92</v>
      </c>
      <c r="BD949" t="s">
        <v>92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92</v>
      </c>
      <c r="BM949" t="s">
        <v>92</v>
      </c>
      <c r="BN949" t="s">
        <v>92</v>
      </c>
      <c r="BO949" t="s">
        <v>92</v>
      </c>
      <c r="BP949" t="s">
        <v>92</v>
      </c>
      <c r="BQ949" t="s">
        <v>92</v>
      </c>
      <c r="BR949" t="s">
        <v>92</v>
      </c>
      <c r="BS949" t="s">
        <v>92</v>
      </c>
      <c r="BT949" t="s">
        <v>92</v>
      </c>
      <c r="BU949" t="s">
        <v>92</v>
      </c>
      <c r="BV949" t="s">
        <v>92</v>
      </c>
      <c r="BW949" t="s">
        <v>92</v>
      </c>
      <c r="BX949" t="s">
        <v>92</v>
      </c>
      <c r="BY949" t="str">
        <f>IF(COUNTIF('Data Upload-prod'!E:E,F949)=0,"Missing","Exist")</f>
        <v>Exist</v>
      </c>
    </row>
    <row r="950" spans="1:77">
      <c r="A950" t="s">
        <v>84</v>
      </c>
      <c r="B950" s="16">
        <v>42159</v>
      </c>
      <c r="C950" t="s">
        <v>360</v>
      </c>
      <c r="D950" t="s">
        <v>120</v>
      </c>
      <c r="E950" t="s">
        <v>1297</v>
      </c>
      <c r="F950" t="s">
        <v>1574</v>
      </c>
      <c r="G950" t="s">
        <v>81</v>
      </c>
      <c r="H950" t="s">
        <v>185</v>
      </c>
      <c r="I950" t="s">
        <v>124</v>
      </c>
      <c r="J950" s="17">
        <v>27</v>
      </c>
      <c r="K950" s="17">
        <v>2420.74</v>
      </c>
      <c r="L950" s="17">
        <v>1028.95</v>
      </c>
      <c r="M950" t="s">
        <v>84</v>
      </c>
      <c r="N950" t="s">
        <v>84</v>
      </c>
      <c r="O950" t="s">
        <v>84</v>
      </c>
      <c r="P950" t="s">
        <v>84</v>
      </c>
      <c r="Q950" s="17">
        <v>7564516.47</v>
      </c>
      <c r="R950" s="17">
        <v>8.4</v>
      </c>
      <c r="S950" t="s">
        <v>85</v>
      </c>
      <c r="T950" t="s">
        <v>84</v>
      </c>
      <c r="U950" t="s">
        <v>86</v>
      </c>
      <c r="V950" s="16">
        <v>42092</v>
      </c>
      <c r="W950" s="18">
        <v>42089.7083333333</v>
      </c>
      <c r="X950" s="18">
        <v>42111.5</v>
      </c>
      <c r="Y950" s="17">
        <v>2354.1</v>
      </c>
      <c r="Z950" t="s">
        <v>87</v>
      </c>
      <c r="AA950" s="17">
        <v>2413.3</v>
      </c>
      <c r="AB950" s="17">
        <v>1021.99</v>
      </c>
      <c r="AC950" t="s">
        <v>84</v>
      </c>
      <c r="AD950" t="s">
        <v>84</v>
      </c>
      <c r="AE950" t="s">
        <v>84</v>
      </c>
      <c r="AF950" t="s">
        <v>84</v>
      </c>
      <c r="AG950" s="17">
        <v>4867233.37</v>
      </c>
      <c r="AH950" s="17">
        <v>6.73</v>
      </c>
      <c r="AI950" s="17">
        <v>0.31</v>
      </c>
      <c r="AJ950" s="17">
        <v>0.31</v>
      </c>
      <c r="AK950" t="s">
        <v>208</v>
      </c>
      <c r="AL950" t="s">
        <v>208</v>
      </c>
      <c r="AM950" s="17">
        <v>2.2</v>
      </c>
      <c r="AN950" s="17">
        <v>2.2</v>
      </c>
      <c r="AO950" s="17">
        <v>830</v>
      </c>
      <c r="AP950" s="17">
        <v>830</v>
      </c>
      <c r="AQ950" s="17">
        <v>1395</v>
      </c>
      <c r="AR950" s="17">
        <v>1395</v>
      </c>
      <c r="AS950" s="13" t="s">
        <v>90</v>
      </c>
      <c r="AT950" s="19">
        <v>1.7</v>
      </c>
      <c r="AU950" s="13" t="s">
        <v>90</v>
      </c>
      <c r="AV950" s="13">
        <v>580</v>
      </c>
      <c r="AW950" s="13" t="s">
        <v>90</v>
      </c>
      <c r="AX950" s="13">
        <v>1100</v>
      </c>
      <c r="AY950" t="s">
        <v>92</v>
      </c>
      <c r="AZ950" t="s">
        <v>92</v>
      </c>
      <c r="BA950" t="s">
        <v>92</v>
      </c>
      <c r="BB950" t="s">
        <v>92</v>
      </c>
      <c r="BC950" t="s">
        <v>92</v>
      </c>
      <c r="BD950" s="17">
        <v>1.11</v>
      </c>
      <c r="BE950" s="17">
        <v>2117000</v>
      </c>
      <c r="BF950" t="s">
        <v>92</v>
      </c>
      <c r="BG950" t="s">
        <v>92</v>
      </c>
      <c r="BH950" t="s">
        <v>93</v>
      </c>
      <c r="BI950" t="s">
        <v>94</v>
      </c>
      <c r="BJ950" t="s">
        <v>95</v>
      </c>
      <c r="BK950" t="s">
        <v>85</v>
      </c>
      <c r="BL950" t="s">
        <v>85</v>
      </c>
      <c r="BM950" t="s">
        <v>96</v>
      </c>
      <c r="BN950" t="s">
        <v>97</v>
      </c>
      <c r="BO950" t="s">
        <v>98</v>
      </c>
      <c r="BP950" t="s">
        <v>99</v>
      </c>
      <c r="BQ950" s="17">
        <v>201.7815</v>
      </c>
      <c r="BR950" t="s">
        <v>100</v>
      </c>
      <c r="BS950" t="s">
        <v>156</v>
      </c>
      <c r="BT950" t="s">
        <v>99</v>
      </c>
      <c r="BU950" s="17">
        <v>6.68</v>
      </c>
      <c r="BV950" t="s">
        <v>101</v>
      </c>
      <c r="BW950" t="s">
        <v>85</v>
      </c>
      <c r="BX950" t="s">
        <v>85</v>
      </c>
      <c r="BY950" t="str">
        <f>IF(COUNTIF('Data Upload-prod'!E:E,F950)=0,"Missing","Exist")</f>
        <v>Exist</v>
      </c>
    </row>
    <row r="951" hidden="1" spans="1:77">
      <c r="A951" t="s">
        <v>84</v>
      </c>
      <c r="B951" t="s">
        <v>84</v>
      </c>
      <c r="C951" t="s">
        <v>360</v>
      </c>
      <c r="D951" t="s">
        <v>120</v>
      </c>
      <c r="E951" t="s">
        <v>1575</v>
      </c>
      <c r="F951" t="s">
        <v>1576</v>
      </c>
      <c r="G951" t="s">
        <v>81</v>
      </c>
      <c r="H951" t="s">
        <v>289</v>
      </c>
      <c r="I951" t="s">
        <v>124</v>
      </c>
      <c r="J951" s="17">
        <v>40.85</v>
      </c>
      <c r="K951" s="17">
        <v>1938.36</v>
      </c>
      <c r="L951" s="17">
        <v>1489.88</v>
      </c>
      <c r="M951" t="s">
        <v>84</v>
      </c>
      <c r="N951" t="s">
        <v>84</v>
      </c>
      <c r="O951" t="s">
        <v>84</v>
      </c>
      <c r="P951" t="s">
        <v>84</v>
      </c>
      <c r="Q951" s="17">
        <v>6101546.4</v>
      </c>
      <c r="R951" s="17">
        <v>13.91</v>
      </c>
      <c r="S951" t="s">
        <v>106</v>
      </c>
      <c r="T951" t="s">
        <v>84</v>
      </c>
      <c r="U951" t="s">
        <v>86</v>
      </c>
      <c r="V951" t="s">
        <v>84</v>
      </c>
      <c r="W951" t="s">
        <v>84</v>
      </c>
      <c r="X951" t="s">
        <v>84</v>
      </c>
      <c r="Y951" s="17">
        <v>1828.15</v>
      </c>
      <c r="Z951" t="s">
        <v>87</v>
      </c>
      <c r="AA951" s="17">
        <v>1915</v>
      </c>
      <c r="AB951" s="17">
        <v>1515.46</v>
      </c>
      <c r="AC951" t="s">
        <v>84</v>
      </c>
      <c r="AD951" t="s">
        <v>84</v>
      </c>
      <c r="AE951" t="s">
        <v>84</v>
      </c>
      <c r="AF951" t="s">
        <v>84</v>
      </c>
      <c r="AG951" s="17">
        <v>6101546.4</v>
      </c>
      <c r="AH951" s="17">
        <v>13.9</v>
      </c>
      <c r="AI951" s="17">
        <v>0.75</v>
      </c>
      <c r="AJ951" s="17">
        <v>0.75</v>
      </c>
      <c r="AK951" t="s">
        <v>165</v>
      </c>
      <c r="AM951" s="17">
        <v>2</v>
      </c>
      <c r="AN951" s="17"/>
      <c r="AO951" s="17">
        <v>725</v>
      </c>
      <c r="AP951" s="17"/>
      <c r="AQ951" s="17">
        <v>1295</v>
      </c>
      <c r="AR951" s="17"/>
      <c r="AS951" s="17">
        <v>1.79</v>
      </c>
      <c r="AT951" s="17"/>
      <c r="AU951" s="17">
        <v>770</v>
      </c>
      <c r="AV951" s="17"/>
      <c r="AW951" s="17">
        <v>1185</v>
      </c>
      <c r="AX951" s="17"/>
      <c r="AY951" t="s">
        <v>92</v>
      </c>
      <c r="AZ951" t="s">
        <v>92</v>
      </c>
      <c r="BA951" t="s">
        <v>92</v>
      </c>
      <c r="BB951" t="s">
        <v>92</v>
      </c>
      <c r="BC951" t="s">
        <v>92</v>
      </c>
      <c r="BD951" s="17">
        <v>2.15</v>
      </c>
      <c r="BE951" s="17">
        <v>1960296</v>
      </c>
      <c r="BF951" t="s">
        <v>92</v>
      </c>
      <c r="BG951" t="s">
        <v>92</v>
      </c>
      <c r="BH951" t="s">
        <v>93</v>
      </c>
      <c r="BI951" t="s">
        <v>94</v>
      </c>
      <c r="BJ951" t="s">
        <v>625</v>
      </c>
      <c r="BK951" t="s">
        <v>85</v>
      </c>
      <c r="BL951" t="s">
        <v>85</v>
      </c>
      <c r="BM951" t="s">
        <v>96</v>
      </c>
      <c r="BN951" t="s">
        <v>97</v>
      </c>
      <c r="BO951" t="s">
        <v>98</v>
      </c>
      <c r="BP951" t="s">
        <v>99</v>
      </c>
      <c r="BQ951" s="17">
        <v>108</v>
      </c>
      <c r="BR951" t="s">
        <v>138</v>
      </c>
      <c r="BS951" t="s">
        <v>92</v>
      </c>
      <c r="BT951" t="s">
        <v>99</v>
      </c>
      <c r="BU951" s="17">
        <v>9.3</v>
      </c>
      <c r="BV951" t="s">
        <v>308</v>
      </c>
      <c r="BW951" t="s">
        <v>85</v>
      </c>
      <c r="BX951" t="s">
        <v>85</v>
      </c>
      <c r="BY951" t="str">
        <f>IF(COUNTIF('Data Upload-prod'!E:E,F951)=0,"Missing","Exist")</f>
        <v>Exist</v>
      </c>
    </row>
    <row r="952" hidden="1" spans="1:77">
      <c r="A952" t="s">
        <v>84</v>
      </c>
      <c r="B952" s="16">
        <v>42080</v>
      </c>
      <c r="C952" t="s">
        <v>132</v>
      </c>
      <c r="D952" t="s">
        <v>120</v>
      </c>
      <c r="E952" t="s">
        <v>1035</v>
      </c>
      <c r="F952" t="s">
        <v>1577</v>
      </c>
      <c r="G952" t="s">
        <v>145</v>
      </c>
      <c r="H952" t="s">
        <v>1304</v>
      </c>
      <c r="I952" t="s">
        <v>124</v>
      </c>
      <c r="J952" s="17">
        <v>35.8</v>
      </c>
      <c r="K952" s="17">
        <v>1558</v>
      </c>
      <c r="L952" s="17">
        <v>1558</v>
      </c>
      <c r="M952" s="17">
        <v>34353608</v>
      </c>
      <c r="N952" s="17">
        <v>34947765</v>
      </c>
      <c r="O952" s="17">
        <v>37</v>
      </c>
      <c r="P952" s="17">
        <v>54</v>
      </c>
      <c r="Q952" t="s">
        <v>84</v>
      </c>
      <c r="R952" t="s">
        <v>84</v>
      </c>
      <c r="S952" t="s">
        <v>85</v>
      </c>
      <c r="T952" t="s">
        <v>84</v>
      </c>
      <c r="U952" t="s">
        <v>84</v>
      </c>
      <c r="V952" s="16">
        <v>41972.7291666667</v>
      </c>
      <c r="W952" s="18">
        <v>41969.2083333333</v>
      </c>
      <c r="X952" s="18">
        <v>42011</v>
      </c>
      <c r="Y952" s="17">
        <v>1560.7</v>
      </c>
      <c r="Z952" t="s">
        <v>87</v>
      </c>
      <c r="AA952" s="17">
        <v>1618</v>
      </c>
      <c r="AB952" s="17">
        <v>1618</v>
      </c>
      <c r="AC952" s="17">
        <v>21800000</v>
      </c>
      <c r="AD952" t="s">
        <v>84</v>
      </c>
      <c r="AE952" s="17">
        <v>42.35</v>
      </c>
      <c r="AF952" t="s">
        <v>84</v>
      </c>
      <c r="AG952" t="s">
        <v>84</v>
      </c>
      <c r="AH952" t="s">
        <v>84</v>
      </c>
      <c r="AI952" s="17">
        <v>4.18</v>
      </c>
      <c r="AJ952" s="17">
        <v>3.37</v>
      </c>
      <c r="AK952" t="s">
        <v>295</v>
      </c>
      <c r="AM952" s="17">
        <v>2.7</v>
      </c>
      <c r="AN952" s="17"/>
      <c r="AO952" s="17">
        <v>1490</v>
      </c>
      <c r="AP952" s="17"/>
      <c r="AQ952" s="17">
        <v>2760</v>
      </c>
      <c r="AR952" s="17"/>
      <c r="AS952" s="17">
        <v>1.98</v>
      </c>
      <c r="AT952" s="17"/>
      <c r="AU952" s="17">
        <v>849</v>
      </c>
      <c r="AV952" s="17"/>
      <c r="AW952" s="17">
        <v>2238</v>
      </c>
      <c r="AX952" s="17"/>
      <c r="AY952" t="s">
        <v>92</v>
      </c>
      <c r="AZ952" t="s">
        <v>92</v>
      </c>
      <c r="BA952" t="s">
        <v>92</v>
      </c>
      <c r="BB952" t="s">
        <v>92</v>
      </c>
      <c r="BC952" t="s">
        <v>92</v>
      </c>
      <c r="BD952" t="s">
        <v>92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92</v>
      </c>
      <c r="BM952" t="s">
        <v>92</v>
      </c>
      <c r="BN952" t="s">
        <v>92</v>
      </c>
      <c r="BO952" t="s">
        <v>92</v>
      </c>
      <c r="BP952" t="s">
        <v>92</v>
      </c>
      <c r="BQ952" t="s">
        <v>92</v>
      </c>
      <c r="BR952" t="s">
        <v>92</v>
      </c>
      <c r="BS952" t="s">
        <v>92</v>
      </c>
      <c r="BT952" t="s">
        <v>92</v>
      </c>
      <c r="BU952" t="s">
        <v>92</v>
      </c>
      <c r="BV952" t="s">
        <v>92</v>
      </c>
      <c r="BW952" t="s">
        <v>92</v>
      </c>
      <c r="BX952" t="s">
        <v>92</v>
      </c>
      <c r="BY952" t="str">
        <f>IF(COUNTIF('Data Upload-prod'!E:E,F952)=0,"Missing","Exist")</f>
        <v>Exist</v>
      </c>
    </row>
    <row r="953" hidden="1" spans="1:77">
      <c r="A953" t="s">
        <v>84</v>
      </c>
      <c r="B953" s="16">
        <v>43853</v>
      </c>
      <c r="C953" t="s">
        <v>218</v>
      </c>
      <c r="D953" t="s">
        <v>120</v>
      </c>
      <c r="E953" t="s">
        <v>1369</v>
      </c>
      <c r="F953" t="s">
        <v>1578</v>
      </c>
      <c r="G953" t="s">
        <v>81</v>
      </c>
      <c r="H953" t="s">
        <v>397</v>
      </c>
      <c r="I953" t="s">
        <v>124</v>
      </c>
      <c r="J953" s="17">
        <v>85</v>
      </c>
      <c r="K953" s="17">
        <v>1825</v>
      </c>
      <c r="L953" s="17">
        <v>1825</v>
      </c>
      <c r="M953" t="s">
        <v>84</v>
      </c>
      <c r="N953" t="s">
        <v>84</v>
      </c>
      <c r="O953" t="s">
        <v>84</v>
      </c>
      <c r="P953" t="s">
        <v>84</v>
      </c>
      <c r="Q953" s="17">
        <v>14889715</v>
      </c>
      <c r="R953" s="17">
        <v>27.59</v>
      </c>
      <c r="S953" t="s">
        <v>85</v>
      </c>
      <c r="T953" t="s">
        <v>84</v>
      </c>
      <c r="U953" t="s">
        <v>84</v>
      </c>
      <c r="V953" s="16">
        <v>43769</v>
      </c>
      <c r="W953" s="18">
        <v>43769.625</v>
      </c>
      <c r="X953" s="18">
        <v>43797.625</v>
      </c>
      <c r="Y953" s="17">
        <v>1707.76</v>
      </c>
      <c r="Z953" t="s">
        <v>87</v>
      </c>
      <c r="AA953" s="17">
        <v>1835</v>
      </c>
      <c r="AB953" s="17">
        <v>1834.57</v>
      </c>
      <c r="AC953" t="s">
        <v>84</v>
      </c>
      <c r="AD953" t="s">
        <v>84</v>
      </c>
      <c r="AE953" t="s">
        <v>84</v>
      </c>
      <c r="AF953" t="s">
        <v>84</v>
      </c>
      <c r="AG953" s="17">
        <v>9486109</v>
      </c>
      <c r="AH953" s="17">
        <v>27.34</v>
      </c>
      <c r="AI953" s="17">
        <v>1.68</v>
      </c>
      <c r="AJ953" s="17">
        <v>1.52</v>
      </c>
      <c r="AK953" t="s">
        <v>126</v>
      </c>
      <c r="AM953" s="17">
        <v>2.5</v>
      </c>
      <c r="AN953" s="17"/>
      <c r="AO953" s="17">
        <v>1010</v>
      </c>
      <c r="AP953" s="17"/>
      <c r="AQ953" s="17">
        <v>1705</v>
      </c>
      <c r="AR953" s="17"/>
      <c r="AS953" s="17">
        <v>2.6</v>
      </c>
      <c r="AT953" s="17"/>
      <c r="AU953" s="17">
        <v>1320</v>
      </c>
      <c r="AV953" s="17"/>
      <c r="AW953" s="17">
        <v>1870</v>
      </c>
      <c r="AX953" s="17"/>
      <c r="AY953" t="s">
        <v>92</v>
      </c>
      <c r="AZ953" t="s">
        <v>92</v>
      </c>
      <c r="BA953" t="s">
        <v>92</v>
      </c>
      <c r="BB953" t="s">
        <v>92</v>
      </c>
      <c r="BC953" t="s">
        <v>92</v>
      </c>
      <c r="BD953" t="s">
        <v>92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92</v>
      </c>
      <c r="BM953" t="s">
        <v>92</v>
      </c>
      <c r="BN953" t="s">
        <v>92</v>
      </c>
      <c r="BO953" t="s">
        <v>92</v>
      </c>
      <c r="BP953" t="s">
        <v>92</v>
      </c>
      <c r="BQ953" t="s">
        <v>92</v>
      </c>
      <c r="BR953" t="s">
        <v>92</v>
      </c>
      <c r="BS953" t="s">
        <v>92</v>
      </c>
      <c r="BT953" t="s">
        <v>92</v>
      </c>
      <c r="BU953" t="s">
        <v>92</v>
      </c>
      <c r="BV953" t="s">
        <v>92</v>
      </c>
      <c r="BW953" t="s">
        <v>92</v>
      </c>
      <c r="BX953" t="s">
        <v>92</v>
      </c>
      <c r="BY953" t="str">
        <f>IF(COUNTIF('Data Upload-prod'!E:E,F953)=0,"Missing","Exist")</f>
        <v>Exist</v>
      </c>
    </row>
    <row r="954" hidden="1" spans="1:77">
      <c r="A954" t="s">
        <v>84</v>
      </c>
      <c r="B954" s="16">
        <v>42324</v>
      </c>
      <c r="C954" t="s">
        <v>233</v>
      </c>
      <c r="D954" t="s">
        <v>78</v>
      </c>
      <c r="E954" t="s">
        <v>239</v>
      </c>
      <c r="F954" t="s">
        <v>1579</v>
      </c>
      <c r="G954" t="s">
        <v>81</v>
      </c>
      <c r="H954" t="s">
        <v>1216</v>
      </c>
      <c r="I954" t="s">
        <v>124</v>
      </c>
      <c r="J954" s="17">
        <v>74.7</v>
      </c>
      <c r="K954" s="17">
        <v>3676</v>
      </c>
      <c r="L954" s="17">
        <v>1650</v>
      </c>
      <c r="M954" t="s">
        <v>84</v>
      </c>
      <c r="N954" t="s">
        <v>84</v>
      </c>
      <c r="O954" t="s">
        <v>84</v>
      </c>
      <c r="P954" t="s">
        <v>84</v>
      </c>
      <c r="Q954" s="17">
        <v>19302544</v>
      </c>
      <c r="R954" s="17">
        <v>32</v>
      </c>
      <c r="S954" t="s">
        <v>85</v>
      </c>
      <c r="T954" t="s">
        <v>84</v>
      </c>
      <c r="U954" t="s">
        <v>86</v>
      </c>
      <c r="V954" s="16">
        <v>41864</v>
      </c>
      <c r="W954" s="18">
        <v>41859</v>
      </c>
      <c r="X954" s="18">
        <v>42269.375</v>
      </c>
      <c r="Y954" s="17">
        <v>3392.26</v>
      </c>
      <c r="Z954" t="s">
        <v>87</v>
      </c>
      <c r="AA954" s="17">
        <v>3511</v>
      </c>
      <c r="AB954" s="17">
        <v>1656</v>
      </c>
      <c r="AC954" t="s">
        <v>84</v>
      </c>
      <c r="AD954" t="s">
        <v>84</v>
      </c>
      <c r="AE954" t="s">
        <v>84</v>
      </c>
      <c r="AF954" t="s">
        <v>84</v>
      </c>
      <c r="AG954" s="17">
        <v>18200000</v>
      </c>
      <c r="AH954" s="17">
        <v>33</v>
      </c>
      <c r="AI954" s="17">
        <v>1.2</v>
      </c>
      <c r="AJ954" s="17">
        <v>1.2</v>
      </c>
      <c r="AK954" t="s">
        <v>114</v>
      </c>
      <c r="AM954" s="17">
        <v>2.2</v>
      </c>
      <c r="AN954" s="17"/>
      <c r="AO954" s="17">
        <v>915</v>
      </c>
      <c r="AP954" s="17"/>
      <c r="AQ954" s="17">
        <v>1450</v>
      </c>
      <c r="AR954" s="17"/>
      <c r="AS954" s="17">
        <v>1.88</v>
      </c>
      <c r="AT954" s="17"/>
      <c r="AU954" s="17">
        <v>1054.57</v>
      </c>
      <c r="AV954" s="17"/>
      <c r="AW954" s="17">
        <v>1587.62</v>
      </c>
      <c r="AX954" s="17"/>
      <c r="AY954" t="s">
        <v>92</v>
      </c>
      <c r="AZ954" t="s">
        <v>92</v>
      </c>
      <c r="BA954" t="s">
        <v>92</v>
      </c>
      <c r="BB954" t="s">
        <v>92</v>
      </c>
      <c r="BC954" t="s">
        <v>92</v>
      </c>
      <c r="BD954" s="17">
        <v>5.8</v>
      </c>
      <c r="BE954" s="17">
        <v>3900000</v>
      </c>
      <c r="BF954" t="s">
        <v>92</v>
      </c>
      <c r="BG954" t="s">
        <v>92</v>
      </c>
      <c r="BH954" t="s">
        <v>93</v>
      </c>
      <c r="BI954" t="s">
        <v>94</v>
      </c>
      <c r="BJ954" t="s">
        <v>128</v>
      </c>
      <c r="BK954" t="s">
        <v>85</v>
      </c>
      <c r="BL954" t="s">
        <v>129</v>
      </c>
      <c r="BM954" t="s">
        <v>96</v>
      </c>
      <c r="BN954" t="s">
        <v>97</v>
      </c>
      <c r="BO954" t="s">
        <v>98</v>
      </c>
      <c r="BP954" t="s">
        <v>103</v>
      </c>
      <c r="BQ954" s="17">
        <v>1279.59</v>
      </c>
      <c r="BR954" t="s">
        <v>138</v>
      </c>
      <c r="BS954" t="s">
        <v>130</v>
      </c>
      <c r="BT954" t="s">
        <v>103</v>
      </c>
      <c r="BU954" s="17">
        <v>9.5</v>
      </c>
      <c r="BV954" t="s">
        <v>101</v>
      </c>
      <c r="BW954" t="s">
        <v>129</v>
      </c>
      <c r="BX954" t="s">
        <v>85</v>
      </c>
      <c r="BY954" t="str">
        <f>IF(COUNTIF('Data Upload-prod'!E:E,F954)=0,"Missing","Exist")</f>
        <v>Exist</v>
      </c>
    </row>
    <row r="955" hidden="1" spans="1:77">
      <c r="A955" t="s">
        <v>84</v>
      </c>
      <c r="B955" s="16">
        <v>41753</v>
      </c>
      <c r="C955" t="s">
        <v>655</v>
      </c>
      <c r="D955" t="s">
        <v>120</v>
      </c>
      <c r="E955" t="s">
        <v>1580</v>
      </c>
      <c r="F955" t="s">
        <v>1581</v>
      </c>
      <c r="G955" t="s">
        <v>145</v>
      </c>
      <c r="H955" t="s">
        <v>1414</v>
      </c>
      <c r="I955" t="s">
        <v>231</v>
      </c>
      <c r="J955" s="17">
        <v>108.2</v>
      </c>
      <c r="K955" s="17">
        <v>2910</v>
      </c>
      <c r="L955" s="17">
        <v>2910</v>
      </c>
      <c r="M955" s="17">
        <v>17791790.95</v>
      </c>
      <c r="N955" s="17">
        <v>17791790.95</v>
      </c>
      <c r="O955" s="17">
        <v>23.94</v>
      </c>
      <c r="P955" s="17">
        <v>23.94</v>
      </c>
      <c r="Q955" t="s">
        <v>84</v>
      </c>
      <c r="R955" t="s">
        <v>84</v>
      </c>
      <c r="S955" t="s">
        <v>85</v>
      </c>
      <c r="T955" t="s">
        <v>84</v>
      </c>
      <c r="U955" t="s">
        <v>84</v>
      </c>
      <c r="V955" s="16">
        <v>41643</v>
      </c>
      <c r="W955" s="18">
        <v>41642.1666666667</v>
      </c>
      <c r="X955" s="18">
        <v>41694.6666666667</v>
      </c>
      <c r="Y955" s="17">
        <v>2867.1</v>
      </c>
      <c r="Z955" t="s">
        <v>87</v>
      </c>
      <c r="AA955" s="17">
        <v>3000</v>
      </c>
      <c r="AB955" s="17">
        <v>3000</v>
      </c>
      <c r="AC955" t="s">
        <v>84</v>
      </c>
      <c r="AD955" s="17">
        <v>28273123</v>
      </c>
      <c r="AE955" t="s">
        <v>84</v>
      </c>
      <c r="AF955" s="17">
        <v>51.04</v>
      </c>
      <c r="AG955" t="s">
        <v>84</v>
      </c>
      <c r="AH955" t="s">
        <v>84</v>
      </c>
      <c r="AI955" s="17">
        <v>17.2</v>
      </c>
      <c r="AJ955" s="17">
        <v>9.31</v>
      </c>
      <c r="AK955" t="s">
        <v>323</v>
      </c>
      <c r="AM955" s="17">
        <v>4.4</v>
      </c>
      <c r="AN955" s="17"/>
      <c r="AO955" s="17">
        <v>1980</v>
      </c>
      <c r="AP955" s="17"/>
      <c r="AQ955" s="17">
        <v>2760</v>
      </c>
      <c r="AR955" s="17"/>
      <c r="AS955" s="17">
        <v>2.9</v>
      </c>
      <c r="AT955" s="17"/>
      <c r="AU955" s="17">
        <v>1584</v>
      </c>
      <c r="AV955" s="17"/>
      <c r="AW955" s="17">
        <v>3006</v>
      </c>
      <c r="AX955" s="17"/>
      <c r="AY955" t="s">
        <v>92</v>
      </c>
      <c r="AZ955" t="s">
        <v>92</v>
      </c>
      <c r="BA955" t="s">
        <v>92</v>
      </c>
      <c r="BB955" t="s">
        <v>92</v>
      </c>
      <c r="BC955" t="s">
        <v>92</v>
      </c>
      <c r="BD955" t="s">
        <v>92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92</v>
      </c>
      <c r="BM955" t="s">
        <v>92</v>
      </c>
      <c r="BN955" t="s">
        <v>92</v>
      </c>
      <c r="BO955" t="s">
        <v>92</v>
      </c>
      <c r="BP955" t="s">
        <v>92</v>
      </c>
      <c r="BQ955" t="s">
        <v>92</v>
      </c>
      <c r="BR955" t="s">
        <v>92</v>
      </c>
      <c r="BS955" t="s">
        <v>92</v>
      </c>
      <c r="BT955" t="s">
        <v>92</v>
      </c>
      <c r="BU955" t="s">
        <v>92</v>
      </c>
      <c r="BV955" t="s">
        <v>92</v>
      </c>
      <c r="BW955" t="s">
        <v>92</v>
      </c>
      <c r="BX955" t="s">
        <v>92</v>
      </c>
      <c r="BY955" t="str">
        <f>IF(COUNTIF('Data Upload-prod'!E:E,F955)=0,"Missing","Exist")</f>
        <v>Exist</v>
      </c>
    </row>
    <row r="956" hidden="1" spans="1:77">
      <c r="A956" t="s">
        <v>84</v>
      </c>
      <c r="B956" s="16">
        <v>41757</v>
      </c>
      <c r="C956" t="s">
        <v>132</v>
      </c>
      <c r="D956" t="s">
        <v>142</v>
      </c>
      <c r="E956" t="s">
        <v>170</v>
      </c>
      <c r="F956" t="s">
        <v>1582</v>
      </c>
      <c r="G956" t="s">
        <v>81</v>
      </c>
      <c r="H956" t="s">
        <v>172</v>
      </c>
      <c r="I956" t="s">
        <v>124</v>
      </c>
      <c r="J956" s="17">
        <v>10.06</v>
      </c>
      <c r="K956" s="17">
        <v>2686.8</v>
      </c>
      <c r="L956" s="17">
        <v>2027.97</v>
      </c>
      <c r="M956" t="s">
        <v>84</v>
      </c>
      <c r="N956" t="s">
        <v>84</v>
      </c>
      <c r="O956" t="s">
        <v>84</v>
      </c>
      <c r="P956" t="s">
        <v>84</v>
      </c>
      <c r="Q956" s="17">
        <v>16720000</v>
      </c>
      <c r="R956" s="17">
        <v>36.33</v>
      </c>
      <c r="S956" t="s">
        <v>85</v>
      </c>
      <c r="T956" t="s">
        <v>84</v>
      </c>
      <c r="U956" t="s">
        <v>86</v>
      </c>
      <c r="V956" s="16">
        <v>41645.9375</v>
      </c>
      <c r="W956" s="18">
        <v>41645.9375</v>
      </c>
      <c r="X956" s="18">
        <v>41730.375</v>
      </c>
      <c r="Y956" s="17">
        <v>2957.63</v>
      </c>
      <c r="Z956" t="s">
        <v>87</v>
      </c>
      <c r="AA956" s="17">
        <v>3002.13</v>
      </c>
      <c r="AB956" s="17">
        <v>2190.28</v>
      </c>
      <c r="AC956" t="s">
        <v>84</v>
      </c>
      <c r="AD956" t="s">
        <v>84</v>
      </c>
      <c r="AE956" t="s">
        <v>84</v>
      </c>
      <c r="AF956" t="s">
        <v>84</v>
      </c>
      <c r="AG956" s="17">
        <v>16558841.83</v>
      </c>
      <c r="AH956" s="17">
        <v>37.66</v>
      </c>
      <c r="AI956" s="17">
        <v>19.14</v>
      </c>
      <c r="AJ956" s="17">
        <v>19.14</v>
      </c>
      <c r="AK956" t="s">
        <v>208</v>
      </c>
      <c r="AM956" s="17">
        <v>1.7</v>
      </c>
      <c r="AN956" s="17"/>
      <c r="AO956" s="17">
        <v>720</v>
      </c>
      <c r="AP956" s="17"/>
      <c r="AQ956" s="17">
        <v>1270</v>
      </c>
      <c r="AR956" s="17"/>
      <c r="AS956" s="17">
        <v>1.98</v>
      </c>
      <c r="AT956" s="17"/>
      <c r="AU956" s="17">
        <v>773.6</v>
      </c>
      <c r="AV956" s="17"/>
      <c r="AW956" s="17">
        <v>1650.79</v>
      </c>
      <c r="AX956" s="17"/>
      <c r="AY956" t="s">
        <v>92</v>
      </c>
      <c r="AZ956" t="s">
        <v>92</v>
      </c>
      <c r="BA956" t="s">
        <v>92</v>
      </c>
      <c r="BB956" t="s">
        <v>92</v>
      </c>
      <c r="BC956" t="s">
        <v>92</v>
      </c>
      <c r="BD956" s="17">
        <v>14.79</v>
      </c>
      <c r="BE956" s="17">
        <v>6142773.4</v>
      </c>
      <c r="BF956" t="s">
        <v>92</v>
      </c>
      <c r="BG956" t="s">
        <v>92</v>
      </c>
      <c r="BH956" t="s">
        <v>93</v>
      </c>
      <c r="BI956" t="s">
        <v>94</v>
      </c>
      <c r="BJ956" t="s">
        <v>128</v>
      </c>
      <c r="BK956" t="s">
        <v>85</v>
      </c>
      <c r="BL956" t="s">
        <v>85</v>
      </c>
      <c r="BM956" t="s">
        <v>96</v>
      </c>
      <c r="BN956" t="s">
        <v>573</v>
      </c>
      <c r="BO956" t="s">
        <v>98</v>
      </c>
      <c r="BP956" t="s">
        <v>99</v>
      </c>
      <c r="BQ956" s="17">
        <v>2018</v>
      </c>
      <c r="BR956" t="s">
        <v>138</v>
      </c>
      <c r="BS956" t="s">
        <v>156</v>
      </c>
      <c r="BT956" t="s">
        <v>175</v>
      </c>
      <c r="BU956" s="17">
        <v>8.9</v>
      </c>
      <c r="BV956" t="s">
        <v>110</v>
      </c>
      <c r="BW956" t="s">
        <v>85</v>
      </c>
      <c r="BX956" t="s">
        <v>85</v>
      </c>
      <c r="BY956" t="str">
        <f>IF(COUNTIF('Data Upload-prod'!E:E,F956)=0,"Missing","Exist")</f>
        <v>Exist</v>
      </c>
    </row>
    <row r="957" hidden="1" spans="1:77">
      <c r="A957" t="s">
        <v>84</v>
      </c>
      <c r="B957" s="16">
        <v>41345</v>
      </c>
      <c r="C957" t="s">
        <v>132</v>
      </c>
      <c r="D957" t="s">
        <v>120</v>
      </c>
      <c r="E957" t="s">
        <v>182</v>
      </c>
      <c r="F957" t="s">
        <v>1583</v>
      </c>
      <c r="G957" t="s">
        <v>81</v>
      </c>
      <c r="H957" t="s">
        <v>211</v>
      </c>
      <c r="I957" t="s">
        <v>124</v>
      </c>
      <c r="J957" s="17">
        <v>50.59</v>
      </c>
      <c r="K957" s="17">
        <v>2007.62</v>
      </c>
      <c r="L957" s="17">
        <v>1967.39</v>
      </c>
      <c r="M957" t="s">
        <v>84</v>
      </c>
      <c r="N957" t="s">
        <v>84</v>
      </c>
      <c r="O957" t="s">
        <v>84</v>
      </c>
      <c r="P957" t="s">
        <v>84</v>
      </c>
      <c r="Q957" s="17">
        <v>13400000</v>
      </c>
      <c r="R957" s="17">
        <v>26.3</v>
      </c>
      <c r="S957" t="s">
        <v>85</v>
      </c>
      <c r="T957" t="s">
        <v>84</v>
      </c>
      <c r="U957" t="s">
        <v>86</v>
      </c>
      <c r="V957" s="16">
        <v>41256</v>
      </c>
      <c r="W957" s="18">
        <v>41256</v>
      </c>
      <c r="X957" s="18">
        <v>41285</v>
      </c>
      <c r="Y957" s="17">
        <v>2163.06</v>
      </c>
      <c r="Z957" t="s">
        <v>87</v>
      </c>
      <c r="AA957" s="17">
        <v>2252.36</v>
      </c>
      <c r="AB957" s="17">
        <v>2054.25</v>
      </c>
      <c r="AC957" t="s">
        <v>84</v>
      </c>
      <c r="AD957" t="s">
        <v>84</v>
      </c>
      <c r="AE957" t="s">
        <v>84</v>
      </c>
      <c r="AF957" t="s">
        <v>84</v>
      </c>
      <c r="AG957" s="17">
        <v>11877666</v>
      </c>
      <c r="AH957" s="17">
        <v>28.6</v>
      </c>
      <c r="AI957" s="17">
        <v>1.55</v>
      </c>
      <c r="AJ957" s="17">
        <v>1.55</v>
      </c>
      <c r="AK957" t="s">
        <v>208</v>
      </c>
      <c r="AM957" s="17">
        <v>2.2</v>
      </c>
      <c r="AN957" s="17"/>
      <c r="AO957" s="17">
        <v>830</v>
      </c>
      <c r="AP957" s="17"/>
      <c r="AQ957" s="17">
        <v>1395</v>
      </c>
      <c r="AR957" s="17"/>
      <c r="AS957" s="17">
        <v>2.2</v>
      </c>
      <c r="AT957" s="17"/>
      <c r="AU957" s="17">
        <v>342.03</v>
      </c>
      <c r="AV957" s="17"/>
      <c r="AW957" s="17">
        <v>544.75</v>
      </c>
      <c r="AX957" s="17"/>
      <c r="AY957" t="s">
        <v>92</v>
      </c>
      <c r="AZ957" t="s">
        <v>92</v>
      </c>
      <c r="BA957" t="s">
        <v>92</v>
      </c>
      <c r="BB957" t="s">
        <v>92</v>
      </c>
      <c r="BC957" t="s">
        <v>92</v>
      </c>
      <c r="BD957" s="17">
        <v>6.21</v>
      </c>
      <c r="BE957" s="17">
        <v>2249786.19</v>
      </c>
      <c r="BF957" t="s">
        <v>92</v>
      </c>
      <c r="BG957" t="s">
        <v>92</v>
      </c>
      <c r="BH957" t="s">
        <v>93</v>
      </c>
      <c r="BI957" t="s">
        <v>94</v>
      </c>
      <c r="BJ957" t="s">
        <v>173</v>
      </c>
      <c r="BK957" t="s">
        <v>85</v>
      </c>
      <c r="BL957" t="s">
        <v>85</v>
      </c>
      <c r="BM957" t="s">
        <v>96</v>
      </c>
      <c r="BN957" t="s">
        <v>174</v>
      </c>
      <c r="BO957" t="s">
        <v>98</v>
      </c>
      <c r="BP957" t="s">
        <v>99</v>
      </c>
      <c r="BQ957" s="17">
        <v>131</v>
      </c>
      <c r="BR957" t="s">
        <v>100</v>
      </c>
      <c r="BS957" t="s">
        <v>92</v>
      </c>
      <c r="BT957" t="s">
        <v>175</v>
      </c>
      <c r="BU957" s="17">
        <v>8.3</v>
      </c>
      <c r="BV957" t="s">
        <v>340</v>
      </c>
      <c r="BW957" t="s">
        <v>85</v>
      </c>
      <c r="BX957" t="s">
        <v>85</v>
      </c>
      <c r="BY957" t="str">
        <f>IF(COUNTIF('Data Upload-prod'!E:E,F957)=0,"Missing","Exist")</f>
        <v>Exist</v>
      </c>
    </row>
    <row r="958" hidden="1" spans="1:77">
      <c r="A958" t="s">
        <v>84</v>
      </c>
      <c r="B958" s="16">
        <v>45422</v>
      </c>
      <c r="C958" t="s">
        <v>132</v>
      </c>
      <c r="D958" t="s">
        <v>120</v>
      </c>
      <c r="E958" t="s">
        <v>463</v>
      </c>
      <c r="F958" t="s">
        <v>1584</v>
      </c>
      <c r="G958" t="s">
        <v>81</v>
      </c>
      <c r="H958" t="s">
        <v>397</v>
      </c>
      <c r="I958" t="s">
        <v>124</v>
      </c>
      <c r="J958" s="17">
        <v>69.49</v>
      </c>
      <c r="K958" s="17">
        <v>840</v>
      </c>
      <c r="L958" s="17">
        <v>785</v>
      </c>
      <c r="M958" t="s">
        <v>84</v>
      </c>
      <c r="N958" t="s">
        <v>84</v>
      </c>
      <c r="O958" t="s">
        <v>84</v>
      </c>
      <c r="P958" t="s">
        <v>84</v>
      </c>
      <c r="Q958" s="17">
        <v>7650115.25</v>
      </c>
      <c r="R958" s="17">
        <v>15.83</v>
      </c>
      <c r="S958" t="s">
        <v>85</v>
      </c>
      <c r="T958" t="s">
        <v>84</v>
      </c>
      <c r="U958" t="s">
        <v>86</v>
      </c>
      <c r="V958" s="16">
        <v>45299</v>
      </c>
      <c r="W958" s="18">
        <v>45299.875</v>
      </c>
      <c r="X958" s="18">
        <v>45362</v>
      </c>
      <c r="Y958" s="17">
        <v>745.01</v>
      </c>
      <c r="Z958" t="s">
        <v>87</v>
      </c>
      <c r="AA958" s="17">
        <v>854.01</v>
      </c>
      <c r="AB958" s="17">
        <v>795.63</v>
      </c>
      <c r="AC958" t="s">
        <v>84</v>
      </c>
      <c r="AD958" t="s">
        <v>84</v>
      </c>
      <c r="AE958" t="s">
        <v>84</v>
      </c>
      <c r="AF958" t="s">
        <v>84</v>
      </c>
      <c r="AG958" s="17">
        <v>7645949.78</v>
      </c>
      <c r="AH958" s="17">
        <v>15.19</v>
      </c>
      <c r="AI958" s="17">
        <v>0.41</v>
      </c>
      <c r="AJ958" s="17">
        <v>0.41</v>
      </c>
      <c r="AK958" t="s">
        <v>208</v>
      </c>
      <c r="AM958" s="17">
        <v>2.2</v>
      </c>
      <c r="AN958" s="17"/>
      <c r="AO958" s="17">
        <v>830</v>
      </c>
      <c r="AP958" s="17"/>
      <c r="AQ958" s="17">
        <v>1380</v>
      </c>
      <c r="AR958" s="17"/>
      <c r="AS958" s="17">
        <v>3.1</v>
      </c>
      <c r="AT958" s="17"/>
      <c r="AU958" s="17">
        <v>1434</v>
      </c>
      <c r="AV958" s="17"/>
      <c r="AW958" s="17">
        <v>2857</v>
      </c>
      <c r="AX958" s="17"/>
      <c r="AY958" t="s">
        <v>92</v>
      </c>
      <c r="AZ958" t="s">
        <v>92</v>
      </c>
      <c r="BA958" t="s">
        <v>92</v>
      </c>
      <c r="BB958" t="s">
        <v>92</v>
      </c>
      <c r="BC958" t="s">
        <v>92</v>
      </c>
      <c r="BD958" s="17">
        <v>4</v>
      </c>
      <c r="BE958" s="17">
        <v>1000314</v>
      </c>
      <c r="BF958" s="17">
        <v>1.4</v>
      </c>
      <c r="BG958" s="17">
        <v>357</v>
      </c>
      <c r="BH958" t="s">
        <v>93</v>
      </c>
      <c r="BI958" t="s">
        <v>94</v>
      </c>
      <c r="BJ958" t="s">
        <v>128</v>
      </c>
      <c r="BK958" t="s">
        <v>85</v>
      </c>
      <c r="BL958" t="s">
        <v>85</v>
      </c>
      <c r="BM958" t="s">
        <v>96</v>
      </c>
      <c r="BN958" t="s">
        <v>97</v>
      </c>
      <c r="BO958" t="s">
        <v>98</v>
      </c>
      <c r="BP958" t="s">
        <v>99</v>
      </c>
      <c r="BQ958" s="17">
        <v>1073</v>
      </c>
      <c r="BR958" t="s">
        <v>138</v>
      </c>
      <c r="BS958" t="s">
        <v>285</v>
      </c>
      <c r="BT958" t="s">
        <v>99</v>
      </c>
      <c r="BU958" s="17">
        <v>9</v>
      </c>
      <c r="BV958" t="s">
        <v>191</v>
      </c>
      <c r="BW958" t="s">
        <v>85</v>
      </c>
      <c r="BX958" t="s">
        <v>85</v>
      </c>
      <c r="BY958" t="str">
        <f>IF(COUNTIF('Data Upload-prod'!E:E,F958)=0,"Missing","Exist")</f>
        <v>Exist</v>
      </c>
    </row>
    <row r="959" hidden="1" spans="1:77">
      <c r="A959" t="s">
        <v>84</v>
      </c>
      <c r="B959" s="16">
        <v>41564</v>
      </c>
      <c r="C959" t="s">
        <v>132</v>
      </c>
      <c r="D959" t="s">
        <v>78</v>
      </c>
      <c r="E959" t="s">
        <v>1001</v>
      </c>
      <c r="F959" t="s">
        <v>1585</v>
      </c>
      <c r="G959" t="s">
        <v>81</v>
      </c>
      <c r="H959" t="s">
        <v>1490</v>
      </c>
      <c r="I959" t="s">
        <v>83</v>
      </c>
      <c r="J959" s="17">
        <v>68</v>
      </c>
      <c r="K959" s="17">
        <v>4159</v>
      </c>
      <c r="L959" s="17">
        <v>1677</v>
      </c>
      <c r="M959" t="s">
        <v>84</v>
      </c>
      <c r="N959" t="s">
        <v>84</v>
      </c>
      <c r="O959" t="s">
        <v>84</v>
      </c>
      <c r="P959" t="s">
        <v>84</v>
      </c>
      <c r="Q959" s="17">
        <v>22259173</v>
      </c>
      <c r="R959" s="17">
        <v>53.45</v>
      </c>
      <c r="S959" t="s">
        <v>85</v>
      </c>
      <c r="T959" t="s">
        <v>84</v>
      </c>
      <c r="U959" t="s">
        <v>86</v>
      </c>
      <c r="V959" s="16">
        <v>41309</v>
      </c>
      <c r="W959" s="18">
        <v>41232</v>
      </c>
      <c r="X959" s="18">
        <v>41413</v>
      </c>
      <c r="Y959" s="17">
        <v>4029</v>
      </c>
      <c r="Z959" t="s">
        <v>87</v>
      </c>
      <c r="AA959" s="17">
        <v>4133</v>
      </c>
      <c r="AB959" s="17">
        <v>1662.08</v>
      </c>
      <c r="AC959" t="s">
        <v>84</v>
      </c>
      <c r="AD959" t="s">
        <v>84</v>
      </c>
      <c r="AE959" t="s">
        <v>84</v>
      </c>
      <c r="AF959" t="s">
        <v>84</v>
      </c>
      <c r="AG959" s="17">
        <v>29446367.74</v>
      </c>
      <c r="AH959" s="17">
        <v>72.35</v>
      </c>
      <c r="AI959" s="17">
        <v>22</v>
      </c>
      <c r="AJ959" s="17">
        <v>22</v>
      </c>
      <c r="AK959" t="s">
        <v>114</v>
      </c>
      <c r="AM959" s="17">
        <v>2.2</v>
      </c>
      <c r="AN959" s="17"/>
      <c r="AO959" s="17">
        <v>915</v>
      </c>
      <c r="AP959" s="17"/>
      <c r="AQ959" s="17">
        <v>1520</v>
      </c>
      <c r="AR959" s="17"/>
      <c r="AS959" s="17">
        <v>4.16</v>
      </c>
      <c r="AT959" s="17"/>
      <c r="AU959" s="17">
        <v>1927.27</v>
      </c>
      <c r="AV959" s="17"/>
      <c r="AW959" s="17">
        <v>2121.71</v>
      </c>
      <c r="AX959" s="17"/>
      <c r="AY959" t="s">
        <v>92</v>
      </c>
      <c r="AZ959" t="s">
        <v>92</v>
      </c>
      <c r="BA959" t="s">
        <v>92</v>
      </c>
      <c r="BB959" t="s">
        <v>92</v>
      </c>
      <c r="BC959" t="s">
        <v>92</v>
      </c>
      <c r="BD959" s="17">
        <v>13.65</v>
      </c>
      <c r="BE959" s="17">
        <v>5773966.34</v>
      </c>
      <c r="BF959" t="s">
        <v>92</v>
      </c>
      <c r="BG959" t="s">
        <v>92</v>
      </c>
      <c r="BH959" t="s">
        <v>93</v>
      </c>
      <c r="BI959" t="s">
        <v>94</v>
      </c>
      <c r="BJ959" t="s">
        <v>173</v>
      </c>
      <c r="BK959" t="s">
        <v>85</v>
      </c>
      <c r="BL959" t="s">
        <v>85</v>
      </c>
      <c r="BM959" t="s">
        <v>96</v>
      </c>
      <c r="BN959" t="s">
        <v>97</v>
      </c>
      <c r="BO959" t="s">
        <v>98</v>
      </c>
      <c r="BP959" t="s">
        <v>103</v>
      </c>
      <c r="BQ959" s="17">
        <v>843.217</v>
      </c>
      <c r="BR959" t="s">
        <v>100</v>
      </c>
      <c r="BS959" t="s">
        <v>156</v>
      </c>
      <c r="BT959" t="s">
        <v>550</v>
      </c>
      <c r="BU959" s="17">
        <v>8.5</v>
      </c>
      <c r="BV959" t="s">
        <v>191</v>
      </c>
      <c r="BW959" t="s">
        <v>85</v>
      </c>
      <c r="BX959" t="s">
        <v>85</v>
      </c>
      <c r="BY959" t="str">
        <f>IF(COUNTIF('Data Upload-prod'!E:E,F959)=0,"Missing","Exist")</f>
        <v>Exist</v>
      </c>
    </row>
    <row r="960" hidden="1" spans="1:77">
      <c r="A960" t="s">
        <v>84</v>
      </c>
      <c r="B960" s="16">
        <v>41639</v>
      </c>
      <c r="C960" t="s">
        <v>132</v>
      </c>
      <c r="D960" t="s">
        <v>78</v>
      </c>
      <c r="E960" t="s">
        <v>422</v>
      </c>
      <c r="F960" t="s">
        <v>1586</v>
      </c>
      <c r="G960" t="s">
        <v>81</v>
      </c>
      <c r="H960" t="s">
        <v>1560</v>
      </c>
      <c r="I960" t="s">
        <v>83</v>
      </c>
      <c r="J960" s="17">
        <v>71.3</v>
      </c>
      <c r="K960" s="17">
        <v>3181</v>
      </c>
      <c r="L960" s="17">
        <v>1647</v>
      </c>
      <c r="M960" t="s">
        <v>84</v>
      </c>
      <c r="N960" t="s">
        <v>84</v>
      </c>
      <c r="O960" t="s">
        <v>84</v>
      </c>
      <c r="P960" t="s">
        <v>84</v>
      </c>
      <c r="Q960" s="17">
        <v>16992853.06</v>
      </c>
      <c r="R960" s="17">
        <v>34.14</v>
      </c>
      <c r="S960" t="s">
        <v>85</v>
      </c>
      <c r="T960" t="s">
        <v>84</v>
      </c>
      <c r="U960" t="s">
        <v>86</v>
      </c>
      <c r="V960" s="16">
        <v>41486</v>
      </c>
      <c r="W960" s="18">
        <v>41426</v>
      </c>
      <c r="X960" s="18">
        <v>41519.7083333333</v>
      </c>
      <c r="Y960" s="17">
        <v>3187.8</v>
      </c>
      <c r="Z960" t="s">
        <v>87</v>
      </c>
      <c r="AA960" s="17">
        <v>3290</v>
      </c>
      <c r="AB960" s="17">
        <v>1647</v>
      </c>
      <c r="AC960" t="s">
        <v>84</v>
      </c>
      <c r="AD960" t="s">
        <v>84</v>
      </c>
      <c r="AE960" t="s">
        <v>84</v>
      </c>
      <c r="AF960" t="s">
        <v>84</v>
      </c>
      <c r="AG960" s="17">
        <v>16685414.49</v>
      </c>
      <c r="AH960" s="17">
        <v>44.9</v>
      </c>
      <c r="AI960" s="17">
        <v>3.85</v>
      </c>
      <c r="AJ960" s="17">
        <v>3.74</v>
      </c>
      <c r="AK960" t="s">
        <v>89</v>
      </c>
      <c r="AM960" s="17">
        <v>2.4</v>
      </c>
      <c r="AN960" s="17"/>
      <c r="AO960" s="17">
        <v>795</v>
      </c>
      <c r="AP960" s="17"/>
      <c r="AQ960" s="17">
        <v>1400</v>
      </c>
      <c r="AR960" s="17"/>
      <c r="AS960" s="17">
        <v>2.81</v>
      </c>
      <c r="AT960" s="17"/>
      <c r="AU960" s="17">
        <v>1110</v>
      </c>
      <c r="AV960" s="17"/>
      <c r="AW960" s="17">
        <v>1780</v>
      </c>
      <c r="AX960" s="17"/>
      <c r="AY960" t="s">
        <v>92</v>
      </c>
      <c r="AZ960" t="s">
        <v>92</v>
      </c>
      <c r="BA960" t="s">
        <v>92</v>
      </c>
      <c r="BB960" t="s">
        <v>92</v>
      </c>
      <c r="BC960" t="s">
        <v>92</v>
      </c>
      <c r="BD960" s="17">
        <v>8.01</v>
      </c>
      <c r="BE960" s="17">
        <v>2586311.8</v>
      </c>
      <c r="BF960" t="s">
        <v>92</v>
      </c>
      <c r="BG960" t="s">
        <v>92</v>
      </c>
      <c r="BH960" t="s">
        <v>93</v>
      </c>
      <c r="BI960" t="s">
        <v>94</v>
      </c>
      <c r="BJ960" t="s">
        <v>128</v>
      </c>
      <c r="BK960" t="s">
        <v>85</v>
      </c>
      <c r="BL960" t="s">
        <v>85</v>
      </c>
      <c r="BM960" t="s">
        <v>96</v>
      </c>
      <c r="BN960" t="s">
        <v>97</v>
      </c>
      <c r="BO960" t="s">
        <v>98</v>
      </c>
      <c r="BP960" t="s">
        <v>103</v>
      </c>
      <c r="BQ960" s="17">
        <v>2404.973</v>
      </c>
      <c r="BR960" t="s">
        <v>100</v>
      </c>
      <c r="BS960" t="s">
        <v>156</v>
      </c>
      <c r="BT960" t="s">
        <v>550</v>
      </c>
      <c r="BU960" s="17">
        <v>8.4</v>
      </c>
      <c r="BV960" t="s">
        <v>191</v>
      </c>
      <c r="BW960" t="s">
        <v>85</v>
      </c>
      <c r="BX960" t="s">
        <v>85</v>
      </c>
      <c r="BY960" t="str">
        <f>IF(COUNTIF('Data Upload-prod'!E:E,F960)=0,"Missing","Exist")</f>
        <v>Exist</v>
      </c>
    </row>
    <row r="961" hidden="1" spans="1:77">
      <c r="A961" t="s">
        <v>84</v>
      </c>
      <c r="B961" s="16">
        <v>41782</v>
      </c>
      <c r="C961" t="s">
        <v>242</v>
      </c>
      <c r="D961" t="s">
        <v>78</v>
      </c>
      <c r="E961" t="s">
        <v>248</v>
      </c>
      <c r="F961" t="s">
        <v>1587</v>
      </c>
      <c r="G961" t="s">
        <v>81</v>
      </c>
      <c r="H961" t="s">
        <v>250</v>
      </c>
      <c r="I961" t="s">
        <v>124</v>
      </c>
      <c r="J961" s="17">
        <v>58.52</v>
      </c>
      <c r="K961" s="17">
        <v>2377.93</v>
      </c>
      <c r="L961" s="17">
        <v>2202.99</v>
      </c>
      <c r="M961" t="s">
        <v>84</v>
      </c>
      <c r="N961" t="s">
        <v>84</v>
      </c>
      <c r="O961" t="s">
        <v>84</v>
      </c>
      <c r="P961" t="s">
        <v>84</v>
      </c>
      <c r="Q961" s="17">
        <v>8262691</v>
      </c>
      <c r="R961" s="17">
        <v>17.16</v>
      </c>
      <c r="S961" t="s">
        <v>106</v>
      </c>
      <c r="T961" t="s">
        <v>84</v>
      </c>
      <c r="U961" t="s">
        <v>84</v>
      </c>
      <c r="V961" s="16">
        <v>41668</v>
      </c>
      <c r="W961" s="18">
        <v>41634.4791666667</v>
      </c>
      <c r="X961" s="18">
        <v>41686.0625</v>
      </c>
      <c r="Y961" s="17">
        <v>2215.27</v>
      </c>
      <c r="Z961" t="s">
        <v>87</v>
      </c>
      <c r="AA961" s="17">
        <v>2308.84</v>
      </c>
      <c r="AB961" s="17">
        <v>2196.28</v>
      </c>
      <c r="AC961" t="s">
        <v>84</v>
      </c>
      <c r="AD961" t="s">
        <v>84</v>
      </c>
      <c r="AE961" t="s">
        <v>84</v>
      </c>
      <c r="AF961" t="s">
        <v>84</v>
      </c>
      <c r="AG961" s="17">
        <v>6857051.31</v>
      </c>
      <c r="AH961" s="17">
        <v>19.44</v>
      </c>
      <c r="AI961" s="17">
        <v>14.04</v>
      </c>
      <c r="AJ961" s="17">
        <v>14.04</v>
      </c>
      <c r="AK961" t="s">
        <v>208</v>
      </c>
      <c r="AM961" s="17">
        <v>2.1</v>
      </c>
      <c r="AN961" s="17"/>
      <c r="AO961" s="17">
        <v>700</v>
      </c>
      <c r="AP961" s="17"/>
      <c r="AQ961" s="17">
        <v>1220</v>
      </c>
      <c r="AR961" s="17"/>
      <c r="AS961" s="13" t="s">
        <v>150</v>
      </c>
      <c r="AT961" s="13"/>
      <c r="AU961" s="13" t="s">
        <v>150</v>
      </c>
      <c r="AW961" s="13" t="s">
        <v>150</v>
      </c>
      <c r="AY961" t="s">
        <v>92</v>
      </c>
      <c r="AZ961" t="s">
        <v>92</v>
      </c>
      <c r="BA961" t="s">
        <v>92</v>
      </c>
      <c r="BB961" t="s">
        <v>92</v>
      </c>
      <c r="BC961" t="s">
        <v>92</v>
      </c>
      <c r="BD961" t="s">
        <v>92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92</v>
      </c>
      <c r="BM961" t="s">
        <v>92</v>
      </c>
      <c r="BN961" t="s">
        <v>92</v>
      </c>
      <c r="BO961" t="s">
        <v>92</v>
      </c>
      <c r="BP961" t="s">
        <v>92</v>
      </c>
      <c r="BQ961" t="s">
        <v>92</v>
      </c>
      <c r="BR961" t="s">
        <v>92</v>
      </c>
      <c r="BS961" t="s">
        <v>92</v>
      </c>
      <c r="BT961" t="s">
        <v>92</v>
      </c>
      <c r="BU961" t="s">
        <v>92</v>
      </c>
      <c r="BV961" t="s">
        <v>92</v>
      </c>
      <c r="BW961" t="s">
        <v>92</v>
      </c>
      <c r="BX961" t="s">
        <v>92</v>
      </c>
      <c r="BY961" t="str">
        <f>IF(COUNTIF('Data Upload-prod'!E:E,F961)=0,"Missing","Exist")</f>
        <v>Exist</v>
      </c>
    </row>
    <row r="962" hidden="1" spans="1:77">
      <c r="A962" t="s">
        <v>84</v>
      </c>
      <c r="B962" s="16">
        <v>41019</v>
      </c>
      <c r="C962" t="s">
        <v>132</v>
      </c>
      <c r="D962" t="s">
        <v>78</v>
      </c>
      <c r="E962" t="s">
        <v>1493</v>
      </c>
      <c r="F962" t="s">
        <v>1588</v>
      </c>
      <c r="G962" t="s">
        <v>81</v>
      </c>
      <c r="H962" t="s">
        <v>1495</v>
      </c>
      <c r="I962" t="s">
        <v>83</v>
      </c>
      <c r="J962" s="17">
        <v>73.4</v>
      </c>
      <c r="K962" s="17">
        <v>1716</v>
      </c>
      <c r="L962" s="17">
        <v>1544</v>
      </c>
      <c r="M962" t="s">
        <v>84</v>
      </c>
      <c r="N962" t="s">
        <v>84</v>
      </c>
      <c r="O962" t="s">
        <v>84</v>
      </c>
      <c r="P962" t="s">
        <v>84</v>
      </c>
      <c r="Q962" s="17">
        <v>14330860</v>
      </c>
      <c r="R962" s="17">
        <v>26.71</v>
      </c>
      <c r="S962" t="s">
        <v>85</v>
      </c>
      <c r="T962" t="s">
        <v>84</v>
      </c>
      <c r="U962" t="s">
        <v>86</v>
      </c>
      <c r="V962" s="16">
        <v>40880.6666666667</v>
      </c>
      <c r="W962" s="18">
        <v>40879</v>
      </c>
      <c r="X962" s="18">
        <v>40931.5625</v>
      </c>
      <c r="Y962" s="17">
        <v>1626.84</v>
      </c>
      <c r="Z962" t="s">
        <v>87</v>
      </c>
      <c r="AA962" s="17">
        <v>1734</v>
      </c>
      <c r="AB962" s="17">
        <v>1560</v>
      </c>
      <c r="AC962" t="s">
        <v>84</v>
      </c>
      <c r="AD962" t="s">
        <v>84</v>
      </c>
      <c r="AE962" t="s">
        <v>84</v>
      </c>
      <c r="AF962" t="s">
        <v>84</v>
      </c>
      <c r="AG962" s="17">
        <v>12510337</v>
      </c>
      <c r="AH962" s="17">
        <v>52.56</v>
      </c>
      <c r="AI962" s="17">
        <v>52.99</v>
      </c>
      <c r="AJ962" s="17">
        <v>16.12</v>
      </c>
      <c r="AK962" t="s">
        <v>208</v>
      </c>
      <c r="AM962" s="17">
        <v>2.1</v>
      </c>
      <c r="AN962" s="17"/>
      <c r="AO962" s="17">
        <v>700</v>
      </c>
      <c r="AP962" s="17"/>
      <c r="AQ962" s="17">
        <v>1220</v>
      </c>
      <c r="AR962" s="17"/>
      <c r="AS962" s="17">
        <v>2.51</v>
      </c>
      <c r="AT962" s="17"/>
      <c r="AU962" s="17">
        <v>2844</v>
      </c>
      <c r="AV962" s="17"/>
      <c r="AW962" s="17">
        <v>8796.8</v>
      </c>
      <c r="AX962" s="17"/>
      <c r="AY962" t="s">
        <v>92</v>
      </c>
      <c r="AZ962" t="s">
        <v>92</v>
      </c>
      <c r="BA962" t="s">
        <v>92</v>
      </c>
      <c r="BB962" t="s">
        <v>92</v>
      </c>
      <c r="BC962" t="s">
        <v>92</v>
      </c>
      <c r="BD962" s="17">
        <v>10.59</v>
      </c>
      <c r="BE962" s="17">
        <v>2520336.14</v>
      </c>
      <c r="BF962" t="s">
        <v>92</v>
      </c>
      <c r="BG962" t="s">
        <v>92</v>
      </c>
      <c r="BH962" t="s">
        <v>93</v>
      </c>
      <c r="BI962" t="s">
        <v>94</v>
      </c>
      <c r="BJ962" t="s">
        <v>173</v>
      </c>
      <c r="BK962" t="s">
        <v>85</v>
      </c>
      <c r="BL962" t="s">
        <v>85</v>
      </c>
      <c r="BM962" t="s">
        <v>96</v>
      </c>
      <c r="BN962" t="s">
        <v>569</v>
      </c>
      <c r="BO962" t="s">
        <v>216</v>
      </c>
      <c r="BP962" t="s">
        <v>630</v>
      </c>
      <c r="BQ962" s="17">
        <v>187.017</v>
      </c>
      <c r="BR962" t="s">
        <v>100</v>
      </c>
      <c r="BS962" t="s">
        <v>156</v>
      </c>
      <c r="BT962" t="s">
        <v>630</v>
      </c>
      <c r="BU962" s="17">
        <v>9.3</v>
      </c>
      <c r="BV962" t="s">
        <v>191</v>
      </c>
      <c r="BW962" t="s">
        <v>85</v>
      </c>
      <c r="BX962" t="s">
        <v>85</v>
      </c>
      <c r="BY962" t="str">
        <f>IF(COUNTIF('Data Upload-prod'!E:E,F962)=0,"Missing","Exist")</f>
        <v>Exist</v>
      </c>
    </row>
    <row r="963" hidden="1" spans="1:77">
      <c r="A963" t="s">
        <v>84</v>
      </c>
      <c r="B963" s="16">
        <v>42108</v>
      </c>
      <c r="C963" t="s">
        <v>233</v>
      </c>
      <c r="D963" t="s">
        <v>78</v>
      </c>
      <c r="E963" t="s">
        <v>239</v>
      </c>
      <c r="F963" t="s">
        <v>1589</v>
      </c>
      <c r="G963" t="s">
        <v>81</v>
      </c>
      <c r="H963" t="s">
        <v>1216</v>
      </c>
      <c r="I963" t="s">
        <v>124</v>
      </c>
      <c r="J963" s="17">
        <v>74.7</v>
      </c>
      <c r="K963" s="17">
        <v>3151</v>
      </c>
      <c r="L963" s="17">
        <v>1641.37</v>
      </c>
      <c r="M963" t="s">
        <v>84</v>
      </c>
      <c r="N963" t="s">
        <v>84</v>
      </c>
      <c r="O963" t="s">
        <v>84</v>
      </c>
      <c r="P963" t="s">
        <v>84</v>
      </c>
      <c r="Q963" s="17">
        <v>20169983</v>
      </c>
      <c r="R963" s="17">
        <v>33.8</v>
      </c>
      <c r="S963" t="s">
        <v>106</v>
      </c>
      <c r="T963" t="s">
        <v>84</v>
      </c>
      <c r="U963" t="s">
        <v>86</v>
      </c>
      <c r="V963" s="16">
        <v>41860</v>
      </c>
      <c r="W963" s="18">
        <v>41859</v>
      </c>
      <c r="X963" s="18">
        <v>42075</v>
      </c>
      <c r="Y963" s="17">
        <v>3132.26</v>
      </c>
      <c r="Z963" t="s">
        <v>87</v>
      </c>
      <c r="AA963" s="17">
        <v>3251</v>
      </c>
      <c r="AB963" s="17">
        <v>1642.52</v>
      </c>
      <c r="AC963" t="s">
        <v>84</v>
      </c>
      <c r="AD963" t="s">
        <v>84</v>
      </c>
      <c r="AE963" t="s">
        <v>84</v>
      </c>
      <c r="AF963" t="s">
        <v>84</v>
      </c>
      <c r="AG963" s="17">
        <v>20454349</v>
      </c>
      <c r="AH963" s="17">
        <v>34.5</v>
      </c>
      <c r="AI963" s="17">
        <v>4.59</v>
      </c>
      <c r="AJ963" s="17">
        <v>4.59</v>
      </c>
      <c r="AK963" t="s">
        <v>165</v>
      </c>
      <c r="AM963" s="17">
        <v>3.2</v>
      </c>
      <c r="AN963" s="17"/>
      <c r="AO963" s="17">
        <v>1300</v>
      </c>
      <c r="AP963" s="17"/>
      <c r="AQ963" s="17">
        <v>1830</v>
      </c>
      <c r="AR963" s="17"/>
      <c r="AS963" s="17">
        <v>2.02</v>
      </c>
      <c r="AT963" s="17"/>
      <c r="AU963" s="17">
        <v>1118.39</v>
      </c>
      <c r="AV963" s="17"/>
      <c r="AW963" s="17">
        <v>1507.74</v>
      </c>
      <c r="AX963" s="17"/>
      <c r="AY963" t="s">
        <v>92</v>
      </c>
      <c r="AZ963" t="s">
        <v>92</v>
      </c>
      <c r="BA963" t="s">
        <v>92</v>
      </c>
      <c r="BB963" t="s">
        <v>92</v>
      </c>
      <c r="BC963" t="s">
        <v>92</v>
      </c>
      <c r="BD963" s="17">
        <v>5.8</v>
      </c>
      <c r="BE963" s="17">
        <v>4500000</v>
      </c>
      <c r="BF963" t="s">
        <v>92</v>
      </c>
      <c r="BG963" t="s">
        <v>92</v>
      </c>
      <c r="BH963" t="s">
        <v>93</v>
      </c>
      <c r="BI963" t="s">
        <v>94</v>
      </c>
      <c r="BJ963" t="s">
        <v>128</v>
      </c>
      <c r="BK963" t="s">
        <v>85</v>
      </c>
      <c r="BL963" t="s">
        <v>129</v>
      </c>
      <c r="BM963" t="s">
        <v>96</v>
      </c>
      <c r="BN963" t="s">
        <v>97</v>
      </c>
      <c r="BO963" t="s">
        <v>98</v>
      </c>
      <c r="BP963" t="s">
        <v>103</v>
      </c>
      <c r="BQ963" s="17">
        <v>2039.584435</v>
      </c>
      <c r="BR963" t="s">
        <v>138</v>
      </c>
      <c r="BS963" t="s">
        <v>130</v>
      </c>
      <c r="BT963" t="s">
        <v>103</v>
      </c>
      <c r="BU963" s="17">
        <v>9.7</v>
      </c>
      <c r="BV963" t="s">
        <v>101</v>
      </c>
      <c r="BW963" t="s">
        <v>129</v>
      </c>
      <c r="BX963" t="s">
        <v>85</v>
      </c>
      <c r="BY963" t="str">
        <f>IF(COUNTIF('Data Upload-prod'!E:E,F963)=0,"Missing","Exist")</f>
        <v>Exist</v>
      </c>
    </row>
    <row r="964" hidden="1" spans="1:77">
      <c r="A964" t="s">
        <v>84</v>
      </c>
      <c r="B964" t="s">
        <v>84</v>
      </c>
      <c r="C964" t="s">
        <v>132</v>
      </c>
      <c r="D964" t="s">
        <v>120</v>
      </c>
      <c r="E964" t="s">
        <v>1590</v>
      </c>
      <c r="F964" t="s">
        <v>1591</v>
      </c>
      <c r="G964" t="s">
        <v>145</v>
      </c>
      <c r="H964" t="s">
        <v>1516</v>
      </c>
      <c r="I964" t="s">
        <v>147</v>
      </c>
      <c r="J964" s="17">
        <v>1306</v>
      </c>
      <c r="K964" s="17">
        <v>3275</v>
      </c>
      <c r="L964" s="17">
        <v>3275</v>
      </c>
      <c r="M964" s="17">
        <v>51795490</v>
      </c>
      <c r="N964" s="17">
        <v>51795490</v>
      </c>
      <c r="O964" s="17">
        <v>41.37</v>
      </c>
      <c r="P964" s="17">
        <v>41.37</v>
      </c>
      <c r="Q964" t="s">
        <v>84</v>
      </c>
      <c r="R964" t="s">
        <v>84</v>
      </c>
      <c r="S964" t="s">
        <v>85</v>
      </c>
      <c r="T964" t="s">
        <v>84</v>
      </c>
      <c r="U964" t="s">
        <v>84</v>
      </c>
      <c r="V964" s="16">
        <v>41070</v>
      </c>
      <c r="W964" s="18">
        <v>41060.0006944444</v>
      </c>
      <c r="X964" s="18">
        <v>41100</v>
      </c>
      <c r="Y964" s="17">
        <v>1944.3</v>
      </c>
      <c r="Z964" t="s">
        <v>148</v>
      </c>
      <c r="AA964" s="17">
        <v>3275</v>
      </c>
      <c r="AB964" s="17">
        <v>3275</v>
      </c>
      <c r="AC964" t="s">
        <v>84</v>
      </c>
      <c r="AD964" s="17">
        <v>42816270</v>
      </c>
      <c r="AE964" t="s">
        <v>84</v>
      </c>
      <c r="AF964" s="17">
        <v>41</v>
      </c>
      <c r="AG964" t="s">
        <v>84</v>
      </c>
      <c r="AH964" t="s">
        <v>84</v>
      </c>
      <c r="AI964" s="17">
        <v>10.42</v>
      </c>
      <c r="AJ964" s="17">
        <v>10.42</v>
      </c>
      <c r="AK964" t="s">
        <v>378</v>
      </c>
      <c r="AM964" s="17">
        <v>5.4</v>
      </c>
      <c r="AN964" s="17"/>
      <c r="AO964" s="17">
        <v>5090</v>
      </c>
      <c r="AP964" s="17"/>
      <c r="AQ964" s="17">
        <v>7920</v>
      </c>
      <c r="AR964" s="17"/>
      <c r="AS964" s="17">
        <v>2.5</v>
      </c>
      <c r="AT964" s="17"/>
      <c r="AU964" s="17">
        <v>3171</v>
      </c>
      <c r="AV964" s="17"/>
      <c r="AW964" s="17">
        <v>6723</v>
      </c>
      <c r="AX964" s="17"/>
      <c r="AY964" t="s">
        <v>92</v>
      </c>
      <c r="AZ964" t="s">
        <v>92</v>
      </c>
      <c r="BA964" t="s">
        <v>92</v>
      </c>
      <c r="BB964" t="s">
        <v>92</v>
      </c>
      <c r="BC964" t="s">
        <v>92</v>
      </c>
      <c r="BD964" t="s">
        <v>92</v>
      </c>
      <c r="BE964" t="s">
        <v>92</v>
      </c>
      <c r="BF964" t="s">
        <v>92</v>
      </c>
      <c r="BG964" t="s">
        <v>92</v>
      </c>
      <c r="BH964" t="s">
        <v>92</v>
      </c>
      <c r="BI964" t="s">
        <v>92</v>
      </c>
      <c r="BJ964" t="s">
        <v>92</v>
      </c>
      <c r="BK964" t="s">
        <v>92</v>
      </c>
      <c r="BL964" t="s">
        <v>92</v>
      </c>
      <c r="BM964" t="s">
        <v>92</v>
      </c>
      <c r="BN964" t="s">
        <v>92</v>
      </c>
      <c r="BO964" t="s">
        <v>92</v>
      </c>
      <c r="BP964" t="s">
        <v>92</v>
      </c>
      <c r="BQ964" t="s">
        <v>92</v>
      </c>
      <c r="BR964" t="s">
        <v>92</v>
      </c>
      <c r="BS964" t="s">
        <v>92</v>
      </c>
      <c r="BT964" t="s">
        <v>92</v>
      </c>
      <c r="BU964" t="s">
        <v>92</v>
      </c>
      <c r="BV964" t="s">
        <v>92</v>
      </c>
      <c r="BW964" t="s">
        <v>92</v>
      </c>
      <c r="BX964" t="s">
        <v>92</v>
      </c>
      <c r="BY964" t="str">
        <f>IF(COUNTIF('Data Upload-prod'!E:E,F964)=0,"Missing","Exist")</f>
        <v>Exist</v>
      </c>
    </row>
    <row r="965" hidden="1" spans="1:77">
      <c r="A965" t="s">
        <v>84</v>
      </c>
      <c r="B965" s="16">
        <v>41737</v>
      </c>
      <c r="C965" t="s">
        <v>132</v>
      </c>
      <c r="D965" t="s">
        <v>78</v>
      </c>
      <c r="E965" t="s">
        <v>1592</v>
      </c>
      <c r="F965" t="s">
        <v>1593</v>
      </c>
      <c r="G965" t="s">
        <v>145</v>
      </c>
      <c r="H965" t="s">
        <v>319</v>
      </c>
      <c r="I965" t="s">
        <v>231</v>
      </c>
      <c r="J965" s="17">
        <v>68</v>
      </c>
      <c r="K965" s="17">
        <v>3159</v>
      </c>
      <c r="L965" s="17">
        <v>3139</v>
      </c>
      <c r="M965" s="17">
        <v>54105446.76</v>
      </c>
      <c r="N965" s="17">
        <v>71504218.1</v>
      </c>
      <c r="O965" s="17">
        <v>69.64</v>
      </c>
      <c r="P965" s="17">
        <v>92.58</v>
      </c>
      <c r="Q965" t="s">
        <v>84</v>
      </c>
      <c r="R965" t="s">
        <v>84</v>
      </c>
      <c r="S965" t="s">
        <v>85</v>
      </c>
      <c r="T965" t="s">
        <v>84</v>
      </c>
      <c r="U965" t="s">
        <v>84</v>
      </c>
      <c r="V965" s="16">
        <v>41609</v>
      </c>
      <c r="W965" s="18">
        <v>41591.75</v>
      </c>
      <c r="X965" s="18">
        <v>41659.5</v>
      </c>
      <c r="Y965" s="17">
        <v>3062</v>
      </c>
      <c r="Z965" t="s">
        <v>87</v>
      </c>
      <c r="AA965" s="17">
        <v>3159</v>
      </c>
      <c r="AB965" s="17">
        <v>3159</v>
      </c>
      <c r="AC965" s="17">
        <v>45375724.31</v>
      </c>
      <c r="AD965" t="s">
        <v>84</v>
      </c>
      <c r="AE965" s="17">
        <v>67.75</v>
      </c>
      <c r="AF965" t="s">
        <v>84</v>
      </c>
      <c r="AG965" t="s">
        <v>84</v>
      </c>
      <c r="AH965" t="s">
        <v>84</v>
      </c>
      <c r="AI965" s="17">
        <v>15.7</v>
      </c>
      <c r="AJ965" s="17">
        <v>15.5</v>
      </c>
      <c r="AK965" t="s">
        <v>333</v>
      </c>
      <c r="AM965" s="17">
        <v>3.8</v>
      </c>
      <c r="AN965" s="17"/>
      <c r="AO965" s="17">
        <v>2125</v>
      </c>
      <c r="AP965" s="17"/>
      <c r="AQ965" s="17">
        <v>3315</v>
      </c>
      <c r="AR965" s="17"/>
      <c r="AS965" s="17">
        <v>2.77</v>
      </c>
      <c r="AT965" s="17"/>
      <c r="AU965" s="17">
        <v>1725.04</v>
      </c>
      <c r="AV965" s="17"/>
      <c r="AW965" s="17">
        <v>2397.88</v>
      </c>
      <c r="AX965" s="17"/>
      <c r="AY965" t="s">
        <v>92</v>
      </c>
      <c r="AZ965" t="s">
        <v>92</v>
      </c>
      <c r="BA965" t="s">
        <v>92</v>
      </c>
      <c r="BB965" t="s">
        <v>92</v>
      </c>
      <c r="BC965" t="s">
        <v>92</v>
      </c>
      <c r="BD965" t="s">
        <v>92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92</v>
      </c>
      <c r="BM965" t="s">
        <v>92</v>
      </c>
      <c r="BN965" t="s">
        <v>92</v>
      </c>
      <c r="BO965" t="s">
        <v>92</v>
      </c>
      <c r="BP965" t="s">
        <v>92</v>
      </c>
      <c r="BQ965" t="s">
        <v>92</v>
      </c>
      <c r="BR965" t="s">
        <v>92</v>
      </c>
      <c r="BS965" t="s">
        <v>92</v>
      </c>
      <c r="BT965" t="s">
        <v>92</v>
      </c>
      <c r="BU965" t="s">
        <v>92</v>
      </c>
      <c r="BV965" t="s">
        <v>92</v>
      </c>
      <c r="BW965" t="s">
        <v>92</v>
      </c>
      <c r="BX965" t="s">
        <v>92</v>
      </c>
      <c r="BY965" t="str">
        <f>IF(COUNTIF('Data Upload-prod'!E:E,F965)=0,"Missing","Exist")</f>
        <v>Exist</v>
      </c>
    </row>
    <row r="966" hidden="1" spans="1:77">
      <c r="A966" t="s">
        <v>84</v>
      </c>
      <c r="B966" s="16">
        <v>41736</v>
      </c>
      <c r="C966" t="s">
        <v>132</v>
      </c>
      <c r="D966" t="s">
        <v>78</v>
      </c>
      <c r="E966" t="s">
        <v>1562</v>
      </c>
      <c r="F966" t="s">
        <v>1594</v>
      </c>
      <c r="G966" t="s">
        <v>145</v>
      </c>
      <c r="H966" t="s">
        <v>1304</v>
      </c>
      <c r="I966" t="s">
        <v>124</v>
      </c>
      <c r="J966" s="17">
        <v>56</v>
      </c>
      <c r="K966" s="17">
        <v>2734</v>
      </c>
      <c r="L966" s="17">
        <v>2734</v>
      </c>
      <c r="M966" s="17">
        <v>46309725.12</v>
      </c>
      <c r="N966" s="17">
        <v>46309725.12</v>
      </c>
      <c r="O966" s="17">
        <v>70.6</v>
      </c>
      <c r="P966" s="17">
        <v>92.7</v>
      </c>
      <c r="Q966" t="s">
        <v>84</v>
      </c>
      <c r="R966" t="s">
        <v>84</v>
      </c>
      <c r="S966" t="s">
        <v>85</v>
      </c>
      <c r="T966" t="s">
        <v>84</v>
      </c>
      <c r="U966" t="s">
        <v>84</v>
      </c>
      <c r="V966" s="16">
        <v>41623</v>
      </c>
      <c r="W966" s="18">
        <v>41599.0520833333</v>
      </c>
      <c r="X966" s="18">
        <v>41693.15625</v>
      </c>
      <c r="Y966" s="17">
        <v>2535</v>
      </c>
      <c r="Z966" t="s">
        <v>87</v>
      </c>
      <c r="AA966" s="17">
        <v>2625</v>
      </c>
      <c r="AB966" s="17">
        <v>2624.9</v>
      </c>
      <c r="AC966" s="17">
        <v>36856193.73</v>
      </c>
      <c r="AD966" t="s">
        <v>84</v>
      </c>
      <c r="AE966" s="17">
        <v>80.4</v>
      </c>
      <c r="AF966" t="s">
        <v>84</v>
      </c>
      <c r="AG966" t="s">
        <v>84</v>
      </c>
      <c r="AH966" t="s">
        <v>84</v>
      </c>
      <c r="AI966" s="17">
        <v>5.31</v>
      </c>
      <c r="AJ966" s="17">
        <v>5.31</v>
      </c>
      <c r="AK966" t="s">
        <v>374</v>
      </c>
      <c r="AM966" s="17">
        <v>5</v>
      </c>
      <c r="AN966" s="17"/>
      <c r="AO966" s="17">
        <v>2360</v>
      </c>
      <c r="AP966" s="17"/>
      <c r="AQ966" s="17">
        <v>4280</v>
      </c>
      <c r="AR966" s="17"/>
      <c r="AS966" s="17">
        <v>4.14</v>
      </c>
      <c r="AT966" s="17"/>
      <c r="AU966" s="17">
        <v>2897</v>
      </c>
      <c r="AV966" s="17"/>
      <c r="AW966" s="17">
        <v>3841</v>
      </c>
      <c r="AX966" s="17"/>
      <c r="AY966" t="s">
        <v>92</v>
      </c>
      <c r="AZ966" t="s">
        <v>92</v>
      </c>
      <c r="BA966" t="s">
        <v>92</v>
      </c>
      <c r="BB966" t="s">
        <v>92</v>
      </c>
      <c r="BC966" t="s">
        <v>92</v>
      </c>
      <c r="BD966" t="s">
        <v>92</v>
      </c>
      <c r="BE966" t="s">
        <v>92</v>
      </c>
      <c r="BF966" t="s">
        <v>92</v>
      </c>
      <c r="BG966" t="s">
        <v>92</v>
      </c>
      <c r="BH966" t="s">
        <v>92</v>
      </c>
      <c r="BI966" t="s">
        <v>92</v>
      </c>
      <c r="BJ966" t="s">
        <v>92</v>
      </c>
      <c r="BK966" t="s">
        <v>92</v>
      </c>
      <c r="BL966" t="s">
        <v>92</v>
      </c>
      <c r="BM966" t="s">
        <v>92</v>
      </c>
      <c r="BN966" t="s">
        <v>92</v>
      </c>
      <c r="BO966" t="s">
        <v>92</v>
      </c>
      <c r="BP966" t="s">
        <v>92</v>
      </c>
      <c r="BQ966" t="s">
        <v>92</v>
      </c>
      <c r="BR966" t="s">
        <v>92</v>
      </c>
      <c r="BS966" t="s">
        <v>92</v>
      </c>
      <c r="BT966" t="s">
        <v>92</v>
      </c>
      <c r="BU966" t="s">
        <v>92</v>
      </c>
      <c r="BV966" t="s">
        <v>92</v>
      </c>
      <c r="BW966" t="s">
        <v>92</v>
      </c>
      <c r="BX966" t="s">
        <v>92</v>
      </c>
      <c r="BY966" t="str">
        <f>IF(COUNTIF('Data Upload-prod'!E:E,F966)=0,"Missing","Exist")</f>
        <v>Exist</v>
      </c>
    </row>
    <row r="967" hidden="1" spans="1:77">
      <c r="A967" t="s">
        <v>84</v>
      </c>
      <c r="B967" s="16">
        <v>41508</v>
      </c>
      <c r="C967" t="s">
        <v>132</v>
      </c>
      <c r="D967" t="s">
        <v>78</v>
      </c>
      <c r="E967" t="s">
        <v>842</v>
      </c>
      <c r="F967" t="s">
        <v>1595</v>
      </c>
      <c r="G967" t="s">
        <v>81</v>
      </c>
      <c r="H967" t="s">
        <v>172</v>
      </c>
      <c r="I967" t="s">
        <v>124</v>
      </c>
      <c r="J967" s="17">
        <v>63</v>
      </c>
      <c r="K967" s="17">
        <v>1772</v>
      </c>
      <c r="L967" s="17">
        <v>1655</v>
      </c>
      <c r="M967" t="s">
        <v>84</v>
      </c>
      <c r="N967" t="s">
        <v>84</v>
      </c>
      <c r="O967" t="s">
        <v>84</v>
      </c>
      <c r="P967" t="s">
        <v>84</v>
      </c>
      <c r="Q967" s="17">
        <v>23182000</v>
      </c>
      <c r="R967" s="17">
        <v>42.46</v>
      </c>
      <c r="S967" t="s">
        <v>85</v>
      </c>
      <c r="T967" t="s">
        <v>84</v>
      </c>
      <c r="U967" t="s">
        <v>84</v>
      </c>
      <c r="V967" s="16">
        <v>41356</v>
      </c>
      <c r="W967" s="18">
        <v>41356</v>
      </c>
      <c r="X967" s="18">
        <v>41453.0833333333</v>
      </c>
      <c r="Y967" s="17">
        <v>1689</v>
      </c>
      <c r="Z967" t="s">
        <v>87</v>
      </c>
      <c r="AA967" s="17">
        <v>1793</v>
      </c>
      <c r="AB967" s="17">
        <v>1676</v>
      </c>
      <c r="AC967" t="s">
        <v>84</v>
      </c>
      <c r="AD967" t="s">
        <v>84</v>
      </c>
      <c r="AE967" t="s">
        <v>84</v>
      </c>
      <c r="AF967" t="s">
        <v>84</v>
      </c>
      <c r="AG967" s="17">
        <v>19127207</v>
      </c>
      <c r="AH967" s="17">
        <v>49.52</v>
      </c>
      <c r="AI967" s="17">
        <v>20.95</v>
      </c>
      <c r="AJ967" s="17">
        <v>20.95</v>
      </c>
      <c r="AK967" t="s">
        <v>165</v>
      </c>
      <c r="AM967" s="17">
        <v>3.2</v>
      </c>
      <c r="AN967" s="17"/>
      <c r="AO967" s="17">
        <v>1300</v>
      </c>
      <c r="AP967" s="17"/>
      <c r="AQ967" s="17">
        <v>1830</v>
      </c>
      <c r="AR967" s="17"/>
      <c r="AS967" s="17">
        <v>3.9</v>
      </c>
      <c r="AT967" s="17"/>
      <c r="AU967" s="17">
        <v>1770</v>
      </c>
      <c r="AV967" s="17"/>
      <c r="AW967" s="17">
        <v>3452</v>
      </c>
      <c r="AX967" s="17"/>
      <c r="AY967" t="s">
        <v>92</v>
      </c>
      <c r="AZ967" t="s">
        <v>92</v>
      </c>
      <c r="BA967" t="s">
        <v>92</v>
      </c>
      <c r="BB967" t="s">
        <v>92</v>
      </c>
      <c r="BC967" t="s">
        <v>92</v>
      </c>
      <c r="BD967" t="s">
        <v>92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92</v>
      </c>
      <c r="BM967" t="s">
        <v>92</v>
      </c>
      <c r="BN967" t="s">
        <v>92</v>
      </c>
      <c r="BO967" t="s">
        <v>92</v>
      </c>
      <c r="BP967" t="s">
        <v>92</v>
      </c>
      <c r="BQ967" t="s">
        <v>92</v>
      </c>
      <c r="BR967" t="s">
        <v>92</v>
      </c>
      <c r="BS967" t="s">
        <v>92</v>
      </c>
      <c r="BT967" t="s">
        <v>92</v>
      </c>
      <c r="BU967" t="s">
        <v>92</v>
      </c>
      <c r="BV967" t="s">
        <v>92</v>
      </c>
      <c r="BW967" t="s">
        <v>92</v>
      </c>
      <c r="BX967" t="s">
        <v>92</v>
      </c>
      <c r="BY967" t="str">
        <f>IF(COUNTIF('Data Upload-prod'!E:E,F967)=0,"Missing","Exist")</f>
        <v>Exist</v>
      </c>
    </row>
    <row r="968" spans="1:77">
      <c r="A968" t="s">
        <v>84</v>
      </c>
      <c r="B968" s="16">
        <v>41845</v>
      </c>
      <c r="C968" t="s">
        <v>132</v>
      </c>
      <c r="D968" t="s">
        <v>120</v>
      </c>
      <c r="E968" t="s">
        <v>1596</v>
      </c>
      <c r="F968" t="s">
        <v>1597</v>
      </c>
      <c r="G968" t="s">
        <v>145</v>
      </c>
      <c r="H968" t="s">
        <v>1304</v>
      </c>
      <c r="I968" t="s">
        <v>124</v>
      </c>
      <c r="J968" s="17">
        <v>7.5</v>
      </c>
      <c r="K968" s="17">
        <v>2547</v>
      </c>
      <c r="L968" s="17">
        <v>1706</v>
      </c>
      <c r="M968" s="17">
        <v>23790000</v>
      </c>
      <c r="N968" s="17">
        <v>26130000</v>
      </c>
      <c r="O968" s="17">
        <v>30.5</v>
      </c>
      <c r="P968" s="17">
        <v>36.25</v>
      </c>
      <c r="Q968" t="s">
        <v>84</v>
      </c>
      <c r="R968" t="s">
        <v>84</v>
      </c>
      <c r="S968" t="s">
        <v>106</v>
      </c>
      <c r="T968" t="s">
        <v>84</v>
      </c>
      <c r="U968" t="s">
        <v>84</v>
      </c>
      <c r="V968" s="16">
        <v>41715</v>
      </c>
      <c r="W968" s="18">
        <v>41693.15625</v>
      </c>
      <c r="X968" s="18">
        <v>41747.3333333333</v>
      </c>
      <c r="Y968" s="17">
        <v>1772.5</v>
      </c>
      <c r="Z968" t="s">
        <v>87</v>
      </c>
      <c r="AA968" s="17">
        <v>1813</v>
      </c>
      <c r="AB968" s="17">
        <v>1296</v>
      </c>
      <c r="AC968" t="s">
        <v>84</v>
      </c>
      <c r="AD968" s="17">
        <v>27690000</v>
      </c>
      <c r="AE968" t="s">
        <v>84</v>
      </c>
      <c r="AF968" s="17">
        <v>44.28</v>
      </c>
      <c r="AG968" t="s">
        <v>84</v>
      </c>
      <c r="AH968" t="s">
        <v>84</v>
      </c>
      <c r="AI968" s="17">
        <v>24.36</v>
      </c>
      <c r="AJ968" s="17">
        <v>24.36</v>
      </c>
      <c r="AK968" t="s">
        <v>544</v>
      </c>
      <c r="AL968" t="s">
        <v>544</v>
      </c>
      <c r="AM968" s="17">
        <v>1.2</v>
      </c>
      <c r="AN968" s="17">
        <v>1.2</v>
      </c>
      <c r="AO968" s="17">
        <v>385</v>
      </c>
      <c r="AP968" s="17">
        <v>385</v>
      </c>
      <c r="AQ968" s="17">
        <v>930</v>
      </c>
      <c r="AR968" s="17">
        <v>930</v>
      </c>
      <c r="AS968" s="13" t="s">
        <v>90</v>
      </c>
      <c r="AT968" s="19">
        <v>2.45</v>
      </c>
      <c r="AU968" s="13" t="s">
        <v>91</v>
      </c>
      <c r="AV968" s="13">
        <v>1463</v>
      </c>
      <c r="AW968" s="13" t="s">
        <v>90</v>
      </c>
      <c r="AX968" s="13">
        <v>2346</v>
      </c>
      <c r="AY968" t="s">
        <v>92</v>
      </c>
      <c r="AZ968" t="s">
        <v>92</v>
      </c>
      <c r="BA968" t="s">
        <v>92</v>
      </c>
      <c r="BB968" t="s">
        <v>92</v>
      </c>
      <c r="BC968" t="s">
        <v>92</v>
      </c>
      <c r="BD968" t="s">
        <v>92</v>
      </c>
      <c r="BE968" t="s">
        <v>92</v>
      </c>
      <c r="BF968" t="s">
        <v>92</v>
      </c>
      <c r="BG968" t="s">
        <v>92</v>
      </c>
      <c r="BH968" t="s">
        <v>92</v>
      </c>
      <c r="BI968" t="s">
        <v>92</v>
      </c>
      <c r="BJ968" t="s">
        <v>92</v>
      </c>
      <c r="BK968" t="s">
        <v>92</v>
      </c>
      <c r="BL968" t="s">
        <v>92</v>
      </c>
      <c r="BM968" t="s">
        <v>92</v>
      </c>
      <c r="BN968" t="s">
        <v>92</v>
      </c>
      <c r="BO968" t="s">
        <v>92</v>
      </c>
      <c r="BP968" t="s">
        <v>92</v>
      </c>
      <c r="BQ968" t="s">
        <v>92</v>
      </c>
      <c r="BR968" t="s">
        <v>92</v>
      </c>
      <c r="BS968" t="s">
        <v>92</v>
      </c>
      <c r="BT968" t="s">
        <v>92</v>
      </c>
      <c r="BU968" t="s">
        <v>92</v>
      </c>
      <c r="BV968" t="s">
        <v>92</v>
      </c>
      <c r="BW968" t="s">
        <v>92</v>
      </c>
      <c r="BX968" t="s">
        <v>92</v>
      </c>
      <c r="BY968" t="str">
        <f>IF(COUNTIF('Data Upload-prod'!E:E,F968)=0,"Missing","Exist")</f>
        <v>Exist</v>
      </c>
    </row>
    <row r="969" hidden="1" spans="1:77">
      <c r="A969" t="s">
        <v>84</v>
      </c>
      <c r="B969" s="16">
        <v>43143</v>
      </c>
      <c r="C969" t="s">
        <v>269</v>
      </c>
      <c r="D969" t="s">
        <v>78</v>
      </c>
      <c r="E969" t="s">
        <v>440</v>
      </c>
      <c r="F969" t="s">
        <v>1598</v>
      </c>
      <c r="G969" t="s">
        <v>81</v>
      </c>
      <c r="H969" t="s">
        <v>790</v>
      </c>
      <c r="I969" t="s">
        <v>124</v>
      </c>
      <c r="J969" s="17">
        <v>57.36</v>
      </c>
      <c r="K969" s="17">
        <v>2705.27</v>
      </c>
      <c r="L969" s="17">
        <v>2671.75</v>
      </c>
      <c r="M969" t="s">
        <v>84</v>
      </c>
      <c r="N969" t="s">
        <v>84</v>
      </c>
      <c r="O969" t="s">
        <v>84</v>
      </c>
      <c r="P969" t="s">
        <v>84</v>
      </c>
      <c r="Q969" s="17">
        <v>66260000</v>
      </c>
      <c r="R969" s="17">
        <v>126</v>
      </c>
      <c r="S969" t="s">
        <v>85</v>
      </c>
      <c r="T969" t="s">
        <v>84</v>
      </c>
      <c r="U969" t="s">
        <v>86</v>
      </c>
      <c r="V969" s="16">
        <v>42770</v>
      </c>
      <c r="W969" s="18">
        <v>42770.5416666667</v>
      </c>
      <c r="X969" s="18">
        <v>43080</v>
      </c>
      <c r="Y969" s="17">
        <v>5007.92</v>
      </c>
      <c r="Z969" t="s">
        <v>87</v>
      </c>
      <c r="AA969" s="17">
        <v>5108.5</v>
      </c>
      <c r="AB969" s="17">
        <v>2709.96</v>
      </c>
      <c r="AC969" t="s">
        <v>84</v>
      </c>
      <c r="AD969" t="s">
        <v>84</v>
      </c>
      <c r="AE969" t="s">
        <v>84</v>
      </c>
      <c r="AF969" t="s">
        <v>84</v>
      </c>
      <c r="AG969" s="17">
        <v>54820000</v>
      </c>
      <c r="AH969" s="17">
        <v>145.02</v>
      </c>
      <c r="AI969" s="17">
        <v>23.9</v>
      </c>
      <c r="AJ969" s="17">
        <v>23.7</v>
      </c>
      <c r="AK969" t="s">
        <v>276</v>
      </c>
      <c r="AM969" s="17">
        <v>3.7</v>
      </c>
      <c r="AN969" s="17"/>
      <c r="AO969" s="17">
        <v>1585</v>
      </c>
      <c r="AP969" s="17"/>
      <c r="AQ969" s="17">
        <v>3400</v>
      </c>
      <c r="AR969" s="17"/>
      <c r="AS969" s="17">
        <v>3.6</v>
      </c>
      <c r="AT969" s="17"/>
      <c r="AU969" s="17">
        <v>1494</v>
      </c>
      <c r="AV969" s="17"/>
      <c r="AW969" s="17">
        <v>3269</v>
      </c>
      <c r="AX969" s="17"/>
      <c r="AY969" t="s">
        <v>92</v>
      </c>
      <c r="AZ969" t="s">
        <v>92</v>
      </c>
      <c r="BA969" t="s">
        <v>92</v>
      </c>
      <c r="BB969" t="s">
        <v>92</v>
      </c>
      <c r="BC969" t="s">
        <v>92</v>
      </c>
      <c r="BD969" s="17">
        <v>13.64</v>
      </c>
      <c r="BE969" s="17">
        <v>6960000</v>
      </c>
      <c r="BF969" t="s">
        <v>92</v>
      </c>
      <c r="BG969" t="s">
        <v>92</v>
      </c>
      <c r="BH969" t="s">
        <v>93</v>
      </c>
      <c r="BI969" t="s">
        <v>278</v>
      </c>
      <c r="BJ969" t="s">
        <v>173</v>
      </c>
      <c r="BK969" t="s">
        <v>85</v>
      </c>
      <c r="BL969" t="s">
        <v>85</v>
      </c>
      <c r="BM969" t="s">
        <v>273</v>
      </c>
      <c r="BN969" t="s">
        <v>97</v>
      </c>
      <c r="BO969" t="s">
        <v>98</v>
      </c>
      <c r="BP969" t="s">
        <v>630</v>
      </c>
      <c r="BQ969" s="17">
        <v>0</v>
      </c>
      <c r="BR969" t="s">
        <v>138</v>
      </c>
      <c r="BS969" t="s">
        <v>92</v>
      </c>
      <c r="BT969" t="s">
        <v>642</v>
      </c>
      <c r="BU969" s="17">
        <v>8.4</v>
      </c>
      <c r="BV969" t="s">
        <v>131</v>
      </c>
      <c r="BW969" t="s">
        <v>85</v>
      </c>
      <c r="BX969" t="s">
        <v>85</v>
      </c>
      <c r="BY969" t="str">
        <f>IF(COUNTIF('Data Upload-prod'!E:E,F969)=0,"Missing","Exist")</f>
        <v>Exist</v>
      </c>
    </row>
    <row r="970" hidden="1" spans="1:77">
      <c r="A970" t="s">
        <v>84</v>
      </c>
      <c r="B970" s="16">
        <v>41367</v>
      </c>
      <c r="C970" t="s">
        <v>132</v>
      </c>
      <c r="D970" t="s">
        <v>120</v>
      </c>
      <c r="E970" t="s">
        <v>182</v>
      </c>
      <c r="F970" t="s">
        <v>1599</v>
      </c>
      <c r="G970" t="s">
        <v>81</v>
      </c>
      <c r="H970" t="s">
        <v>211</v>
      </c>
      <c r="I970" t="s">
        <v>124</v>
      </c>
      <c r="J970" s="17">
        <v>50.59</v>
      </c>
      <c r="K970" s="17">
        <v>3352.33</v>
      </c>
      <c r="L970" s="17">
        <v>1936.91</v>
      </c>
      <c r="M970" t="s">
        <v>84</v>
      </c>
      <c r="N970" t="s">
        <v>84</v>
      </c>
      <c r="O970" t="s">
        <v>84</v>
      </c>
      <c r="P970" t="s">
        <v>84</v>
      </c>
      <c r="Q970" s="17">
        <v>19186550</v>
      </c>
      <c r="R970" s="17">
        <v>32.1</v>
      </c>
      <c r="S970" t="s">
        <v>85</v>
      </c>
      <c r="T970" t="s">
        <v>84</v>
      </c>
      <c r="U970" t="s">
        <v>86</v>
      </c>
      <c r="V970" s="16">
        <v>41257</v>
      </c>
      <c r="W970" s="18">
        <v>41257</v>
      </c>
      <c r="X970" s="18">
        <v>41318</v>
      </c>
      <c r="Y970" s="17">
        <v>3216.09</v>
      </c>
      <c r="Z970" t="s">
        <v>87</v>
      </c>
      <c r="AA970" s="17">
        <v>3306.92</v>
      </c>
      <c r="AB970" s="17">
        <v>2021.03</v>
      </c>
      <c r="AC970" t="s">
        <v>84</v>
      </c>
      <c r="AD970" t="s">
        <v>84</v>
      </c>
      <c r="AE970" t="s">
        <v>84</v>
      </c>
      <c r="AF970" t="s">
        <v>84</v>
      </c>
      <c r="AG970" s="17">
        <v>15776212.36</v>
      </c>
      <c r="AH970" s="17">
        <v>33.5</v>
      </c>
      <c r="AI970" s="17">
        <v>12.94</v>
      </c>
      <c r="AJ970" s="17">
        <v>12.94</v>
      </c>
      <c r="AK970" t="s">
        <v>165</v>
      </c>
      <c r="AM970" s="17">
        <v>2</v>
      </c>
      <c r="AN970" s="17"/>
      <c r="AO970" s="17">
        <v>725</v>
      </c>
      <c r="AP970" s="17"/>
      <c r="AQ970" s="17">
        <v>1325</v>
      </c>
      <c r="AR970" s="17"/>
      <c r="AS970" s="17">
        <v>2.03</v>
      </c>
      <c r="AT970" s="17"/>
      <c r="AU970" s="17">
        <v>1028</v>
      </c>
      <c r="AV970" s="17"/>
      <c r="AW970" s="17">
        <v>1454</v>
      </c>
      <c r="AX970" s="17"/>
      <c r="AY970" t="s">
        <v>92</v>
      </c>
      <c r="AZ970" t="s">
        <v>92</v>
      </c>
      <c r="BA970" t="s">
        <v>92</v>
      </c>
      <c r="BB970" t="s">
        <v>92</v>
      </c>
      <c r="BC970" t="s">
        <v>92</v>
      </c>
      <c r="BD970" s="17">
        <v>10.83</v>
      </c>
      <c r="BE970" s="17">
        <v>3870453.02</v>
      </c>
      <c r="BF970" t="s">
        <v>92</v>
      </c>
      <c r="BG970" t="s">
        <v>92</v>
      </c>
      <c r="BH970" t="s">
        <v>93</v>
      </c>
      <c r="BI970" t="s">
        <v>94</v>
      </c>
      <c r="BJ970" t="s">
        <v>128</v>
      </c>
      <c r="BK970" t="s">
        <v>85</v>
      </c>
      <c r="BL970" t="s">
        <v>85</v>
      </c>
      <c r="BM970" t="s">
        <v>96</v>
      </c>
      <c r="BN970" t="s">
        <v>253</v>
      </c>
      <c r="BO970" t="s">
        <v>98</v>
      </c>
      <c r="BP970" t="s">
        <v>99</v>
      </c>
      <c r="BQ970" s="17">
        <v>237</v>
      </c>
      <c r="BR970" t="s">
        <v>100</v>
      </c>
      <c r="BS970" t="s">
        <v>156</v>
      </c>
      <c r="BT970" t="s">
        <v>175</v>
      </c>
      <c r="BU970" s="17">
        <v>10.8</v>
      </c>
      <c r="BV970" t="s">
        <v>340</v>
      </c>
      <c r="BW970" t="s">
        <v>85</v>
      </c>
      <c r="BX970" t="s">
        <v>85</v>
      </c>
      <c r="BY970" t="str">
        <f>IF(COUNTIF('Data Upload-prod'!E:E,F970)=0,"Missing","Exist")</f>
        <v>Exist</v>
      </c>
    </row>
    <row r="971" hidden="1" spans="1:77">
      <c r="A971" t="s">
        <v>84</v>
      </c>
      <c r="B971" s="16">
        <v>42167</v>
      </c>
      <c r="C971" t="s">
        <v>132</v>
      </c>
      <c r="D971" t="s">
        <v>78</v>
      </c>
      <c r="E971" t="s">
        <v>1001</v>
      </c>
      <c r="F971" t="s">
        <v>1600</v>
      </c>
      <c r="G971" t="s">
        <v>81</v>
      </c>
      <c r="H971" t="s">
        <v>837</v>
      </c>
      <c r="I971" t="s">
        <v>83</v>
      </c>
      <c r="J971" s="17">
        <v>68</v>
      </c>
      <c r="K971" s="17">
        <v>2794</v>
      </c>
      <c r="L971" s="17">
        <v>1672</v>
      </c>
      <c r="M971" t="s">
        <v>84</v>
      </c>
      <c r="N971" t="s">
        <v>84</v>
      </c>
      <c r="O971" t="s">
        <v>84</v>
      </c>
      <c r="P971" t="s">
        <v>84</v>
      </c>
      <c r="Q971" s="17">
        <v>25739615</v>
      </c>
      <c r="R971" s="17">
        <v>41.89</v>
      </c>
      <c r="S971" t="s">
        <v>85</v>
      </c>
      <c r="T971" t="s">
        <v>84</v>
      </c>
      <c r="U971" t="s">
        <v>86</v>
      </c>
      <c r="V971" s="16">
        <v>42127</v>
      </c>
      <c r="W971" s="18">
        <v>42092.7916666667</v>
      </c>
      <c r="X971" s="18">
        <v>42148.3333333333</v>
      </c>
      <c r="Y971" s="17">
        <v>2549.82</v>
      </c>
      <c r="Z971" t="s">
        <v>87</v>
      </c>
      <c r="AA971" s="17">
        <v>2652</v>
      </c>
      <c r="AB971" s="17">
        <v>1671.78</v>
      </c>
      <c r="AC971" t="s">
        <v>84</v>
      </c>
      <c r="AD971" t="s">
        <v>84</v>
      </c>
      <c r="AE971" t="s">
        <v>84</v>
      </c>
      <c r="AF971" t="s">
        <v>84</v>
      </c>
      <c r="AG971" s="17">
        <v>14038542.52</v>
      </c>
      <c r="AH971" s="17">
        <v>28.88</v>
      </c>
      <c r="AI971" s="17">
        <v>0.8</v>
      </c>
      <c r="AJ971" s="17">
        <v>0.8</v>
      </c>
      <c r="AK971" t="s">
        <v>89</v>
      </c>
      <c r="AM971" s="17">
        <v>2.4</v>
      </c>
      <c r="AN971" s="17"/>
      <c r="AO971" s="17">
        <v>795</v>
      </c>
      <c r="AP971" s="17"/>
      <c r="AQ971" s="17">
        <v>1580</v>
      </c>
      <c r="AR971" s="17"/>
      <c r="AS971" s="17">
        <v>2.06</v>
      </c>
      <c r="AT971" s="17"/>
      <c r="AU971" s="17">
        <v>873</v>
      </c>
      <c r="AV971" s="17"/>
      <c r="AW971" s="17">
        <v>1753</v>
      </c>
      <c r="AX971" s="17"/>
      <c r="AY971" t="s">
        <v>92</v>
      </c>
      <c r="AZ971" t="s">
        <v>92</v>
      </c>
      <c r="BA971" t="s">
        <v>92</v>
      </c>
      <c r="BB971" t="s">
        <v>92</v>
      </c>
      <c r="BC971" t="s">
        <v>92</v>
      </c>
      <c r="BD971" s="17">
        <v>4.76</v>
      </c>
      <c r="BE971" s="17">
        <v>3737995.14</v>
      </c>
      <c r="BF971" t="s">
        <v>92</v>
      </c>
      <c r="BG971" t="s">
        <v>92</v>
      </c>
      <c r="BH971" t="s">
        <v>93</v>
      </c>
      <c r="BI971" t="s">
        <v>94</v>
      </c>
      <c r="BJ971" t="s">
        <v>128</v>
      </c>
      <c r="BK971" t="s">
        <v>85</v>
      </c>
      <c r="BL971" t="s">
        <v>85</v>
      </c>
      <c r="BM971" t="s">
        <v>96</v>
      </c>
      <c r="BN971" t="s">
        <v>97</v>
      </c>
      <c r="BO971" t="s">
        <v>98</v>
      </c>
      <c r="BP971" t="s">
        <v>103</v>
      </c>
      <c r="BQ971" s="17">
        <v>843.217</v>
      </c>
      <c r="BR971" t="s">
        <v>138</v>
      </c>
      <c r="BS971" t="s">
        <v>156</v>
      </c>
      <c r="BT971" t="s">
        <v>550</v>
      </c>
      <c r="BU971" s="17">
        <v>9</v>
      </c>
      <c r="BV971" t="s">
        <v>191</v>
      </c>
      <c r="BW971" t="s">
        <v>85</v>
      </c>
      <c r="BX971" t="s">
        <v>85</v>
      </c>
      <c r="BY971" t="str">
        <f>IF(COUNTIF('Data Upload-prod'!E:E,F971)=0,"Missing","Exist")</f>
        <v>Exist</v>
      </c>
    </row>
    <row r="972" hidden="1" spans="1:77">
      <c r="A972" t="s">
        <v>84</v>
      </c>
      <c r="B972" s="16">
        <v>41500</v>
      </c>
      <c r="C972" t="s">
        <v>132</v>
      </c>
      <c r="D972" t="s">
        <v>142</v>
      </c>
      <c r="E972" t="s">
        <v>170</v>
      </c>
      <c r="F972" t="s">
        <v>1601</v>
      </c>
      <c r="G972" t="s">
        <v>81</v>
      </c>
      <c r="H972" t="s">
        <v>211</v>
      </c>
      <c r="I972" t="s">
        <v>124</v>
      </c>
      <c r="J972" s="17">
        <v>10.06</v>
      </c>
      <c r="K972" s="17">
        <v>1505.64</v>
      </c>
      <c r="L972" s="17">
        <v>1427.57</v>
      </c>
      <c r="M972" t="s">
        <v>84</v>
      </c>
      <c r="N972" t="s">
        <v>84</v>
      </c>
      <c r="O972" t="s">
        <v>84</v>
      </c>
      <c r="P972" t="s">
        <v>84</v>
      </c>
      <c r="Q972" s="17">
        <v>12792640.18</v>
      </c>
      <c r="R972" s="17">
        <v>22.94</v>
      </c>
      <c r="S972" t="s">
        <v>85</v>
      </c>
      <c r="T972" t="s">
        <v>84</v>
      </c>
      <c r="U972" t="s">
        <v>84</v>
      </c>
      <c r="V972" s="16">
        <v>41432.625</v>
      </c>
      <c r="W972" s="18">
        <v>41432.625</v>
      </c>
      <c r="X972" s="18">
        <v>41472.7916666667</v>
      </c>
      <c r="Y972" s="17">
        <v>1488.57</v>
      </c>
      <c r="Z972" t="s">
        <v>87</v>
      </c>
      <c r="AA972" s="17">
        <v>1536.12</v>
      </c>
      <c r="AB972" s="17">
        <v>1445.78</v>
      </c>
      <c r="AC972" t="s">
        <v>84</v>
      </c>
      <c r="AD972" t="s">
        <v>84</v>
      </c>
      <c r="AE972" t="s">
        <v>84</v>
      </c>
      <c r="AF972" t="s">
        <v>84</v>
      </c>
      <c r="AG972" s="17">
        <v>11841232.98</v>
      </c>
      <c r="AH972" s="17">
        <v>20.69</v>
      </c>
      <c r="AI972" s="17">
        <v>0.48</v>
      </c>
      <c r="AJ972" s="17">
        <v>0.48</v>
      </c>
      <c r="AK972" t="s">
        <v>208</v>
      </c>
      <c r="AM972" s="17">
        <v>1.7</v>
      </c>
      <c r="AN972" s="17"/>
      <c r="AO972" s="17">
        <v>720</v>
      </c>
      <c r="AP972" s="17"/>
      <c r="AQ972" s="17">
        <v>1270</v>
      </c>
      <c r="AR972" s="17"/>
      <c r="AS972" s="17">
        <v>2.29</v>
      </c>
      <c r="AT972" s="17"/>
      <c r="AU972" s="17">
        <v>1022.61</v>
      </c>
      <c r="AV972" s="17"/>
      <c r="AW972" s="17">
        <v>2314.91</v>
      </c>
      <c r="AX972" s="17"/>
      <c r="AY972" t="s">
        <v>92</v>
      </c>
      <c r="AZ972" t="s">
        <v>92</v>
      </c>
      <c r="BA972" t="s">
        <v>92</v>
      </c>
      <c r="BB972" t="s">
        <v>92</v>
      </c>
      <c r="BC972" t="s">
        <v>92</v>
      </c>
      <c r="BD972" t="s">
        <v>92</v>
      </c>
      <c r="BE972" t="s">
        <v>92</v>
      </c>
      <c r="BF972" t="s">
        <v>92</v>
      </c>
      <c r="BG972" t="s">
        <v>92</v>
      </c>
      <c r="BH972" t="s">
        <v>92</v>
      </c>
      <c r="BI972" t="s">
        <v>92</v>
      </c>
      <c r="BJ972" t="s">
        <v>92</v>
      </c>
      <c r="BK972" t="s">
        <v>92</v>
      </c>
      <c r="BL972" t="s">
        <v>92</v>
      </c>
      <c r="BM972" t="s">
        <v>92</v>
      </c>
      <c r="BN972" t="s">
        <v>92</v>
      </c>
      <c r="BO972" t="s">
        <v>92</v>
      </c>
      <c r="BP972" t="s">
        <v>92</v>
      </c>
      <c r="BQ972" t="s">
        <v>92</v>
      </c>
      <c r="BR972" t="s">
        <v>92</v>
      </c>
      <c r="BS972" t="s">
        <v>92</v>
      </c>
      <c r="BT972" t="s">
        <v>92</v>
      </c>
      <c r="BU972" t="s">
        <v>92</v>
      </c>
      <c r="BV972" t="s">
        <v>92</v>
      </c>
      <c r="BW972" t="s">
        <v>92</v>
      </c>
      <c r="BX972" t="s">
        <v>92</v>
      </c>
      <c r="BY972" t="str">
        <f>IF(COUNTIF('Data Upload-prod'!E:E,F972)=0,"Missing","Exist")</f>
        <v>Exist</v>
      </c>
    </row>
    <row r="973" hidden="1" spans="1:77">
      <c r="A973" t="s">
        <v>84</v>
      </c>
      <c r="B973" s="16">
        <v>42150</v>
      </c>
      <c r="C973" t="s">
        <v>233</v>
      </c>
      <c r="D973" t="s">
        <v>78</v>
      </c>
      <c r="E973" t="s">
        <v>239</v>
      </c>
      <c r="F973" t="s">
        <v>1602</v>
      </c>
      <c r="G973" t="s">
        <v>81</v>
      </c>
      <c r="H973" t="s">
        <v>1216</v>
      </c>
      <c r="I973" t="s">
        <v>124</v>
      </c>
      <c r="J973" s="17">
        <v>74.7</v>
      </c>
      <c r="K973" s="17">
        <v>3060.6</v>
      </c>
      <c r="L973" s="17">
        <v>1657.34</v>
      </c>
      <c r="M973" t="s">
        <v>84</v>
      </c>
      <c r="N973" t="s">
        <v>84</v>
      </c>
      <c r="O973" t="s">
        <v>84</v>
      </c>
      <c r="P973" t="s">
        <v>84</v>
      </c>
      <c r="Q973" s="17">
        <v>23500000</v>
      </c>
      <c r="R973" s="17">
        <v>42.6</v>
      </c>
      <c r="S973" t="s">
        <v>106</v>
      </c>
      <c r="T973" t="s">
        <v>84</v>
      </c>
      <c r="U973" t="s">
        <v>84</v>
      </c>
      <c r="V973" s="16">
        <v>41862</v>
      </c>
      <c r="W973" s="18">
        <v>41859</v>
      </c>
      <c r="X973" s="18">
        <v>42110.625</v>
      </c>
      <c r="Y973" s="17">
        <v>2906.26</v>
      </c>
      <c r="Z973" t="s">
        <v>87</v>
      </c>
      <c r="AA973" s="17">
        <v>3025</v>
      </c>
      <c r="AB973" s="17">
        <v>1658.1</v>
      </c>
      <c r="AC973" t="s">
        <v>84</v>
      </c>
      <c r="AD973" t="s">
        <v>84</v>
      </c>
      <c r="AE973" t="s">
        <v>84</v>
      </c>
      <c r="AF973" t="s">
        <v>84</v>
      </c>
      <c r="AG973" s="17">
        <v>19300000</v>
      </c>
      <c r="AH973" s="17">
        <v>32.3</v>
      </c>
      <c r="AI973" s="17">
        <v>2</v>
      </c>
      <c r="AJ973" s="17">
        <v>2</v>
      </c>
      <c r="AK973" t="s">
        <v>165</v>
      </c>
      <c r="AM973" s="17">
        <v>3.2</v>
      </c>
      <c r="AN973" s="17"/>
      <c r="AO973" s="17">
        <v>1300</v>
      </c>
      <c r="AP973" s="17"/>
      <c r="AQ973" s="17">
        <v>2230</v>
      </c>
      <c r="AR973" s="17"/>
      <c r="AS973" s="17">
        <v>2.1</v>
      </c>
      <c r="AT973" s="17"/>
      <c r="AU973" s="17">
        <v>1162.78</v>
      </c>
      <c r="AV973" s="17"/>
      <c r="AW973" s="17">
        <v>1592.72</v>
      </c>
      <c r="AX973" s="17"/>
      <c r="AY973" t="s">
        <v>92</v>
      </c>
      <c r="AZ973" t="s">
        <v>92</v>
      </c>
      <c r="BA973" t="s">
        <v>92</v>
      </c>
      <c r="BB973" t="s">
        <v>92</v>
      </c>
      <c r="BC973" t="s">
        <v>92</v>
      </c>
      <c r="BD973" t="s">
        <v>92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92</v>
      </c>
      <c r="BM973" t="s">
        <v>92</v>
      </c>
      <c r="BN973" t="s">
        <v>92</v>
      </c>
      <c r="BO973" t="s">
        <v>92</v>
      </c>
      <c r="BP973" t="s">
        <v>92</v>
      </c>
      <c r="BQ973" t="s">
        <v>92</v>
      </c>
      <c r="BR973" t="s">
        <v>92</v>
      </c>
      <c r="BS973" t="s">
        <v>92</v>
      </c>
      <c r="BT973" t="s">
        <v>92</v>
      </c>
      <c r="BU973" t="s">
        <v>92</v>
      </c>
      <c r="BV973" t="s">
        <v>92</v>
      </c>
      <c r="BW973" t="s">
        <v>92</v>
      </c>
      <c r="BX973" t="s">
        <v>92</v>
      </c>
      <c r="BY973" t="str">
        <f>IF(COUNTIF('Data Upload-prod'!E:E,F973)=0,"Missing","Exist")</f>
        <v>Exist</v>
      </c>
    </row>
    <row r="974" hidden="1" spans="1:77">
      <c r="A974" t="s">
        <v>84</v>
      </c>
      <c r="B974" s="16">
        <v>41863</v>
      </c>
      <c r="C974" t="s">
        <v>269</v>
      </c>
      <c r="D974" t="s">
        <v>78</v>
      </c>
      <c r="E974" t="s">
        <v>1388</v>
      </c>
      <c r="F974" t="s">
        <v>1603</v>
      </c>
      <c r="G974" t="s">
        <v>145</v>
      </c>
      <c r="H974" t="s">
        <v>319</v>
      </c>
      <c r="I974" t="s">
        <v>231</v>
      </c>
      <c r="J974" s="17">
        <v>63.4</v>
      </c>
      <c r="K974" s="17">
        <v>2983.85</v>
      </c>
      <c r="L974" s="17">
        <v>2983.85</v>
      </c>
      <c r="M974" s="17">
        <v>24400000</v>
      </c>
      <c r="N974" s="17">
        <v>32438230</v>
      </c>
      <c r="O974" s="17">
        <v>39.3</v>
      </c>
      <c r="P974" s="17">
        <v>67.2</v>
      </c>
      <c r="Q974" t="s">
        <v>84</v>
      </c>
      <c r="R974" t="s">
        <v>84</v>
      </c>
      <c r="S974" t="s">
        <v>85</v>
      </c>
      <c r="T974" t="s">
        <v>84</v>
      </c>
      <c r="U974" t="s">
        <v>84</v>
      </c>
      <c r="V974" s="16">
        <v>41777</v>
      </c>
      <c r="W974" s="18">
        <v>41769.25</v>
      </c>
      <c r="X974" s="18">
        <v>41811.375</v>
      </c>
      <c r="Y974" s="17">
        <v>2455.65</v>
      </c>
      <c r="Z974" t="s">
        <v>87</v>
      </c>
      <c r="AA974" s="17">
        <v>2553.19</v>
      </c>
      <c r="AB974" s="17">
        <v>2553.19</v>
      </c>
      <c r="AC974" s="17">
        <v>18700000</v>
      </c>
      <c r="AD974" t="s">
        <v>84</v>
      </c>
      <c r="AE974" s="17">
        <v>42.15</v>
      </c>
      <c r="AF974" t="s">
        <v>84</v>
      </c>
      <c r="AG974" t="s">
        <v>84</v>
      </c>
      <c r="AH974" t="s">
        <v>84</v>
      </c>
      <c r="AI974" s="17">
        <v>15</v>
      </c>
      <c r="AJ974" s="17">
        <v>13.5</v>
      </c>
      <c r="AK974" t="s">
        <v>1604</v>
      </c>
      <c r="AM974" s="17">
        <v>3.8</v>
      </c>
      <c r="AN974" s="17"/>
      <c r="AO974" s="17">
        <v>2125</v>
      </c>
      <c r="AP974" s="17"/>
      <c r="AQ974" s="17">
        <v>3315</v>
      </c>
      <c r="AR974" s="17"/>
      <c r="AS974" s="17">
        <v>2.8</v>
      </c>
      <c r="AT974" s="17"/>
      <c r="AU974" s="17">
        <v>1565</v>
      </c>
      <c r="AV974" s="17"/>
      <c r="AW974" s="17">
        <v>2776</v>
      </c>
      <c r="AX974" s="17"/>
      <c r="AY974" t="s">
        <v>92</v>
      </c>
      <c r="AZ974" t="s">
        <v>92</v>
      </c>
      <c r="BA974" t="s">
        <v>92</v>
      </c>
      <c r="BB974" t="s">
        <v>92</v>
      </c>
      <c r="BC974" t="s">
        <v>92</v>
      </c>
      <c r="BD974" t="s">
        <v>92</v>
      </c>
      <c r="BE974" t="s">
        <v>92</v>
      </c>
      <c r="BF974" t="s">
        <v>92</v>
      </c>
      <c r="BG974" t="s">
        <v>92</v>
      </c>
      <c r="BH974" t="s">
        <v>92</v>
      </c>
      <c r="BI974" t="s">
        <v>92</v>
      </c>
      <c r="BJ974" t="s">
        <v>92</v>
      </c>
      <c r="BK974" t="s">
        <v>92</v>
      </c>
      <c r="BL974" t="s">
        <v>92</v>
      </c>
      <c r="BM974" t="s">
        <v>92</v>
      </c>
      <c r="BN974" t="s">
        <v>92</v>
      </c>
      <c r="BO974" t="s">
        <v>92</v>
      </c>
      <c r="BP974" t="s">
        <v>92</v>
      </c>
      <c r="BQ974" t="s">
        <v>92</v>
      </c>
      <c r="BR974" t="s">
        <v>92</v>
      </c>
      <c r="BS974" t="s">
        <v>92</v>
      </c>
      <c r="BT974" t="s">
        <v>92</v>
      </c>
      <c r="BU974" t="s">
        <v>92</v>
      </c>
      <c r="BV974" t="s">
        <v>92</v>
      </c>
      <c r="BW974" t="s">
        <v>92</v>
      </c>
      <c r="BX974" t="s">
        <v>92</v>
      </c>
      <c r="BY974" t="str">
        <f>IF(COUNTIF('Data Upload-prod'!E:E,F974)=0,"Missing","Exist")</f>
        <v>Exist</v>
      </c>
    </row>
    <row r="975" hidden="1" spans="1:77">
      <c r="A975" t="s">
        <v>84</v>
      </c>
      <c r="B975" s="16">
        <v>42293</v>
      </c>
      <c r="C975" t="s">
        <v>132</v>
      </c>
      <c r="D975" t="s">
        <v>142</v>
      </c>
      <c r="E975" t="s">
        <v>1605</v>
      </c>
      <c r="F975" t="s">
        <v>1606</v>
      </c>
      <c r="G975" t="s">
        <v>145</v>
      </c>
      <c r="H975" t="s">
        <v>1255</v>
      </c>
      <c r="I975" t="s">
        <v>124</v>
      </c>
      <c r="J975" s="17">
        <v>83.7</v>
      </c>
      <c r="K975" s="17">
        <v>3180</v>
      </c>
      <c r="L975" s="17">
        <v>3180</v>
      </c>
      <c r="M975" s="17">
        <v>52488545.72</v>
      </c>
      <c r="N975" s="17">
        <v>52488545.72</v>
      </c>
      <c r="O975" s="17">
        <v>85</v>
      </c>
      <c r="P975" s="17">
        <v>85</v>
      </c>
      <c r="Q975" t="s">
        <v>84</v>
      </c>
      <c r="R975" t="s">
        <v>84</v>
      </c>
      <c r="S975" t="s">
        <v>106</v>
      </c>
      <c r="T975" t="s">
        <v>84</v>
      </c>
      <c r="U975" t="s">
        <v>84</v>
      </c>
      <c r="V975" s="16">
        <v>42140.9166666667</v>
      </c>
      <c r="W975" s="18">
        <v>42127.1458333333</v>
      </c>
      <c r="X975" s="18">
        <v>42234.5833333333</v>
      </c>
      <c r="Y975" s="17">
        <v>1957.85</v>
      </c>
      <c r="Z975" t="s">
        <v>87</v>
      </c>
      <c r="AA975" s="17">
        <v>2076</v>
      </c>
      <c r="AB975" s="17">
        <v>2074</v>
      </c>
      <c r="AC975" t="s">
        <v>84</v>
      </c>
      <c r="AD975" s="17">
        <v>58334712.43</v>
      </c>
      <c r="AE975" t="s">
        <v>84</v>
      </c>
      <c r="AF975" s="17">
        <v>107.44</v>
      </c>
      <c r="AG975" t="s">
        <v>84</v>
      </c>
      <c r="AH975" t="s">
        <v>84</v>
      </c>
      <c r="AI975" s="17">
        <v>11.84</v>
      </c>
      <c r="AJ975" s="17">
        <v>11.84</v>
      </c>
      <c r="AK975" s="13" t="s">
        <v>149</v>
      </c>
      <c r="AM975" t="s">
        <v>92</v>
      </c>
      <c r="AO975" t="s">
        <v>92</v>
      </c>
      <c r="AQ975" t="s">
        <v>92</v>
      </c>
      <c r="AS975" s="17">
        <v>6.58</v>
      </c>
      <c r="AT975" s="17"/>
      <c r="AU975" s="17">
        <v>3529</v>
      </c>
      <c r="AV975" s="17"/>
      <c r="AW975" s="17">
        <v>4326</v>
      </c>
      <c r="AX975" s="17"/>
      <c r="AY975" t="s">
        <v>92</v>
      </c>
      <c r="AZ975" t="s">
        <v>92</v>
      </c>
      <c r="BA975" t="s">
        <v>92</v>
      </c>
      <c r="BB975" t="s">
        <v>92</v>
      </c>
      <c r="BC975" t="s">
        <v>92</v>
      </c>
      <c r="BD975" t="s">
        <v>92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92</v>
      </c>
      <c r="BM975" t="s">
        <v>92</v>
      </c>
      <c r="BN975" t="s">
        <v>92</v>
      </c>
      <c r="BO975" t="s">
        <v>92</v>
      </c>
      <c r="BP975" t="s">
        <v>92</v>
      </c>
      <c r="BQ975" t="s">
        <v>92</v>
      </c>
      <c r="BR975" t="s">
        <v>92</v>
      </c>
      <c r="BS975" t="s">
        <v>92</v>
      </c>
      <c r="BT975" t="s">
        <v>92</v>
      </c>
      <c r="BU975" t="s">
        <v>92</v>
      </c>
      <c r="BV975" t="s">
        <v>92</v>
      </c>
      <c r="BW975" t="s">
        <v>92</v>
      </c>
      <c r="BX975" t="s">
        <v>92</v>
      </c>
      <c r="BY975" t="str">
        <f>IF(COUNTIF('Data Upload-prod'!E:E,F975)=0,"Missing","Exist")</f>
        <v>Exist</v>
      </c>
    </row>
    <row r="976" hidden="1" spans="1:77">
      <c r="A976" t="s">
        <v>84</v>
      </c>
      <c r="B976" s="16">
        <v>45118</v>
      </c>
      <c r="C976" t="s">
        <v>360</v>
      </c>
      <c r="D976" t="s">
        <v>120</v>
      </c>
      <c r="E976" t="s">
        <v>620</v>
      </c>
      <c r="F976" t="s">
        <v>1607</v>
      </c>
      <c r="G976" t="s">
        <v>81</v>
      </c>
      <c r="H976" t="s">
        <v>289</v>
      </c>
      <c r="I976" t="s">
        <v>124</v>
      </c>
      <c r="J976" s="17">
        <v>40.2</v>
      </c>
      <c r="K976" s="17">
        <v>1780.23</v>
      </c>
      <c r="L976" s="17">
        <v>1076.71</v>
      </c>
      <c r="M976" t="s">
        <v>84</v>
      </c>
      <c r="N976" t="s">
        <v>84</v>
      </c>
      <c r="O976" t="s">
        <v>84</v>
      </c>
      <c r="P976" t="s">
        <v>84</v>
      </c>
      <c r="Q976" s="17">
        <v>6675190</v>
      </c>
      <c r="R976" s="17">
        <v>13.02</v>
      </c>
      <c r="S976" t="s">
        <v>85</v>
      </c>
      <c r="T976" t="s">
        <v>84</v>
      </c>
      <c r="U976" t="s">
        <v>86</v>
      </c>
      <c r="V976" s="16">
        <v>44733</v>
      </c>
      <c r="W976" s="18">
        <v>44731.875</v>
      </c>
      <c r="X976" s="18">
        <v>44871.75</v>
      </c>
      <c r="Y976" s="17">
        <v>1026.2</v>
      </c>
      <c r="Z976" t="s">
        <v>87</v>
      </c>
      <c r="AA976" s="17">
        <v>1118</v>
      </c>
      <c r="AB976" s="17">
        <v>974</v>
      </c>
      <c r="AC976" t="s">
        <v>84</v>
      </c>
      <c r="AD976" t="s">
        <v>84</v>
      </c>
      <c r="AE976" t="s">
        <v>84</v>
      </c>
      <c r="AF976" t="s">
        <v>84</v>
      </c>
      <c r="AG976" s="17">
        <v>19455107.14</v>
      </c>
      <c r="AH976" s="17">
        <v>38.19</v>
      </c>
      <c r="AI976" s="17">
        <v>20.85</v>
      </c>
      <c r="AJ976" s="17">
        <v>20.85</v>
      </c>
      <c r="AK976" t="s">
        <v>624</v>
      </c>
      <c r="AM976" s="17">
        <v>1.1</v>
      </c>
      <c r="AN976" s="17"/>
      <c r="AO976" s="17">
        <v>420</v>
      </c>
      <c r="AP976" s="17"/>
      <c r="AQ976" s="17">
        <v>680</v>
      </c>
      <c r="AR976" s="17"/>
      <c r="AS976" s="17">
        <v>6.37</v>
      </c>
      <c r="AT976" s="17"/>
      <c r="AU976" s="17">
        <v>3061.6</v>
      </c>
      <c r="AV976" s="17"/>
      <c r="AW976" s="17">
        <v>3554.9</v>
      </c>
      <c r="AX976" s="17"/>
      <c r="AY976" t="s">
        <v>92</v>
      </c>
      <c r="AZ976" t="s">
        <v>92</v>
      </c>
      <c r="BA976" t="s">
        <v>92</v>
      </c>
      <c r="BB976" t="s">
        <v>92</v>
      </c>
      <c r="BC976" t="s">
        <v>92</v>
      </c>
      <c r="BD976" s="17">
        <v>3.4</v>
      </c>
      <c r="BE976" s="17">
        <v>2129820</v>
      </c>
      <c r="BF976" t="s">
        <v>92</v>
      </c>
      <c r="BG976" t="s">
        <v>92</v>
      </c>
      <c r="BH976" t="s">
        <v>93</v>
      </c>
      <c r="BI976" t="s">
        <v>94</v>
      </c>
      <c r="BJ976" t="s">
        <v>173</v>
      </c>
      <c r="BK976" t="s">
        <v>85</v>
      </c>
      <c r="BL976" t="s">
        <v>85</v>
      </c>
      <c r="BM976" t="s">
        <v>96</v>
      </c>
      <c r="BN976" t="s">
        <v>569</v>
      </c>
      <c r="BO976" t="s">
        <v>98</v>
      </c>
      <c r="BP976" t="s">
        <v>99</v>
      </c>
      <c r="BQ976" s="17">
        <v>55</v>
      </c>
      <c r="BR976" t="s">
        <v>138</v>
      </c>
      <c r="BS976" t="s">
        <v>92</v>
      </c>
      <c r="BT976" t="s">
        <v>99</v>
      </c>
      <c r="BU976" s="17">
        <v>8.6</v>
      </c>
      <c r="BV976" t="s">
        <v>256</v>
      </c>
      <c r="BW976" t="s">
        <v>85</v>
      </c>
      <c r="BX976" t="s">
        <v>85</v>
      </c>
      <c r="BY976" t="str">
        <f>IF(COUNTIF('Data Upload-prod'!E:E,F976)=0,"Missing","Exist")</f>
        <v>Exist</v>
      </c>
    </row>
    <row r="977" hidden="1" spans="1:77">
      <c r="A977" t="s">
        <v>84</v>
      </c>
      <c r="B977" t="s">
        <v>84</v>
      </c>
      <c r="C977" t="s">
        <v>360</v>
      </c>
      <c r="D977" t="s">
        <v>120</v>
      </c>
      <c r="E977" t="s">
        <v>1575</v>
      </c>
      <c r="F977" t="s">
        <v>1608</v>
      </c>
      <c r="G977" t="s">
        <v>81</v>
      </c>
      <c r="H977" t="s">
        <v>289</v>
      </c>
      <c r="I977" t="s">
        <v>124</v>
      </c>
      <c r="J977" s="17">
        <v>40.85</v>
      </c>
      <c r="K977" s="17">
        <v>2160.7</v>
      </c>
      <c r="L977" s="17">
        <v>1606.65</v>
      </c>
      <c r="M977" t="s">
        <v>84</v>
      </c>
      <c r="N977" t="s">
        <v>84</v>
      </c>
      <c r="O977" t="s">
        <v>84</v>
      </c>
      <c r="P977" t="s">
        <v>84</v>
      </c>
      <c r="Q977" s="17">
        <v>5481251.18</v>
      </c>
      <c r="R977" s="17">
        <v>11.84</v>
      </c>
      <c r="S977" t="s">
        <v>85</v>
      </c>
      <c r="T977" t="s">
        <v>84</v>
      </c>
      <c r="U977" t="s">
        <v>86</v>
      </c>
      <c r="V977" s="16">
        <v>44418</v>
      </c>
      <c r="W977" t="s">
        <v>84</v>
      </c>
      <c r="X977" t="s">
        <v>84</v>
      </c>
      <c r="Y977" s="17">
        <v>2005.15</v>
      </c>
      <c r="Z977" t="s">
        <v>87</v>
      </c>
      <c r="AA977" s="17">
        <v>2092</v>
      </c>
      <c r="AB977" s="17">
        <v>1565.35</v>
      </c>
      <c r="AC977" t="s">
        <v>84</v>
      </c>
      <c r="AD977" t="s">
        <v>84</v>
      </c>
      <c r="AE977" t="s">
        <v>84</v>
      </c>
      <c r="AF977" t="s">
        <v>84</v>
      </c>
      <c r="AG977" s="17">
        <v>5481251.17</v>
      </c>
      <c r="AH977" s="17">
        <v>11.8</v>
      </c>
      <c r="AI977" s="17">
        <v>5.65</v>
      </c>
      <c r="AJ977" s="17">
        <v>5.65</v>
      </c>
      <c r="AK977" t="s">
        <v>165</v>
      </c>
      <c r="AM977" s="17">
        <v>2</v>
      </c>
      <c r="AN977" s="17"/>
      <c r="AO977" s="17">
        <v>725</v>
      </c>
      <c r="AP977" s="17"/>
      <c r="AQ977" s="17">
        <v>1295</v>
      </c>
      <c r="AR977" s="17"/>
      <c r="AS977" s="17">
        <v>0.9</v>
      </c>
      <c r="AT977" s="17"/>
      <c r="AU977" s="17">
        <v>370</v>
      </c>
      <c r="AV977" s="17"/>
      <c r="AW977" s="17">
        <v>436</v>
      </c>
      <c r="AX977" s="17"/>
      <c r="AY977" t="s">
        <v>92</v>
      </c>
      <c r="AZ977" t="s">
        <v>92</v>
      </c>
      <c r="BA977" t="s">
        <v>92</v>
      </c>
      <c r="BB977" t="s">
        <v>92</v>
      </c>
      <c r="BC977" t="s">
        <v>92</v>
      </c>
      <c r="BD977" s="17">
        <v>0.67</v>
      </c>
      <c r="BE977" s="17">
        <v>1022736</v>
      </c>
      <c r="BF977" t="s">
        <v>92</v>
      </c>
      <c r="BG977" t="s">
        <v>92</v>
      </c>
      <c r="BH977" t="s">
        <v>93</v>
      </c>
      <c r="BI977" t="s">
        <v>94</v>
      </c>
      <c r="BJ977" t="s">
        <v>95</v>
      </c>
      <c r="BK977" t="s">
        <v>85</v>
      </c>
      <c r="BL977" t="s">
        <v>85</v>
      </c>
      <c r="BM977" t="s">
        <v>96</v>
      </c>
      <c r="BN977" t="s">
        <v>97</v>
      </c>
      <c r="BO977" t="s">
        <v>98</v>
      </c>
      <c r="BP977" t="s">
        <v>103</v>
      </c>
      <c r="BQ977" s="17">
        <v>115</v>
      </c>
      <c r="BR977" t="s">
        <v>100</v>
      </c>
      <c r="BS977" t="s">
        <v>92</v>
      </c>
      <c r="BT977" t="s">
        <v>103</v>
      </c>
      <c r="BU977" s="17">
        <v>8.6</v>
      </c>
      <c r="BV977" t="s">
        <v>131</v>
      </c>
      <c r="BW977" t="s">
        <v>85</v>
      </c>
      <c r="BX977" t="s">
        <v>85</v>
      </c>
      <c r="BY977" t="str">
        <f>IF(COUNTIF('Data Upload-prod'!E:E,F977)=0,"Missing","Exist")</f>
        <v>Exist</v>
      </c>
    </row>
    <row r="978" hidden="1" spans="1:77">
      <c r="A978" t="s">
        <v>84</v>
      </c>
      <c r="B978" s="16">
        <v>41837</v>
      </c>
      <c r="C978" t="s">
        <v>360</v>
      </c>
      <c r="D978" t="s">
        <v>142</v>
      </c>
      <c r="E978" t="s">
        <v>1367</v>
      </c>
      <c r="F978" t="s">
        <v>1609</v>
      </c>
      <c r="G978" t="s">
        <v>81</v>
      </c>
      <c r="H978" t="s">
        <v>1247</v>
      </c>
      <c r="I978" t="s">
        <v>231</v>
      </c>
      <c r="J978" s="17">
        <v>1394.4</v>
      </c>
      <c r="K978" s="17">
        <v>3080</v>
      </c>
      <c r="L978" s="17">
        <v>2460</v>
      </c>
      <c r="M978" t="s">
        <v>84</v>
      </c>
      <c r="N978" t="s">
        <v>84</v>
      </c>
      <c r="O978" t="s">
        <v>84</v>
      </c>
      <c r="P978" t="s">
        <v>84</v>
      </c>
      <c r="Q978" s="17">
        <v>54331710</v>
      </c>
      <c r="R978" s="17">
        <v>41</v>
      </c>
      <c r="S978" t="s">
        <v>106</v>
      </c>
      <c r="T978" t="s">
        <v>84</v>
      </c>
      <c r="U978" t="s">
        <v>320</v>
      </c>
      <c r="V978" s="16">
        <v>41682</v>
      </c>
      <c r="W978" s="18">
        <v>41682</v>
      </c>
      <c r="X978" s="18">
        <v>41822</v>
      </c>
      <c r="Y978" s="17">
        <v>1029.4</v>
      </c>
      <c r="Z978" t="s">
        <v>148</v>
      </c>
      <c r="AA978" s="17">
        <v>2450</v>
      </c>
      <c r="AB978" s="17">
        <v>2393</v>
      </c>
      <c r="AC978" t="s">
        <v>84</v>
      </c>
      <c r="AD978" t="s">
        <v>84</v>
      </c>
      <c r="AE978" t="s">
        <v>84</v>
      </c>
      <c r="AF978" t="s">
        <v>84</v>
      </c>
      <c r="AG978" s="17">
        <v>43184040</v>
      </c>
      <c r="AH978" s="17">
        <v>32</v>
      </c>
      <c r="AI978" s="17">
        <v>2.73</v>
      </c>
      <c r="AJ978" s="17">
        <v>2.73</v>
      </c>
      <c r="AK978" t="s">
        <v>764</v>
      </c>
      <c r="AM978" s="17">
        <v>5.1</v>
      </c>
      <c r="AN978" s="17"/>
      <c r="AO978" s="17">
        <v>1525</v>
      </c>
      <c r="AP978" s="17"/>
      <c r="AQ978" s="17">
        <v>3370</v>
      </c>
      <c r="AR978" s="17"/>
      <c r="AS978" s="17">
        <v>3.69</v>
      </c>
      <c r="AT978" s="17"/>
      <c r="AU978" s="17">
        <v>4978</v>
      </c>
      <c r="AV978" s="17"/>
      <c r="AW978" s="17">
        <v>9209</v>
      </c>
      <c r="AX978" s="17"/>
      <c r="AY978" t="s">
        <v>92</v>
      </c>
      <c r="AZ978" t="s">
        <v>92</v>
      </c>
      <c r="BA978" t="s">
        <v>92</v>
      </c>
      <c r="BB978" t="s">
        <v>92</v>
      </c>
      <c r="BC978" t="s">
        <v>92</v>
      </c>
      <c r="BD978" s="17">
        <v>17.95</v>
      </c>
      <c r="BE978" s="17">
        <v>19815305.85</v>
      </c>
      <c r="BF978" t="s">
        <v>92</v>
      </c>
      <c r="BG978" t="s">
        <v>92</v>
      </c>
      <c r="BH978" t="s">
        <v>93</v>
      </c>
      <c r="BI978" t="s">
        <v>94</v>
      </c>
      <c r="BJ978" t="s">
        <v>367</v>
      </c>
      <c r="BK978" t="s">
        <v>85</v>
      </c>
      <c r="BL978" t="s">
        <v>85</v>
      </c>
      <c r="BM978" t="s">
        <v>273</v>
      </c>
      <c r="BN978" t="s">
        <v>97</v>
      </c>
      <c r="BO978" t="s">
        <v>727</v>
      </c>
      <c r="BP978" t="s">
        <v>99</v>
      </c>
      <c r="BQ978" s="17">
        <v>1099.135</v>
      </c>
      <c r="BR978" t="s">
        <v>138</v>
      </c>
      <c r="BS978" t="s">
        <v>92</v>
      </c>
      <c r="BT978" t="s">
        <v>99</v>
      </c>
      <c r="BU978" s="17">
        <v>10.6</v>
      </c>
      <c r="BV978" t="s">
        <v>340</v>
      </c>
      <c r="BW978" t="s">
        <v>337</v>
      </c>
      <c r="BX978" t="s">
        <v>85</v>
      </c>
      <c r="BY978" t="str">
        <f>IF(COUNTIF('Data Upload-prod'!E:E,F978)=0,"Missing","Exist")</f>
        <v>Exist</v>
      </c>
    </row>
    <row r="979" hidden="1" spans="1:77">
      <c r="A979" t="s">
        <v>84</v>
      </c>
      <c r="B979" t="s">
        <v>84</v>
      </c>
      <c r="C979" t="s">
        <v>141</v>
      </c>
      <c r="D979" t="s">
        <v>142</v>
      </c>
      <c r="E979" t="s">
        <v>1610</v>
      </c>
      <c r="F979" t="s">
        <v>1611</v>
      </c>
      <c r="G979" t="s">
        <v>81</v>
      </c>
      <c r="H979" t="s">
        <v>247</v>
      </c>
      <c r="I979" t="s">
        <v>231</v>
      </c>
      <c r="J979" s="17">
        <v>485.98</v>
      </c>
      <c r="K979" s="17">
        <v>2499.24</v>
      </c>
      <c r="L979" s="17">
        <v>1439.5</v>
      </c>
      <c r="M979" t="s">
        <v>84</v>
      </c>
      <c r="N979" t="s">
        <v>84</v>
      </c>
      <c r="O979" t="s">
        <v>84</v>
      </c>
      <c r="P979" t="s">
        <v>84</v>
      </c>
      <c r="Q979" s="17">
        <v>19956723</v>
      </c>
      <c r="R979" s="17">
        <v>33</v>
      </c>
      <c r="S979" t="s">
        <v>85</v>
      </c>
      <c r="T979" t="s">
        <v>84</v>
      </c>
      <c r="U979" t="s">
        <v>84</v>
      </c>
      <c r="V979" s="16">
        <v>41953.5833333333</v>
      </c>
      <c r="W979" s="18">
        <v>41928.8958333333</v>
      </c>
      <c r="X979" s="18">
        <v>43124</v>
      </c>
      <c r="Y979" s="17">
        <v>1895.92</v>
      </c>
      <c r="Z979" t="s">
        <v>148</v>
      </c>
      <c r="AA979" s="17">
        <v>2427.31</v>
      </c>
      <c r="AB979" s="17">
        <v>1432.62</v>
      </c>
      <c r="AC979" t="s">
        <v>84</v>
      </c>
      <c r="AD979" t="s">
        <v>84</v>
      </c>
      <c r="AE979" t="s">
        <v>84</v>
      </c>
      <c r="AF979" t="s">
        <v>84</v>
      </c>
      <c r="AG979" s="17">
        <v>16343216</v>
      </c>
      <c r="AH979" s="17">
        <v>42.83</v>
      </c>
      <c r="AI979" s="17">
        <v>26</v>
      </c>
      <c r="AJ979" s="17">
        <v>26</v>
      </c>
      <c r="AK979" t="s">
        <v>770</v>
      </c>
      <c r="AM979" s="17">
        <v>4.1</v>
      </c>
      <c r="AN979" s="17"/>
      <c r="AO979" s="17">
        <v>2635</v>
      </c>
      <c r="AP979" s="17"/>
      <c r="AQ979" s="17">
        <v>3590</v>
      </c>
      <c r="AR979" s="17"/>
      <c r="AS979" s="17">
        <v>2.36</v>
      </c>
      <c r="AT979" s="17"/>
      <c r="AU979" s="17">
        <v>1872.41</v>
      </c>
      <c r="AV979" s="17"/>
      <c r="AW979" s="17">
        <v>3202.81</v>
      </c>
      <c r="AX979" s="17"/>
      <c r="AY979" t="s">
        <v>92</v>
      </c>
      <c r="AZ979" t="s">
        <v>92</v>
      </c>
      <c r="BA979" t="s">
        <v>92</v>
      </c>
      <c r="BB979" t="s">
        <v>92</v>
      </c>
      <c r="BC979" t="s">
        <v>92</v>
      </c>
      <c r="BD979" t="s">
        <v>92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92</v>
      </c>
      <c r="BM979" t="s">
        <v>92</v>
      </c>
      <c r="BN979" t="s">
        <v>92</v>
      </c>
      <c r="BO979" t="s">
        <v>92</v>
      </c>
      <c r="BP979" t="s">
        <v>92</v>
      </c>
      <c r="BQ979" t="s">
        <v>92</v>
      </c>
      <c r="BR979" t="s">
        <v>92</v>
      </c>
      <c r="BS979" t="s">
        <v>92</v>
      </c>
      <c r="BT979" t="s">
        <v>92</v>
      </c>
      <c r="BU979" t="s">
        <v>92</v>
      </c>
      <c r="BV979" t="s">
        <v>92</v>
      </c>
      <c r="BW979" t="s">
        <v>92</v>
      </c>
      <c r="BX979" t="s">
        <v>92</v>
      </c>
      <c r="BY979" t="str">
        <f>IF(COUNTIF('Data Upload-prod'!E:E,F979)=0,"Missing","Exist")</f>
        <v>Exist</v>
      </c>
    </row>
    <row r="980" hidden="1" spans="1:77">
      <c r="A980" t="s">
        <v>84</v>
      </c>
      <c r="B980" s="16">
        <v>45378</v>
      </c>
      <c r="C980" t="s">
        <v>132</v>
      </c>
      <c r="D980" t="s">
        <v>120</v>
      </c>
      <c r="E980" t="s">
        <v>463</v>
      </c>
      <c r="F980" t="s">
        <v>1612</v>
      </c>
      <c r="G980" t="s">
        <v>81</v>
      </c>
      <c r="H980" t="s">
        <v>397</v>
      </c>
      <c r="I980" t="s">
        <v>124</v>
      </c>
      <c r="J980" s="17">
        <v>69.49</v>
      </c>
      <c r="K980" s="17">
        <v>1219.14</v>
      </c>
      <c r="L980" s="17">
        <v>1148.13</v>
      </c>
      <c r="M980" t="s">
        <v>84</v>
      </c>
      <c r="N980" t="s">
        <v>84</v>
      </c>
      <c r="O980" t="s">
        <v>84</v>
      </c>
      <c r="P980" t="s">
        <v>84</v>
      </c>
      <c r="Q980" s="17">
        <v>10444407.27</v>
      </c>
      <c r="R980" s="17">
        <v>20.57</v>
      </c>
      <c r="S980" t="s">
        <v>381</v>
      </c>
      <c r="T980" t="s">
        <v>84</v>
      </c>
      <c r="U980" t="s">
        <v>86</v>
      </c>
      <c r="V980" s="16">
        <v>45299</v>
      </c>
      <c r="W980" s="18">
        <v>45299</v>
      </c>
      <c r="X980" s="18">
        <v>45318.8333333333</v>
      </c>
      <c r="Y980" s="17">
        <v>1130</v>
      </c>
      <c r="Z980" t="s">
        <v>87</v>
      </c>
      <c r="AA980" s="17">
        <v>1239</v>
      </c>
      <c r="AB980" s="17">
        <v>1146.87</v>
      </c>
      <c r="AC980" t="s">
        <v>84</v>
      </c>
      <c r="AD980" t="s">
        <v>84</v>
      </c>
      <c r="AE980" t="s">
        <v>84</v>
      </c>
      <c r="AF980" t="s">
        <v>84</v>
      </c>
      <c r="AG980" s="17">
        <v>7658577.17</v>
      </c>
      <c r="AH980" s="17">
        <v>16.9</v>
      </c>
      <c r="AI980" s="17">
        <v>2.96</v>
      </c>
      <c r="AJ980" s="17">
        <v>2.96</v>
      </c>
      <c r="AK980" t="s">
        <v>208</v>
      </c>
      <c r="AM980" s="17">
        <v>2.2</v>
      </c>
      <c r="AN980" s="17"/>
      <c r="AO980" s="17">
        <v>830</v>
      </c>
      <c r="AP980" s="17"/>
      <c r="AQ980" s="17">
        <v>1380</v>
      </c>
      <c r="AR980" s="17"/>
      <c r="AS980" s="17">
        <v>2.6</v>
      </c>
      <c r="AT980" s="17"/>
      <c r="AU980" s="17">
        <v>1270</v>
      </c>
      <c r="AV980" s="17"/>
      <c r="AW980" s="17">
        <v>2239</v>
      </c>
      <c r="AX980" s="17"/>
      <c r="AY980" t="s">
        <v>92</v>
      </c>
      <c r="AZ980" t="s">
        <v>92</v>
      </c>
      <c r="BA980" t="s">
        <v>92</v>
      </c>
      <c r="BB980" t="s">
        <v>92</v>
      </c>
      <c r="BC980" t="s">
        <v>92</v>
      </c>
      <c r="BD980" s="17">
        <v>7.72</v>
      </c>
      <c r="BE980" s="17">
        <v>3817035</v>
      </c>
      <c r="BF980" s="17">
        <v>1.9</v>
      </c>
      <c r="BG980" s="17">
        <v>939</v>
      </c>
      <c r="BH980" t="s">
        <v>93</v>
      </c>
      <c r="BI980" t="s">
        <v>94</v>
      </c>
      <c r="BJ980" t="s">
        <v>128</v>
      </c>
      <c r="BK980" t="s">
        <v>85</v>
      </c>
      <c r="BL980" t="s">
        <v>85</v>
      </c>
      <c r="BM980" t="s">
        <v>96</v>
      </c>
      <c r="BN980" t="s">
        <v>97</v>
      </c>
      <c r="BO980" t="s">
        <v>216</v>
      </c>
      <c r="BP980" t="s">
        <v>99</v>
      </c>
      <c r="BQ980" s="17">
        <v>915</v>
      </c>
      <c r="BR980" t="s">
        <v>138</v>
      </c>
      <c r="BS980" t="s">
        <v>285</v>
      </c>
      <c r="BT980" t="s">
        <v>99</v>
      </c>
      <c r="BU980" s="17">
        <v>9</v>
      </c>
      <c r="BV980" t="s">
        <v>191</v>
      </c>
      <c r="BW980" t="s">
        <v>85</v>
      </c>
      <c r="BX980" t="s">
        <v>85</v>
      </c>
      <c r="BY980" t="str">
        <f>IF(COUNTIF('Data Upload-prod'!E:E,F980)=0,"Missing","Exist")</f>
        <v>Exist</v>
      </c>
    </row>
    <row r="981" hidden="1" spans="1:77">
      <c r="A981" t="s">
        <v>84</v>
      </c>
      <c r="B981" s="16">
        <v>43885</v>
      </c>
      <c r="C981" t="s">
        <v>218</v>
      </c>
      <c r="D981" t="s">
        <v>120</v>
      </c>
      <c r="E981" t="s">
        <v>1369</v>
      </c>
      <c r="F981" t="s">
        <v>1613</v>
      </c>
      <c r="G981" t="s">
        <v>81</v>
      </c>
      <c r="H981" t="s">
        <v>397</v>
      </c>
      <c r="I981" t="s">
        <v>124</v>
      </c>
      <c r="J981" s="17">
        <v>85</v>
      </c>
      <c r="K981" s="17">
        <v>1864</v>
      </c>
      <c r="L981" s="17">
        <v>1784.5</v>
      </c>
      <c r="M981" t="s">
        <v>84</v>
      </c>
      <c r="N981" t="s">
        <v>84</v>
      </c>
      <c r="O981" t="s">
        <v>84</v>
      </c>
      <c r="P981" t="s">
        <v>84</v>
      </c>
      <c r="Q981" s="17">
        <v>14954542</v>
      </c>
      <c r="R981" s="17">
        <v>27.77</v>
      </c>
      <c r="S981" t="s">
        <v>85</v>
      </c>
      <c r="T981" t="s">
        <v>84</v>
      </c>
      <c r="U981" t="s">
        <v>84</v>
      </c>
      <c r="V981" s="16">
        <v>43769</v>
      </c>
      <c r="W981" s="18">
        <v>43769</v>
      </c>
      <c r="X981" s="18">
        <v>43829</v>
      </c>
      <c r="Y981" s="17">
        <v>1717.76</v>
      </c>
      <c r="Z981" t="s">
        <v>87</v>
      </c>
      <c r="AA981" s="17">
        <v>1845</v>
      </c>
      <c r="AB981" s="17">
        <v>1804.44</v>
      </c>
      <c r="AC981" t="s">
        <v>84</v>
      </c>
      <c r="AD981" t="s">
        <v>84</v>
      </c>
      <c r="AE981" t="s">
        <v>84</v>
      </c>
      <c r="AF981" t="s">
        <v>84</v>
      </c>
      <c r="AG981" s="17">
        <v>10812704.55</v>
      </c>
      <c r="AH981" s="17">
        <v>33.36</v>
      </c>
      <c r="AI981" s="17">
        <v>32.38</v>
      </c>
      <c r="AJ981" s="17">
        <v>24.73</v>
      </c>
      <c r="AK981" t="s">
        <v>126</v>
      </c>
      <c r="AM981" s="17">
        <v>2.5</v>
      </c>
      <c r="AN981" s="17"/>
      <c r="AO981" s="17">
        <v>1010</v>
      </c>
      <c r="AP981" s="17"/>
      <c r="AQ981" s="17">
        <v>1705</v>
      </c>
      <c r="AR981" s="17"/>
      <c r="AS981" s="17">
        <v>2.34</v>
      </c>
      <c r="AT981" s="17"/>
      <c r="AU981" s="17">
        <v>627.16</v>
      </c>
      <c r="AV981" s="17"/>
      <c r="AW981" s="17">
        <v>1395.3</v>
      </c>
      <c r="AX981" s="17"/>
      <c r="AY981" t="s">
        <v>92</v>
      </c>
      <c r="AZ981" t="s">
        <v>92</v>
      </c>
      <c r="BA981" t="s">
        <v>92</v>
      </c>
      <c r="BB981" t="s">
        <v>92</v>
      </c>
      <c r="BC981" t="s">
        <v>92</v>
      </c>
      <c r="BD981" t="s">
        <v>92</v>
      </c>
      <c r="BE981" t="s">
        <v>92</v>
      </c>
      <c r="BF981" t="s">
        <v>92</v>
      </c>
      <c r="BG981" t="s">
        <v>92</v>
      </c>
      <c r="BH981" t="s">
        <v>92</v>
      </c>
      <c r="BI981" t="s">
        <v>92</v>
      </c>
      <c r="BJ981" t="s">
        <v>92</v>
      </c>
      <c r="BK981" t="s">
        <v>92</v>
      </c>
      <c r="BL981" t="s">
        <v>92</v>
      </c>
      <c r="BM981" t="s">
        <v>92</v>
      </c>
      <c r="BN981" t="s">
        <v>92</v>
      </c>
      <c r="BO981" t="s">
        <v>92</v>
      </c>
      <c r="BP981" t="s">
        <v>92</v>
      </c>
      <c r="BQ981" t="s">
        <v>92</v>
      </c>
      <c r="BR981" t="s">
        <v>92</v>
      </c>
      <c r="BS981" t="s">
        <v>92</v>
      </c>
      <c r="BT981" t="s">
        <v>92</v>
      </c>
      <c r="BU981" t="s">
        <v>92</v>
      </c>
      <c r="BV981" t="s">
        <v>92</v>
      </c>
      <c r="BW981" t="s">
        <v>92</v>
      </c>
      <c r="BX981" t="s">
        <v>92</v>
      </c>
      <c r="BY981" t="str">
        <f>IF(COUNTIF('Data Upload-prod'!E:E,F981)=0,"Missing","Exist")</f>
        <v>Exist</v>
      </c>
    </row>
    <row r="982" hidden="1" spans="1:77">
      <c r="A982" t="s">
        <v>84</v>
      </c>
      <c r="B982" t="s">
        <v>84</v>
      </c>
      <c r="C982" t="s">
        <v>141</v>
      </c>
      <c r="D982" t="s">
        <v>142</v>
      </c>
      <c r="E982" t="s">
        <v>245</v>
      </c>
      <c r="F982" t="s">
        <v>1614</v>
      </c>
      <c r="G982" t="s">
        <v>81</v>
      </c>
      <c r="H982" t="s">
        <v>247</v>
      </c>
      <c r="I982" t="s">
        <v>231</v>
      </c>
      <c r="J982" s="17">
        <v>485.98</v>
      </c>
      <c r="K982" s="17">
        <v>2035.66</v>
      </c>
      <c r="L982" s="17">
        <v>1255.71</v>
      </c>
      <c r="M982" t="s">
        <v>84</v>
      </c>
      <c r="N982" t="s">
        <v>84</v>
      </c>
      <c r="O982" t="s">
        <v>84</v>
      </c>
      <c r="P982" t="s">
        <v>84</v>
      </c>
      <c r="Q982" s="17">
        <v>22234050</v>
      </c>
      <c r="R982" s="17">
        <v>34.56</v>
      </c>
      <c r="S982" t="s">
        <v>85</v>
      </c>
      <c r="T982" t="s">
        <v>84</v>
      </c>
      <c r="U982" t="s">
        <v>84</v>
      </c>
      <c r="V982" s="16">
        <v>41932</v>
      </c>
      <c r="W982" s="18">
        <v>41932</v>
      </c>
      <c r="X982" s="18">
        <v>42891</v>
      </c>
      <c r="Y982" s="17">
        <v>1502.74</v>
      </c>
      <c r="Z982" t="s">
        <v>148</v>
      </c>
      <c r="AA982" s="17">
        <v>2034.14</v>
      </c>
      <c r="AB982" s="17">
        <v>1299.18</v>
      </c>
      <c r="AC982" t="s">
        <v>84</v>
      </c>
      <c r="AD982" t="s">
        <v>84</v>
      </c>
      <c r="AE982" t="s">
        <v>84</v>
      </c>
      <c r="AF982" t="s">
        <v>84</v>
      </c>
      <c r="AG982" s="17">
        <v>15830000</v>
      </c>
      <c r="AH982" s="17">
        <v>22.91</v>
      </c>
      <c r="AI982" s="17">
        <v>3.06</v>
      </c>
      <c r="AJ982" s="17">
        <v>3.06</v>
      </c>
      <c r="AK982" t="s">
        <v>770</v>
      </c>
      <c r="AM982" s="17">
        <v>4.1</v>
      </c>
      <c r="AN982" s="17"/>
      <c r="AO982" s="17">
        <v>2635</v>
      </c>
      <c r="AP982" s="17"/>
      <c r="AQ982" s="17">
        <v>3590</v>
      </c>
      <c r="AR982" s="17"/>
      <c r="AS982" s="13" t="s">
        <v>150</v>
      </c>
      <c r="AT982" s="13"/>
      <c r="AU982" s="13" t="s">
        <v>150</v>
      </c>
      <c r="AW982" s="13" t="s">
        <v>150</v>
      </c>
      <c r="AY982" t="s">
        <v>92</v>
      </c>
      <c r="AZ982" t="s">
        <v>92</v>
      </c>
      <c r="BA982" t="s">
        <v>92</v>
      </c>
      <c r="BB982" t="s">
        <v>92</v>
      </c>
      <c r="BC982" t="s">
        <v>92</v>
      </c>
      <c r="BD982" t="s">
        <v>92</v>
      </c>
      <c r="BE982" t="s">
        <v>92</v>
      </c>
      <c r="BF982" t="s">
        <v>92</v>
      </c>
      <c r="BG982" t="s">
        <v>92</v>
      </c>
      <c r="BH982" t="s">
        <v>92</v>
      </c>
      <c r="BI982" t="s">
        <v>92</v>
      </c>
      <c r="BJ982" t="s">
        <v>92</v>
      </c>
      <c r="BK982" t="s">
        <v>92</v>
      </c>
      <c r="BL982" t="s">
        <v>92</v>
      </c>
      <c r="BM982" t="s">
        <v>92</v>
      </c>
      <c r="BN982" t="s">
        <v>92</v>
      </c>
      <c r="BO982" t="s">
        <v>92</v>
      </c>
      <c r="BP982" t="s">
        <v>92</v>
      </c>
      <c r="BQ982" t="s">
        <v>92</v>
      </c>
      <c r="BR982" t="s">
        <v>92</v>
      </c>
      <c r="BS982" t="s">
        <v>92</v>
      </c>
      <c r="BT982" t="s">
        <v>92</v>
      </c>
      <c r="BU982" t="s">
        <v>92</v>
      </c>
      <c r="BV982" t="s">
        <v>92</v>
      </c>
      <c r="BW982" t="s">
        <v>92</v>
      </c>
      <c r="BX982" t="s">
        <v>92</v>
      </c>
      <c r="BY982" t="str">
        <f>IF(COUNTIF('Data Upload-prod'!E:E,F982)=0,"Missing","Exist")</f>
        <v>Exist</v>
      </c>
    </row>
    <row r="983" hidden="1" spans="1:77">
      <c r="A983" t="s">
        <v>84</v>
      </c>
      <c r="B983" s="16">
        <v>43896</v>
      </c>
      <c r="C983" t="s">
        <v>132</v>
      </c>
      <c r="D983" t="s">
        <v>120</v>
      </c>
      <c r="E983" t="s">
        <v>700</v>
      </c>
      <c r="F983" t="s">
        <v>1615</v>
      </c>
      <c r="G983" t="s">
        <v>81</v>
      </c>
      <c r="H983" t="s">
        <v>363</v>
      </c>
      <c r="I983" t="s">
        <v>124</v>
      </c>
      <c r="J983" s="17">
        <v>75.6</v>
      </c>
      <c r="K983" s="17">
        <v>3676.93</v>
      </c>
      <c r="L983" s="17">
        <v>3072.51</v>
      </c>
      <c r="M983" t="s">
        <v>84</v>
      </c>
      <c r="N983" t="s">
        <v>84</v>
      </c>
      <c r="O983" t="s">
        <v>84</v>
      </c>
      <c r="P983" t="s">
        <v>84</v>
      </c>
      <c r="Q983" s="17">
        <v>16585637.92</v>
      </c>
      <c r="R983" s="17">
        <v>44.92</v>
      </c>
      <c r="S983" t="s">
        <v>85</v>
      </c>
      <c r="T983" t="s">
        <v>84</v>
      </c>
      <c r="U983" t="s">
        <v>84</v>
      </c>
      <c r="V983" t="s">
        <v>84</v>
      </c>
      <c r="W983" s="18">
        <v>43474.625</v>
      </c>
      <c r="X983" s="18">
        <v>43591.625</v>
      </c>
      <c r="Y983" s="17">
        <v>3590.48</v>
      </c>
      <c r="Z983" t="s">
        <v>87</v>
      </c>
      <c r="AA983" s="17">
        <v>3714.72</v>
      </c>
      <c r="AB983" s="17">
        <v>3076.74</v>
      </c>
      <c r="AC983" t="s">
        <v>84</v>
      </c>
      <c r="AD983" t="s">
        <v>84</v>
      </c>
      <c r="AE983" t="s">
        <v>84</v>
      </c>
      <c r="AF983" t="s">
        <v>84</v>
      </c>
      <c r="AG983" s="17">
        <v>25353354.35</v>
      </c>
      <c r="AH983" s="17">
        <v>94.75</v>
      </c>
      <c r="AI983" s="17">
        <v>30.12</v>
      </c>
      <c r="AJ983" s="17">
        <v>29.6</v>
      </c>
      <c r="AK983" t="s">
        <v>374</v>
      </c>
      <c r="AM983" s="17">
        <v>5</v>
      </c>
      <c r="AN983" s="17"/>
      <c r="AO983" s="17">
        <v>2360</v>
      </c>
      <c r="AP983" s="17"/>
      <c r="AQ983" s="17">
        <v>4280</v>
      </c>
      <c r="AR983" s="17"/>
      <c r="AS983" s="17">
        <v>5.39</v>
      </c>
      <c r="AT983" s="17"/>
      <c r="AU983" s="17">
        <v>1622.73</v>
      </c>
      <c r="AV983" s="17"/>
      <c r="AW983" s="17">
        <v>2127.08</v>
      </c>
      <c r="AX983" s="17"/>
      <c r="AY983" t="s">
        <v>92</v>
      </c>
      <c r="AZ983" t="s">
        <v>92</v>
      </c>
      <c r="BA983" t="s">
        <v>92</v>
      </c>
      <c r="BB983" t="s">
        <v>92</v>
      </c>
      <c r="BC983" t="s">
        <v>92</v>
      </c>
      <c r="BD983" t="s">
        <v>92</v>
      </c>
      <c r="BE983" t="s">
        <v>92</v>
      </c>
      <c r="BF983" t="s">
        <v>92</v>
      </c>
      <c r="BG983" t="s">
        <v>92</v>
      </c>
      <c r="BH983" t="s">
        <v>92</v>
      </c>
      <c r="BI983" t="s">
        <v>92</v>
      </c>
      <c r="BJ983" t="s">
        <v>92</v>
      </c>
      <c r="BK983" t="s">
        <v>92</v>
      </c>
      <c r="BL983" t="s">
        <v>92</v>
      </c>
      <c r="BM983" t="s">
        <v>92</v>
      </c>
      <c r="BN983" t="s">
        <v>92</v>
      </c>
      <c r="BO983" t="s">
        <v>92</v>
      </c>
      <c r="BP983" t="s">
        <v>92</v>
      </c>
      <c r="BQ983" t="s">
        <v>92</v>
      </c>
      <c r="BR983" t="s">
        <v>92</v>
      </c>
      <c r="BS983" t="s">
        <v>92</v>
      </c>
      <c r="BT983" t="s">
        <v>92</v>
      </c>
      <c r="BU983" t="s">
        <v>92</v>
      </c>
      <c r="BV983" t="s">
        <v>92</v>
      </c>
      <c r="BW983" t="s">
        <v>92</v>
      </c>
      <c r="BX983" t="s">
        <v>92</v>
      </c>
      <c r="BY983" t="str">
        <f>IF(COUNTIF('Data Upload-prod'!E:E,F983)=0,"Missing","Exist")</f>
        <v>Exist</v>
      </c>
    </row>
    <row r="984" hidden="1" spans="1:77">
      <c r="A984" t="s">
        <v>84</v>
      </c>
      <c r="B984" s="16">
        <v>41879</v>
      </c>
      <c r="C984" t="s">
        <v>242</v>
      </c>
      <c r="D984" t="s">
        <v>78</v>
      </c>
      <c r="E984" t="s">
        <v>260</v>
      </c>
      <c r="F984" t="s">
        <v>1616</v>
      </c>
      <c r="G984" t="s">
        <v>81</v>
      </c>
      <c r="H984" t="s">
        <v>250</v>
      </c>
      <c r="I984" t="s">
        <v>124</v>
      </c>
      <c r="J984" s="17">
        <v>58.21</v>
      </c>
      <c r="K984" s="17">
        <v>2986.89</v>
      </c>
      <c r="L984" s="17">
        <v>1701.62</v>
      </c>
      <c r="M984" t="s">
        <v>84</v>
      </c>
      <c r="N984" t="s">
        <v>84</v>
      </c>
      <c r="O984" t="s">
        <v>84</v>
      </c>
      <c r="P984" t="s">
        <v>84</v>
      </c>
      <c r="Q984" s="17">
        <v>10907402</v>
      </c>
      <c r="R984" s="17">
        <v>22.11</v>
      </c>
      <c r="S984" t="s">
        <v>85</v>
      </c>
      <c r="T984" t="s">
        <v>84</v>
      </c>
      <c r="U984" t="s">
        <v>84</v>
      </c>
      <c r="V984" s="16">
        <v>41747</v>
      </c>
      <c r="W984" s="18">
        <v>41744</v>
      </c>
      <c r="X984" s="18">
        <v>41786</v>
      </c>
      <c r="Y984" s="17">
        <v>3227.98</v>
      </c>
      <c r="Z984" t="s">
        <v>87</v>
      </c>
      <c r="AA984" s="17">
        <v>3322.16</v>
      </c>
      <c r="AB984" s="17">
        <v>1703.84</v>
      </c>
      <c r="AC984" t="s">
        <v>84</v>
      </c>
      <c r="AD984" t="s">
        <v>84</v>
      </c>
      <c r="AE984" t="s">
        <v>84</v>
      </c>
      <c r="AF984" t="s">
        <v>84</v>
      </c>
      <c r="AG984" s="17">
        <v>12449358</v>
      </c>
      <c r="AH984" s="17">
        <v>33.73</v>
      </c>
      <c r="AI984" s="17">
        <v>11.86</v>
      </c>
      <c r="AJ984" s="17">
        <v>11.86</v>
      </c>
      <c r="AK984" t="s">
        <v>165</v>
      </c>
      <c r="AM984" s="17">
        <v>3.2</v>
      </c>
      <c r="AN984" s="17"/>
      <c r="AO984" s="17">
        <v>1300</v>
      </c>
      <c r="AP984" s="17"/>
      <c r="AQ984" s="17">
        <v>1830</v>
      </c>
      <c r="AR984" s="17"/>
      <c r="AS984" s="13" t="s">
        <v>150</v>
      </c>
      <c r="AT984" s="13"/>
      <c r="AU984" s="13" t="s">
        <v>150</v>
      </c>
      <c r="AW984" s="13" t="s">
        <v>150</v>
      </c>
      <c r="AY984" t="s">
        <v>92</v>
      </c>
      <c r="AZ984" t="s">
        <v>92</v>
      </c>
      <c r="BA984" t="s">
        <v>92</v>
      </c>
      <c r="BB984" t="s">
        <v>92</v>
      </c>
      <c r="BC984" t="s">
        <v>92</v>
      </c>
      <c r="BD984" t="s">
        <v>92</v>
      </c>
      <c r="BE984" t="s">
        <v>92</v>
      </c>
      <c r="BF984" t="s">
        <v>92</v>
      </c>
      <c r="BG984" t="s">
        <v>92</v>
      </c>
      <c r="BH984" t="s">
        <v>92</v>
      </c>
      <c r="BI984" t="s">
        <v>92</v>
      </c>
      <c r="BJ984" t="s">
        <v>92</v>
      </c>
      <c r="BK984" t="s">
        <v>92</v>
      </c>
      <c r="BL984" t="s">
        <v>92</v>
      </c>
      <c r="BM984" t="s">
        <v>92</v>
      </c>
      <c r="BN984" t="s">
        <v>92</v>
      </c>
      <c r="BO984" t="s">
        <v>92</v>
      </c>
      <c r="BP984" t="s">
        <v>92</v>
      </c>
      <c r="BQ984" t="s">
        <v>92</v>
      </c>
      <c r="BR984" t="s">
        <v>92</v>
      </c>
      <c r="BS984" t="s">
        <v>92</v>
      </c>
      <c r="BT984" t="s">
        <v>92</v>
      </c>
      <c r="BU984" t="s">
        <v>92</v>
      </c>
      <c r="BV984" t="s">
        <v>92</v>
      </c>
      <c r="BW984" t="s">
        <v>92</v>
      </c>
      <c r="BX984" t="s">
        <v>92</v>
      </c>
      <c r="BY984" t="str">
        <f>IF(COUNTIF('Data Upload-prod'!E:E,F984)=0,"Missing","Exist")</f>
        <v>Exist</v>
      </c>
    </row>
    <row r="985" hidden="1" spans="1:77">
      <c r="A985" t="s">
        <v>84</v>
      </c>
      <c r="B985" s="16">
        <v>41694</v>
      </c>
      <c r="C985" t="s">
        <v>195</v>
      </c>
      <c r="D985" t="s">
        <v>78</v>
      </c>
      <c r="E985" t="s">
        <v>1371</v>
      </c>
      <c r="F985" t="s">
        <v>1617</v>
      </c>
      <c r="G985" t="s">
        <v>81</v>
      </c>
      <c r="H985" t="s">
        <v>1421</v>
      </c>
      <c r="I985" t="s">
        <v>124</v>
      </c>
      <c r="J985" s="17">
        <v>55.7</v>
      </c>
      <c r="K985" s="17">
        <v>2722.59</v>
      </c>
      <c r="L985" s="17">
        <v>2031.07</v>
      </c>
      <c r="M985" t="s">
        <v>84</v>
      </c>
      <c r="N985" t="s">
        <v>84</v>
      </c>
      <c r="O985" t="s">
        <v>84</v>
      </c>
      <c r="P985" t="s">
        <v>84</v>
      </c>
      <c r="Q985" s="17">
        <v>20600000</v>
      </c>
      <c r="R985" s="17">
        <v>39.12</v>
      </c>
      <c r="S985" t="s">
        <v>85</v>
      </c>
      <c r="T985" t="s">
        <v>84</v>
      </c>
      <c r="U985" t="s">
        <v>84</v>
      </c>
      <c r="V985" s="16">
        <v>41586</v>
      </c>
      <c r="W985" s="18">
        <v>41586.8541666667</v>
      </c>
      <c r="X985" s="18">
        <v>41651.5</v>
      </c>
      <c r="Y985" s="17">
        <v>2624.51</v>
      </c>
      <c r="Z985" t="s">
        <v>87</v>
      </c>
      <c r="AA985" s="17">
        <v>2724</v>
      </c>
      <c r="AB985" s="17">
        <v>2031.78</v>
      </c>
      <c r="AC985" t="s">
        <v>84</v>
      </c>
      <c r="AD985" t="s">
        <v>84</v>
      </c>
      <c r="AE985" t="s">
        <v>84</v>
      </c>
      <c r="AF985" t="s">
        <v>84</v>
      </c>
      <c r="AG985" s="17">
        <v>15200000</v>
      </c>
      <c r="AH985" s="17">
        <v>30.17</v>
      </c>
      <c r="AI985" s="17">
        <v>2.92</v>
      </c>
      <c r="AJ985" s="17">
        <v>2.92</v>
      </c>
      <c r="AK985" t="s">
        <v>208</v>
      </c>
      <c r="AM985" s="17">
        <v>2.1</v>
      </c>
      <c r="AN985" s="17"/>
      <c r="AO985" s="17">
        <v>700</v>
      </c>
      <c r="AP985" s="17"/>
      <c r="AQ985" s="17">
        <v>1220</v>
      </c>
      <c r="AR985" s="17"/>
      <c r="AS985" s="13" t="s">
        <v>150</v>
      </c>
      <c r="AT985" s="13"/>
      <c r="AU985" s="13" t="s">
        <v>150</v>
      </c>
      <c r="AW985" s="13" t="s">
        <v>150</v>
      </c>
      <c r="AY985" t="s">
        <v>92</v>
      </c>
      <c r="AZ985" t="s">
        <v>92</v>
      </c>
      <c r="BA985" t="s">
        <v>92</v>
      </c>
      <c r="BB985" t="s">
        <v>92</v>
      </c>
      <c r="BC985" t="s">
        <v>92</v>
      </c>
      <c r="BD985" t="s">
        <v>92</v>
      </c>
      <c r="BE985" t="s">
        <v>92</v>
      </c>
      <c r="BF985" t="s">
        <v>92</v>
      </c>
      <c r="BG985" t="s">
        <v>92</v>
      </c>
      <c r="BH985" t="s">
        <v>92</v>
      </c>
      <c r="BI985" t="s">
        <v>92</v>
      </c>
      <c r="BJ985" t="s">
        <v>92</v>
      </c>
      <c r="BK985" t="s">
        <v>92</v>
      </c>
      <c r="BL985" t="s">
        <v>92</v>
      </c>
      <c r="BM985" t="s">
        <v>92</v>
      </c>
      <c r="BN985" t="s">
        <v>92</v>
      </c>
      <c r="BO985" t="s">
        <v>92</v>
      </c>
      <c r="BP985" t="s">
        <v>92</v>
      </c>
      <c r="BQ985" t="s">
        <v>92</v>
      </c>
      <c r="BR985" t="s">
        <v>92</v>
      </c>
      <c r="BS985" t="s">
        <v>92</v>
      </c>
      <c r="BT985" t="s">
        <v>92</v>
      </c>
      <c r="BU985" t="s">
        <v>92</v>
      </c>
      <c r="BV985" t="s">
        <v>92</v>
      </c>
      <c r="BW985" t="s">
        <v>92</v>
      </c>
      <c r="BX985" t="s">
        <v>92</v>
      </c>
      <c r="BY985" t="str">
        <f>IF(COUNTIF('Data Upload-prod'!E:E,F985)=0,"Missing","Exist")</f>
        <v>Exist</v>
      </c>
    </row>
    <row r="986" hidden="1" spans="1:77">
      <c r="A986" t="s">
        <v>84</v>
      </c>
      <c r="B986" s="16">
        <v>43454</v>
      </c>
      <c r="C986" t="s">
        <v>281</v>
      </c>
      <c r="D986" t="s">
        <v>78</v>
      </c>
      <c r="E986" t="s">
        <v>282</v>
      </c>
      <c r="F986" t="s">
        <v>1618</v>
      </c>
      <c r="G986" t="s">
        <v>81</v>
      </c>
      <c r="H986" t="s">
        <v>247</v>
      </c>
      <c r="I986" t="s">
        <v>231</v>
      </c>
      <c r="J986" s="17">
        <v>72.1</v>
      </c>
      <c r="K986" s="17">
        <v>2579</v>
      </c>
      <c r="L986" s="17">
        <v>2049</v>
      </c>
      <c r="M986" t="s">
        <v>84</v>
      </c>
      <c r="N986" t="s">
        <v>84</v>
      </c>
      <c r="O986" t="s">
        <v>84</v>
      </c>
      <c r="P986" t="s">
        <v>84</v>
      </c>
      <c r="Q986" s="17">
        <v>8774697</v>
      </c>
      <c r="R986" s="17">
        <v>24.6</v>
      </c>
      <c r="S986" t="s">
        <v>85</v>
      </c>
      <c r="T986" t="s">
        <v>84</v>
      </c>
      <c r="U986" t="s">
        <v>86</v>
      </c>
      <c r="V986" s="16">
        <v>43240</v>
      </c>
      <c r="W986" s="18">
        <v>43235.6666666667</v>
      </c>
      <c r="X986" s="18">
        <v>43292</v>
      </c>
      <c r="Y986" s="17">
        <v>2486.4</v>
      </c>
      <c r="Z986" t="s">
        <v>87</v>
      </c>
      <c r="AA986" s="17">
        <v>2592</v>
      </c>
      <c r="AB986" s="17">
        <v>2055</v>
      </c>
      <c r="AC986" t="s">
        <v>84</v>
      </c>
      <c r="AD986" t="s">
        <v>84</v>
      </c>
      <c r="AE986" t="s">
        <v>84</v>
      </c>
      <c r="AF986" t="s">
        <v>84</v>
      </c>
      <c r="AG986" s="17">
        <v>8381789</v>
      </c>
      <c r="AH986" s="17">
        <v>34.4</v>
      </c>
      <c r="AI986" s="17">
        <v>0.51</v>
      </c>
      <c r="AJ986" s="17">
        <v>0.51</v>
      </c>
      <c r="AK986" t="s">
        <v>165</v>
      </c>
      <c r="AM986" s="17">
        <v>3.2</v>
      </c>
      <c r="AN986" s="17"/>
      <c r="AO986" s="17">
        <v>1300</v>
      </c>
      <c r="AP986" s="17"/>
      <c r="AQ986" s="17">
        <v>1830</v>
      </c>
      <c r="AR986" s="17"/>
      <c r="AS986" s="17">
        <v>1.9</v>
      </c>
      <c r="AT986" s="17"/>
      <c r="AU986" s="17">
        <v>444</v>
      </c>
      <c r="AV986" s="17"/>
      <c r="AW986" s="17">
        <v>903</v>
      </c>
      <c r="AX986" s="17"/>
      <c r="AY986" t="s">
        <v>92</v>
      </c>
      <c r="AZ986" t="s">
        <v>92</v>
      </c>
      <c r="BA986" t="s">
        <v>92</v>
      </c>
      <c r="BB986" t="s">
        <v>92</v>
      </c>
      <c r="BC986" t="s">
        <v>92</v>
      </c>
      <c r="BD986" s="17">
        <v>9.9</v>
      </c>
      <c r="BE986" s="17">
        <v>2326115</v>
      </c>
      <c r="BF986" t="s">
        <v>92</v>
      </c>
      <c r="BG986" t="s">
        <v>92</v>
      </c>
      <c r="BH986" t="s">
        <v>93</v>
      </c>
      <c r="BI986" t="s">
        <v>94</v>
      </c>
      <c r="BJ986" t="s">
        <v>173</v>
      </c>
      <c r="BK986" t="s">
        <v>85</v>
      </c>
      <c r="BL986" t="s">
        <v>85</v>
      </c>
      <c r="BM986" t="s">
        <v>96</v>
      </c>
      <c r="BN986" t="s">
        <v>490</v>
      </c>
      <c r="BO986" t="s">
        <v>216</v>
      </c>
      <c r="BP986" t="s">
        <v>99</v>
      </c>
      <c r="BQ986" s="17">
        <v>75.463</v>
      </c>
      <c r="BR986" t="s">
        <v>100</v>
      </c>
      <c r="BS986" t="s">
        <v>156</v>
      </c>
      <c r="BT986" t="s">
        <v>99</v>
      </c>
      <c r="BU986" s="17">
        <v>9.9</v>
      </c>
      <c r="BV986" t="s">
        <v>191</v>
      </c>
      <c r="BW986" t="s">
        <v>85</v>
      </c>
      <c r="BX986" t="s">
        <v>85</v>
      </c>
      <c r="BY986" t="str">
        <f>IF(COUNTIF('Data Upload-prod'!E:E,F986)=0,"Missing","Exist")</f>
        <v>Exist</v>
      </c>
    </row>
    <row r="987" hidden="1" spans="1:77">
      <c r="A987" t="s">
        <v>84</v>
      </c>
      <c r="B987" s="16">
        <v>42151</v>
      </c>
      <c r="C987" t="s">
        <v>132</v>
      </c>
      <c r="D987" t="s">
        <v>78</v>
      </c>
      <c r="E987" t="s">
        <v>1619</v>
      </c>
      <c r="F987" t="s">
        <v>1620</v>
      </c>
      <c r="G987" t="s">
        <v>145</v>
      </c>
      <c r="H987" t="s">
        <v>181</v>
      </c>
      <c r="I987" t="s">
        <v>124</v>
      </c>
      <c r="J987" s="17">
        <v>61</v>
      </c>
      <c r="K987" s="17">
        <v>1785</v>
      </c>
      <c r="L987" s="17">
        <v>1785</v>
      </c>
      <c r="M987" s="17">
        <v>14476123.31</v>
      </c>
      <c r="N987" s="17">
        <v>14476123.31</v>
      </c>
      <c r="O987" s="17">
        <v>25.4</v>
      </c>
      <c r="P987" s="17">
        <v>25.4</v>
      </c>
      <c r="Q987" t="s">
        <v>84</v>
      </c>
      <c r="R987" t="s">
        <v>84</v>
      </c>
      <c r="S987" t="s">
        <v>85</v>
      </c>
      <c r="T987" t="s">
        <v>84</v>
      </c>
      <c r="U987" t="s">
        <v>84</v>
      </c>
      <c r="V987" s="16">
        <v>42080</v>
      </c>
      <c r="W987" s="18">
        <v>42077.7291666667</v>
      </c>
      <c r="X987" s="18">
        <v>42094.8333333333</v>
      </c>
      <c r="Y987" s="17">
        <v>1706.6</v>
      </c>
      <c r="Z987" t="s">
        <v>87</v>
      </c>
      <c r="AA987" s="17">
        <v>1802.5</v>
      </c>
      <c r="AB987" s="17">
        <v>1802</v>
      </c>
      <c r="AC987" s="17">
        <v>9828593.25</v>
      </c>
      <c r="AD987" t="s">
        <v>84</v>
      </c>
      <c r="AE987" s="17">
        <v>17.27</v>
      </c>
      <c r="AF987" t="s">
        <v>84</v>
      </c>
      <c r="AG987" t="s">
        <v>84</v>
      </c>
      <c r="AH987" t="s">
        <v>84</v>
      </c>
      <c r="AI987" s="17">
        <v>2.89</v>
      </c>
      <c r="AJ987" s="17">
        <v>2.89</v>
      </c>
      <c r="AK987" t="s">
        <v>544</v>
      </c>
      <c r="AM987" s="17">
        <v>1.2</v>
      </c>
      <c r="AN987" s="17"/>
      <c r="AO987" s="17">
        <v>385</v>
      </c>
      <c r="AP987" s="17"/>
      <c r="AQ987" s="17">
        <v>930</v>
      </c>
      <c r="AR987" s="17"/>
      <c r="AS987" s="17">
        <v>1.1</v>
      </c>
      <c r="AT987" s="17"/>
      <c r="AU987" s="17">
        <v>685.17</v>
      </c>
      <c r="AV987" s="17"/>
      <c r="AW987" s="17">
        <v>1124.52</v>
      </c>
      <c r="AX987" s="17"/>
      <c r="AY987" t="s">
        <v>92</v>
      </c>
      <c r="AZ987" t="s">
        <v>92</v>
      </c>
      <c r="BA987" t="s">
        <v>92</v>
      </c>
      <c r="BB987" t="s">
        <v>92</v>
      </c>
      <c r="BC987" t="s">
        <v>92</v>
      </c>
      <c r="BD987" t="s">
        <v>92</v>
      </c>
      <c r="BE987" t="s">
        <v>92</v>
      </c>
      <c r="BF987" t="s">
        <v>92</v>
      </c>
      <c r="BG987" t="s">
        <v>92</v>
      </c>
      <c r="BH987" t="s">
        <v>92</v>
      </c>
      <c r="BI987" t="s">
        <v>92</v>
      </c>
      <c r="BJ987" t="s">
        <v>92</v>
      </c>
      <c r="BK987" t="s">
        <v>92</v>
      </c>
      <c r="BL987" t="s">
        <v>92</v>
      </c>
      <c r="BM987" t="s">
        <v>92</v>
      </c>
      <c r="BN987" t="s">
        <v>92</v>
      </c>
      <c r="BO987" t="s">
        <v>92</v>
      </c>
      <c r="BP987" t="s">
        <v>92</v>
      </c>
      <c r="BQ987" t="s">
        <v>92</v>
      </c>
      <c r="BR987" t="s">
        <v>92</v>
      </c>
      <c r="BS987" t="s">
        <v>92</v>
      </c>
      <c r="BT987" t="s">
        <v>92</v>
      </c>
      <c r="BU987" t="s">
        <v>92</v>
      </c>
      <c r="BV987" t="s">
        <v>92</v>
      </c>
      <c r="BW987" t="s">
        <v>92</v>
      </c>
      <c r="BX987" t="s">
        <v>92</v>
      </c>
      <c r="BY987" t="str">
        <f>IF(COUNTIF('Data Upload-prod'!E:E,F987)=0,"Missing","Exist")</f>
        <v>Exist</v>
      </c>
    </row>
    <row r="988" hidden="1" spans="1:77">
      <c r="A988" t="s">
        <v>84</v>
      </c>
      <c r="B988" s="16">
        <v>43125</v>
      </c>
      <c r="C988" t="s">
        <v>269</v>
      </c>
      <c r="D988" t="s">
        <v>78</v>
      </c>
      <c r="E988" t="s">
        <v>440</v>
      </c>
      <c r="F988" t="s">
        <v>1621</v>
      </c>
      <c r="G988" t="s">
        <v>81</v>
      </c>
      <c r="H988" t="s">
        <v>790</v>
      </c>
      <c r="I988" t="s">
        <v>124</v>
      </c>
      <c r="J988" s="17">
        <v>57.36</v>
      </c>
      <c r="K988" s="17">
        <v>3647.06</v>
      </c>
      <c r="L988" s="17">
        <v>2771.11</v>
      </c>
      <c r="M988" t="s">
        <v>84</v>
      </c>
      <c r="N988" t="s">
        <v>84</v>
      </c>
      <c r="O988" t="s">
        <v>84</v>
      </c>
      <c r="P988" t="s">
        <v>84</v>
      </c>
      <c r="Q988" s="17">
        <v>43796975</v>
      </c>
      <c r="R988" s="17">
        <v>83</v>
      </c>
      <c r="S988" t="s">
        <v>106</v>
      </c>
      <c r="T988" t="s">
        <v>84</v>
      </c>
      <c r="U988" t="s">
        <v>84</v>
      </c>
      <c r="V988" s="16">
        <v>42775.9583333333</v>
      </c>
      <c r="W988" s="18">
        <v>42775.8541666667</v>
      </c>
      <c r="X988" s="18">
        <v>43063.7291666667</v>
      </c>
      <c r="Y988" s="17">
        <v>3512.65</v>
      </c>
      <c r="Z988" t="s">
        <v>87</v>
      </c>
      <c r="AA988" s="17">
        <v>3613.23</v>
      </c>
      <c r="AB988" s="17">
        <v>2747.64</v>
      </c>
      <c r="AC988" t="s">
        <v>84</v>
      </c>
      <c r="AD988" t="s">
        <v>84</v>
      </c>
      <c r="AE988" t="s">
        <v>84</v>
      </c>
      <c r="AF988" t="s">
        <v>84</v>
      </c>
      <c r="AG988" s="17">
        <v>45000000</v>
      </c>
      <c r="AH988" s="17">
        <v>94.4</v>
      </c>
      <c r="AI988" s="17">
        <v>40.52</v>
      </c>
      <c r="AJ988" s="17">
        <v>40.5</v>
      </c>
      <c r="AK988" t="s">
        <v>276</v>
      </c>
      <c r="AM988" s="17">
        <v>3.7</v>
      </c>
      <c r="AN988" s="17"/>
      <c r="AO988" s="17">
        <v>1585</v>
      </c>
      <c r="AP988" s="17"/>
      <c r="AQ988" s="17">
        <v>3400</v>
      </c>
      <c r="AR988" s="17"/>
      <c r="AS988" s="17">
        <v>3.5</v>
      </c>
      <c r="AT988" s="17"/>
      <c r="AU988" s="17">
        <v>1900</v>
      </c>
      <c r="AV988" s="17"/>
      <c r="AW988" s="17">
        <v>3897</v>
      </c>
      <c r="AX988" s="17"/>
      <c r="AY988" t="s">
        <v>92</v>
      </c>
      <c r="AZ988" t="s">
        <v>92</v>
      </c>
      <c r="BA988" t="s">
        <v>92</v>
      </c>
      <c r="BB988" t="s">
        <v>92</v>
      </c>
      <c r="BC988" t="s">
        <v>92</v>
      </c>
      <c r="BD988" t="s">
        <v>92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92</v>
      </c>
      <c r="BM988" t="s">
        <v>92</v>
      </c>
      <c r="BN988" t="s">
        <v>92</v>
      </c>
      <c r="BO988" t="s">
        <v>92</v>
      </c>
      <c r="BP988" t="s">
        <v>92</v>
      </c>
      <c r="BQ988" t="s">
        <v>92</v>
      </c>
      <c r="BR988" t="s">
        <v>92</v>
      </c>
      <c r="BS988" t="s">
        <v>92</v>
      </c>
      <c r="BT988" t="s">
        <v>92</v>
      </c>
      <c r="BU988" t="s">
        <v>92</v>
      </c>
      <c r="BV988" t="s">
        <v>92</v>
      </c>
      <c r="BW988" t="s">
        <v>92</v>
      </c>
      <c r="BX988" t="s">
        <v>92</v>
      </c>
      <c r="BY988" t="str">
        <f>IF(COUNTIF('Data Upload-prod'!E:E,F988)=0,"Missing","Exist")</f>
        <v>Exist</v>
      </c>
    </row>
    <row r="989" hidden="1" spans="1:77">
      <c r="A989" t="s">
        <v>84</v>
      </c>
      <c r="B989" s="16">
        <v>42123</v>
      </c>
      <c r="C989" t="s">
        <v>132</v>
      </c>
      <c r="D989" t="s">
        <v>78</v>
      </c>
      <c r="E989" t="s">
        <v>1001</v>
      </c>
      <c r="F989" t="s">
        <v>1622</v>
      </c>
      <c r="G989" t="s">
        <v>81</v>
      </c>
      <c r="H989" t="s">
        <v>837</v>
      </c>
      <c r="I989" t="s">
        <v>83</v>
      </c>
      <c r="J989" s="17">
        <v>69</v>
      </c>
      <c r="K989" s="17">
        <v>3480</v>
      </c>
      <c r="L989" s="17">
        <v>1691</v>
      </c>
      <c r="M989" t="s">
        <v>84</v>
      </c>
      <c r="N989" t="s">
        <v>84</v>
      </c>
      <c r="O989" t="s">
        <v>84</v>
      </c>
      <c r="P989" t="s">
        <v>84</v>
      </c>
      <c r="Q989" s="17">
        <v>24018380</v>
      </c>
      <c r="R989" s="17">
        <v>34.09</v>
      </c>
      <c r="S989" t="s">
        <v>85</v>
      </c>
      <c r="T989" t="s">
        <v>84</v>
      </c>
      <c r="U989" t="s">
        <v>86</v>
      </c>
      <c r="V989" s="16">
        <v>41912.4375</v>
      </c>
      <c r="W989" s="18">
        <v>41912.4375</v>
      </c>
      <c r="X989" s="18">
        <v>42092.7916666667</v>
      </c>
      <c r="Y989" s="17">
        <v>3496.82</v>
      </c>
      <c r="Z989" t="s">
        <v>87</v>
      </c>
      <c r="AA989" s="17">
        <v>3600</v>
      </c>
      <c r="AB989" s="17">
        <v>1725</v>
      </c>
      <c r="AC989" t="s">
        <v>84</v>
      </c>
      <c r="AD989" t="s">
        <v>84</v>
      </c>
      <c r="AE989" t="s">
        <v>84</v>
      </c>
      <c r="AF989" t="s">
        <v>84</v>
      </c>
      <c r="AG989" s="17">
        <v>18500000</v>
      </c>
      <c r="AH989" s="17">
        <v>28.98</v>
      </c>
      <c r="AI989" s="17">
        <v>0.95</v>
      </c>
      <c r="AJ989" s="17">
        <v>0.95</v>
      </c>
      <c r="AK989" t="s">
        <v>208</v>
      </c>
      <c r="AM989" s="17">
        <v>2.1</v>
      </c>
      <c r="AN989" s="17"/>
      <c r="AO989" s="17">
        <v>700</v>
      </c>
      <c r="AP989" s="17"/>
      <c r="AQ989" s="17">
        <v>1220</v>
      </c>
      <c r="AR989" s="17"/>
      <c r="AS989" s="17">
        <v>1.59</v>
      </c>
      <c r="AT989" s="17"/>
      <c r="AU989" s="17">
        <v>648.84</v>
      </c>
      <c r="AV989" s="17"/>
      <c r="AW989" s="17">
        <v>1612.39</v>
      </c>
      <c r="AX989" s="17"/>
      <c r="AY989" t="s">
        <v>92</v>
      </c>
      <c r="AZ989" t="s">
        <v>92</v>
      </c>
      <c r="BA989" t="s">
        <v>92</v>
      </c>
      <c r="BB989" t="s">
        <v>92</v>
      </c>
      <c r="BC989" t="s">
        <v>92</v>
      </c>
      <c r="BD989" s="17">
        <v>7.73</v>
      </c>
      <c r="BE989" s="17">
        <v>5643439.04</v>
      </c>
      <c r="BF989" t="s">
        <v>92</v>
      </c>
      <c r="BG989" t="s">
        <v>92</v>
      </c>
      <c r="BH989" t="s">
        <v>93</v>
      </c>
      <c r="BI989" t="s">
        <v>94</v>
      </c>
      <c r="BJ989" t="s">
        <v>173</v>
      </c>
      <c r="BK989" t="s">
        <v>85</v>
      </c>
      <c r="BL989" t="s">
        <v>85</v>
      </c>
      <c r="BM989" t="s">
        <v>96</v>
      </c>
      <c r="BN989" t="s">
        <v>569</v>
      </c>
      <c r="BO989" t="s">
        <v>98</v>
      </c>
      <c r="BP989" t="s">
        <v>103</v>
      </c>
      <c r="BQ989" s="17">
        <v>52.496</v>
      </c>
      <c r="BR989" t="s">
        <v>138</v>
      </c>
      <c r="BS989" t="s">
        <v>156</v>
      </c>
      <c r="BT989" t="s">
        <v>550</v>
      </c>
      <c r="BU989" s="17">
        <v>8.7</v>
      </c>
      <c r="BV989" t="s">
        <v>191</v>
      </c>
      <c r="BW989" t="s">
        <v>85</v>
      </c>
      <c r="BX989" t="s">
        <v>85</v>
      </c>
      <c r="BY989" t="str">
        <f>IF(COUNTIF('Data Upload-prod'!E:E,F989)=0,"Missing","Exist")</f>
        <v>Exist</v>
      </c>
    </row>
    <row r="990" hidden="1" spans="1:77">
      <c r="A990" t="s">
        <v>84</v>
      </c>
      <c r="B990" t="s">
        <v>84</v>
      </c>
      <c r="C990" t="s">
        <v>141</v>
      </c>
      <c r="D990" t="s">
        <v>142</v>
      </c>
      <c r="E990" t="s">
        <v>245</v>
      </c>
      <c r="F990" t="s">
        <v>1623</v>
      </c>
      <c r="G990" t="s">
        <v>81</v>
      </c>
      <c r="H990" t="s">
        <v>247</v>
      </c>
      <c r="I990" t="s">
        <v>231</v>
      </c>
      <c r="J990" s="17">
        <v>486.06</v>
      </c>
      <c r="K990" s="17">
        <v>1491.62</v>
      </c>
      <c r="L990" s="17">
        <v>1446.21</v>
      </c>
      <c r="M990" t="s">
        <v>84</v>
      </c>
      <c r="N990" t="s">
        <v>84</v>
      </c>
      <c r="O990" t="s">
        <v>84</v>
      </c>
      <c r="P990" t="s">
        <v>84</v>
      </c>
      <c r="Q990" s="17">
        <v>19900000</v>
      </c>
      <c r="R990" s="17">
        <v>42.9</v>
      </c>
      <c r="S990" t="s">
        <v>85</v>
      </c>
      <c r="T990" t="s">
        <v>84</v>
      </c>
      <c r="U990" t="s">
        <v>84</v>
      </c>
      <c r="V990" s="16">
        <v>41940.4583333333</v>
      </c>
      <c r="W990" t="s">
        <v>84</v>
      </c>
      <c r="X990" t="s">
        <v>84</v>
      </c>
      <c r="Y990" s="17">
        <v>2814.16</v>
      </c>
      <c r="Z990" t="s">
        <v>148</v>
      </c>
      <c r="AA990" s="17">
        <v>3345.63</v>
      </c>
      <c r="AB990" s="17">
        <v>1564.21</v>
      </c>
      <c r="AC990" t="s">
        <v>84</v>
      </c>
      <c r="AD990" t="s">
        <v>84</v>
      </c>
      <c r="AE990" t="s">
        <v>84</v>
      </c>
      <c r="AF990" t="s">
        <v>84</v>
      </c>
      <c r="AG990" s="17">
        <v>14769520</v>
      </c>
      <c r="AH990" s="17">
        <v>30.15</v>
      </c>
      <c r="AI990" s="17">
        <v>1.04</v>
      </c>
      <c r="AJ990" s="17">
        <v>1.04</v>
      </c>
      <c r="AK990" t="s">
        <v>669</v>
      </c>
      <c r="AM990" s="17">
        <v>3.6</v>
      </c>
      <c r="AN990" s="17"/>
      <c r="AO990" s="17">
        <v>2590</v>
      </c>
      <c r="AP990" s="17"/>
      <c r="AQ990" s="17">
        <v>4150</v>
      </c>
      <c r="AR990" s="17"/>
      <c r="AS990" s="17">
        <v>3.87</v>
      </c>
      <c r="AT990" s="17"/>
      <c r="AU990" s="17">
        <v>1664</v>
      </c>
      <c r="AV990" s="17"/>
      <c r="AW990" s="17">
        <v>2628</v>
      </c>
      <c r="AX990" s="17"/>
      <c r="AY990" t="s">
        <v>92</v>
      </c>
      <c r="AZ990" t="s">
        <v>92</v>
      </c>
      <c r="BA990" t="s">
        <v>92</v>
      </c>
      <c r="BB990" t="s">
        <v>92</v>
      </c>
      <c r="BC990" t="s">
        <v>92</v>
      </c>
      <c r="BD990" t="s">
        <v>92</v>
      </c>
      <c r="BE990" t="s">
        <v>92</v>
      </c>
      <c r="BF990" t="s">
        <v>92</v>
      </c>
      <c r="BG990" t="s">
        <v>92</v>
      </c>
      <c r="BH990" t="s">
        <v>92</v>
      </c>
      <c r="BI990" t="s">
        <v>92</v>
      </c>
      <c r="BJ990" t="s">
        <v>92</v>
      </c>
      <c r="BK990" t="s">
        <v>92</v>
      </c>
      <c r="BL990" t="s">
        <v>92</v>
      </c>
      <c r="BM990" t="s">
        <v>92</v>
      </c>
      <c r="BN990" t="s">
        <v>92</v>
      </c>
      <c r="BO990" t="s">
        <v>92</v>
      </c>
      <c r="BP990" t="s">
        <v>92</v>
      </c>
      <c r="BQ990" t="s">
        <v>92</v>
      </c>
      <c r="BR990" t="s">
        <v>92</v>
      </c>
      <c r="BS990" t="s">
        <v>92</v>
      </c>
      <c r="BT990" t="s">
        <v>92</v>
      </c>
      <c r="BU990" t="s">
        <v>92</v>
      </c>
      <c r="BV990" t="s">
        <v>92</v>
      </c>
      <c r="BW990" t="s">
        <v>92</v>
      </c>
      <c r="BX990" t="s">
        <v>92</v>
      </c>
      <c r="BY990" t="str">
        <f>IF(COUNTIF('Data Upload-prod'!E:E,F990)=0,"Missing","Exist")</f>
        <v>Exist</v>
      </c>
    </row>
    <row r="991" hidden="1" spans="1:77">
      <c r="A991" t="s">
        <v>84</v>
      </c>
      <c r="B991" s="16">
        <v>41828</v>
      </c>
      <c r="C991" t="s">
        <v>242</v>
      </c>
      <c r="D991" t="s">
        <v>78</v>
      </c>
      <c r="E991" t="s">
        <v>260</v>
      </c>
      <c r="F991" t="s">
        <v>1624</v>
      </c>
      <c r="G991" t="s">
        <v>81</v>
      </c>
      <c r="H991" t="s">
        <v>250</v>
      </c>
      <c r="I991" t="s">
        <v>124</v>
      </c>
      <c r="J991" s="17">
        <v>58.21</v>
      </c>
      <c r="K991" s="17">
        <v>2268.52</v>
      </c>
      <c r="L991" s="17">
        <v>1773.06</v>
      </c>
      <c r="M991" t="s">
        <v>84</v>
      </c>
      <c r="N991" t="s">
        <v>84</v>
      </c>
      <c r="O991" t="s">
        <v>84</v>
      </c>
      <c r="P991" t="s">
        <v>84</v>
      </c>
      <c r="Q991" s="17">
        <v>8706987</v>
      </c>
      <c r="R991" s="17">
        <v>17.82</v>
      </c>
      <c r="S991" t="s">
        <v>85</v>
      </c>
      <c r="T991" t="s">
        <v>84</v>
      </c>
      <c r="U991" t="s">
        <v>84</v>
      </c>
      <c r="V991" s="16">
        <v>41711</v>
      </c>
      <c r="W991" s="18">
        <v>41709</v>
      </c>
      <c r="X991" s="18">
        <v>41802</v>
      </c>
      <c r="Y991" s="17">
        <v>2358.12</v>
      </c>
      <c r="Z991" t="s">
        <v>87</v>
      </c>
      <c r="AA991" s="17">
        <v>2452.3</v>
      </c>
      <c r="AB991" s="17">
        <v>1743.37</v>
      </c>
      <c r="AC991" t="s">
        <v>84</v>
      </c>
      <c r="AD991" t="s">
        <v>84</v>
      </c>
      <c r="AE991" t="s">
        <v>84</v>
      </c>
      <c r="AF991" t="s">
        <v>84</v>
      </c>
      <c r="AG991" s="17">
        <v>8949982</v>
      </c>
      <c r="AH991" s="17">
        <v>24.5</v>
      </c>
      <c r="AI991" s="17">
        <v>3.23</v>
      </c>
      <c r="AJ991" s="17">
        <v>3.23</v>
      </c>
      <c r="AK991" t="s">
        <v>165</v>
      </c>
      <c r="AM991" s="17">
        <v>3.2</v>
      </c>
      <c r="AN991" s="17"/>
      <c r="AO991" s="17">
        <v>1300</v>
      </c>
      <c r="AP991" s="17"/>
      <c r="AQ991" s="17">
        <v>1600</v>
      </c>
      <c r="AR991" s="17"/>
      <c r="AS991" s="13" t="s">
        <v>150</v>
      </c>
      <c r="AT991" s="13"/>
      <c r="AU991" s="13" t="s">
        <v>150</v>
      </c>
      <c r="AW991" s="13" t="s">
        <v>150</v>
      </c>
      <c r="AY991" t="s">
        <v>92</v>
      </c>
      <c r="AZ991" t="s">
        <v>92</v>
      </c>
      <c r="BA991" t="s">
        <v>92</v>
      </c>
      <c r="BB991" t="s">
        <v>92</v>
      </c>
      <c r="BC991" t="s">
        <v>92</v>
      </c>
      <c r="BD991" t="s">
        <v>92</v>
      </c>
      <c r="BE991" t="s">
        <v>92</v>
      </c>
      <c r="BF991" t="s">
        <v>92</v>
      </c>
      <c r="BG991" t="s">
        <v>92</v>
      </c>
      <c r="BH991" t="s">
        <v>92</v>
      </c>
      <c r="BI991" t="s">
        <v>92</v>
      </c>
      <c r="BJ991" t="s">
        <v>92</v>
      </c>
      <c r="BK991" t="s">
        <v>92</v>
      </c>
      <c r="BL991" t="s">
        <v>92</v>
      </c>
      <c r="BM991" t="s">
        <v>92</v>
      </c>
      <c r="BN991" t="s">
        <v>92</v>
      </c>
      <c r="BO991" t="s">
        <v>92</v>
      </c>
      <c r="BP991" t="s">
        <v>92</v>
      </c>
      <c r="BQ991" t="s">
        <v>92</v>
      </c>
      <c r="BR991" t="s">
        <v>92</v>
      </c>
      <c r="BS991" t="s">
        <v>92</v>
      </c>
      <c r="BT991" t="s">
        <v>92</v>
      </c>
      <c r="BU991" t="s">
        <v>92</v>
      </c>
      <c r="BV991" t="s">
        <v>92</v>
      </c>
      <c r="BW991" t="s">
        <v>92</v>
      </c>
      <c r="BX991" t="s">
        <v>92</v>
      </c>
      <c r="BY991" t="str">
        <f>IF(COUNTIF('Data Upload-prod'!E:E,F991)=0,"Missing","Exist")</f>
        <v>Exist</v>
      </c>
    </row>
    <row r="992" hidden="1" spans="1:77">
      <c r="A992" t="s">
        <v>84</v>
      </c>
      <c r="B992" s="16">
        <v>43222</v>
      </c>
      <c r="C992" t="s">
        <v>132</v>
      </c>
      <c r="D992" t="s">
        <v>78</v>
      </c>
      <c r="E992" t="s">
        <v>628</v>
      </c>
      <c r="F992" t="s">
        <v>1625</v>
      </c>
      <c r="G992" t="s">
        <v>81</v>
      </c>
      <c r="H992" t="s">
        <v>198</v>
      </c>
      <c r="I992" t="s">
        <v>83</v>
      </c>
      <c r="J992" s="17">
        <v>74.22</v>
      </c>
      <c r="K992" s="17">
        <v>2023</v>
      </c>
      <c r="L992" s="17">
        <v>1521.2</v>
      </c>
      <c r="M992" t="s">
        <v>84</v>
      </c>
      <c r="N992" t="s">
        <v>84</v>
      </c>
      <c r="O992" t="s">
        <v>84</v>
      </c>
      <c r="P992" t="s">
        <v>84</v>
      </c>
      <c r="Q992" s="17">
        <v>13724086</v>
      </c>
      <c r="R992" s="17">
        <v>30.72</v>
      </c>
      <c r="S992" t="s">
        <v>85</v>
      </c>
      <c r="T992" t="s">
        <v>84</v>
      </c>
      <c r="U992" t="s">
        <v>84</v>
      </c>
      <c r="V992" s="16">
        <v>43054</v>
      </c>
      <c r="W992" s="18">
        <v>43023</v>
      </c>
      <c r="X992" s="18">
        <v>43172.2916666667</v>
      </c>
      <c r="Y992" s="17">
        <v>1991.23</v>
      </c>
      <c r="Z992" t="s">
        <v>87</v>
      </c>
      <c r="AA992" s="17">
        <v>2098</v>
      </c>
      <c r="AB992" s="17">
        <v>1515.2</v>
      </c>
      <c r="AC992" t="s">
        <v>84</v>
      </c>
      <c r="AD992" t="s">
        <v>84</v>
      </c>
      <c r="AE992" t="s">
        <v>84</v>
      </c>
      <c r="AF992" t="s">
        <v>84</v>
      </c>
      <c r="AG992" s="17">
        <v>10877057</v>
      </c>
      <c r="AH992" s="17">
        <v>34.79</v>
      </c>
      <c r="AI992" s="17">
        <v>6.2</v>
      </c>
      <c r="AJ992" s="17">
        <v>4.2</v>
      </c>
      <c r="AK992" t="s">
        <v>298</v>
      </c>
      <c r="AM992" s="17">
        <v>1.8</v>
      </c>
      <c r="AN992" s="17"/>
      <c r="AO992" s="17">
        <v>600</v>
      </c>
      <c r="AP992" s="17"/>
      <c r="AQ992" s="17">
        <v>2170</v>
      </c>
      <c r="AR992" s="17"/>
      <c r="AS992" s="17">
        <v>1.71</v>
      </c>
      <c r="AT992" s="17"/>
      <c r="AU992" s="17">
        <v>528.75</v>
      </c>
      <c r="AV992" s="17"/>
      <c r="AW992" s="17">
        <v>1818.48</v>
      </c>
      <c r="AX992" s="17"/>
      <c r="AY992" t="s">
        <v>92</v>
      </c>
      <c r="AZ992" t="s">
        <v>92</v>
      </c>
      <c r="BA992" t="s">
        <v>92</v>
      </c>
      <c r="BB992" t="s">
        <v>92</v>
      </c>
      <c r="BC992" t="s">
        <v>92</v>
      </c>
      <c r="BD992" t="s">
        <v>92</v>
      </c>
      <c r="BE992" t="s">
        <v>92</v>
      </c>
      <c r="BF992" t="s">
        <v>92</v>
      </c>
      <c r="BG992" t="s">
        <v>92</v>
      </c>
      <c r="BH992" t="s">
        <v>92</v>
      </c>
      <c r="BI992" t="s">
        <v>92</v>
      </c>
      <c r="BJ992" t="s">
        <v>92</v>
      </c>
      <c r="BK992" t="s">
        <v>92</v>
      </c>
      <c r="BL992" t="s">
        <v>92</v>
      </c>
      <c r="BM992" t="s">
        <v>92</v>
      </c>
      <c r="BN992" t="s">
        <v>92</v>
      </c>
      <c r="BO992" t="s">
        <v>92</v>
      </c>
      <c r="BP992" t="s">
        <v>92</v>
      </c>
      <c r="BQ992" t="s">
        <v>92</v>
      </c>
      <c r="BR992" t="s">
        <v>92</v>
      </c>
      <c r="BS992" t="s">
        <v>92</v>
      </c>
      <c r="BT992" t="s">
        <v>92</v>
      </c>
      <c r="BU992" t="s">
        <v>92</v>
      </c>
      <c r="BV992" t="s">
        <v>92</v>
      </c>
      <c r="BW992" t="s">
        <v>92</v>
      </c>
      <c r="BX992" t="s">
        <v>92</v>
      </c>
      <c r="BY992" t="str">
        <f>IF(COUNTIF('Data Upload-prod'!E:E,F992)=0,"Missing","Exist")</f>
        <v>Exist</v>
      </c>
    </row>
    <row r="993" hidden="1" spans="1:77">
      <c r="A993" t="s">
        <v>84</v>
      </c>
      <c r="B993" t="s">
        <v>84</v>
      </c>
      <c r="C993" t="s">
        <v>360</v>
      </c>
      <c r="D993" t="s">
        <v>120</v>
      </c>
      <c r="E993" t="s">
        <v>715</v>
      </c>
      <c r="F993" t="s">
        <v>1626</v>
      </c>
      <c r="G993" t="s">
        <v>81</v>
      </c>
      <c r="H993" t="s">
        <v>289</v>
      </c>
      <c r="I993" t="s">
        <v>124</v>
      </c>
      <c r="J993" s="17">
        <v>40.85</v>
      </c>
      <c r="K993" s="17">
        <v>1801.5</v>
      </c>
      <c r="L993" s="17">
        <v>1538.7</v>
      </c>
      <c r="M993" t="s">
        <v>84</v>
      </c>
      <c r="N993" t="s">
        <v>84</v>
      </c>
      <c r="O993" t="s">
        <v>84</v>
      </c>
      <c r="P993" t="s">
        <v>84</v>
      </c>
      <c r="Q993" s="17">
        <v>3433741</v>
      </c>
      <c r="R993" s="17">
        <v>6.44</v>
      </c>
      <c r="S993" t="s">
        <v>85</v>
      </c>
      <c r="T993" t="s">
        <v>84</v>
      </c>
      <c r="U993" t="s">
        <v>84</v>
      </c>
      <c r="V993" s="16">
        <v>44474.2916666667</v>
      </c>
      <c r="W993" s="18">
        <v>44379.1458333333</v>
      </c>
      <c r="X993" s="18">
        <v>44489.0625</v>
      </c>
      <c r="Y993" s="17">
        <v>1721.15</v>
      </c>
      <c r="Z993" t="s">
        <v>87</v>
      </c>
      <c r="AA993" s="17">
        <v>1808</v>
      </c>
      <c r="AB993" s="17">
        <v>1545.7</v>
      </c>
      <c r="AC993" t="s">
        <v>84</v>
      </c>
      <c r="AD993" t="s">
        <v>84</v>
      </c>
      <c r="AE993" t="s">
        <v>84</v>
      </c>
      <c r="AF993" t="s">
        <v>84</v>
      </c>
      <c r="AG993" s="17">
        <v>3773937</v>
      </c>
      <c r="AH993" s="17">
        <v>7.72</v>
      </c>
      <c r="AI993" s="17">
        <v>0</v>
      </c>
      <c r="AJ993" s="17">
        <v>0</v>
      </c>
      <c r="AK993" t="s">
        <v>208</v>
      </c>
      <c r="AM993" s="17">
        <v>2.2</v>
      </c>
      <c r="AN993" s="17"/>
      <c r="AO993" s="17">
        <v>830</v>
      </c>
      <c r="AP993" s="17"/>
      <c r="AQ993" s="17">
        <v>1380</v>
      </c>
      <c r="AR993" s="17"/>
      <c r="AS993" s="17">
        <v>1.07</v>
      </c>
      <c r="AT993" s="17"/>
      <c r="AU993" s="17">
        <v>464</v>
      </c>
      <c r="AV993" s="17"/>
      <c r="AW993" s="17">
        <v>636</v>
      </c>
      <c r="AX993" s="17"/>
      <c r="AY993" t="s">
        <v>92</v>
      </c>
      <c r="AZ993" t="s">
        <v>92</v>
      </c>
      <c r="BA993" t="s">
        <v>92</v>
      </c>
      <c r="BB993" t="s">
        <v>92</v>
      </c>
      <c r="BC993" t="s">
        <v>92</v>
      </c>
      <c r="BD993" t="s">
        <v>92</v>
      </c>
      <c r="BE993" t="s">
        <v>92</v>
      </c>
      <c r="BF993" t="s">
        <v>92</v>
      </c>
      <c r="BG993" t="s">
        <v>92</v>
      </c>
      <c r="BH993" t="s">
        <v>92</v>
      </c>
      <c r="BI993" t="s">
        <v>92</v>
      </c>
      <c r="BJ993" t="s">
        <v>92</v>
      </c>
      <c r="BK993" t="s">
        <v>92</v>
      </c>
      <c r="BL993" t="s">
        <v>92</v>
      </c>
      <c r="BM993" t="s">
        <v>92</v>
      </c>
      <c r="BN993" t="s">
        <v>92</v>
      </c>
      <c r="BO993" t="s">
        <v>92</v>
      </c>
      <c r="BP993" t="s">
        <v>92</v>
      </c>
      <c r="BQ993" t="s">
        <v>92</v>
      </c>
      <c r="BR993" t="s">
        <v>92</v>
      </c>
      <c r="BS993" t="s">
        <v>92</v>
      </c>
      <c r="BT993" t="s">
        <v>92</v>
      </c>
      <c r="BU993" t="s">
        <v>92</v>
      </c>
      <c r="BV993" t="s">
        <v>92</v>
      </c>
      <c r="BW993" t="s">
        <v>92</v>
      </c>
      <c r="BX993" t="s">
        <v>92</v>
      </c>
      <c r="BY993" t="str">
        <f>IF(COUNTIF('Data Upload-prod'!E:E,F993)=0,"Missing","Exist")</f>
        <v>Exist</v>
      </c>
    </row>
    <row r="994" hidden="1" spans="1:77">
      <c r="A994" t="s">
        <v>84</v>
      </c>
      <c r="B994" s="16">
        <v>45441</v>
      </c>
      <c r="C994" t="s">
        <v>132</v>
      </c>
      <c r="D994" t="s">
        <v>120</v>
      </c>
      <c r="E994" t="s">
        <v>463</v>
      </c>
      <c r="F994" t="s">
        <v>1627</v>
      </c>
      <c r="G994" t="s">
        <v>81</v>
      </c>
      <c r="H994" t="s">
        <v>397</v>
      </c>
      <c r="I994" t="s">
        <v>124</v>
      </c>
      <c r="J994" s="17">
        <v>69.49</v>
      </c>
      <c r="K994" s="17">
        <v>1409.89</v>
      </c>
      <c r="L994" s="17">
        <v>1144.91</v>
      </c>
      <c r="M994" t="s">
        <v>84</v>
      </c>
      <c r="N994" t="s">
        <v>84</v>
      </c>
      <c r="O994" t="s">
        <v>84</v>
      </c>
      <c r="P994" t="s">
        <v>84</v>
      </c>
      <c r="Q994" s="17">
        <v>8956274</v>
      </c>
      <c r="R994" s="17">
        <v>23.05</v>
      </c>
      <c r="S994" t="s">
        <v>85</v>
      </c>
      <c r="T994" t="s">
        <v>84</v>
      </c>
      <c r="U994" t="s">
        <v>86</v>
      </c>
      <c r="V994" t="s">
        <v>84</v>
      </c>
      <c r="W994" s="18">
        <v>45372.1875</v>
      </c>
      <c r="X994" s="18">
        <v>45403.125</v>
      </c>
      <c r="Y994" s="17">
        <v>1296</v>
      </c>
      <c r="Z994" t="s">
        <v>87</v>
      </c>
      <c r="AA994" s="17">
        <v>1405</v>
      </c>
      <c r="AB994" s="17">
        <v>1148.57</v>
      </c>
      <c r="AC994" t="s">
        <v>84</v>
      </c>
      <c r="AD994" t="s">
        <v>84</v>
      </c>
      <c r="AE994" t="s">
        <v>84</v>
      </c>
      <c r="AF994" t="s">
        <v>84</v>
      </c>
      <c r="AG994" s="17">
        <v>9988882</v>
      </c>
      <c r="AH994" s="17">
        <v>17.96</v>
      </c>
      <c r="AI994" s="17">
        <v>11.95</v>
      </c>
      <c r="AJ994" s="17">
        <v>11.66</v>
      </c>
      <c r="AK994" t="s">
        <v>208</v>
      </c>
      <c r="AM994" s="17">
        <v>2.2</v>
      </c>
      <c r="AN994" s="17"/>
      <c r="AO994" s="17">
        <v>830</v>
      </c>
      <c r="AP994" s="17"/>
      <c r="AQ994" s="17">
        <v>1380</v>
      </c>
      <c r="AR994" s="17"/>
      <c r="AS994" s="17">
        <v>2.61</v>
      </c>
      <c r="AT994" s="17"/>
      <c r="AU994" s="17">
        <v>1454</v>
      </c>
      <c r="AV994" s="17"/>
      <c r="AW994" s="17">
        <v>2349</v>
      </c>
      <c r="AX994" s="17"/>
      <c r="AY994" t="s">
        <v>92</v>
      </c>
      <c r="AZ994" t="s">
        <v>92</v>
      </c>
      <c r="BA994" t="s">
        <v>92</v>
      </c>
      <c r="BB994" t="s">
        <v>92</v>
      </c>
      <c r="BC994" t="s">
        <v>92</v>
      </c>
      <c r="BD994" s="17">
        <v>6.82</v>
      </c>
      <c r="BE994" s="17">
        <v>3351470</v>
      </c>
      <c r="BF994" s="17">
        <v>1.48</v>
      </c>
      <c r="BG994" s="17">
        <v>727</v>
      </c>
      <c r="BH994" t="s">
        <v>93</v>
      </c>
      <c r="BI994" t="s">
        <v>94</v>
      </c>
      <c r="BJ994" t="s">
        <v>128</v>
      </c>
      <c r="BK994" t="s">
        <v>85</v>
      </c>
      <c r="BL994" t="s">
        <v>85</v>
      </c>
      <c r="BM994" t="s">
        <v>96</v>
      </c>
      <c r="BN994" t="s">
        <v>97</v>
      </c>
      <c r="BO994" t="s">
        <v>216</v>
      </c>
      <c r="BP994" t="s">
        <v>99</v>
      </c>
      <c r="BQ994" s="17">
        <v>1247</v>
      </c>
      <c r="BR994" t="s">
        <v>138</v>
      </c>
      <c r="BS994" t="s">
        <v>285</v>
      </c>
      <c r="BT994" t="s">
        <v>99</v>
      </c>
      <c r="BU994" s="17">
        <v>9</v>
      </c>
      <c r="BV994" t="s">
        <v>191</v>
      </c>
      <c r="BW994" t="s">
        <v>85</v>
      </c>
      <c r="BX994" t="s">
        <v>85</v>
      </c>
      <c r="BY994" t="str">
        <f>IF(COUNTIF('Data Upload-prod'!E:E,F994)=0,"Missing","Exist")</f>
        <v>Exist</v>
      </c>
    </row>
    <row r="995" hidden="1" spans="1:77">
      <c r="A995" t="s">
        <v>84</v>
      </c>
      <c r="B995" s="16">
        <v>42060</v>
      </c>
      <c r="C995" t="s">
        <v>132</v>
      </c>
      <c r="D995" t="s">
        <v>78</v>
      </c>
      <c r="E995" t="s">
        <v>1001</v>
      </c>
      <c r="F995" t="s">
        <v>1628</v>
      </c>
      <c r="G995" t="s">
        <v>81</v>
      </c>
      <c r="H995" t="s">
        <v>837</v>
      </c>
      <c r="I995" t="s">
        <v>83</v>
      </c>
      <c r="J995" s="17">
        <v>68</v>
      </c>
      <c r="K995" s="17">
        <v>2861</v>
      </c>
      <c r="L995" s="17">
        <v>1672</v>
      </c>
      <c r="M995" t="s">
        <v>84</v>
      </c>
      <c r="N995" t="s">
        <v>84</v>
      </c>
      <c r="O995" t="s">
        <v>84</v>
      </c>
      <c r="P995" t="s">
        <v>84</v>
      </c>
      <c r="Q995" s="17">
        <v>25923380</v>
      </c>
      <c r="R995" s="17">
        <v>46.52</v>
      </c>
      <c r="S995" t="s">
        <v>85</v>
      </c>
      <c r="T995" t="s">
        <v>84</v>
      </c>
      <c r="U995" t="s">
        <v>86</v>
      </c>
      <c r="V995" s="16">
        <v>41980</v>
      </c>
      <c r="W995" s="18">
        <v>41921</v>
      </c>
      <c r="X995" s="18">
        <v>42023</v>
      </c>
      <c r="Y995" s="17">
        <v>2787.82</v>
      </c>
      <c r="Z995" t="s">
        <v>87</v>
      </c>
      <c r="AA995" s="17">
        <v>2890</v>
      </c>
      <c r="AB995" s="17">
        <v>1672</v>
      </c>
      <c r="AC995" t="s">
        <v>84</v>
      </c>
      <c r="AD995" t="s">
        <v>84</v>
      </c>
      <c r="AE995" t="s">
        <v>84</v>
      </c>
      <c r="AF995" t="s">
        <v>84</v>
      </c>
      <c r="AG995" s="17">
        <v>25243452.34</v>
      </c>
      <c r="AH995" s="17">
        <v>55.6</v>
      </c>
      <c r="AI995" s="17">
        <v>30.91</v>
      </c>
      <c r="AJ995" s="17">
        <v>9.61</v>
      </c>
      <c r="AK995" s="13" t="s">
        <v>149</v>
      </c>
      <c r="AM995" t="s">
        <v>92</v>
      </c>
      <c r="AO995" t="s">
        <v>92</v>
      </c>
      <c r="AQ995" t="s">
        <v>92</v>
      </c>
      <c r="AS995" s="17">
        <v>2.55</v>
      </c>
      <c r="AT995" s="17"/>
      <c r="AU995" s="17">
        <v>1369.11</v>
      </c>
      <c r="AV995" s="17"/>
      <c r="AW995" s="17">
        <v>2591.39</v>
      </c>
      <c r="AX995" s="17"/>
      <c r="AY995" t="s">
        <v>92</v>
      </c>
      <c r="AZ995" t="s">
        <v>92</v>
      </c>
      <c r="BA995" t="s">
        <v>92</v>
      </c>
      <c r="BB995" t="s">
        <v>92</v>
      </c>
      <c r="BC995" t="s">
        <v>92</v>
      </c>
      <c r="BD995" s="17">
        <v>6.72</v>
      </c>
      <c r="BE995" s="17">
        <v>5661902.78</v>
      </c>
      <c r="BF995" t="s">
        <v>92</v>
      </c>
      <c r="BG995" t="s">
        <v>92</v>
      </c>
      <c r="BH995" t="s">
        <v>93</v>
      </c>
      <c r="BI995" t="s">
        <v>94</v>
      </c>
      <c r="BJ995" t="s">
        <v>128</v>
      </c>
      <c r="BK995" t="s">
        <v>85</v>
      </c>
      <c r="BL995" t="s">
        <v>85</v>
      </c>
      <c r="BM995" t="s">
        <v>96</v>
      </c>
      <c r="BN995" t="s">
        <v>97</v>
      </c>
      <c r="BO995" t="s">
        <v>98</v>
      </c>
      <c r="BP995" t="s">
        <v>103</v>
      </c>
      <c r="BQ995" s="17">
        <v>6119.065</v>
      </c>
      <c r="BR995" t="s">
        <v>138</v>
      </c>
      <c r="BS995" t="s">
        <v>156</v>
      </c>
      <c r="BT995" t="s">
        <v>550</v>
      </c>
      <c r="BU995" s="17">
        <v>8.4</v>
      </c>
      <c r="BV995" t="s">
        <v>131</v>
      </c>
      <c r="BW995" t="s">
        <v>85</v>
      </c>
      <c r="BX995" t="s">
        <v>85</v>
      </c>
      <c r="BY995" t="str">
        <f>IF(COUNTIF('Data Upload-prod'!E:E,F995)=0,"Missing","Exist")</f>
        <v>Exist</v>
      </c>
    </row>
    <row r="996" hidden="1" spans="1:77">
      <c r="A996" t="s">
        <v>84</v>
      </c>
      <c r="B996" t="s">
        <v>84</v>
      </c>
      <c r="C996" t="s">
        <v>141</v>
      </c>
      <c r="D996" t="s">
        <v>142</v>
      </c>
      <c r="E996" t="s">
        <v>209</v>
      </c>
      <c r="F996" t="s">
        <v>1629</v>
      </c>
      <c r="G996" t="s">
        <v>81</v>
      </c>
      <c r="H996" t="s">
        <v>211</v>
      </c>
      <c r="I996" t="s">
        <v>124</v>
      </c>
      <c r="J996" s="17">
        <v>49.07</v>
      </c>
      <c r="K996" s="17">
        <v>1138.46</v>
      </c>
      <c r="L996" s="17">
        <v>958.55</v>
      </c>
      <c r="M996" t="s">
        <v>84</v>
      </c>
      <c r="N996" t="s">
        <v>84</v>
      </c>
      <c r="O996" t="s">
        <v>84</v>
      </c>
      <c r="P996" t="s">
        <v>84</v>
      </c>
      <c r="Q996" s="17">
        <v>117390000</v>
      </c>
      <c r="R996" s="17">
        <v>41.81</v>
      </c>
      <c r="S996" t="s">
        <v>106</v>
      </c>
      <c r="T996" t="s">
        <v>84</v>
      </c>
      <c r="U996" t="s">
        <v>84</v>
      </c>
      <c r="V996" s="16">
        <v>41963.5833333333</v>
      </c>
      <c r="W996" s="18">
        <v>41963.5833333333</v>
      </c>
      <c r="X996" s="18">
        <v>42072.625</v>
      </c>
      <c r="Y996" s="17">
        <v>471.52</v>
      </c>
      <c r="Z996" t="s">
        <v>87</v>
      </c>
      <c r="AA996" s="17">
        <v>563.72</v>
      </c>
      <c r="AB996" s="17">
        <v>498.76</v>
      </c>
      <c r="AC996" t="s">
        <v>84</v>
      </c>
      <c r="AD996" t="s">
        <v>84</v>
      </c>
      <c r="AE996" t="s">
        <v>84</v>
      </c>
      <c r="AF996" t="s">
        <v>84</v>
      </c>
      <c r="AG996" s="17">
        <v>28597516.15</v>
      </c>
      <c r="AH996" s="17">
        <v>40.94</v>
      </c>
      <c r="AI996" s="17">
        <v>9.85</v>
      </c>
      <c r="AJ996" s="17">
        <v>9.85</v>
      </c>
      <c r="AK996" t="s">
        <v>89</v>
      </c>
      <c r="AM996" s="17">
        <v>2.4</v>
      </c>
      <c r="AN996" s="17"/>
      <c r="AO996" s="17">
        <v>795</v>
      </c>
      <c r="AP996" s="17"/>
      <c r="AQ996" s="17">
        <v>1580</v>
      </c>
      <c r="AR996" s="17"/>
      <c r="AS996" s="13" t="s">
        <v>150</v>
      </c>
      <c r="AT996" s="13"/>
      <c r="AU996" s="13" t="s">
        <v>150</v>
      </c>
      <c r="AW996" s="13" t="s">
        <v>150</v>
      </c>
      <c r="AY996" t="s">
        <v>92</v>
      </c>
      <c r="AZ996" t="s">
        <v>92</v>
      </c>
      <c r="BA996" t="s">
        <v>92</v>
      </c>
      <c r="BB996" t="s">
        <v>92</v>
      </c>
      <c r="BC996" t="s">
        <v>92</v>
      </c>
      <c r="BD996" t="s">
        <v>92</v>
      </c>
      <c r="BE996" t="s">
        <v>92</v>
      </c>
      <c r="BF996" t="s">
        <v>92</v>
      </c>
      <c r="BG996" t="s">
        <v>92</v>
      </c>
      <c r="BH996" t="s">
        <v>92</v>
      </c>
      <c r="BI996" t="s">
        <v>92</v>
      </c>
      <c r="BJ996" t="s">
        <v>92</v>
      </c>
      <c r="BK996" t="s">
        <v>92</v>
      </c>
      <c r="BL996" t="s">
        <v>92</v>
      </c>
      <c r="BM996" t="s">
        <v>92</v>
      </c>
      <c r="BN996" t="s">
        <v>92</v>
      </c>
      <c r="BO996" t="s">
        <v>92</v>
      </c>
      <c r="BP996" t="s">
        <v>92</v>
      </c>
      <c r="BQ996" t="s">
        <v>92</v>
      </c>
      <c r="BR996" t="s">
        <v>92</v>
      </c>
      <c r="BS996" t="s">
        <v>92</v>
      </c>
      <c r="BT996" t="s">
        <v>92</v>
      </c>
      <c r="BU996" t="s">
        <v>92</v>
      </c>
      <c r="BV996" t="s">
        <v>92</v>
      </c>
      <c r="BW996" t="s">
        <v>92</v>
      </c>
      <c r="BX996" t="s">
        <v>92</v>
      </c>
      <c r="BY996" t="str">
        <f>IF(COUNTIF('Data Upload-prod'!E:E,F996)=0,"Missing","Exist")</f>
        <v>Exist</v>
      </c>
    </row>
  </sheetData>
  <autoFilter xmlns:etc="http://www.wps.cn/officeDocument/2017/etCustomData" ref="A1:BY996" etc:filterBottomFollowUsedRange="0">
    <filterColumn colId="5">
      <filters>
        <filter val="CHRA-03 ST1"/>
        <filter val="SAPA-19ST1"/>
        <filter val="CERI-1"/>
        <filter val="KME-2"/>
        <filter val="SM-102"/>
        <filter val="BESA-02"/>
        <filter val="PATAWALI-2"/>
        <filter val="SAPA-12"/>
        <filter val="LIMBAYONG-4 RDR"/>
        <filter val="EW-124 ST3"/>
        <filter val="BAYAN-223"/>
        <filter val="ANJUNG-A3"/>
        <filter val="BPA-4"/>
        <filter val="SAPA-24"/>
        <filter val="SAPA-14"/>
        <filter val="SUJT-C05"/>
      </filters>
    </filterColumn>
    <extLst/>
  </autoFilter>
  <pageMargins left="0.75" right="0.75" top="0.75" bottom="0.5" header="0.5" footer="0.7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autoPageBreaks="0"/>
  </sheetPr>
  <dimension ref="A1:X1813"/>
  <sheetViews>
    <sheetView zoomScale="80" zoomScaleNormal="80" topLeftCell="E1" workbookViewId="0">
      <pane ySplit="1" topLeftCell="A48" activePane="bottomLeft" state="frozen"/>
      <selection/>
      <selection pane="bottomLeft" activeCell="X7" sqref="X7"/>
    </sheetView>
  </sheetViews>
  <sheetFormatPr defaultColWidth="9" defaultRowHeight="14.4"/>
  <cols>
    <col min="1" max="1" width="9.13888888888889" style="1"/>
    <col min="2" max="2" width="9" style="1" customWidth="1"/>
    <col min="3" max="3" width="39.8518518518519" style="1" customWidth="1"/>
    <col min="4" max="4" width="37.8518518518519" style="1" customWidth="1"/>
    <col min="5" max="5" width="30.1388888888889" style="1" customWidth="1"/>
    <col min="6" max="6" width="40.1388888888889" style="1" customWidth="1"/>
    <col min="7" max="7" width="2.71296296296296" style="1" customWidth="1"/>
    <col min="8" max="8" width="9.13888888888889" style="1"/>
    <col min="9" max="9" width="15.1388888888889" style="1" customWidth="1"/>
    <col min="10" max="16" width="9.13888888888889" style="1" customWidth="1"/>
    <col min="17" max="18" width="9.13888888888889" style="1"/>
    <col min="19" max="19" width="24.5740740740741" style="1" customWidth="1"/>
    <col min="20" max="20" width="56.8518518518519" style="1" customWidth="1"/>
    <col min="21" max="22" width="51.5740740740741" style="1" customWidth="1"/>
    <col min="23" max="23" width="50.8518518518519" style="1" customWidth="1"/>
    <col min="24" max="24" width="18.287037037037" style="1" customWidth="1"/>
    <col min="25" max="16384" width="9.13888888888889" style="1"/>
  </cols>
  <sheetData>
    <row r="1" spans="1:24">
      <c r="A1" s="2" t="s">
        <v>1630</v>
      </c>
      <c r="B1" s="2" t="s">
        <v>1631</v>
      </c>
      <c r="C1" s="1" t="s">
        <v>1632</v>
      </c>
      <c r="D1" s="1" t="s">
        <v>1633</v>
      </c>
      <c r="E1" s="1" t="s">
        <v>1634</v>
      </c>
      <c r="F1" s="2" t="s">
        <v>1635</v>
      </c>
      <c r="G1" s="1" t="s">
        <v>1636</v>
      </c>
      <c r="H1" s="1" t="s">
        <v>1637</v>
      </c>
      <c r="I1" s="1" t="s">
        <v>1638</v>
      </c>
      <c r="J1" s="1" t="s">
        <v>1639</v>
      </c>
      <c r="K1" s="1" t="s">
        <v>1640</v>
      </c>
      <c r="L1" s="1" t="s">
        <v>1641</v>
      </c>
      <c r="M1" s="1" t="s">
        <v>1642</v>
      </c>
      <c r="N1" s="1" t="s">
        <v>1643</v>
      </c>
      <c r="O1" s="1" t="s">
        <v>1644</v>
      </c>
      <c r="P1" s="1" t="s">
        <v>1645</v>
      </c>
      <c r="Q1" s="1" t="s">
        <v>1646</v>
      </c>
      <c r="R1" s="1" t="s">
        <v>1647</v>
      </c>
      <c r="S1" s="2" t="s">
        <v>1648</v>
      </c>
      <c r="T1" s="3" t="s">
        <v>1649</v>
      </c>
      <c r="U1" s="4"/>
      <c r="V1" s="4" t="s">
        <v>1650</v>
      </c>
      <c r="W1" s="1" t="s">
        <v>1651</v>
      </c>
      <c r="X1" s="5" t="s">
        <v>76</v>
      </c>
    </row>
    <row r="2" hidden="1" spans="1:24">
      <c r="A2" s="1" t="s">
        <v>1652</v>
      </c>
      <c r="B2" s="1" t="s">
        <v>90</v>
      </c>
      <c r="C2" s="1" t="s">
        <v>1653</v>
      </c>
      <c r="D2" s="1" t="s">
        <v>1654</v>
      </c>
      <c r="E2" s="2" t="s">
        <v>821</v>
      </c>
      <c r="F2" s="2" t="s">
        <v>1655</v>
      </c>
      <c r="G2" s="1">
        <v>1</v>
      </c>
      <c r="H2" s="1" t="s">
        <v>1656</v>
      </c>
      <c r="I2" s="1" t="s">
        <v>1657</v>
      </c>
      <c r="J2" s="1" t="s">
        <v>1658</v>
      </c>
      <c r="K2" s="1" t="s">
        <v>1658</v>
      </c>
      <c r="L2" s="1" t="s">
        <v>1658</v>
      </c>
      <c r="M2" s="1" t="s">
        <v>1658</v>
      </c>
      <c r="N2" s="1" t="s">
        <v>1658</v>
      </c>
      <c r="O2" s="1" t="s">
        <v>1658</v>
      </c>
      <c r="P2" s="1">
        <v>1</v>
      </c>
      <c r="Q2" s="1" t="s">
        <v>1658</v>
      </c>
      <c r="R2" s="1">
        <v>0</v>
      </c>
      <c r="S2" s="1" t="s">
        <v>1659</v>
      </c>
      <c r="T2" s="6" t="s">
        <v>1659</v>
      </c>
      <c r="U2" s="1" t="str">
        <f t="shared" ref="U2:U65" si="0">IF(S2=T2,"Yes","No")</f>
        <v>Yes</v>
      </c>
      <c r="W2" s="1" t="s">
        <v>1660</v>
      </c>
      <c r="X2" s="1" t="str">
        <f>IF(COUNTIF('MyWells Drilling Comp'!F:F,E2)=0,"Missing","Exist")</f>
        <v>Exist</v>
      </c>
    </row>
    <row r="3" hidden="1" spans="1:24">
      <c r="A3" s="1" t="s">
        <v>1652</v>
      </c>
      <c r="B3" s="1" t="s">
        <v>90</v>
      </c>
      <c r="C3" s="1" t="s">
        <v>1661</v>
      </c>
      <c r="D3" s="1" t="s">
        <v>1654</v>
      </c>
      <c r="E3" s="2" t="s">
        <v>821</v>
      </c>
      <c r="F3" s="2" t="s">
        <v>1662</v>
      </c>
      <c r="G3" s="1">
        <v>1</v>
      </c>
      <c r="H3" s="1" t="s">
        <v>1663</v>
      </c>
      <c r="I3" s="1" t="s">
        <v>1657</v>
      </c>
      <c r="J3" s="1" t="s">
        <v>1658</v>
      </c>
      <c r="K3" s="1" t="s">
        <v>1658</v>
      </c>
      <c r="L3" s="1" t="s">
        <v>1658</v>
      </c>
      <c r="M3" s="1" t="s">
        <v>1658</v>
      </c>
      <c r="N3" s="1" t="s">
        <v>1658</v>
      </c>
      <c r="O3" s="1" t="s">
        <v>1658</v>
      </c>
      <c r="P3" s="1">
        <v>1</v>
      </c>
      <c r="Q3" s="1" t="s">
        <v>1658</v>
      </c>
      <c r="R3" s="1">
        <v>0</v>
      </c>
      <c r="S3" s="1" t="s">
        <v>1664</v>
      </c>
      <c r="T3" s="6" t="s">
        <v>1664</v>
      </c>
      <c r="U3" s="1" t="str">
        <f t="shared" si="0"/>
        <v>Yes</v>
      </c>
      <c r="W3" s="1" t="s">
        <v>1665</v>
      </c>
      <c r="X3" s="1" t="str">
        <f>IF(COUNTIF('MyWells Drilling Comp'!F:F,E3)=0,"Missing","Exist")</f>
        <v>Exist</v>
      </c>
    </row>
    <row r="4" hidden="1" spans="1:24">
      <c r="A4" s="1" t="s">
        <v>1652</v>
      </c>
      <c r="B4" s="1" t="s">
        <v>90</v>
      </c>
      <c r="C4" s="1" t="s">
        <v>1666</v>
      </c>
      <c r="D4" s="1" t="s">
        <v>1667</v>
      </c>
      <c r="E4" s="2" t="s">
        <v>688</v>
      </c>
      <c r="F4" s="2" t="s">
        <v>1668</v>
      </c>
      <c r="G4" s="1">
        <v>1</v>
      </c>
      <c r="H4" s="1" t="s">
        <v>1663</v>
      </c>
      <c r="I4" s="1" t="s">
        <v>1657</v>
      </c>
      <c r="J4" s="1" t="s">
        <v>1658</v>
      </c>
      <c r="K4" s="1" t="s">
        <v>1658</v>
      </c>
      <c r="L4" s="1" t="s">
        <v>1658</v>
      </c>
      <c r="M4" s="1" t="s">
        <v>1658</v>
      </c>
      <c r="N4" s="1" t="s">
        <v>1658</v>
      </c>
      <c r="O4" s="1" t="s">
        <v>1658</v>
      </c>
      <c r="P4" s="1">
        <v>1</v>
      </c>
      <c r="Q4" s="1" t="s">
        <v>1658</v>
      </c>
      <c r="R4" s="1">
        <v>0</v>
      </c>
      <c r="S4" s="1" t="s">
        <v>1669</v>
      </c>
      <c r="T4" s="6" t="s">
        <v>1669</v>
      </c>
      <c r="U4" s="1" t="str">
        <f t="shared" si="0"/>
        <v>Yes</v>
      </c>
      <c r="W4" s="1" t="s">
        <v>1670</v>
      </c>
      <c r="X4" s="1" t="str">
        <f>IF(COUNTIF('MyWells Drilling Comp'!F:F,E4)=0,"Missing","Exist")</f>
        <v>Exist</v>
      </c>
    </row>
    <row r="5" hidden="1" spans="1:24">
      <c r="A5" s="1" t="s">
        <v>1652</v>
      </c>
      <c r="B5" s="1" t="s">
        <v>90</v>
      </c>
      <c r="C5" s="1" t="s">
        <v>1671</v>
      </c>
      <c r="D5" s="1" t="s">
        <v>1667</v>
      </c>
      <c r="E5" s="2" t="s">
        <v>688</v>
      </c>
      <c r="F5" s="2" t="s">
        <v>1672</v>
      </c>
      <c r="G5" s="1">
        <v>1</v>
      </c>
      <c r="H5" s="1" t="s">
        <v>1656</v>
      </c>
      <c r="I5" s="1" t="s">
        <v>1657</v>
      </c>
      <c r="J5" s="1" t="s">
        <v>1658</v>
      </c>
      <c r="K5" s="1" t="s">
        <v>1658</v>
      </c>
      <c r="L5" s="1" t="s">
        <v>1658</v>
      </c>
      <c r="M5" s="1" t="s">
        <v>1658</v>
      </c>
      <c r="N5" s="1" t="s">
        <v>1658</v>
      </c>
      <c r="O5" s="1" t="s">
        <v>1658</v>
      </c>
      <c r="P5" s="1">
        <v>1</v>
      </c>
      <c r="Q5" s="1" t="s">
        <v>1658</v>
      </c>
      <c r="R5" s="1">
        <v>0</v>
      </c>
      <c r="S5" s="1" t="s">
        <v>1673</v>
      </c>
      <c r="T5" s="6" t="s">
        <v>1673</v>
      </c>
      <c r="U5" s="1" t="str">
        <f t="shared" si="0"/>
        <v>Yes</v>
      </c>
      <c r="W5" s="1" t="s">
        <v>1674</v>
      </c>
      <c r="X5" s="1" t="str">
        <f>IF(COUNTIF('MyWells Drilling Comp'!F:F,E5)=0,"Missing","Exist")</f>
        <v>Exist</v>
      </c>
    </row>
    <row r="6" hidden="1" spans="1:24">
      <c r="A6" s="1" t="s">
        <v>1652</v>
      </c>
      <c r="B6" s="1" t="s">
        <v>90</v>
      </c>
      <c r="C6" s="1" t="s">
        <v>1675</v>
      </c>
      <c r="D6" s="1" t="s">
        <v>1676</v>
      </c>
      <c r="E6" s="2" t="s">
        <v>679</v>
      </c>
      <c r="F6" s="2" t="s">
        <v>1677</v>
      </c>
      <c r="G6" s="1">
        <v>1</v>
      </c>
      <c r="H6" s="1" t="s">
        <v>1656</v>
      </c>
      <c r="I6" s="1" t="s">
        <v>1657</v>
      </c>
      <c r="J6" s="1" t="s">
        <v>1658</v>
      </c>
      <c r="K6" s="1" t="s">
        <v>1658</v>
      </c>
      <c r="L6" s="1" t="s">
        <v>1658</v>
      </c>
      <c r="M6" s="1" t="s">
        <v>1658</v>
      </c>
      <c r="N6" s="1" t="s">
        <v>1658</v>
      </c>
      <c r="O6" s="1" t="s">
        <v>1658</v>
      </c>
      <c r="P6" s="1">
        <v>1</v>
      </c>
      <c r="Q6" s="1" t="s">
        <v>1658</v>
      </c>
      <c r="R6" s="1">
        <v>0</v>
      </c>
      <c r="S6" s="1" t="s">
        <v>1678</v>
      </c>
      <c r="T6" s="6" t="s">
        <v>1678</v>
      </c>
      <c r="U6" s="1" t="str">
        <f t="shared" si="0"/>
        <v>Yes</v>
      </c>
      <c r="W6" s="1" t="s">
        <v>1679</v>
      </c>
      <c r="X6" s="1" t="str">
        <f>IF(COUNTIF('MyWells Drilling Comp'!F:F,E6)=0,"Missing","Exist")</f>
        <v>Exist</v>
      </c>
    </row>
    <row r="7" hidden="1" spans="1:24">
      <c r="A7" s="1" t="s">
        <v>1652</v>
      </c>
      <c r="B7" s="1" t="s">
        <v>90</v>
      </c>
      <c r="C7" s="1" t="s">
        <v>1680</v>
      </c>
      <c r="D7" s="1" t="s">
        <v>1676</v>
      </c>
      <c r="E7" s="2" t="s">
        <v>679</v>
      </c>
      <c r="F7" s="2" t="s">
        <v>1681</v>
      </c>
      <c r="G7" s="1">
        <v>1</v>
      </c>
      <c r="H7" s="1" t="s">
        <v>1663</v>
      </c>
      <c r="I7" s="1" t="s">
        <v>1657</v>
      </c>
      <c r="J7" s="1" t="s">
        <v>1658</v>
      </c>
      <c r="K7" s="1" t="s">
        <v>1658</v>
      </c>
      <c r="L7" s="1" t="s">
        <v>1658</v>
      </c>
      <c r="M7" s="1" t="s">
        <v>1658</v>
      </c>
      <c r="N7" s="1" t="s">
        <v>1658</v>
      </c>
      <c r="O7" s="1" t="s">
        <v>1658</v>
      </c>
      <c r="P7" s="1">
        <v>1</v>
      </c>
      <c r="Q7" s="1" t="s">
        <v>1658</v>
      </c>
      <c r="R7" s="1">
        <v>0</v>
      </c>
      <c r="S7" s="1" t="s">
        <v>1682</v>
      </c>
      <c r="T7" s="6" t="s">
        <v>1682</v>
      </c>
      <c r="U7" s="1" t="str">
        <f t="shared" si="0"/>
        <v>Yes</v>
      </c>
      <c r="W7" s="1" t="s">
        <v>1683</v>
      </c>
      <c r="X7" s="1" t="str">
        <f>IF(COUNTIF('MyWells Drilling Comp'!F:F,E7)=0,"Missing","Exist")</f>
        <v>Exist</v>
      </c>
    </row>
    <row r="8" hidden="1" spans="1:24">
      <c r="A8" s="1" t="s">
        <v>1652</v>
      </c>
      <c r="B8" s="1" t="s">
        <v>90</v>
      </c>
      <c r="C8" s="1" t="s">
        <v>1684</v>
      </c>
      <c r="D8" s="1" t="s">
        <v>1685</v>
      </c>
      <c r="E8" s="2" t="s">
        <v>1004</v>
      </c>
      <c r="F8" s="2" t="s">
        <v>1686</v>
      </c>
      <c r="G8" s="1">
        <v>1</v>
      </c>
      <c r="H8" s="1" t="s">
        <v>1663</v>
      </c>
      <c r="I8" s="1" t="s">
        <v>1657</v>
      </c>
      <c r="J8" s="1" t="s">
        <v>1658</v>
      </c>
      <c r="K8" s="1" t="s">
        <v>1658</v>
      </c>
      <c r="L8" s="1" t="s">
        <v>1658</v>
      </c>
      <c r="M8" s="1" t="s">
        <v>1658</v>
      </c>
      <c r="N8" s="1" t="s">
        <v>1658</v>
      </c>
      <c r="O8" s="1" t="s">
        <v>1658</v>
      </c>
      <c r="P8" s="1">
        <v>1</v>
      </c>
      <c r="Q8" s="1" t="s">
        <v>1658</v>
      </c>
      <c r="R8" s="1">
        <v>0</v>
      </c>
      <c r="S8" s="1" t="s">
        <v>1687</v>
      </c>
      <c r="T8" s="6" t="s">
        <v>1687</v>
      </c>
      <c r="U8" s="1" t="str">
        <f t="shared" si="0"/>
        <v>Yes</v>
      </c>
      <c r="W8" s="1" t="s">
        <v>1688</v>
      </c>
      <c r="X8" s="1" t="str">
        <f>IF(COUNTIF('MyWells Drilling Comp'!F:F,E8)=0,"Missing","Exist")</f>
        <v>Exist</v>
      </c>
    </row>
    <row r="9" hidden="1" spans="1:24">
      <c r="A9" s="1" t="s">
        <v>1652</v>
      </c>
      <c r="B9" s="1" t="s">
        <v>90</v>
      </c>
      <c r="C9" s="1" t="s">
        <v>1689</v>
      </c>
      <c r="D9" s="1" t="s">
        <v>1685</v>
      </c>
      <c r="E9" s="2" t="s">
        <v>1004</v>
      </c>
      <c r="F9" s="2" t="s">
        <v>1690</v>
      </c>
      <c r="G9" s="1">
        <v>1</v>
      </c>
      <c r="H9" s="1" t="s">
        <v>1656</v>
      </c>
      <c r="I9" s="1" t="s">
        <v>1657</v>
      </c>
      <c r="J9" s="1" t="s">
        <v>1658</v>
      </c>
      <c r="K9" s="1" t="s">
        <v>1658</v>
      </c>
      <c r="L9" s="1" t="s">
        <v>1658</v>
      </c>
      <c r="M9" s="1" t="s">
        <v>1658</v>
      </c>
      <c r="N9" s="1" t="s">
        <v>1658</v>
      </c>
      <c r="O9" s="1" t="s">
        <v>1658</v>
      </c>
      <c r="P9" s="1">
        <v>1</v>
      </c>
      <c r="Q9" s="1" t="s">
        <v>1658</v>
      </c>
      <c r="R9" s="1">
        <v>0</v>
      </c>
      <c r="S9" s="1" t="s">
        <v>1691</v>
      </c>
      <c r="T9" s="6" t="s">
        <v>1691</v>
      </c>
      <c r="U9" s="1" t="str">
        <f t="shared" si="0"/>
        <v>Yes</v>
      </c>
      <c r="W9" s="1" t="s">
        <v>1692</v>
      </c>
      <c r="X9" s="1" t="str">
        <f>IF(COUNTIF('MyWells Drilling Comp'!F:F,E9)=0,"Missing","Exist")</f>
        <v>Exist</v>
      </c>
    </row>
    <row r="10" hidden="1" spans="1:24">
      <c r="A10" s="1" t="s">
        <v>1652</v>
      </c>
      <c r="B10" s="1" t="s">
        <v>90</v>
      </c>
      <c r="C10" s="7" t="s">
        <v>1693</v>
      </c>
      <c r="D10" s="1" t="s">
        <v>1694</v>
      </c>
      <c r="E10" s="2" t="s">
        <v>1492</v>
      </c>
      <c r="F10" s="2" t="s">
        <v>1695</v>
      </c>
      <c r="G10" s="1">
        <v>1</v>
      </c>
      <c r="H10" s="1" t="s">
        <v>1663</v>
      </c>
      <c r="I10" s="1" t="s">
        <v>1657</v>
      </c>
      <c r="J10" s="1" t="s">
        <v>1658</v>
      </c>
      <c r="K10" s="1" t="s">
        <v>1658</v>
      </c>
      <c r="L10" s="1" t="s">
        <v>1658</v>
      </c>
      <c r="M10" s="1" t="s">
        <v>1658</v>
      </c>
      <c r="N10" s="1" t="s">
        <v>1658</v>
      </c>
      <c r="O10" s="1" t="s">
        <v>1658</v>
      </c>
      <c r="P10" s="1">
        <v>1</v>
      </c>
      <c r="Q10" s="1" t="s">
        <v>1658</v>
      </c>
      <c r="R10" s="1">
        <v>0</v>
      </c>
      <c r="S10" s="1" t="s">
        <v>1696</v>
      </c>
      <c r="T10" s="6" t="s">
        <v>1696</v>
      </c>
      <c r="U10" s="1" t="str">
        <f t="shared" si="0"/>
        <v>Yes</v>
      </c>
      <c r="W10" s="1" t="s">
        <v>1697</v>
      </c>
      <c r="X10" s="1" t="str">
        <f>IF(COUNTIF('MyWells Drilling Comp'!F:F,E10)=0,"Missing","Exist")</f>
        <v>Exist</v>
      </c>
    </row>
    <row r="11" hidden="1" spans="1:24">
      <c r="A11" s="1" t="s">
        <v>1652</v>
      </c>
      <c r="B11" s="1" t="s">
        <v>90</v>
      </c>
      <c r="C11" s="1" t="s">
        <v>1698</v>
      </c>
      <c r="D11" s="1" t="s">
        <v>1694</v>
      </c>
      <c r="E11" s="2" t="s">
        <v>1492</v>
      </c>
      <c r="F11" s="2" t="s">
        <v>1699</v>
      </c>
      <c r="G11" s="1">
        <v>1</v>
      </c>
      <c r="H11" s="1" t="s">
        <v>1656</v>
      </c>
      <c r="I11" s="1" t="s">
        <v>1657</v>
      </c>
      <c r="J11" s="1" t="s">
        <v>1658</v>
      </c>
      <c r="K11" s="1" t="s">
        <v>1658</v>
      </c>
      <c r="L11" s="1" t="s">
        <v>1658</v>
      </c>
      <c r="M11" s="1" t="s">
        <v>1658</v>
      </c>
      <c r="N11" s="1" t="s">
        <v>1658</v>
      </c>
      <c r="O11" s="1" t="s">
        <v>1658</v>
      </c>
      <c r="P11" s="1">
        <v>1</v>
      </c>
      <c r="Q11" s="1" t="s">
        <v>1658</v>
      </c>
      <c r="R11" s="1">
        <v>0</v>
      </c>
      <c r="S11" s="1" t="s">
        <v>1700</v>
      </c>
      <c r="T11" s="6" t="s">
        <v>1700</v>
      </c>
      <c r="U11" s="1" t="str">
        <f t="shared" si="0"/>
        <v>Yes</v>
      </c>
      <c r="W11" s="1" t="s">
        <v>1701</v>
      </c>
      <c r="X11" s="1" t="str">
        <f>IF(COUNTIF('MyWells Drilling Comp'!F:F,E11)=0,"Missing","Exist")</f>
        <v>Exist</v>
      </c>
    </row>
    <row r="12" hidden="1" spans="1:24">
      <c r="A12" s="1" t="s">
        <v>1652</v>
      </c>
      <c r="B12" s="1" t="s">
        <v>90</v>
      </c>
      <c r="C12" s="1" t="s">
        <v>1702</v>
      </c>
      <c r="D12" s="1" t="s">
        <v>1703</v>
      </c>
      <c r="E12" s="1" t="s">
        <v>1483</v>
      </c>
      <c r="F12" s="1" t="s">
        <v>1704</v>
      </c>
      <c r="G12" s="1">
        <v>1</v>
      </c>
      <c r="H12" s="1" t="s">
        <v>1663</v>
      </c>
      <c r="I12" s="1" t="s">
        <v>1657</v>
      </c>
      <c r="J12" s="1" t="s">
        <v>1658</v>
      </c>
      <c r="K12" s="1" t="s">
        <v>1658</v>
      </c>
      <c r="L12" s="1" t="s">
        <v>1658</v>
      </c>
      <c r="M12" s="1" t="s">
        <v>1658</v>
      </c>
      <c r="N12" s="1" t="s">
        <v>1658</v>
      </c>
      <c r="O12" s="1" t="s">
        <v>1658</v>
      </c>
      <c r="P12" s="1">
        <v>1</v>
      </c>
      <c r="Q12" s="1" t="s">
        <v>1658</v>
      </c>
      <c r="R12" s="1">
        <v>0</v>
      </c>
      <c r="S12" s="1" t="s">
        <v>1705</v>
      </c>
      <c r="T12" s="6"/>
      <c r="U12" s="1" t="str">
        <f t="shared" si="0"/>
        <v>No</v>
      </c>
      <c r="W12" s="1" t="s">
        <v>1706</v>
      </c>
      <c r="X12" s="1" t="str">
        <f>IF(COUNTIF('MyWells Drilling Comp'!F:F,E12)=0,"Missing","Exist")</f>
        <v>Exist</v>
      </c>
    </row>
    <row r="13" hidden="1" spans="1:24">
      <c r="A13" s="1" t="s">
        <v>1652</v>
      </c>
      <c r="B13" s="1" t="s">
        <v>90</v>
      </c>
      <c r="C13" s="1" t="s">
        <v>1707</v>
      </c>
      <c r="D13" s="1" t="s">
        <v>1703</v>
      </c>
      <c r="E13" s="2" t="s">
        <v>1483</v>
      </c>
      <c r="F13" s="2" t="s">
        <v>1708</v>
      </c>
      <c r="G13" s="1">
        <v>1</v>
      </c>
      <c r="H13" s="1" t="s">
        <v>1656</v>
      </c>
      <c r="I13" s="1" t="s">
        <v>1657</v>
      </c>
      <c r="J13" s="1" t="s">
        <v>1658</v>
      </c>
      <c r="K13" s="1" t="s">
        <v>1658</v>
      </c>
      <c r="L13" s="1" t="s">
        <v>1658</v>
      </c>
      <c r="M13" s="1" t="s">
        <v>1658</v>
      </c>
      <c r="N13" s="1" t="s">
        <v>1658</v>
      </c>
      <c r="O13" s="1" t="s">
        <v>1658</v>
      </c>
      <c r="P13" s="1">
        <v>1</v>
      </c>
      <c r="Q13" s="1" t="s">
        <v>1658</v>
      </c>
      <c r="R13" s="1">
        <v>0</v>
      </c>
      <c r="S13" s="1" t="s">
        <v>1709</v>
      </c>
      <c r="T13" s="6" t="s">
        <v>1709</v>
      </c>
      <c r="U13" s="1" t="str">
        <f t="shared" si="0"/>
        <v>Yes</v>
      </c>
      <c r="W13" s="1" t="s">
        <v>1710</v>
      </c>
      <c r="X13" s="1" t="str">
        <f>IF(COUNTIF('MyWells Drilling Comp'!F:F,E13)=0,"Missing","Exist")</f>
        <v>Exist</v>
      </c>
    </row>
    <row r="14" hidden="1" spans="1:24">
      <c r="A14" s="1" t="s">
        <v>1652</v>
      </c>
      <c r="B14" s="1" t="s">
        <v>90</v>
      </c>
      <c r="C14" s="1" t="s">
        <v>1711</v>
      </c>
      <c r="D14" s="1" t="s">
        <v>1712</v>
      </c>
      <c r="E14" s="2" t="s">
        <v>1125</v>
      </c>
      <c r="F14" s="2" t="s">
        <v>1713</v>
      </c>
      <c r="G14" s="1">
        <v>1</v>
      </c>
      <c r="H14" s="1" t="s">
        <v>1663</v>
      </c>
      <c r="I14" s="1" t="s">
        <v>1657</v>
      </c>
      <c r="J14" s="1" t="s">
        <v>1658</v>
      </c>
      <c r="K14" s="1" t="s">
        <v>1658</v>
      </c>
      <c r="L14" s="1" t="s">
        <v>1658</v>
      </c>
      <c r="M14" s="1" t="s">
        <v>1658</v>
      </c>
      <c r="N14" s="1" t="s">
        <v>1658</v>
      </c>
      <c r="O14" s="1" t="s">
        <v>1658</v>
      </c>
      <c r="P14" s="1">
        <v>1</v>
      </c>
      <c r="Q14" s="1" t="s">
        <v>1658</v>
      </c>
      <c r="R14" s="1">
        <v>0</v>
      </c>
      <c r="S14" s="1" t="s">
        <v>1714</v>
      </c>
      <c r="T14" s="6" t="s">
        <v>1714</v>
      </c>
      <c r="U14" s="1" t="str">
        <f t="shared" si="0"/>
        <v>Yes</v>
      </c>
      <c r="W14" s="1" t="s">
        <v>1715</v>
      </c>
      <c r="X14" s="1" t="str">
        <f>IF(COUNTIF('MyWells Drilling Comp'!F:F,E14)=0,"Missing","Exist")</f>
        <v>Exist</v>
      </c>
    </row>
    <row r="15" hidden="1" spans="1:24">
      <c r="A15" s="1" t="s">
        <v>1652</v>
      </c>
      <c r="B15" s="1" t="s">
        <v>90</v>
      </c>
      <c r="C15" s="1" t="s">
        <v>1716</v>
      </c>
      <c r="D15" s="1" t="s">
        <v>1712</v>
      </c>
      <c r="E15" s="2" t="s">
        <v>1125</v>
      </c>
      <c r="F15" s="2" t="s">
        <v>1717</v>
      </c>
      <c r="G15" s="1">
        <v>1</v>
      </c>
      <c r="H15" s="1" t="s">
        <v>1656</v>
      </c>
      <c r="I15" s="1" t="s">
        <v>1657</v>
      </c>
      <c r="J15" s="1" t="s">
        <v>1658</v>
      </c>
      <c r="K15" s="1" t="s">
        <v>1658</v>
      </c>
      <c r="L15" s="1" t="s">
        <v>1658</v>
      </c>
      <c r="M15" s="1" t="s">
        <v>1658</v>
      </c>
      <c r="N15" s="1" t="s">
        <v>1658</v>
      </c>
      <c r="O15" s="1" t="s">
        <v>1658</v>
      </c>
      <c r="P15" s="1">
        <v>1</v>
      </c>
      <c r="Q15" s="1" t="s">
        <v>1658</v>
      </c>
      <c r="R15" s="1">
        <v>0</v>
      </c>
      <c r="S15" s="1" t="s">
        <v>1718</v>
      </c>
      <c r="T15" s="6" t="s">
        <v>1718</v>
      </c>
      <c r="U15" s="1" t="str">
        <f t="shared" si="0"/>
        <v>Yes</v>
      </c>
      <c r="W15" s="1" t="s">
        <v>1719</v>
      </c>
      <c r="X15" s="1" t="str">
        <f>IF(COUNTIF('MyWells Drilling Comp'!F:F,E15)=0,"Missing","Exist")</f>
        <v>Exist</v>
      </c>
    </row>
    <row r="16" hidden="1" spans="1:24">
      <c r="A16" s="1" t="s">
        <v>1652</v>
      </c>
      <c r="B16" s="1" t="s">
        <v>90</v>
      </c>
      <c r="C16" s="1" t="s">
        <v>1720</v>
      </c>
      <c r="D16" s="1" t="s">
        <v>1721</v>
      </c>
      <c r="E16" s="2" t="s">
        <v>816</v>
      </c>
      <c r="F16" s="2" t="s">
        <v>1722</v>
      </c>
      <c r="G16" s="1">
        <v>1</v>
      </c>
      <c r="H16" s="1" t="s">
        <v>1663</v>
      </c>
      <c r="I16" s="1" t="s">
        <v>1657</v>
      </c>
      <c r="J16" s="1" t="s">
        <v>1658</v>
      </c>
      <c r="K16" s="1" t="s">
        <v>1658</v>
      </c>
      <c r="L16" s="1" t="s">
        <v>1658</v>
      </c>
      <c r="M16" s="1" t="s">
        <v>1658</v>
      </c>
      <c r="N16" s="1" t="s">
        <v>1658</v>
      </c>
      <c r="O16" s="1" t="s">
        <v>1658</v>
      </c>
      <c r="P16" s="1">
        <v>1</v>
      </c>
      <c r="Q16" s="1" t="s">
        <v>1658</v>
      </c>
      <c r="R16" s="1">
        <v>0</v>
      </c>
      <c r="S16" s="1" t="s">
        <v>1723</v>
      </c>
      <c r="T16" s="6" t="s">
        <v>1723</v>
      </c>
      <c r="U16" s="1" t="str">
        <f t="shared" si="0"/>
        <v>Yes</v>
      </c>
      <c r="W16" s="1" t="s">
        <v>1724</v>
      </c>
      <c r="X16" s="1" t="str">
        <f>IF(COUNTIF('MyWells Drilling Comp'!F:F,E16)=0,"Missing","Exist")</f>
        <v>Exist</v>
      </c>
    </row>
    <row r="17" hidden="1" spans="1:24">
      <c r="A17" s="1" t="s">
        <v>1652</v>
      </c>
      <c r="B17" s="1" t="s">
        <v>90</v>
      </c>
      <c r="C17" s="1" t="s">
        <v>1725</v>
      </c>
      <c r="D17" s="1" t="s">
        <v>1721</v>
      </c>
      <c r="E17" s="2" t="s">
        <v>816</v>
      </c>
      <c r="F17" s="2" t="s">
        <v>1726</v>
      </c>
      <c r="G17" s="1">
        <v>1</v>
      </c>
      <c r="H17" s="1" t="s">
        <v>1656</v>
      </c>
      <c r="I17" s="1" t="s">
        <v>1657</v>
      </c>
      <c r="J17" s="1" t="s">
        <v>1658</v>
      </c>
      <c r="K17" s="1" t="s">
        <v>1658</v>
      </c>
      <c r="L17" s="1" t="s">
        <v>1658</v>
      </c>
      <c r="M17" s="1" t="s">
        <v>1658</v>
      </c>
      <c r="N17" s="1" t="s">
        <v>1658</v>
      </c>
      <c r="O17" s="1" t="s">
        <v>1658</v>
      </c>
      <c r="P17" s="1">
        <v>1</v>
      </c>
      <c r="Q17" s="1" t="s">
        <v>1658</v>
      </c>
      <c r="R17" s="1">
        <v>0</v>
      </c>
      <c r="S17" s="1" t="s">
        <v>1727</v>
      </c>
      <c r="T17" s="6" t="s">
        <v>1727</v>
      </c>
      <c r="U17" s="1" t="str">
        <f t="shared" si="0"/>
        <v>Yes</v>
      </c>
      <c r="W17" s="1" t="s">
        <v>1728</v>
      </c>
      <c r="X17" s="1" t="str">
        <f>IF(COUNTIF('MyWells Drilling Comp'!F:F,E17)=0,"Missing","Exist")</f>
        <v>Exist</v>
      </c>
    </row>
    <row r="18" hidden="1" spans="1:24">
      <c r="A18" s="1" t="s">
        <v>1652</v>
      </c>
      <c r="B18" s="1" t="s">
        <v>90</v>
      </c>
      <c r="C18" s="1" t="s">
        <v>1729</v>
      </c>
      <c r="D18" s="1" t="s">
        <v>1730</v>
      </c>
      <c r="E18" s="2" t="s">
        <v>1149</v>
      </c>
      <c r="F18" s="2" t="s">
        <v>1731</v>
      </c>
      <c r="G18" s="1">
        <v>1</v>
      </c>
      <c r="H18" s="1" t="s">
        <v>1663</v>
      </c>
      <c r="I18" s="1" t="s">
        <v>1657</v>
      </c>
      <c r="J18" s="1" t="s">
        <v>1658</v>
      </c>
      <c r="K18" s="1" t="s">
        <v>1658</v>
      </c>
      <c r="L18" s="1" t="s">
        <v>1658</v>
      </c>
      <c r="M18" s="1" t="s">
        <v>1658</v>
      </c>
      <c r="N18" s="1" t="s">
        <v>1658</v>
      </c>
      <c r="O18" s="1" t="s">
        <v>1658</v>
      </c>
      <c r="P18" s="1">
        <v>1</v>
      </c>
      <c r="Q18" s="1" t="s">
        <v>1658</v>
      </c>
      <c r="R18" s="1">
        <v>0</v>
      </c>
      <c r="S18" s="1" t="s">
        <v>1732</v>
      </c>
      <c r="T18" s="6" t="s">
        <v>1732</v>
      </c>
      <c r="U18" s="1" t="str">
        <f t="shared" si="0"/>
        <v>Yes</v>
      </c>
      <c r="W18" s="1" t="s">
        <v>1733</v>
      </c>
      <c r="X18" s="1" t="str">
        <f>IF(COUNTIF('MyWells Drilling Comp'!F:F,E18)=0,"Missing","Exist")</f>
        <v>Exist</v>
      </c>
    </row>
    <row r="19" hidden="1" spans="1:24">
      <c r="A19" s="1" t="s">
        <v>1652</v>
      </c>
      <c r="B19" s="1" t="s">
        <v>90</v>
      </c>
      <c r="C19" s="1" t="s">
        <v>1734</v>
      </c>
      <c r="D19" s="1" t="s">
        <v>1730</v>
      </c>
      <c r="E19" s="2" t="s">
        <v>1149</v>
      </c>
      <c r="F19" s="2" t="s">
        <v>1735</v>
      </c>
      <c r="G19" s="1">
        <v>1</v>
      </c>
      <c r="H19" s="1" t="s">
        <v>1656</v>
      </c>
      <c r="I19" s="1" t="s">
        <v>1657</v>
      </c>
      <c r="J19" s="1" t="s">
        <v>1658</v>
      </c>
      <c r="K19" s="1" t="s">
        <v>1658</v>
      </c>
      <c r="L19" s="1" t="s">
        <v>1658</v>
      </c>
      <c r="M19" s="1" t="s">
        <v>1658</v>
      </c>
      <c r="N19" s="1" t="s">
        <v>1658</v>
      </c>
      <c r="O19" s="1" t="s">
        <v>1658</v>
      </c>
      <c r="P19" s="1">
        <v>1</v>
      </c>
      <c r="Q19" s="1" t="s">
        <v>1658</v>
      </c>
      <c r="R19" s="1">
        <v>0</v>
      </c>
      <c r="S19" s="1" t="s">
        <v>1736</v>
      </c>
      <c r="T19" s="6" t="s">
        <v>1736</v>
      </c>
      <c r="U19" s="1" t="str">
        <f t="shared" si="0"/>
        <v>Yes</v>
      </c>
      <c r="W19" s="1" t="s">
        <v>1737</v>
      </c>
      <c r="X19" s="1" t="str">
        <f>IF(COUNTIF('MyWells Drilling Comp'!F:F,E19)=0,"Missing","Exist")</f>
        <v>Exist</v>
      </c>
    </row>
    <row r="20" hidden="1" spans="1:24">
      <c r="A20" s="1" t="s">
        <v>1652</v>
      </c>
      <c r="B20" s="1" t="s">
        <v>90</v>
      </c>
      <c r="C20" s="1" t="s">
        <v>1738</v>
      </c>
      <c r="D20" s="1" t="s">
        <v>1739</v>
      </c>
      <c r="E20" s="2" t="s">
        <v>1292</v>
      </c>
      <c r="F20" s="2" t="s">
        <v>1740</v>
      </c>
      <c r="G20" s="1">
        <v>1</v>
      </c>
      <c r="H20" s="1" t="s">
        <v>1656</v>
      </c>
      <c r="I20" s="1" t="s">
        <v>1657</v>
      </c>
      <c r="J20" s="1" t="s">
        <v>1658</v>
      </c>
      <c r="K20" s="1" t="s">
        <v>1658</v>
      </c>
      <c r="L20" s="1" t="s">
        <v>1658</v>
      </c>
      <c r="M20" s="1" t="s">
        <v>1658</v>
      </c>
      <c r="N20" s="1" t="s">
        <v>1658</v>
      </c>
      <c r="O20" s="1" t="s">
        <v>1658</v>
      </c>
      <c r="P20" s="1">
        <v>1</v>
      </c>
      <c r="Q20" s="1" t="s">
        <v>1658</v>
      </c>
      <c r="R20" s="1">
        <v>0</v>
      </c>
      <c r="S20" s="1" t="s">
        <v>1741</v>
      </c>
      <c r="T20" s="6" t="s">
        <v>1741</v>
      </c>
      <c r="U20" s="1" t="str">
        <f t="shared" si="0"/>
        <v>Yes</v>
      </c>
      <c r="W20" s="1" t="s">
        <v>1742</v>
      </c>
      <c r="X20" s="1" t="str">
        <f>IF(COUNTIF('MyWells Drilling Comp'!F:F,E20)=0,"Missing","Exist")</f>
        <v>Exist</v>
      </c>
    </row>
    <row r="21" hidden="1" spans="1:24">
      <c r="A21" s="1" t="s">
        <v>1652</v>
      </c>
      <c r="B21" s="1" t="s">
        <v>90</v>
      </c>
      <c r="C21" s="1" t="s">
        <v>1743</v>
      </c>
      <c r="D21" s="1" t="s">
        <v>1739</v>
      </c>
      <c r="E21" s="2" t="s">
        <v>1292</v>
      </c>
      <c r="F21" s="2" t="s">
        <v>1744</v>
      </c>
      <c r="G21" s="1">
        <v>1</v>
      </c>
      <c r="H21" s="1" t="s">
        <v>1663</v>
      </c>
      <c r="I21" s="1" t="s">
        <v>1657</v>
      </c>
      <c r="J21" s="1" t="s">
        <v>1658</v>
      </c>
      <c r="K21" s="1" t="s">
        <v>1658</v>
      </c>
      <c r="L21" s="1" t="s">
        <v>1658</v>
      </c>
      <c r="M21" s="1" t="s">
        <v>1658</v>
      </c>
      <c r="N21" s="1" t="s">
        <v>1658</v>
      </c>
      <c r="O21" s="1" t="s">
        <v>1658</v>
      </c>
      <c r="P21" s="1">
        <v>1</v>
      </c>
      <c r="Q21" s="1" t="s">
        <v>1658</v>
      </c>
      <c r="R21" s="1">
        <v>0</v>
      </c>
      <c r="S21" s="1" t="s">
        <v>1745</v>
      </c>
      <c r="T21" s="6" t="s">
        <v>1745</v>
      </c>
      <c r="U21" s="1" t="str">
        <f t="shared" si="0"/>
        <v>Yes</v>
      </c>
      <c r="W21" s="1" t="s">
        <v>1746</v>
      </c>
      <c r="X21" s="1" t="str">
        <f>IF(COUNTIF('MyWells Drilling Comp'!F:F,E21)=0,"Missing","Exist")</f>
        <v>Exist</v>
      </c>
    </row>
    <row r="22" hidden="1" spans="1:24">
      <c r="A22" s="1" t="s">
        <v>1652</v>
      </c>
      <c r="B22" s="1" t="s">
        <v>90</v>
      </c>
      <c r="C22" s="1" t="s">
        <v>1747</v>
      </c>
      <c r="D22" s="1" t="s">
        <v>1748</v>
      </c>
      <c r="E22" s="2" t="s">
        <v>1082</v>
      </c>
      <c r="F22" s="2" t="s">
        <v>1749</v>
      </c>
      <c r="G22" s="1">
        <v>1</v>
      </c>
      <c r="H22" s="1" t="s">
        <v>1656</v>
      </c>
      <c r="I22" s="1" t="s">
        <v>1657</v>
      </c>
      <c r="J22" s="1" t="s">
        <v>1658</v>
      </c>
      <c r="K22" s="1" t="s">
        <v>1658</v>
      </c>
      <c r="L22" s="1" t="s">
        <v>1658</v>
      </c>
      <c r="M22" s="1" t="s">
        <v>1658</v>
      </c>
      <c r="N22" s="1" t="s">
        <v>1658</v>
      </c>
      <c r="O22" s="1" t="s">
        <v>1658</v>
      </c>
      <c r="P22" s="1">
        <v>1</v>
      </c>
      <c r="Q22" s="1" t="s">
        <v>1658</v>
      </c>
      <c r="R22" s="1">
        <v>0</v>
      </c>
      <c r="S22" s="1" t="s">
        <v>1750</v>
      </c>
      <c r="T22" s="6" t="s">
        <v>1750</v>
      </c>
      <c r="U22" s="1" t="str">
        <f t="shared" si="0"/>
        <v>Yes</v>
      </c>
      <c r="W22" s="1" t="s">
        <v>1751</v>
      </c>
      <c r="X22" s="1" t="str">
        <f>IF(COUNTIF('MyWells Drilling Comp'!F:F,E22)=0,"Missing","Exist")</f>
        <v>Exist</v>
      </c>
    </row>
    <row r="23" hidden="1" spans="1:24">
      <c r="A23" s="1" t="s">
        <v>1652</v>
      </c>
      <c r="B23" s="1" t="s">
        <v>90</v>
      </c>
      <c r="C23" s="1" t="s">
        <v>1752</v>
      </c>
      <c r="D23" s="1" t="s">
        <v>1748</v>
      </c>
      <c r="E23" s="2" t="s">
        <v>1082</v>
      </c>
      <c r="F23" s="2" t="s">
        <v>1753</v>
      </c>
      <c r="G23" s="1">
        <v>1</v>
      </c>
      <c r="H23" s="1" t="s">
        <v>1663</v>
      </c>
      <c r="I23" s="1" t="s">
        <v>1657</v>
      </c>
      <c r="J23" s="1" t="s">
        <v>1658</v>
      </c>
      <c r="K23" s="1" t="s">
        <v>1658</v>
      </c>
      <c r="L23" s="1" t="s">
        <v>1658</v>
      </c>
      <c r="M23" s="1" t="s">
        <v>1658</v>
      </c>
      <c r="N23" s="1" t="s">
        <v>1658</v>
      </c>
      <c r="O23" s="1" t="s">
        <v>1658</v>
      </c>
      <c r="P23" s="1">
        <v>1</v>
      </c>
      <c r="Q23" s="1" t="s">
        <v>1658</v>
      </c>
      <c r="R23" s="1">
        <v>0</v>
      </c>
      <c r="S23" s="1" t="s">
        <v>1754</v>
      </c>
      <c r="T23" s="6" t="s">
        <v>1754</v>
      </c>
      <c r="U23" s="1" t="str">
        <f t="shared" si="0"/>
        <v>Yes</v>
      </c>
      <c r="W23" s="1" t="s">
        <v>1755</v>
      </c>
      <c r="X23" s="1" t="str">
        <f>IF(COUNTIF('MyWells Drilling Comp'!F:F,E23)=0,"Missing","Exist")</f>
        <v>Exist</v>
      </c>
    </row>
    <row r="24" hidden="1" spans="1:24">
      <c r="A24" s="1" t="s">
        <v>1652</v>
      </c>
      <c r="B24" s="1" t="s">
        <v>90</v>
      </c>
      <c r="C24" s="1" t="s">
        <v>1756</v>
      </c>
      <c r="D24" s="1" t="s">
        <v>1757</v>
      </c>
      <c r="E24" s="2" t="s">
        <v>1566</v>
      </c>
      <c r="F24" s="2" t="s">
        <v>1758</v>
      </c>
      <c r="G24" s="1">
        <v>1</v>
      </c>
      <c r="H24" s="1" t="s">
        <v>1663</v>
      </c>
      <c r="I24" s="1" t="s">
        <v>1657</v>
      </c>
      <c r="J24" s="1" t="s">
        <v>1658</v>
      </c>
      <c r="K24" s="1" t="s">
        <v>1658</v>
      </c>
      <c r="L24" s="1" t="s">
        <v>1658</v>
      </c>
      <c r="M24" s="1" t="s">
        <v>1658</v>
      </c>
      <c r="N24" s="1" t="s">
        <v>1658</v>
      </c>
      <c r="O24" s="1" t="s">
        <v>1658</v>
      </c>
      <c r="P24" s="1">
        <v>1</v>
      </c>
      <c r="Q24" s="1" t="s">
        <v>1658</v>
      </c>
      <c r="R24" s="1">
        <v>0</v>
      </c>
      <c r="S24" s="1" t="s">
        <v>1759</v>
      </c>
      <c r="T24" s="6" t="s">
        <v>1759</v>
      </c>
      <c r="U24" s="1" t="str">
        <f t="shared" si="0"/>
        <v>Yes</v>
      </c>
      <c r="W24" s="1" t="s">
        <v>1760</v>
      </c>
      <c r="X24" s="1" t="str">
        <f>IF(COUNTIF('MyWells Drilling Comp'!F:F,E24)=0,"Missing","Exist")</f>
        <v>Exist</v>
      </c>
    </row>
    <row r="25" hidden="1" spans="1:24">
      <c r="A25" s="1" t="s">
        <v>1652</v>
      </c>
      <c r="B25" s="1" t="s">
        <v>90</v>
      </c>
      <c r="C25" s="1" t="s">
        <v>1761</v>
      </c>
      <c r="D25" s="1" t="s">
        <v>1757</v>
      </c>
      <c r="E25" s="2" t="s">
        <v>1566</v>
      </c>
      <c r="F25" s="2" t="s">
        <v>1762</v>
      </c>
      <c r="G25" s="1">
        <v>1</v>
      </c>
      <c r="H25" s="1" t="s">
        <v>1656</v>
      </c>
      <c r="I25" s="1" t="s">
        <v>1657</v>
      </c>
      <c r="J25" s="1" t="s">
        <v>1658</v>
      </c>
      <c r="K25" s="1" t="s">
        <v>1658</v>
      </c>
      <c r="L25" s="1" t="s">
        <v>1658</v>
      </c>
      <c r="M25" s="1" t="s">
        <v>1658</v>
      </c>
      <c r="N25" s="1" t="s">
        <v>1658</v>
      </c>
      <c r="O25" s="1" t="s">
        <v>1658</v>
      </c>
      <c r="P25" s="1">
        <v>1</v>
      </c>
      <c r="Q25" s="1" t="s">
        <v>1658</v>
      </c>
      <c r="R25" s="1">
        <v>0</v>
      </c>
      <c r="S25" s="1" t="s">
        <v>1763</v>
      </c>
      <c r="T25" s="6" t="s">
        <v>1763</v>
      </c>
      <c r="U25" s="1" t="str">
        <f t="shared" si="0"/>
        <v>Yes</v>
      </c>
      <c r="W25" s="1" t="s">
        <v>1764</v>
      </c>
      <c r="X25" s="1" t="str">
        <f>IF(COUNTIF('MyWells Drilling Comp'!F:F,E25)=0,"Missing","Exist")</f>
        <v>Exist</v>
      </c>
    </row>
    <row r="26" hidden="1" spans="1:24">
      <c r="A26" s="1" t="s">
        <v>1652</v>
      </c>
      <c r="B26" s="1" t="s">
        <v>90</v>
      </c>
      <c r="C26" s="1" t="s">
        <v>1765</v>
      </c>
      <c r="D26" s="1" t="s">
        <v>1766</v>
      </c>
      <c r="E26" s="2" t="s">
        <v>967</v>
      </c>
      <c r="F26" s="2" t="s">
        <v>1767</v>
      </c>
      <c r="G26" s="1">
        <v>1</v>
      </c>
      <c r="H26" s="1" t="s">
        <v>1656</v>
      </c>
      <c r="I26" s="1" t="s">
        <v>1657</v>
      </c>
      <c r="J26" s="1" t="s">
        <v>1658</v>
      </c>
      <c r="K26" s="1" t="s">
        <v>1658</v>
      </c>
      <c r="L26" s="1" t="s">
        <v>1658</v>
      </c>
      <c r="M26" s="1" t="s">
        <v>1658</v>
      </c>
      <c r="N26" s="1" t="s">
        <v>1658</v>
      </c>
      <c r="O26" s="1" t="s">
        <v>1658</v>
      </c>
      <c r="P26" s="1">
        <v>1</v>
      </c>
      <c r="Q26" s="1" t="s">
        <v>1658</v>
      </c>
      <c r="R26" s="1">
        <v>0</v>
      </c>
      <c r="S26" s="1" t="s">
        <v>1768</v>
      </c>
      <c r="T26" s="6" t="s">
        <v>1768</v>
      </c>
      <c r="U26" s="1" t="str">
        <f t="shared" si="0"/>
        <v>Yes</v>
      </c>
      <c r="W26" s="1" t="s">
        <v>1769</v>
      </c>
      <c r="X26" s="1" t="str">
        <f>IF(COUNTIF('MyWells Drilling Comp'!F:F,E26)=0,"Missing","Exist")</f>
        <v>Exist</v>
      </c>
    </row>
    <row r="27" hidden="1" spans="1:24">
      <c r="A27" s="1" t="s">
        <v>1652</v>
      </c>
      <c r="B27" s="1" t="s">
        <v>90</v>
      </c>
      <c r="C27" s="1" t="s">
        <v>1770</v>
      </c>
      <c r="D27" s="1" t="s">
        <v>1766</v>
      </c>
      <c r="E27" s="2" t="s">
        <v>967</v>
      </c>
      <c r="F27" s="2" t="s">
        <v>1771</v>
      </c>
      <c r="G27" s="1">
        <v>1</v>
      </c>
      <c r="H27" s="1" t="s">
        <v>1663</v>
      </c>
      <c r="I27" s="1" t="s">
        <v>1657</v>
      </c>
      <c r="J27" s="1" t="s">
        <v>1658</v>
      </c>
      <c r="K27" s="1" t="s">
        <v>1658</v>
      </c>
      <c r="L27" s="1" t="s">
        <v>1658</v>
      </c>
      <c r="M27" s="1" t="s">
        <v>1658</v>
      </c>
      <c r="N27" s="1" t="s">
        <v>1658</v>
      </c>
      <c r="O27" s="1" t="s">
        <v>1658</v>
      </c>
      <c r="P27" s="1">
        <v>1</v>
      </c>
      <c r="Q27" s="1" t="s">
        <v>1658</v>
      </c>
      <c r="R27" s="1">
        <v>0</v>
      </c>
      <c r="S27" s="1" t="s">
        <v>1772</v>
      </c>
      <c r="T27" s="6" t="s">
        <v>1772</v>
      </c>
      <c r="U27" s="1" t="str">
        <f t="shared" si="0"/>
        <v>Yes</v>
      </c>
      <c r="W27" s="1" t="s">
        <v>1773</v>
      </c>
      <c r="X27" s="1" t="str">
        <f>IF(COUNTIF('MyWells Drilling Comp'!F:F,E27)=0,"Missing","Exist")</f>
        <v>Exist</v>
      </c>
    </row>
    <row r="28" hidden="1" spans="1:24">
      <c r="A28" s="1" t="s">
        <v>1652</v>
      </c>
      <c r="B28" s="1" t="s">
        <v>90</v>
      </c>
      <c r="C28" s="1" t="s">
        <v>1774</v>
      </c>
      <c r="D28" s="1" t="s">
        <v>1775</v>
      </c>
      <c r="E28" s="2" t="s">
        <v>471</v>
      </c>
      <c r="F28" s="2" t="s">
        <v>1776</v>
      </c>
      <c r="G28" s="1">
        <v>1</v>
      </c>
      <c r="H28" s="1" t="s">
        <v>1663</v>
      </c>
      <c r="I28" s="1" t="s">
        <v>1657</v>
      </c>
      <c r="J28" s="1" t="s">
        <v>1658</v>
      </c>
      <c r="K28" s="1" t="s">
        <v>1658</v>
      </c>
      <c r="L28" s="1" t="s">
        <v>1658</v>
      </c>
      <c r="M28" s="1" t="s">
        <v>1658</v>
      </c>
      <c r="N28" s="1" t="s">
        <v>1658</v>
      </c>
      <c r="O28" s="1" t="s">
        <v>1658</v>
      </c>
      <c r="P28" s="1">
        <v>1</v>
      </c>
      <c r="Q28" s="1" t="s">
        <v>1658</v>
      </c>
      <c r="R28" s="1">
        <v>0</v>
      </c>
      <c r="S28" s="1" t="s">
        <v>1777</v>
      </c>
      <c r="T28" s="6" t="s">
        <v>1777</v>
      </c>
      <c r="U28" s="1" t="str">
        <f t="shared" si="0"/>
        <v>Yes</v>
      </c>
      <c r="W28" s="1" t="s">
        <v>1778</v>
      </c>
      <c r="X28" s="1" t="str">
        <f>IF(COUNTIF('MyWells Drilling Comp'!F:F,E28)=0,"Missing","Exist")</f>
        <v>Exist</v>
      </c>
    </row>
    <row r="29" hidden="1" spans="1:24">
      <c r="A29" s="1" t="s">
        <v>1652</v>
      </c>
      <c r="B29" s="1" t="s">
        <v>90</v>
      </c>
      <c r="C29" s="1" t="s">
        <v>1779</v>
      </c>
      <c r="D29" s="1" t="s">
        <v>1775</v>
      </c>
      <c r="E29" s="2" t="s">
        <v>471</v>
      </c>
      <c r="F29" s="2" t="s">
        <v>1780</v>
      </c>
      <c r="G29" s="1">
        <v>1</v>
      </c>
      <c r="H29" s="1" t="s">
        <v>1656</v>
      </c>
      <c r="I29" s="1" t="s">
        <v>1657</v>
      </c>
      <c r="J29" s="1" t="s">
        <v>1658</v>
      </c>
      <c r="K29" s="1" t="s">
        <v>1658</v>
      </c>
      <c r="L29" s="1" t="s">
        <v>1658</v>
      </c>
      <c r="M29" s="1" t="s">
        <v>1658</v>
      </c>
      <c r="N29" s="1" t="s">
        <v>1658</v>
      </c>
      <c r="O29" s="1" t="s">
        <v>1658</v>
      </c>
      <c r="P29" s="1">
        <v>1</v>
      </c>
      <c r="Q29" s="1" t="s">
        <v>1658</v>
      </c>
      <c r="R29" s="1">
        <v>0</v>
      </c>
      <c r="S29" s="1" t="s">
        <v>1781</v>
      </c>
      <c r="T29" s="6" t="s">
        <v>1781</v>
      </c>
      <c r="U29" s="1" t="str">
        <f t="shared" si="0"/>
        <v>Yes</v>
      </c>
      <c r="W29" s="1" t="s">
        <v>1782</v>
      </c>
      <c r="X29" s="1" t="str">
        <f>IF(COUNTIF('MyWells Drilling Comp'!F:F,E29)=0,"Missing","Exist")</f>
        <v>Exist</v>
      </c>
    </row>
    <row r="30" hidden="1" spans="1:24">
      <c r="A30" s="1" t="s">
        <v>1652</v>
      </c>
      <c r="B30" s="1" t="s">
        <v>90</v>
      </c>
      <c r="C30" s="1" t="s">
        <v>1783</v>
      </c>
      <c r="D30" s="1" t="s">
        <v>1784</v>
      </c>
      <c r="E30" s="2" t="s">
        <v>1132</v>
      </c>
      <c r="F30" s="2" t="s">
        <v>1785</v>
      </c>
      <c r="G30" s="1">
        <v>1</v>
      </c>
      <c r="H30" s="1" t="s">
        <v>1663</v>
      </c>
      <c r="I30" s="1" t="s">
        <v>1657</v>
      </c>
      <c r="J30" s="1" t="s">
        <v>1658</v>
      </c>
      <c r="K30" s="1" t="s">
        <v>1658</v>
      </c>
      <c r="L30" s="1" t="s">
        <v>1658</v>
      </c>
      <c r="M30" s="1" t="s">
        <v>1658</v>
      </c>
      <c r="N30" s="1" t="s">
        <v>1658</v>
      </c>
      <c r="O30" s="1" t="s">
        <v>1658</v>
      </c>
      <c r="P30" s="1">
        <v>1</v>
      </c>
      <c r="Q30" s="1" t="s">
        <v>1658</v>
      </c>
      <c r="R30" s="1">
        <v>0</v>
      </c>
      <c r="S30" s="1" t="s">
        <v>1786</v>
      </c>
      <c r="T30" s="6" t="s">
        <v>1786</v>
      </c>
      <c r="U30" s="1" t="str">
        <f t="shared" si="0"/>
        <v>Yes</v>
      </c>
      <c r="W30" s="1" t="s">
        <v>1787</v>
      </c>
      <c r="X30" s="1" t="str">
        <f>IF(COUNTIF('MyWells Drilling Comp'!F:F,E30)=0,"Missing","Exist")</f>
        <v>Exist</v>
      </c>
    </row>
    <row r="31" hidden="1" spans="1:24">
      <c r="A31" s="1" t="s">
        <v>1652</v>
      </c>
      <c r="B31" s="1" t="s">
        <v>90</v>
      </c>
      <c r="C31" s="1" t="s">
        <v>1788</v>
      </c>
      <c r="D31" s="1" t="s">
        <v>1784</v>
      </c>
      <c r="E31" s="1" t="s">
        <v>1132</v>
      </c>
      <c r="F31" s="1" t="s">
        <v>1789</v>
      </c>
      <c r="G31" s="1">
        <v>1</v>
      </c>
      <c r="H31" s="1" t="s">
        <v>1656</v>
      </c>
      <c r="I31" s="1" t="s">
        <v>1657</v>
      </c>
      <c r="J31" s="1" t="s">
        <v>1658</v>
      </c>
      <c r="K31" s="1" t="s">
        <v>1658</v>
      </c>
      <c r="L31" s="1" t="s">
        <v>1658</v>
      </c>
      <c r="M31" s="1" t="s">
        <v>1658</v>
      </c>
      <c r="N31" s="1" t="s">
        <v>1658</v>
      </c>
      <c r="O31" s="1" t="s">
        <v>1658</v>
      </c>
      <c r="P31" s="1">
        <v>1</v>
      </c>
      <c r="Q31" s="1" t="s">
        <v>1658</v>
      </c>
      <c r="R31" s="1">
        <v>0</v>
      </c>
      <c r="S31" s="1" t="s">
        <v>1790</v>
      </c>
      <c r="T31" s="6"/>
      <c r="U31" s="1" t="str">
        <f t="shared" si="0"/>
        <v>No</v>
      </c>
      <c r="W31" s="1" t="s">
        <v>1791</v>
      </c>
      <c r="X31" s="1" t="str">
        <f>IF(COUNTIF('MyWells Drilling Comp'!F:F,E31)=0,"Missing","Exist")</f>
        <v>Exist</v>
      </c>
    </row>
    <row r="32" hidden="1" spans="1:24">
      <c r="A32" s="1" t="s">
        <v>1652</v>
      </c>
      <c r="B32" s="1" t="s">
        <v>90</v>
      </c>
      <c r="C32" s="1" t="s">
        <v>1792</v>
      </c>
      <c r="D32" s="1" t="s">
        <v>1793</v>
      </c>
      <c r="E32" s="2" t="s">
        <v>740</v>
      </c>
      <c r="F32" s="2" t="s">
        <v>1794</v>
      </c>
      <c r="G32" s="1">
        <v>1</v>
      </c>
      <c r="H32" s="1" t="s">
        <v>1656</v>
      </c>
      <c r="I32" s="1" t="s">
        <v>1657</v>
      </c>
      <c r="J32" s="1" t="s">
        <v>1658</v>
      </c>
      <c r="K32" s="1" t="s">
        <v>1658</v>
      </c>
      <c r="L32" s="1" t="s">
        <v>1658</v>
      </c>
      <c r="M32" s="1" t="s">
        <v>1658</v>
      </c>
      <c r="N32" s="1" t="s">
        <v>1658</v>
      </c>
      <c r="O32" s="1" t="s">
        <v>1658</v>
      </c>
      <c r="P32" s="1">
        <v>1</v>
      </c>
      <c r="Q32" s="1" t="s">
        <v>1658</v>
      </c>
      <c r="R32" s="1">
        <v>0</v>
      </c>
      <c r="S32" s="1" t="s">
        <v>1795</v>
      </c>
      <c r="T32" s="6" t="s">
        <v>1795</v>
      </c>
      <c r="U32" s="1" t="str">
        <f t="shared" si="0"/>
        <v>Yes</v>
      </c>
      <c r="W32" s="1" t="s">
        <v>1796</v>
      </c>
      <c r="X32" s="1" t="str">
        <f>IF(COUNTIF('MyWells Drilling Comp'!F:F,E32)=0,"Missing","Exist")</f>
        <v>Exist</v>
      </c>
    </row>
    <row r="33" hidden="1" spans="1:24">
      <c r="A33" s="1" t="s">
        <v>1652</v>
      </c>
      <c r="B33" s="1" t="s">
        <v>90</v>
      </c>
      <c r="C33" s="1" t="s">
        <v>1797</v>
      </c>
      <c r="D33" s="1" t="s">
        <v>1793</v>
      </c>
      <c r="E33" s="2" t="s">
        <v>740</v>
      </c>
      <c r="F33" s="2" t="s">
        <v>1798</v>
      </c>
      <c r="G33" s="1">
        <v>1</v>
      </c>
      <c r="H33" s="1" t="s">
        <v>1663</v>
      </c>
      <c r="I33" s="1" t="s">
        <v>1657</v>
      </c>
      <c r="J33" s="1" t="s">
        <v>1658</v>
      </c>
      <c r="K33" s="1" t="s">
        <v>1658</v>
      </c>
      <c r="L33" s="1" t="s">
        <v>1658</v>
      </c>
      <c r="M33" s="1" t="s">
        <v>1658</v>
      </c>
      <c r="N33" s="1" t="s">
        <v>1658</v>
      </c>
      <c r="O33" s="1" t="s">
        <v>1658</v>
      </c>
      <c r="P33" s="1">
        <v>1</v>
      </c>
      <c r="Q33" s="1" t="s">
        <v>1658</v>
      </c>
      <c r="R33" s="1">
        <v>0</v>
      </c>
      <c r="S33" s="1" t="s">
        <v>1799</v>
      </c>
      <c r="T33" s="6" t="s">
        <v>1799</v>
      </c>
      <c r="U33" s="1" t="str">
        <f t="shared" si="0"/>
        <v>Yes</v>
      </c>
      <c r="W33" s="1" t="s">
        <v>1800</v>
      </c>
      <c r="X33" s="1" t="str">
        <f>IF(COUNTIF('MyWells Drilling Comp'!F:F,E33)=0,"Missing","Exist")</f>
        <v>Exist</v>
      </c>
    </row>
    <row r="34" hidden="1" spans="1:24">
      <c r="A34" s="1" t="s">
        <v>1652</v>
      </c>
      <c r="B34" s="1" t="s">
        <v>90</v>
      </c>
      <c r="C34" s="1" t="s">
        <v>1801</v>
      </c>
      <c r="D34" s="1" t="s">
        <v>1802</v>
      </c>
      <c r="E34" s="2" t="s">
        <v>735</v>
      </c>
      <c r="F34" s="2" t="s">
        <v>1803</v>
      </c>
      <c r="G34" s="1">
        <v>1</v>
      </c>
      <c r="H34" s="1" t="s">
        <v>1656</v>
      </c>
      <c r="I34" s="1" t="s">
        <v>1657</v>
      </c>
      <c r="J34" s="1" t="s">
        <v>1658</v>
      </c>
      <c r="K34" s="1" t="s">
        <v>1658</v>
      </c>
      <c r="L34" s="1" t="s">
        <v>1658</v>
      </c>
      <c r="M34" s="1" t="s">
        <v>1658</v>
      </c>
      <c r="N34" s="1" t="s">
        <v>1658</v>
      </c>
      <c r="O34" s="1" t="s">
        <v>1658</v>
      </c>
      <c r="P34" s="1">
        <v>1</v>
      </c>
      <c r="Q34" s="1" t="s">
        <v>1658</v>
      </c>
      <c r="R34" s="1">
        <v>0</v>
      </c>
      <c r="S34" s="1" t="s">
        <v>1804</v>
      </c>
      <c r="T34" s="6" t="s">
        <v>1804</v>
      </c>
      <c r="U34" s="1" t="str">
        <f t="shared" si="0"/>
        <v>Yes</v>
      </c>
      <c r="W34" s="1" t="s">
        <v>1805</v>
      </c>
      <c r="X34" s="1" t="str">
        <f>IF(COUNTIF('MyWells Drilling Comp'!F:F,E34)=0,"Missing","Exist")</f>
        <v>Exist</v>
      </c>
    </row>
    <row r="35" hidden="1" spans="1:24">
      <c r="A35" s="1" t="s">
        <v>1652</v>
      </c>
      <c r="B35" s="1" t="s">
        <v>90</v>
      </c>
      <c r="C35" s="1" t="s">
        <v>1806</v>
      </c>
      <c r="D35" s="1" t="s">
        <v>1802</v>
      </c>
      <c r="E35" s="2" t="s">
        <v>735</v>
      </c>
      <c r="F35" s="2" t="s">
        <v>1807</v>
      </c>
      <c r="G35" s="1">
        <v>1</v>
      </c>
      <c r="H35" s="1" t="s">
        <v>1663</v>
      </c>
      <c r="I35" s="1" t="s">
        <v>1657</v>
      </c>
      <c r="J35" s="1" t="s">
        <v>1658</v>
      </c>
      <c r="K35" s="1" t="s">
        <v>1658</v>
      </c>
      <c r="L35" s="1" t="s">
        <v>1658</v>
      </c>
      <c r="M35" s="1" t="s">
        <v>1658</v>
      </c>
      <c r="N35" s="1" t="s">
        <v>1658</v>
      </c>
      <c r="O35" s="1" t="s">
        <v>1658</v>
      </c>
      <c r="P35" s="1">
        <v>1</v>
      </c>
      <c r="Q35" s="1" t="s">
        <v>1658</v>
      </c>
      <c r="R35" s="1">
        <v>0</v>
      </c>
      <c r="S35" s="1" t="s">
        <v>1808</v>
      </c>
      <c r="T35" s="6" t="s">
        <v>1808</v>
      </c>
      <c r="U35" s="1" t="str">
        <f t="shared" si="0"/>
        <v>Yes</v>
      </c>
      <c r="W35" s="1" t="s">
        <v>1809</v>
      </c>
      <c r="X35" s="1" t="str">
        <f>IF(COUNTIF('MyWells Drilling Comp'!F:F,E35)=0,"Missing","Exist")</f>
        <v>Exist</v>
      </c>
    </row>
    <row r="36" hidden="1" spans="1:24">
      <c r="A36" s="1" t="s">
        <v>1652</v>
      </c>
      <c r="B36" s="1" t="s">
        <v>90</v>
      </c>
      <c r="C36" s="1" t="s">
        <v>1810</v>
      </c>
      <c r="D36" s="1" t="s">
        <v>1811</v>
      </c>
      <c r="E36" s="2" t="s">
        <v>1354</v>
      </c>
      <c r="F36" s="2" t="s">
        <v>1812</v>
      </c>
      <c r="G36" s="1">
        <v>1</v>
      </c>
      <c r="H36" s="1" t="s">
        <v>1663</v>
      </c>
      <c r="I36" s="1" t="s">
        <v>1657</v>
      </c>
      <c r="J36" s="1" t="s">
        <v>1658</v>
      </c>
      <c r="K36" s="1" t="s">
        <v>1658</v>
      </c>
      <c r="L36" s="1" t="s">
        <v>1658</v>
      </c>
      <c r="M36" s="1" t="s">
        <v>1658</v>
      </c>
      <c r="N36" s="1" t="s">
        <v>1658</v>
      </c>
      <c r="O36" s="1" t="s">
        <v>1658</v>
      </c>
      <c r="P36" s="1">
        <v>1</v>
      </c>
      <c r="Q36" s="1" t="s">
        <v>1658</v>
      </c>
      <c r="R36" s="1">
        <v>0</v>
      </c>
      <c r="S36" s="1" t="s">
        <v>1813</v>
      </c>
      <c r="T36" s="6" t="s">
        <v>1813</v>
      </c>
      <c r="U36" s="1" t="str">
        <f t="shared" si="0"/>
        <v>Yes</v>
      </c>
      <c r="W36" s="1" t="s">
        <v>1814</v>
      </c>
      <c r="X36" s="1" t="str">
        <f>IF(COUNTIF('MyWells Drilling Comp'!F:F,E36)=0,"Missing","Exist")</f>
        <v>Exist</v>
      </c>
    </row>
    <row r="37" hidden="1" spans="1:24">
      <c r="A37" s="1" t="s">
        <v>1652</v>
      </c>
      <c r="B37" s="1" t="s">
        <v>90</v>
      </c>
      <c r="C37" s="1" t="s">
        <v>1815</v>
      </c>
      <c r="D37" s="1" t="s">
        <v>1811</v>
      </c>
      <c r="E37" s="2" t="s">
        <v>1354</v>
      </c>
      <c r="F37" s="2" t="s">
        <v>1816</v>
      </c>
      <c r="G37" s="1">
        <v>1</v>
      </c>
      <c r="H37" s="1" t="s">
        <v>1656</v>
      </c>
      <c r="I37" s="1" t="s">
        <v>1657</v>
      </c>
      <c r="J37" s="1" t="s">
        <v>1658</v>
      </c>
      <c r="K37" s="1" t="s">
        <v>1658</v>
      </c>
      <c r="L37" s="1" t="s">
        <v>1658</v>
      </c>
      <c r="M37" s="1" t="s">
        <v>1658</v>
      </c>
      <c r="N37" s="1" t="s">
        <v>1658</v>
      </c>
      <c r="O37" s="1" t="s">
        <v>1658</v>
      </c>
      <c r="P37" s="1">
        <v>1</v>
      </c>
      <c r="Q37" s="1" t="s">
        <v>1658</v>
      </c>
      <c r="R37" s="1">
        <v>0</v>
      </c>
      <c r="S37" s="1" t="s">
        <v>1817</v>
      </c>
      <c r="T37" s="6" t="s">
        <v>1817</v>
      </c>
      <c r="U37" s="1" t="str">
        <f t="shared" si="0"/>
        <v>Yes</v>
      </c>
      <c r="W37" s="1" t="s">
        <v>1818</v>
      </c>
      <c r="X37" s="1" t="str">
        <f>IF(COUNTIF('MyWells Drilling Comp'!F:F,E37)=0,"Missing","Exist")</f>
        <v>Exist</v>
      </c>
    </row>
    <row r="38" hidden="1" spans="1:24">
      <c r="A38" s="1" t="s">
        <v>1652</v>
      </c>
      <c r="B38" s="1" t="s">
        <v>90</v>
      </c>
      <c r="C38" s="1" t="s">
        <v>1819</v>
      </c>
      <c r="D38" s="1" t="s">
        <v>1820</v>
      </c>
      <c r="E38" s="2" t="s">
        <v>1015</v>
      </c>
      <c r="F38" s="2" t="s">
        <v>1821</v>
      </c>
      <c r="G38" s="1">
        <v>1</v>
      </c>
      <c r="H38" s="1" t="s">
        <v>1656</v>
      </c>
      <c r="I38" s="1" t="s">
        <v>1657</v>
      </c>
      <c r="J38" s="1" t="s">
        <v>1658</v>
      </c>
      <c r="K38" s="1" t="s">
        <v>1658</v>
      </c>
      <c r="L38" s="1" t="s">
        <v>1658</v>
      </c>
      <c r="M38" s="1" t="s">
        <v>1658</v>
      </c>
      <c r="N38" s="1" t="s">
        <v>1658</v>
      </c>
      <c r="O38" s="1" t="s">
        <v>1658</v>
      </c>
      <c r="P38" s="1">
        <v>1</v>
      </c>
      <c r="Q38" s="1" t="s">
        <v>1658</v>
      </c>
      <c r="R38" s="1">
        <v>0</v>
      </c>
      <c r="S38" s="1" t="s">
        <v>1822</v>
      </c>
      <c r="T38" s="6" t="s">
        <v>1822</v>
      </c>
      <c r="U38" s="1" t="str">
        <f t="shared" si="0"/>
        <v>Yes</v>
      </c>
      <c r="W38" s="1" t="s">
        <v>1823</v>
      </c>
      <c r="X38" s="1" t="str">
        <f>IF(COUNTIF('MyWells Drilling Comp'!F:F,E38)=0,"Missing","Exist")</f>
        <v>Exist</v>
      </c>
    </row>
    <row r="39" hidden="1" spans="1:24">
      <c r="A39" s="1" t="s">
        <v>1652</v>
      </c>
      <c r="B39" s="1" t="s">
        <v>90</v>
      </c>
      <c r="C39" s="1" t="s">
        <v>1824</v>
      </c>
      <c r="D39" s="1" t="s">
        <v>1820</v>
      </c>
      <c r="E39" s="2" t="s">
        <v>1015</v>
      </c>
      <c r="F39" s="2" t="s">
        <v>1825</v>
      </c>
      <c r="G39" s="1">
        <v>1</v>
      </c>
      <c r="H39" s="1" t="s">
        <v>1663</v>
      </c>
      <c r="I39" s="1" t="s">
        <v>1657</v>
      </c>
      <c r="J39" s="1" t="s">
        <v>1658</v>
      </c>
      <c r="K39" s="1" t="s">
        <v>1658</v>
      </c>
      <c r="L39" s="1" t="s">
        <v>1658</v>
      </c>
      <c r="M39" s="1" t="s">
        <v>1658</v>
      </c>
      <c r="N39" s="1" t="s">
        <v>1658</v>
      </c>
      <c r="O39" s="1" t="s">
        <v>1658</v>
      </c>
      <c r="P39" s="1">
        <v>1</v>
      </c>
      <c r="Q39" s="1" t="s">
        <v>1658</v>
      </c>
      <c r="R39" s="1">
        <v>0</v>
      </c>
      <c r="S39" s="1" t="s">
        <v>1826</v>
      </c>
      <c r="T39" s="6" t="s">
        <v>1826</v>
      </c>
      <c r="U39" s="1" t="str">
        <f t="shared" si="0"/>
        <v>Yes</v>
      </c>
      <c r="W39" s="1" t="s">
        <v>1827</v>
      </c>
      <c r="X39" s="1" t="str">
        <f>IF(COUNTIF('MyWells Drilling Comp'!F:F,E39)=0,"Missing","Exist")</f>
        <v>Exist</v>
      </c>
    </row>
    <row r="40" hidden="1" spans="1:24">
      <c r="A40" s="1" t="s">
        <v>1652</v>
      </c>
      <c r="B40" s="1" t="s">
        <v>90</v>
      </c>
      <c r="C40" s="1" t="s">
        <v>1828</v>
      </c>
      <c r="D40" s="1" t="s">
        <v>1829</v>
      </c>
      <c r="E40" s="2" t="s">
        <v>1032</v>
      </c>
      <c r="F40" s="2" t="s">
        <v>1830</v>
      </c>
      <c r="G40" s="1">
        <v>1</v>
      </c>
      <c r="H40" s="1" t="s">
        <v>1656</v>
      </c>
      <c r="I40" s="1" t="s">
        <v>1657</v>
      </c>
      <c r="J40" s="1" t="s">
        <v>1658</v>
      </c>
      <c r="K40" s="1" t="s">
        <v>1658</v>
      </c>
      <c r="L40" s="1" t="s">
        <v>1658</v>
      </c>
      <c r="M40" s="1" t="s">
        <v>1658</v>
      </c>
      <c r="N40" s="1" t="s">
        <v>1658</v>
      </c>
      <c r="O40" s="1" t="s">
        <v>1658</v>
      </c>
      <c r="P40" s="1">
        <v>1</v>
      </c>
      <c r="Q40" s="1" t="s">
        <v>1658</v>
      </c>
      <c r="R40" s="1">
        <v>0</v>
      </c>
      <c r="S40" s="1" t="s">
        <v>1831</v>
      </c>
      <c r="T40" s="6" t="s">
        <v>1831</v>
      </c>
      <c r="U40" s="1" t="str">
        <f t="shared" si="0"/>
        <v>Yes</v>
      </c>
      <c r="W40" s="1" t="s">
        <v>1832</v>
      </c>
      <c r="X40" s="1" t="str">
        <f>IF(COUNTIF('MyWells Drilling Comp'!F:F,E40)=0,"Missing","Exist")</f>
        <v>Exist</v>
      </c>
    </row>
    <row r="41" hidden="1" spans="1:24">
      <c r="A41" s="1" t="s">
        <v>1652</v>
      </c>
      <c r="B41" s="1" t="s">
        <v>90</v>
      </c>
      <c r="C41" s="1" t="s">
        <v>1833</v>
      </c>
      <c r="D41" s="1" t="s">
        <v>1829</v>
      </c>
      <c r="E41" s="2" t="s">
        <v>1032</v>
      </c>
      <c r="F41" s="2" t="s">
        <v>1834</v>
      </c>
      <c r="G41" s="1">
        <v>1</v>
      </c>
      <c r="H41" s="1" t="s">
        <v>1663</v>
      </c>
      <c r="I41" s="1" t="s">
        <v>1657</v>
      </c>
      <c r="J41" s="1" t="s">
        <v>1658</v>
      </c>
      <c r="K41" s="1" t="s">
        <v>1658</v>
      </c>
      <c r="L41" s="1" t="s">
        <v>1658</v>
      </c>
      <c r="M41" s="1" t="s">
        <v>1658</v>
      </c>
      <c r="N41" s="1" t="s">
        <v>1658</v>
      </c>
      <c r="O41" s="1" t="s">
        <v>1658</v>
      </c>
      <c r="P41" s="1">
        <v>1</v>
      </c>
      <c r="Q41" s="1" t="s">
        <v>1658</v>
      </c>
      <c r="R41" s="1">
        <v>0</v>
      </c>
      <c r="S41" s="1" t="s">
        <v>1835</v>
      </c>
      <c r="T41" s="6" t="s">
        <v>1835</v>
      </c>
      <c r="U41" s="1" t="str">
        <f t="shared" si="0"/>
        <v>Yes</v>
      </c>
      <c r="W41" s="1" t="s">
        <v>1836</v>
      </c>
      <c r="X41" s="1" t="str">
        <f>IF(COUNTIF('MyWells Drilling Comp'!F:F,E41)=0,"Missing","Exist")</f>
        <v>Exist</v>
      </c>
    </row>
    <row r="42" hidden="1" spans="1:24">
      <c r="A42" s="1" t="s">
        <v>1652</v>
      </c>
      <c r="B42" s="1" t="s">
        <v>90</v>
      </c>
      <c r="C42" s="1" t="s">
        <v>1837</v>
      </c>
      <c r="D42" s="1" t="s">
        <v>1838</v>
      </c>
      <c r="E42" s="2" t="s">
        <v>1270</v>
      </c>
      <c r="F42" s="2" t="s">
        <v>1839</v>
      </c>
      <c r="G42" s="1">
        <v>1</v>
      </c>
      <c r="H42" s="1" t="s">
        <v>1663</v>
      </c>
      <c r="I42" s="1" t="s">
        <v>1657</v>
      </c>
      <c r="J42" s="1" t="s">
        <v>1658</v>
      </c>
      <c r="K42" s="1" t="s">
        <v>1658</v>
      </c>
      <c r="L42" s="1" t="s">
        <v>1658</v>
      </c>
      <c r="M42" s="1" t="s">
        <v>1658</v>
      </c>
      <c r="N42" s="1" t="s">
        <v>1658</v>
      </c>
      <c r="O42" s="1" t="s">
        <v>1658</v>
      </c>
      <c r="P42" s="1">
        <v>1</v>
      </c>
      <c r="Q42" s="1" t="s">
        <v>1658</v>
      </c>
      <c r="R42" s="1">
        <v>0</v>
      </c>
      <c r="S42" s="1" t="s">
        <v>1840</v>
      </c>
      <c r="T42" s="6" t="s">
        <v>1840</v>
      </c>
      <c r="U42" s="1" t="str">
        <f t="shared" si="0"/>
        <v>Yes</v>
      </c>
      <c r="W42" s="1" t="s">
        <v>1841</v>
      </c>
      <c r="X42" s="1" t="str">
        <f>IF(COUNTIF('MyWells Drilling Comp'!F:F,E42)=0,"Missing","Exist")</f>
        <v>Exist</v>
      </c>
    </row>
    <row r="43" hidden="1" spans="1:24">
      <c r="A43" s="1" t="s">
        <v>1652</v>
      </c>
      <c r="B43" s="1" t="s">
        <v>90</v>
      </c>
      <c r="C43" s="1" t="s">
        <v>1842</v>
      </c>
      <c r="D43" s="1" t="s">
        <v>1838</v>
      </c>
      <c r="E43" s="2" t="s">
        <v>1270</v>
      </c>
      <c r="F43" s="2" t="s">
        <v>1843</v>
      </c>
      <c r="G43" s="1">
        <v>1</v>
      </c>
      <c r="H43" s="1" t="s">
        <v>1656</v>
      </c>
      <c r="I43" s="1" t="s">
        <v>1657</v>
      </c>
      <c r="J43" s="1" t="s">
        <v>1658</v>
      </c>
      <c r="K43" s="1" t="s">
        <v>1658</v>
      </c>
      <c r="L43" s="1" t="s">
        <v>1658</v>
      </c>
      <c r="M43" s="1" t="s">
        <v>1658</v>
      </c>
      <c r="N43" s="1" t="s">
        <v>1658</v>
      </c>
      <c r="O43" s="1" t="s">
        <v>1658</v>
      </c>
      <c r="P43" s="1">
        <v>1</v>
      </c>
      <c r="Q43" s="1" t="s">
        <v>1658</v>
      </c>
      <c r="R43" s="1">
        <v>0</v>
      </c>
      <c r="S43" s="1" t="s">
        <v>1844</v>
      </c>
      <c r="T43" s="6" t="s">
        <v>1844</v>
      </c>
      <c r="U43" s="1" t="str">
        <f t="shared" si="0"/>
        <v>Yes</v>
      </c>
      <c r="W43" s="1" t="s">
        <v>1845</v>
      </c>
      <c r="X43" s="1" t="str">
        <f>IF(COUNTIF('MyWells Drilling Comp'!F:F,E43)=0,"Missing","Exist")</f>
        <v>Exist</v>
      </c>
    </row>
    <row r="44" hidden="1" spans="1:24">
      <c r="A44" s="1" t="s">
        <v>1652</v>
      </c>
      <c r="B44" s="1" t="s">
        <v>90</v>
      </c>
      <c r="C44" s="1" t="s">
        <v>1846</v>
      </c>
      <c r="D44" s="1" t="s">
        <v>1847</v>
      </c>
      <c r="E44" s="2" t="s">
        <v>1315</v>
      </c>
      <c r="F44" s="2" t="s">
        <v>1848</v>
      </c>
      <c r="G44" s="1">
        <v>1</v>
      </c>
      <c r="H44" s="1" t="s">
        <v>1663</v>
      </c>
      <c r="I44" s="1" t="s">
        <v>1657</v>
      </c>
      <c r="J44" s="1" t="s">
        <v>1658</v>
      </c>
      <c r="K44" s="1" t="s">
        <v>1658</v>
      </c>
      <c r="L44" s="1" t="s">
        <v>1658</v>
      </c>
      <c r="M44" s="1" t="s">
        <v>1658</v>
      </c>
      <c r="N44" s="1" t="s">
        <v>1658</v>
      </c>
      <c r="O44" s="1" t="s">
        <v>1658</v>
      </c>
      <c r="P44" s="1">
        <v>1</v>
      </c>
      <c r="Q44" s="1" t="s">
        <v>1658</v>
      </c>
      <c r="R44" s="1">
        <v>0</v>
      </c>
      <c r="S44" s="1" t="s">
        <v>1849</v>
      </c>
      <c r="T44" s="6" t="s">
        <v>1849</v>
      </c>
      <c r="U44" s="1" t="str">
        <f t="shared" si="0"/>
        <v>Yes</v>
      </c>
      <c r="W44" s="1" t="s">
        <v>1850</v>
      </c>
      <c r="X44" s="1" t="str">
        <f>IF(COUNTIF('MyWells Drilling Comp'!F:F,E44)=0,"Missing","Exist")</f>
        <v>Exist</v>
      </c>
    </row>
    <row r="45" hidden="1" spans="1:24">
      <c r="A45" s="1" t="s">
        <v>1652</v>
      </c>
      <c r="B45" s="1" t="s">
        <v>90</v>
      </c>
      <c r="C45" s="1" t="s">
        <v>1851</v>
      </c>
      <c r="D45" s="1" t="s">
        <v>1847</v>
      </c>
      <c r="E45" s="1" t="s">
        <v>1315</v>
      </c>
      <c r="F45" s="7" t="s">
        <v>1852</v>
      </c>
      <c r="G45" s="1">
        <v>1</v>
      </c>
      <c r="H45" s="1" t="s">
        <v>1656</v>
      </c>
      <c r="I45" s="1" t="s">
        <v>1657</v>
      </c>
      <c r="J45" s="1" t="s">
        <v>1658</v>
      </c>
      <c r="K45" s="1" t="s">
        <v>1658</v>
      </c>
      <c r="L45" s="1" t="s">
        <v>1658</v>
      </c>
      <c r="M45" s="1" t="s">
        <v>1658</v>
      </c>
      <c r="N45" s="1" t="s">
        <v>1658</v>
      </c>
      <c r="O45" s="1" t="s">
        <v>1658</v>
      </c>
      <c r="P45" s="1">
        <v>1</v>
      </c>
      <c r="Q45" s="1" t="s">
        <v>1658</v>
      </c>
      <c r="R45" s="1">
        <v>0</v>
      </c>
      <c r="S45" s="1" t="s">
        <v>1853</v>
      </c>
      <c r="T45" s="6"/>
      <c r="U45" s="1" t="str">
        <f t="shared" si="0"/>
        <v>No</v>
      </c>
      <c r="W45" s="1" t="s">
        <v>1854</v>
      </c>
      <c r="X45" s="1" t="str">
        <f>IF(COUNTIF('MyWells Drilling Comp'!F:F,E45)=0,"Missing","Exist")</f>
        <v>Exist</v>
      </c>
    </row>
    <row r="46" hidden="1" spans="1:24">
      <c r="A46" s="1" t="s">
        <v>1652</v>
      </c>
      <c r="B46" s="1" t="s">
        <v>90</v>
      </c>
      <c r="C46" s="1" t="s">
        <v>1855</v>
      </c>
      <c r="D46" s="1" t="s">
        <v>1856</v>
      </c>
      <c r="E46" s="2" t="s">
        <v>1583</v>
      </c>
      <c r="F46" s="2" t="s">
        <v>1857</v>
      </c>
      <c r="G46" s="1">
        <v>1</v>
      </c>
      <c r="H46" s="1" t="s">
        <v>1656</v>
      </c>
      <c r="I46" s="1" t="s">
        <v>1657</v>
      </c>
      <c r="J46" s="1" t="s">
        <v>1658</v>
      </c>
      <c r="K46" s="1" t="s">
        <v>1658</v>
      </c>
      <c r="L46" s="1" t="s">
        <v>1658</v>
      </c>
      <c r="M46" s="1" t="s">
        <v>1658</v>
      </c>
      <c r="N46" s="1" t="s">
        <v>1658</v>
      </c>
      <c r="O46" s="1" t="s">
        <v>1658</v>
      </c>
      <c r="P46" s="1">
        <v>1</v>
      </c>
      <c r="Q46" s="1" t="s">
        <v>1658</v>
      </c>
      <c r="R46" s="1">
        <v>0</v>
      </c>
      <c r="S46" s="1" t="s">
        <v>1858</v>
      </c>
      <c r="T46" s="6" t="s">
        <v>1858</v>
      </c>
      <c r="U46" s="1" t="str">
        <f t="shared" si="0"/>
        <v>Yes</v>
      </c>
      <c r="W46" s="1" t="s">
        <v>1859</v>
      </c>
      <c r="X46" s="1" t="str">
        <f>IF(COUNTIF('MyWells Drilling Comp'!F:F,E46)=0,"Missing","Exist")</f>
        <v>Exist</v>
      </c>
    </row>
    <row r="47" hidden="1" spans="1:24">
      <c r="A47" s="1" t="s">
        <v>1652</v>
      </c>
      <c r="B47" s="1" t="s">
        <v>90</v>
      </c>
      <c r="C47" s="1" t="s">
        <v>1860</v>
      </c>
      <c r="D47" s="1" t="s">
        <v>1856</v>
      </c>
      <c r="E47" s="2" t="s">
        <v>1583</v>
      </c>
      <c r="F47" s="2" t="s">
        <v>1861</v>
      </c>
      <c r="G47" s="1">
        <v>1</v>
      </c>
      <c r="H47" s="1" t="s">
        <v>1663</v>
      </c>
      <c r="I47" s="1" t="s">
        <v>1657</v>
      </c>
      <c r="J47" s="1" t="s">
        <v>1658</v>
      </c>
      <c r="K47" s="1" t="s">
        <v>1658</v>
      </c>
      <c r="L47" s="1" t="s">
        <v>1658</v>
      </c>
      <c r="M47" s="1" t="s">
        <v>1658</v>
      </c>
      <c r="N47" s="1" t="s">
        <v>1658</v>
      </c>
      <c r="O47" s="1" t="s">
        <v>1658</v>
      </c>
      <c r="P47" s="1">
        <v>1</v>
      </c>
      <c r="Q47" s="1" t="s">
        <v>1658</v>
      </c>
      <c r="R47" s="1">
        <v>0</v>
      </c>
      <c r="S47" s="1" t="s">
        <v>1862</v>
      </c>
      <c r="T47" s="6" t="s">
        <v>1862</v>
      </c>
      <c r="U47" s="1" t="str">
        <f t="shared" si="0"/>
        <v>Yes</v>
      </c>
      <c r="W47" s="1" t="s">
        <v>1863</v>
      </c>
      <c r="X47" s="1" t="str">
        <f>IF(COUNTIF('MyWells Drilling Comp'!F:F,E47)=0,"Missing","Exist")</f>
        <v>Exist</v>
      </c>
    </row>
    <row r="48" spans="1:24">
      <c r="A48" s="1" t="s">
        <v>1652</v>
      </c>
      <c r="B48" s="1" t="s">
        <v>90</v>
      </c>
      <c r="C48" s="1" t="s">
        <v>1864</v>
      </c>
      <c r="D48" s="1" t="s">
        <v>1865</v>
      </c>
      <c r="E48" s="2" t="s">
        <v>1866</v>
      </c>
      <c r="F48" s="2" t="s">
        <v>1867</v>
      </c>
      <c r="G48" s="1">
        <v>1</v>
      </c>
      <c r="H48" s="1" t="s">
        <v>1663</v>
      </c>
      <c r="I48" s="1" t="s">
        <v>1657</v>
      </c>
      <c r="J48" s="1" t="s">
        <v>1658</v>
      </c>
      <c r="K48" s="1" t="s">
        <v>1658</v>
      </c>
      <c r="L48" s="1" t="s">
        <v>1658</v>
      </c>
      <c r="M48" s="1" t="s">
        <v>1658</v>
      </c>
      <c r="N48" s="1" t="s">
        <v>1658</v>
      </c>
      <c r="O48" s="1" t="s">
        <v>1658</v>
      </c>
      <c r="P48" s="1">
        <v>1</v>
      </c>
      <c r="Q48" s="1" t="s">
        <v>1658</v>
      </c>
      <c r="R48" s="1">
        <v>0</v>
      </c>
      <c r="S48" s="1" t="s">
        <v>1868</v>
      </c>
      <c r="T48" s="6" t="s">
        <v>1868</v>
      </c>
      <c r="U48" s="1" t="str">
        <f t="shared" si="0"/>
        <v>Yes</v>
      </c>
      <c r="W48" s="1" t="s">
        <v>1869</v>
      </c>
      <c r="X48" s="1" t="str">
        <f>IF(COUNTIF('MyWells Drilling Comp'!F:F,E48)=0,"Missing","Exist")</f>
        <v>Missing</v>
      </c>
    </row>
    <row r="49" hidden="1" spans="1:24">
      <c r="A49" s="1" t="s">
        <v>1652</v>
      </c>
      <c r="B49" s="1" t="s">
        <v>90</v>
      </c>
      <c r="C49" s="1" t="s">
        <v>1870</v>
      </c>
      <c r="D49" s="1" t="s">
        <v>1865</v>
      </c>
      <c r="E49" s="2" t="s">
        <v>1866</v>
      </c>
      <c r="F49" s="2" t="s">
        <v>1871</v>
      </c>
      <c r="G49" s="1">
        <v>1</v>
      </c>
      <c r="H49" s="1" t="s">
        <v>1656</v>
      </c>
      <c r="I49" s="1" t="s">
        <v>1657</v>
      </c>
      <c r="J49" s="1" t="s">
        <v>1658</v>
      </c>
      <c r="K49" s="1" t="s">
        <v>1658</v>
      </c>
      <c r="L49" s="1" t="s">
        <v>1658</v>
      </c>
      <c r="M49" s="1" t="s">
        <v>1658</v>
      </c>
      <c r="N49" s="1" t="s">
        <v>1658</v>
      </c>
      <c r="O49" s="1" t="s">
        <v>1658</v>
      </c>
      <c r="P49" s="1">
        <v>1</v>
      </c>
      <c r="Q49" s="1" t="s">
        <v>1658</v>
      </c>
      <c r="R49" s="1">
        <v>0</v>
      </c>
      <c r="S49" s="1" t="s">
        <v>1872</v>
      </c>
      <c r="T49" s="6" t="s">
        <v>1873</v>
      </c>
      <c r="U49" s="1" t="str">
        <f t="shared" si="0"/>
        <v>No</v>
      </c>
      <c r="W49" s="1" t="s">
        <v>1874</v>
      </c>
      <c r="X49" s="1" t="str">
        <f>IF(COUNTIF('MyWells Drilling Comp'!F:F,E49)=0,"Missing","Exist")</f>
        <v>Missing</v>
      </c>
    </row>
    <row r="50" hidden="1" spans="1:24">
      <c r="A50" s="1" t="s">
        <v>1652</v>
      </c>
      <c r="B50" s="1" t="s">
        <v>90</v>
      </c>
      <c r="C50" s="1" t="s">
        <v>1875</v>
      </c>
      <c r="D50" s="1" t="s">
        <v>1876</v>
      </c>
      <c r="E50" s="2" t="s">
        <v>1526</v>
      </c>
      <c r="F50" s="2" t="s">
        <v>1877</v>
      </c>
      <c r="G50" s="1">
        <v>1</v>
      </c>
      <c r="H50" s="1" t="s">
        <v>1663</v>
      </c>
      <c r="I50" s="1" t="s">
        <v>1657</v>
      </c>
      <c r="J50" s="1" t="s">
        <v>1658</v>
      </c>
      <c r="K50" s="1" t="s">
        <v>1658</v>
      </c>
      <c r="L50" s="1" t="s">
        <v>1658</v>
      </c>
      <c r="M50" s="1" t="s">
        <v>1658</v>
      </c>
      <c r="N50" s="1" t="s">
        <v>1658</v>
      </c>
      <c r="O50" s="1" t="s">
        <v>1658</v>
      </c>
      <c r="P50" s="1">
        <v>1</v>
      </c>
      <c r="Q50" s="1" t="s">
        <v>1658</v>
      </c>
      <c r="R50" s="1">
        <v>0</v>
      </c>
      <c r="S50" s="1" t="s">
        <v>1878</v>
      </c>
      <c r="T50" s="6" t="s">
        <v>1878</v>
      </c>
      <c r="U50" s="1" t="str">
        <f t="shared" si="0"/>
        <v>Yes</v>
      </c>
      <c r="W50" s="1" t="s">
        <v>1879</v>
      </c>
      <c r="X50" s="1" t="str">
        <f>IF(COUNTIF('MyWells Drilling Comp'!F:F,E50)=0,"Missing","Exist")</f>
        <v>Exist</v>
      </c>
    </row>
    <row r="51" hidden="1" spans="1:24">
      <c r="A51" s="1" t="s">
        <v>1652</v>
      </c>
      <c r="B51" s="1" t="s">
        <v>90</v>
      </c>
      <c r="C51" s="1" t="s">
        <v>1880</v>
      </c>
      <c r="D51" s="1" t="s">
        <v>1876</v>
      </c>
      <c r="E51" s="2" t="s">
        <v>1526</v>
      </c>
      <c r="F51" s="2" t="s">
        <v>1881</v>
      </c>
      <c r="G51" s="1">
        <v>1</v>
      </c>
      <c r="H51" s="1" t="s">
        <v>1656</v>
      </c>
      <c r="I51" s="1" t="s">
        <v>1657</v>
      </c>
      <c r="J51" s="1" t="s">
        <v>1658</v>
      </c>
      <c r="K51" s="1" t="s">
        <v>1658</v>
      </c>
      <c r="L51" s="1" t="s">
        <v>1658</v>
      </c>
      <c r="M51" s="1" t="s">
        <v>1658</v>
      </c>
      <c r="N51" s="1" t="s">
        <v>1658</v>
      </c>
      <c r="O51" s="1" t="s">
        <v>1658</v>
      </c>
      <c r="P51" s="1">
        <v>1</v>
      </c>
      <c r="Q51" s="1" t="s">
        <v>1658</v>
      </c>
      <c r="R51" s="1">
        <v>0</v>
      </c>
      <c r="S51" s="1" t="s">
        <v>1882</v>
      </c>
      <c r="T51" s="6" t="s">
        <v>1882</v>
      </c>
      <c r="U51" s="1" t="str">
        <f t="shared" si="0"/>
        <v>Yes</v>
      </c>
      <c r="W51" s="1" t="s">
        <v>1883</v>
      </c>
      <c r="X51" s="1" t="str">
        <f>IF(COUNTIF('MyWells Drilling Comp'!F:F,E51)=0,"Missing","Exist")</f>
        <v>Exist</v>
      </c>
    </row>
    <row r="52" hidden="1" spans="1:24">
      <c r="A52" s="1" t="s">
        <v>1652</v>
      </c>
      <c r="B52" s="1" t="s">
        <v>90</v>
      </c>
      <c r="C52" s="1" t="s">
        <v>1884</v>
      </c>
      <c r="D52" s="1" t="s">
        <v>1885</v>
      </c>
      <c r="E52" s="2" t="s">
        <v>855</v>
      </c>
      <c r="F52" s="2" t="s">
        <v>1886</v>
      </c>
      <c r="G52" s="1">
        <v>1</v>
      </c>
      <c r="H52" s="1" t="s">
        <v>1656</v>
      </c>
      <c r="I52" s="1" t="s">
        <v>1657</v>
      </c>
      <c r="J52" s="1" t="s">
        <v>1658</v>
      </c>
      <c r="K52" s="1" t="s">
        <v>1658</v>
      </c>
      <c r="L52" s="1" t="s">
        <v>1658</v>
      </c>
      <c r="M52" s="1" t="s">
        <v>1658</v>
      </c>
      <c r="N52" s="1" t="s">
        <v>1658</v>
      </c>
      <c r="O52" s="1" t="s">
        <v>1658</v>
      </c>
      <c r="P52" s="1">
        <v>1</v>
      </c>
      <c r="Q52" s="1" t="s">
        <v>1658</v>
      </c>
      <c r="R52" s="1">
        <v>0</v>
      </c>
      <c r="S52" s="1" t="s">
        <v>1887</v>
      </c>
      <c r="T52" s="6" t="s">
        <v>1887</v>
      </c>
      <c r="U52" s="1" t="str">
        <f t="shared" si="0"/>
        <v>Yes</v>
      </c>
      <c r="W52" s="1" t="s">
        <v>1888</v>
      </c>
      <c r="X52" s="1" t="str">
        <f>IF(COUNTIF('MyWells Drilling Comp'!F:F,E52)=0,"Missing","Exist")</f>
        <v>Exist</v>
      </c>
    </row>
    <row r="53" hidden="1" spans="1:24">
      <c r="A53" s="1" t="s">
        <v>1652</v>
      </c>
      <c r="B53" s="1" t="s">
        <v>90</v>
      </c>
      <c r="C53" s="1" t="s">
        <v>1889</v>
      </c>
      <c r="D53" s="1" t="s">
        <v>1885</v>
      </c>
      <c r="E53" s="2" t="s">
        <v>855</v>
      </c>
      <c r="F53" s="2" t="s">
        <v>1890</v>
      </c>
      <c r="G53" s="1">
        <v>1</v>
      </c>
      <c r="H53" s="1" t="s">
        <v>1663</v>
      </c>
      <c r="I53" s="1" t="s">
        <v>1657</v>
      </c>
      <c r="J53" s="1" t="s">
        <v>1658</v>
      </c>
      <c r="K53" s="1" t="s">
        <v>1658</v>
      </c>
      <c r="L53" s="1" t="s">
        <v>1658</v>
      </c>
      <c r="M53" s="1" t="s">
        <v>1658</v>
      </c>
      <c r="N53" s="1" t="s">
        <v>1658</v>
      </c>
      <c r="O53" s="1" t="s">
        <v>1658</v>
      </c>
      <c r="P53" s="1">
        <v>1</v>
      </c>
      <c r="Q53" s="1" t="s">
        <v>1658</v>
      </c>
      <c r="R53" s="1">
        <v>0</v>
      </c>
      <c r="S53" s="1" t="s">
        <v>1891</v>
      </c>
      <c r="T53" s="6" t="s">
        <v>1891</v>
      </c>
      <c r="U53" s="1" t="str">
        <f t="shared" si="0"/>
        <v>Yes</v>
      </c>
      <c r="W53" s="1" t="s">
        <v>1892</v>
      </c>
      <c r="X53" s="1" t="str">
        <f>IF(COUNTIF('MyWells Drilling Comp'!F:F,E53)=0,"Missing","Exist")</f>
        <v>Exist</v>
      </c>
    </row>
    <row r="54" hidden="1" spans="1:24">
      <c r="A54" s="1" t="s">
        <v>1652</v>
      </c>
      <c r="B54" s="1" t="s">
        <v>90</v>
      </c>
      <c r="C54" s="1" t="s">
        <v>1893</v>
      </c>
      <c r="D54" s="1" t="s">
        <v>1894</v>
      </c>
      <c r="E54" s="2" t="s">
        <v>820</v>
      </c>
      <c r="F54" s="2" t="s">
        <v>1895</v>
      </c>
      <c r="G54" s="1">
        <v>1</v>
      </c>
      <c r="H54" s="1" t="s">
        <v>1656</v>
      </c>
      <c r="I54" s="1" t="s">
        <v>1657</v>
      </c>
      <c r="J54" s="1" t="s">
        <v>1658</v>
      </c>
      <c r="K54" s="1" t="s">
        <v>1658</v>
      </c>
      <c r="L54" s="1" t="s">
        <v>1658</v>
      </c>
      <c r="M54" s="1" t="s">
        <v>1658</v>
      </c>
      <c r="N54" s="1" t="s">
        <v>1658</v>
      </c>
      <c r="O54" s="1" t="s">
        <v>1658</v>
      </c>
      <c r="P54" s="1">
        <v>1</v>
      </c>
      <c r="Q54" s="1" t="s">
        <v>1658</v>
      </c>
      <c r="R54" s="1">
        <v>0</v>
      </c>
      <c r="S54" s="1" t="s">
        <v>1896</v>
      </c>
      <c r="T54" s="6" t="s">
        <v>1896</v>
      </c>
      <c r="U54" s="1" t="str">
        <f t="shared" si="0"/>
        <v>Yes</v>
      </c>
      <c r="W54" s="1" t="s">
        <v>1897</v>
      </c>
      <c r="X54" s="1" t="str">
        <f>IF(COUNTIF('MyWells Drilling Comp'!F:F,E54)=0,"Missing","Exist")</f>
        <v>Exist</v>
      </c>
    </row>
    <row r="55" hidden="1" spans="1:24">
      <c r="A55" s="1" t="s">
        <v>1652</v>
      </c>
      <c r="B55" s="1" t="s">
        <v>90</v>
      </c>
      <c r="C55" s="1" t="s">
        <v>1898</v>
      </c>
      <c r="D55" s="1" t="s">
        <v>1894</v>
      </c>
      <c r="E55" s="2" t="s">
        <v>820</v>
      </c>
      <c r="F55" s="2" t="s">
        <v>1899</v>
      </c>
      <c r="G55" s="1">
        <v>1</v>
      </c>
      <c r="H55" s="1" t="s">
        <v>1663</v>
      </c>
      <c r="I55" s="1" t="s">
        <v>1657</v>
      </c>
      <c r="J55" s="1" t="s">
        <v>1658</v>
      </c>
      <c r="K55" s="1" t="s">
        <v>1658</v>
      </c>
      <c r="L55" s="1" t="s">
        <v>1658</v>
      </c>
      <c r="M55" s="1" t="s">
        <v>1658</v>
      </c>
      <c r="N55" s="1" t="s">
        <v>1658</v>
      </c>
      <c r="O55" s="1" t="s">
        <v>1658</v>
      </c>
      <c r="P55" s="1">
        <v>1</v>
      </c>
      <c r="Q55" s="1" t="s">
        <v>1658</v>
      </c>
      <c r="R55" s="1">
        <v>0</v>
      </c>
      <c r="S55" s="1" t="s">
        <v>1900</v>
      </c>
      <c r="T55" s="6" t="s">
        <v>1900</v>
      </c>
      <c r="U55" s="1" t="str">
        <f t="shared" si="0"/>
        <v>Yes</v>
      </c>
      <c r="W55" s="1" t="s">
        <v>1901</v>
      </c>
      <c r="X55" s="1" t="str">
        <f>IF(COUNTIF('MyWells Drilling Comp'!F:F,E55)=0,"Missing","Exist")</f>
        <v>Exist</v>
      </c>
    </row>
    <row r="56" hidden="1" spans="1:24">
      <c r="A56" s="1" t="s">
        <v>1652</v>
      </c>
      <c r="B56" s="1" t="s">
        <v>90</v>
      </c>
      <c r="C56" s="1" t="s">
        <v>1902</v>
      </c>
      <c r="D56" s="1" t="s">
        <v>1903</v>
      </c>
      <c r="E56" s="2" t="s">
        <v>714</v>
      </c>
      <c r="F56" s="2" t="s">
        <v>1904</v>
      </c>
      <c r="G56" s="1">
        <v>1</v>
      </c>
      <c r="H56" s="1" t="s">
        <v>1656</v>
      </c>
      <c r="I56" s="1" t="s">
        <v>1657</v>
      </c>
      <c r="J56" s="1" t="s">
        <v>1658</v>
      </c>
      <c r="K56" s="1" t="s">
        <v>1658</v>
      </c>
      <c r="L56" s="1" t="s">
        <v>1658</v>
      </c>
      <c r="M56" s="1" t="s">
        <v>1658</v>
      </c>
      <c r="N56" s="1" t="s">
        <v>1658</v>
      </c>
      <c r="O56" s="1" t="s">
        <v>1658</v>
      </c>
      <c r="P56" s="1">
        <v>1</v>
      </c>
      <c r="Q56" s="1" t="s">
        <v>1658</v>
      </c>
      <c r="R56" s="1">
        <v>0</v>
      </c>
      <c r="S56" s="1" t="s">
        <v>1905</v>
      </c>
      <c r="T56" s="6" t="s">
        <v>1905</v>
      </c>
      <c r="U56" s="1" t="str">
        <f t="shared" si="0"/>
        <v>Yes</v>
      </c>
      <c r="W56" s="1" t="s">
        <v>1906</v>
      </c>
      <c r="X56" s="1" t="str">
        <f>IF(COUNTIF('MyWells Drilling Comp'!F:F,E56)=0,"Missing","Exist")</f>
        <v>Exist</v>
      </c>
    </row>
    <row r="57" hidden="1" spans="1:24">
      <c r="A57" s="1" t="s">
        <v>1652</v>
      </c>
      <c r="B57" s="1" t="s">
        <v>90</v>
      </c>
      <c r="C57" s="1" t="s">
        <v>1907</v>
      </c>
      <c r="D57" s="1" t="s">
        <v>1903</v>
      </c>
      <c r="E57" s="2" t="s">
        <v>714</v>
      </c>
      <c r="F57" s="2" t="s">
        <v>1908</v>
      </c>
      <c r="G57" s="1">
        <v>1</v>
      </c>
      <c r="H57" s="1" t="s">
        <v>1663</v>
      </c>
      <c r="I57" s="1" t="s">
        <v>1657</v>
      </c>
      <c r="J57" s="1" t="s">
        <v>1658</v>
      </c>
      <c r="K57" s="1" t="s">
        <v>1658</v>
      </c>
      <c r="L57" s="1" t="s">
        <v>1658</v>
      </c>
      <c r="M57" s="1" t="s">
        <v>1658</v>
      </c>
      <c r="N57" s="1" t="s">
        <v>1658</v>
      </c>
      <c r="O57" s="1" t="s">
        <v>1658</v>
      </c>
      <c r="P57" s="1">
        <v>1</v>
      </c>
      <c r="Q57" s="1" t="s">
        <v>1658</v>
      </c>
      <c r="R57" s="1">
        <v>0</v>
      </c>
      <c r="S57" s="1" t="s">
        <v>1909</v>
      </c>
      <c r="T57" s="6" t="s">
        <v>1909</v>
      </c>
      <c r="U57" s="1" t="str">
        <f t="shared" si="0"/>
        <v>Yes</v>
      </c>
      <c r="W57" s="1" t="s">
        <v>1910</v>
      </c>
      <c r="X57" s="1" t="str">
        <f>IF(COUNTIF('MyWells Drilling Comp'!F:F,E57)=0,"Missing","Exist")</f>
        <v>Exist</v>
      </c>
    </row>
    <row r="58" hidden="1" spans="1:24">
      <c r="A58" s="1" t="s">
        <v>1652</v>
      </c>
      <c r="B58" s="1" t="s">
        <v>90</v>
      </c>
      <c r="C58" s="1" t="s">
        <v>1911</v>
      </c>
      <c r="D58" s="1" t="s">
        <v>1912</v>
      </c>
      <c r="E58" s="2" t="s">
        <v>831</v>
      </c>
      <c r="F58" s="2" t="s">
        <v>1913</v>
      </c>
      <c r="G58" s="1">
        <v>1</v>
      </c>
      <c r="H58" s="1" t="s">
        <v>1656</v>
      </c>
      <c r="I58" s="1" t="s">
        <v>1657</v>
      </c>
      <c r="J58" s="1" t="s">
        <v>1658</v>
      </c>
      <c r="K58" s="1" t="s">
        <v>1658</v>
      </c>
      <c r="L58" s="1" t="s">
        <v>1658</v>
      </c>
      <c r="M58" s="1" t="s">
        <v>1658</v>
      </c>
      <c r="N58" s="1" t="s">
        <v>1658</v>
      </c>
      <c r="O58" s="1" t="s">
        <v>1658</v>
      </c>
      <c r="P58" s="1">
        <v>1</v>
      </c>
      <c r="Q58" s="1" t="s">
        <v>1658</v>
      </c>
      <c r="R58" s="1">
        <v>0</v>
      </c>
      <c r="S58" s="1" t="s">
        <v>1914</v>
      </c>
      <c r="T58" s="6" t="s">
        <v>1914</v>
      </c>
      <c r="U58" s="1" t="str">
        <f t="shared" si="0"/>
        <v>Yes</v>
      </c>
      <c r="W58" s="1" t="s">
        <v>1915</v>
      </c>
      <c r="X58" s="1" t="str">
        <f>IF(COUNTIF('MyWells Drilling Comp'!F:F,E58)=0,"Missing","Exist")</f>
        <v>Exist</v>
      </c>
    </row>
    <row r="59" hidden="1" spans="1:24">
      <c r="A59" s="1" t="s">
        <v>1652</v>
      </c>
      <c r="B59" s="1" t="s">
        <v>90</v>
      </c>
      <c r="C59" s="1" t="s">
        <v>1916</v>
      </c>
      <c r="D59" s="1" t="s">
        <v>1912</v>
      </c>
      <c r="E59" s="2" t="s">
        <v>831</v>
      </c>
      <c r="F59" s="2" t="s">
        <v>1917</v>
      </c>
      <c r="G59" s="1">
        <v>1</v>
      </c>
      <c r="H59" s="1" t="s">
        <v>1663</v>
      </c>
      <c r="I59" s="1" t="s">
        <v>1657</v>
      </c>
      <c r="J59" s="1" t="s">
        <v>1658</v>
      </c>
      <c r="K59" s="1" t="s">
        <v>1658</v>
      </c>
      <c r="L59" s="1" t="s">
        <v>1658</v>
      </c>
      <c r="M59" s="1" t="s">
        <v>1658</v>
      </c>
      <c r="N59" s="1" t="s">
        <v>1658</v>
      </c>
      <c r="O59" s="1" t="s">
        <v>1658</v>
      </c>
      <c r="P59" s="1">
        <v>1</v>
      </c>
      <c r="Q59" s="1" t="s">
        <v>1658</v>
      </c>
      <c r="R59" s="1">
        <v>0</v>
      </c>
      <c r="S59" s="1" t="s">
        <v>1918</v>
      </c>
      <c r="T59" s="6" t="s">
        <v>1918</v>
      </c>
      <c r="U59" s="1" t="str">
        <f t="shared" si="0"/>
        <v>Yes</v>
      </c>
      <c r="W59" s="1" t="s">
        <v>1919</v>
      </c>
      <c r="X59" s="1" t="str">
        <f>IF(COUNTIF('MyWells Drilling Comp'!F:F,E59)=0,"Missing","Exist")</f>
        <v>Exist</v>
      </c>
    </row>
    <row r="60" hidden="1" spans="1:24">
      <c r="A60" s="1" t="s">
        <v>1652</v>
      </c>
      <c r="B60" s="1" t="s">
        <v>90</v>
      </c>
      <c r="C60" s="1" t="s">
        <v>1920</v>
      </c>
      <c r="D60" s="1" t="s">
        <v>1921</v>
      </c>
      <c r="E60" s="2" t="s">
        <v>1468</v>
      </c>
      <c r="F60" s="2" t="s">
        <v>1922</v>
      </c>
      <c r="G60" s="1">
        <v>1</v>
      </c>
      <c r="H60" s="1" t="s">
        <v>1656</v>
      </c>
      <c r="I60" s="1" t="s">
        <v>1657</v>
      </c>
      <c r="J60" s="1" t="s">
        <v>1658</v>
      </c>
      <c r="K60" s="1" t="s">
        <v>1658</v>
      </c>
      <c r="L60" s="1" t="s">
        <v>1658</v>
      </c>
      <c r="M60" s="1" t="s">
        <v>1658</v>
      </c>
      <c r="N60" s="1" t="s">
        <v>1658</v>
      </c>
      <c r="O60" s="1" t="s">
        <v>1658</v>
      </c>
      <c r="P60" s="1">
        <v>1</v>
      </c>
      <c r="Q60" s="1" t="s">
        <v>1658</v>
      </c>
      <c r="R60" s="1">
        <v>0</v>
      </c>
      <c r="S60" s="1" t="s">
        <v>1923</v>
      </c>
      <c r="T60" s="6" t="s">
        <v>1923</v>
      </c>
      <c r="U60" s="1" t="str">
        <f t="shared" si="0"/>
        <v>Yes</v>
      </c>
      <c r="W60" s="1" t="s">
        <v>1924</v>
      </c>
      <c r="X60" s="1" t="str">
        <f>IF(COUNTIF('MyWells Drilling Comp'!F:F,E60)=0,"Missing","Exist")</f>
        <v>Exist</v>
      </c>
    </row>
    <row r="61" hidden="1" spans="1:24">
      <c r="A61" s="1" t="s">
        <v>1652</v>
      </c>
      <c r="B61" s="1" t="s">
        <v>90</v>
      </c>
      <c r="C61" s="1" t="s">
        <v>1925</v>
      </c>
      <c r="D61" s="1" t="s">
        <v>1921</v>
      </c>
      <c r="E61" s="2" t="s">
        <v>1468</v>
      </c>
      <c r="F61" s="2" t="s">
        <v>1926</v>
      </c>
      <c r="G61" s="1">
        <v>1</v>
      </c>
      <c r="H61" s="1" t="s">
        <v>1663</v>
      </c>
      <c r="I61" s="1" t="s">
        <v>1657</v>
      </c>
      <c r="J61" s="1" t="s">
        <v>1658</v>
      </c>
      <c r="K61" s="1" t="s">
        <v>1658</v>
      </c>
      <c r="L61" s="1" t="s">
        <v>1658</v>
      </c>
      <c r="M61" s="1" t="s">
        <v>1658</v>
      </c>
      <c r="N61" s="1" t="s">
        <v>1658</v>
      </c>
      <c r="O61" s="1" t="s">
        <v>1658</v>
      </c>
      <c r="P61" s="1">
        <v>1</v>
      </c>
      <c r="Q61" s="1" t="s">
        <v>1658</v>
      </c>
      <c r="R61" s="1">
        <v>0</v>
      </c>
      <c r="S61" s="1" t="s">
        <v>1927</v>
      </c>
      <c r="T61" s="6" t="s">
        <v>1927</v>
      </c>
      <c r="U61" s="1" t="str">
        <f t="shared" si="0"/>
        <v>Yes</v>
      </c>
      <c r="W61" s="1" t="s">
        <v>1928</v>
      </c>
      <c r="X61" s="1" t="str">
        <f>IF(COUNTIF('MyWells Drilling Comp'!F:F,E61)=0,"Missing","Exist")</f>
        <v>Exist</v>
      </c>
    </row>
    <row r="62" hidden="1" spans="1:24">
      <c r="A62" s="1" t="s">
        <v>1652</v>
      </c>
      <c r="B62" s="1" t="s">
        <v>90</v>
      </c>
      <c r="C62" s="1" t="s">
        <v>1929</v>
      </c>
      <c r="D62" s="1" t="s">
        <v>1930</v>
      </c>
      <c r="E62" s="2" t="s">
        <v>673</v>
      </c>
      <c r="F62" s="2" t="s">
        <v>1931</v>
      </c>
      <c r="G62" s="1">
        <v>1</v>
      </c>
      <c r="H62" s="1" t="s">
        <v>1663</v>
      </c>
      <c r="I62" s="1" t="s">
        <v>1657</v>
      </c>
      <c r="J62" s="1" t="s">
        <v>1658</v>
      </c>
      <c r="K62" s="1" t="s">
        <v>1658</v>
      </c>
      <c r="L62" s="1" t="s">
        <v>1658</v>
      </c>
      <c r="M62" s="1" t="s">
        <v>1658</v>
      </c>
      <c r="N62" s="1" t="s">
        <v>1658</v>
      </c>
      <c r="O62" s="1" t="s">
        <v>1658</v>
      </c>
      <c r="P62" s="1">
        <v>1</v>
      </c>
      <c r="Q62" s="1" t="s">
        <v>1658</v>
      </c>
      <c r="R62" s="1">
        <v>0</v>
      </c>
      <c r="S62" s="1" t="s">
        <v>1932</v>
      </c>
      <c r="T62" s="6" t="s">
        <v>1932</v>
      </c>
      <c r="U62" s="1" t="str">
        <f t="shared" si="0"/>
        <v>Yes</v>
      </c>
      <c r="W62" s="1" t="s">
        <v>1933</v>
      </c>
      <c r="X62" s="1" t="str">
        <f>IF(COUNTIF('MyWells Drilling Comp'!F:F,E62)=0,"Missing","Exist")</f>
        <v>Exist</v>
      </c>
    </row>
    <row r="63" hidden="1" spans="1:24">
      <c r="A63" s="1" t="s">
        <v>1652</v>
      </c>
      <c r="B63" s="1" t="s">
        <v>90</v>
      </c>
      <c r="C63" s="1" t="s">
        <v>1934</v>
      </c>
      <c r="D63" s="1" t="s">
        <v>1930</v>
      </c>
      <c r="E63" s="2" t="s">
        <v>673</v>
      </c>
      <c r="F63" s="2" t="s">
        <v>1935</v>
      </c>
      <c r="G63" s="1">
        <v>1</v>
      </c>
      <c r="H63" s="1" t="s">
        <v>1656</v>
      </c>
      <c r="I63" s="1" t="s">
        <v>1657</v>
      </c>
      <c r="J63" s="1" t="s">
        <v>1658</v>
      </c>
      <c r="K63" s="1" t="s">
        <v>1658</v>
      </c>
      <c r="L63" s="1" t="s">
        <v>1658</v>
      </c>
      <c r="M63" s="1" t="s">
        <v>1658</v>
      </c>
      <c r="N63" s="1" t="s">
        <v>1658</v>
      </c>
      <c r="O63" s="1" t="s">
        <v>1658</v>
      </c>
      <c r="P63" s="1">
        <v>1</v>
      </c>
      <c r="Q63" s="1" t="s">
        <v>1658</v>
      </c>
      <c r="R63" s="1">
        <v>0</v>
      </c>
      <c r="S63" s="1" t="s">
        <v>1936</v>
      </c>
      <c r="T63" s="6" t="s">
        <v>1936</v>
      </c>
      <c r="U63" s="1" t="str">
        <f t="shared" si="0"/>
        <v>Yes</v>
      </c>
      <c r="W63" s="1" t="s">
        <v>1937</v>
      </c>
      <c r="X63" s="1" t="str">
        <f>IF(COUNTIF('MyWells Drilling Comp'!F:F,E63)=0,"Missing","Exist")</f>
        <v>Exist</v>
      </c>
    </row>
    <row r="64" hidden="1" spans="1:24">
      <c r="A64" s="1" t="s">
        <v>1652</v>
      </c>
      <c r="B64" s="1" t="s">
        <v>90</v>
      </c>
      <c r="C64" s="1" t="s">
        <v>1938</v>
      </c>
      <c r="D64" s="1" t="s">
        <v>1939</v>
      </c>
      <c r="E64" s="2" t="s">
        <v>731</v>
      </c>
      <c r="F64" s="2" t="s">
        <v>1940</v>
      </c>
      <c r="G64" s="1">
        <v>1</v>
      </c>
      <c r="H64" s="1" t="s">
        <v>1663</v>
      </c>
      <c r="I64" s="1" t="s">
        <v>1657</v>
      </c>
      <c r="J64" s="1" t="s">
        <v>1658</v>
      </c>
      <c r="K64" s="1" t="s">
        <v>1658</v>
      </c>
      <c r="L64" s="1" t="s">
        <v>1658</v>
      </c>
      <c r="M64" s="1" t="s">
        <v>1658</v>
      </c>
      <c r="N64" s="1" t="s">
        <v>1658</v>
      </c>
      <c r="O64" s="1" t="s">
        <v>1658</v>
      </c>
      <c r="P64" s="1">
        <v>1</v>
      </c>
      <c r="Q64" s="1" t="s">
        <v>1658</v>
      </c>
      <c r="R64" s="1">
        <v>0</v>
      </c>
      <c r="S64" s="1" t="s">
        <v>1941</v>
      </c>
      <c r="T64" s="6" t="s">
        <v>1941</v>
      </c>
      <c r="U64" s="1" t="str">
        <f t="shared" si="0"/>
        <v>Yes</v>
      </c>
      <c r="W64" s="1" t="s">
        <v>1942</v>
      </c>
      <c r="X64" s="1" t="str">
        <f>IF(COUNTIF('MyWells Drilling Comp'!F:F,E64)=0,"Missing","Exist")</f>
        <v>Exist</v>
      </c>
    </row>
    <row r="65" hidden="1" spans="1:24">
      <c r="A65" s="1" t="s">
        <v>1652</v>
      </c>
      <c r="B65" s="1" t="s">
        <v>90</v>
      </c>
      <c r="C65" s="1" t="s">
        <v>1943</v>
      </c>
      <c r="D65" s="1" t="s">
        <v>1939</v>
      </c>
      <c r="E65" s="2" t="s">
        <v>731</v>
      </c>
      <c r="F65" s="2" t="s">
        <v>1944</v>
      </c>
      <c r="G65" s="1">
        <v>1</v>
      </c>
      <c r="H65" s="1" t="s">
        <v>1656</v>
      </c>
      <c r="I65" s="1" t="s">
        <v>1657</v>
      </c>
      <c r="J65" s="1" t="s">
        <v>1658</v>
      </c>
      <c r="K65" s="1" t="s">
        <v>1658</v>
      </c>
      <c r="L65" s="1" t="s">
        <v>1658</v>
      </c>
      <c r="M65" s="1" t="s">
        <v>1658</v>
      </c>
      <c r="N65" s="1" t="s">
        <v>1658</v>
      </c>
      <c r="O65" s="1" t="s">
        <v>1658</v>
      </c>
      <c r="P65" s="1">
        <v>1</v>
      </c>
      <c r="Q65" s="1" t="s">
        <v>1658</v>
      </c>
      <c r="R65" s="1">
        <v>0</v>
      </c>
      <c r="S65" s="1" t="s">
        <v>1945</v>
      </c>
      <c r="T65" s="6" t="s">
        <v>1945</v>
      </c>
      <c r="U65" s="1" t="str">
        <f t="shared" si="0"/>
        <v>Yes</v>
      </c>
      <c r="W65" s="1" t="s">
        <v>1946</v>
      </c>
      <c r="X65" s="1" t="str">
        <f>IF(COUNTIF('MyWells Drilling Comp'!F:F,E65)=0,"Missing","Exist")</f>
        <v>Exist</v>
      </c>
    </row>
    <row r="66" hidden="1" spans="1:24">
      <c r="A66" s="1" t="s">
        <v>1652</v>
      </c>
      <c r="B66" s="1" t="s">
        <v>90</v>
      </c>
      <c r="C66" s="1" t="s">
        <v>1947</v>
      </c>
      <c r="D66" s="1" t="s">
        <v>1948</v>
      </c>
      <c r="E66" s="2" t="s">
        <v>1060</v>
      </c>
      <c r="F66" s="2" t="s">
        <v>1949</v>
      </c>
      <c r="G66" s="1">
        <v>1</v>
      </c>
      <c r="H66" s="1" t="s">
        <v>1663</v>
      </c>
      <c r="I66" s="1" t="s">
        <v>1657</v>
      </c>
      <c r="J66" s="1" t="s">
        <v>1658</v>
      </c>
      <c r="K66" s="1" t="s">
        <v>1658</v>
      </c>
      <c r="L66" s="1" t="s">
        <v>1658</v>
      </c>
      <c r="M66" s="1" t="s">
        <v>1658</v>
      </c>
      <c r="N66" s="1" t="s">
        <v>1658</v>
      </c>
      <c r="O66" s="1" t="s">
        <v>1658</v>
      </c>
      <c r="P66" s="1">
        <v>1</v>
      </c>
      <c r="Q66" s="1" t="s">
        <v>1658</v>
      </c>
      <c r="R66" s="1">
        <v>0</v>
      </c>
      <c r="S66" s="1" t="s">
        <v>1950</v>
      </c>
      <c r="T66" s="6" t="s">
        <v>1950</v>
      </c>
      <c r="U66" s="1" t="str">
        <f t="shared" ref="U66:U129" si="1">IF(S66=T66,"Yes","No")</f>
        <v>Yes</v>
      </c>
      <c r="W66" s="1" t="s">
        <v>1951</v>
      </c>
      <c r="X66" s="1" t="str">
        <f>IF(COUNTIF('MyWells Drilling Comp'!F:F,E66)=0,"Missing","Exist")</f>
        <v>Exist</v>
      </c>
    </row>
    <row r="67" hidden="1" spans="1:24">
      <c r="A67" s="1" t="s">
        <v>1652</v>
      </c>
      <c r="B67" s="1" t="s">
        <v>90</v>
      </c>
      <c r="C67" s="1" t="s">
        <v>1952</v>
      </c>
      <c r="D67" s="1" t="s">
        <v>1948</v>
      </c>
      <c r="E67" s="2" t="s">
        <v>1060</v>
      </c>
      <c r="F67" s="2" t="s">
        <v>1953</v>
      </c>
      <c r="G67" s="1">
        <v>1</v>
      </c>
      <c r="H67" s="1" t="s">
        <v>1656</v>
      </c>
      <c r="I67" s="1" t="s">
        <v>1657</v>
      </c>
      <c r="J67" s="1" t="s">
        <v>1658</v>
      </c>
      <c r="K67" s="1" t="s">
        <v>1658</v>
      </c>
      <c r="L67" s="1" t="s">
        <v>1658</v>
      </c>
      <c r="M67" s="1" t="s">
        <v>1658</v>
      </c>
      <c r="N67" s="1" t="s">
        <v>1658</v>
      </c>
      <c r="O67" s="1" t="s">
        <v>1658</v>
      </c>
      <c r="P67" s="1">
        <v>1</v>
      </c>
      <c r="Q67" s="1" t="s">
        <v>1658</v>
      </c>
      <c r="R67" s="1">
        <v>0</v>
      </c>
      <c r="S67" s="1" t="s">
        <v>1954</v>
      </c>
      <c r="T67" s="6" t="s">
        <v>1954</v>
      </c>
      <c r="U67" s="1" t="str">
        <f t="shared" si="1"/>
        <v>Yes</v>
      </c>
      <c r="W67" s="1" t="s">
        <v>1955</v>
      </c>
      <c r="X67" s="1" t="str">
        <f>IF(COUNTIF('MyWells Drilling Comp'!F:F,E67)=0,"Missing","Exist")</f>
        <v>Exist</v>
      </c>
    </row>
    <row r="68" hidden="1" spans="1:24">
      <c r="A68" s="1" t="s">
        <v>1652</v>
      </c>
      <c r="B68" s="1" t="s">
        <v>90</v>
      </c>
      <c r="C68" s="1" t="s">
        <v>1956</v>
      </c>
      <c r="D68" s="1" t="s">
        <v>1957</v>
      </c>
      <c r="E68" s="2" t="s">
        <v>621</v>
      </c>
      <c r="F68" s="2" t="s">
        <v>1958</v>
      </c>
      <c r="G68" s="1">
        <v>1</v>
      </c>
      <c r="H68" s="1" t="s">
        <v>1663</v>
      </c>
      <c r="I68" s="1" t="s">
        <v>1657</v>
      </c>
      <c r="J68" s="1" t="s">
        <v>1658</v>
      </c>
      <c r="K68" s="1" t="s">
        <v>1658</v>
      </c>
      <c r="L68" s="1" t="s">
        <v>1658</v>
      </c>
      <c r="M68" s="1" t="s">
        <v>1658</v>
      </c>
      <c r="N68" s="1" t="s">
        <v>1658</v>
      </c>
      <c r="O68" s="1" t="s">
        <v>1658</v>
      </c>
      <c r="P68" s="1">
        <v>1</v>
      </c>
      <c r="Q68" s="1" t="s">
        <v>1658</v>
      </c>
      <c r="R68" s="1">
        <v>0</v>
      </c>
      <c r="S68" s="1" t="s">
        <v>1959</v>
      </c>
      <c r="T68" s="6" t="s">
        <v>1959</v>
      </c>
      <c r="U68" s="1" t="str">
        <f t="shared" si="1"/>
        <v>Yes</v>
      </c>
      <c r="W68" s="1" t="s">
        <v>1960</v>
      </c>
      <c r="X68" s="1" t="str">
        <f>IF(COUNTIF('MyWells Drilling Comp'!F:F,E68)=0,"Missing","Exist")</f>
        <v>Exist</v>
      </c>
    </row>
    <row r="69" hidden="1" spans="1:24">
      <c r="A69" s="1" t="s">
        <v>1652</v>
      </c>
      <c r="B69" s="1" t="s">
        <v>90</v>
      </c>
      <c r="C69" s="1" t="s">
        <v>1961</v>
      </c>
      <c r="D69" s="1" t="s">
        <v>1957</v>
      </c>
      <c r="E69" s="2" t="s">
        <v>621</v>
      </c>
      <c r="F69" s="2" t="s">
        <v>1962</v>
      </c>
      <c r="G69" s="1">
        <v>1</v>
      </c>
      <c r="H69" s="1" t="s">
        <v>1656</v>
      </c>
      <c r="I69" s="1" t="s">
        <v>1657</v>
      </c>
      <c r="J69" s="1" t="s">
        <v>1658</v>
      </c>
      <c r="K69" s="1" t="s">
        <v>1658</v>
      </c>
      <c r="L69" s="1" t="s">
        <v>1658</v>
      </c>
      <c r="M69" s="1" t="s">
        <v>1658</v>
      </c>
      <c r="N69" s="1" t="s">
        <v>1658</v>
      </c>
      <c r="O69" s="1" t="s">
        <v>1658</v>
      </c>
      <c r="P69" s="1">
        <v>1</v>
      </c>
      <c r="Q69" s="1" t="s">
        <v>1658</v>
      </c>
      <c r="R69" s="1">
        <v>0</v>
      </c>
      <c r="S69" s="1" t="s">
        <v>1963</v>
      </c>
      <c r="T69" s="6" t="s">
        <v>1963</v>
      </c>
      <c r="U69" s="1" t="str">
        <f t="shared" si="1"/>
        <v>Yes</v>
      </c>
      <c r="W69" s="1" t="s">
        <v>1964</v>
      </c>
      <c r="X69" s="1" t="str">
        <f>IF(COUNTIF('MyWells Drilling Comp'!F:F,E69)=0,"Missing","Exist")</f>
        <v>Exist</v>
      </c>
    </row>
    <row r="70" hidden="1" spans="1:24">
      <c r="A70" s="1" t="s">
        <v>1652</v>
      </c>
      <c r="B70" s="1" t="s">
        <v>90</v>
      </c>
      <c r="C70" s="1" t="s">
        <v>1965</v>
      </c>
      <c r="D70" s="1" t="s">
        <v>1966</v>
      </c>
      <c r="E70" s="2" t="s">
        <v>686</v>
      </c>
      <c r="F70" s="2" t="s">
        <v>1967</v>
      </c>
      <c r="G70" s="1">
        <v>1</v>
      </c>
      <c r="H70" s="1" t="s">
        <v>1663</v>
      </c>
      <c r="I70" s="1" t="s">
        <v>1657</v>
      </c>
      <c r="J70" s="1" t="s">
        <v>1658</v>
      </c>
      <c r="K70" s="1" t="s">
        <v>1658</v>
      </c>
      <c r="L70" s="1" t="s">
        <v>1658</v>
      </c>
      <c r="M70" s="1" t="s">
        <v>1658</v>
      </c>
      <c r="N70" s="1" t="s">
        <v>1658</v>
      </c>
      <c r="O70" s="1" t="s">
        <v>1658</v>
      </c>
      <c r="P70" s="1">
        <v>1</v>
      </c>
      <c r="Q70" s="1" t="s">
        <v>1658</v>
      </c>
      <c r="R70" s="1">
        <v>0</v>
      </c>
      <c r="S70" s="1" t="s">
        <v>1968</v>
      </c>
      <c r="T70" s="6" t="s">
        <v>1968</v>
      </c>
      <c r="U70" s="1" t="str">
        <f t="shared" si="1"/>
        <v>Yes</v>
      </c>
      <c r="W70" s="1" t="s">
        <v>1969</v>
      </c>
      <c r="X70" s="1" t="str">
        <f>IF(COUNTIF('MyWells Drilling Comp'!F:F,E70)=0,"Missing","Exist")</f>
        <v>Exist</v>
      </c>
    </row>
    <row r="71" hidden="1" spans="1:24">
      <c r="A71" s="1" t="s">
        <v>1652</v>
      </c>
      <c r="B71" s="1" t="s">
        <v>90</v>
      </c>
      <c r="C71" s="1" t="s">
        <v>1970</v>
      </c>
      <c r="D71" s="1" t="s">
        <v>1966</v>
      </c>
      <c r="E71" s="2" t="s">
        <v>686</v>
      </c>
      <c r="F71" s="2" t="s">
        <v>1971</v>
      </c>
      <c r="G71" s="1">
        <v>1</v>
      </c>
      <c r="H71" s="1" t="s">
        <v>1656</v>
      </c>
      <c r="I71" s="1" t="s">
        <v>1657</v>
      </c>
      <c r="J71" s="1" t="s">
        <v>1658</v>
      </c>
      <c r="K71" s="1" t="s">
        <v>1658</v>
      </c>
      <c r="L71" s="1" t="s">
        <v>1658</v>
      </c>
      <c r="M71" s="1" t="s">
        <v>1658</v>
      </c>
      <c r="N71" s="1" t="s">
        <v>1658</v>
      </c>
      <c r="O71" s="1" t="s">
        <v>1658</v>
      </c>
      <c r="P71" s="1">
        <v>1</v>
      </c>
      <c r="Q71" s="1" t="s">
        <v>1658</v>
      </c>
      <c r="R71" s="1">
        <v>0</v>
      </c>
      <c r="S71" s="1" t="s">
        <v>1972</v>
      </c>
      <c r="T71" s="6" t="s">
        <v>1972</v>
      </c>
      <c r="U71" s="1" t="str">
        <f t="shared" si="1"/>
        <v>Yes</v>
      </c>
      <c r="W71" s="1" t="s">
        <v>1973</v>
      </c>
      <c r="X71" s="1" t="str">
        <f>IF(COUNTIF('MyWells Drilling Comp'!F:F,E71)=0,"Missing","Exist")</f>
        <v>Exist</v>
      </c>
    </row>
    <row r="72" hidden="1" spans="1:24">
      <c r="A72" s="1" t="s">
        <v>1652</v>
      </c>
      <c r="B72" s="1" t="s">
        <v>90</v>
      </c>
      <c r="C72" s="1" t="s">
        <v>1974</v>
      </c>
      <c r="D72" s="1" t="s">
        <v>1975</v>
      </c>
      <c r="E72" s="2" t="s">
        <v>647</v>
      </c>
      <c r="F72" s="2" t="s">
        <v>1976</v>
      </c>
      <c r="G72" s="1">
        <v>1</v>
      </c>
      <c r="H72" s="1" t="s">
        <v>1656</v>
      </c>
      <c r="I72" s="1" t="s">
        <v>1657</v>
      </c>
      <c r="J72" s="1" t="s">
        <v>1658</v>
      </c>
      <c r="K72" s="1" t="s">
        <v>1658</v>
      </c>
      <c r="L72" s="1" t="s">
        <v>1658</v>
      </c>
      <c r="M72" s="1" t="s">
        <v>1658</v>
      </c>
      <c r="N72" s="1" t="s">
        <v>1658</v>
      </c>
      <c r="O72" s="1" t="s">
        <v>1658</v>
      </c>
      <c r="P72" s="1">
        <v>1</v>
      </c>
      <c r="Q72" s="1" t="s">
        <v>1658</v>
      </c>
      <c r="R72" s="1">
        <v>0</v>
      </c>
      <c r="S72" s="1" t="s">
        <v>1977</v>
      </c>
      <c r="T72" s="6" t="s">
        <v>1977</v>
      </c>
      <c r="U72" s="1" t="str">
        <f t="shared" si="1"/>
        <v>Yes</v>
      </c>
      <c r="W72" s="1" t="s">
        <v>1978</v>
      </c>
      <c r="X72" s="1" t="str">
        <f>IF(COUNTIF('MyWells Drilling Comp'!F:F,E72)=0,"Missing","Exist")</f>
        <v>Exist</v>
      </c>
    </row>
    <row r="73" hidden="1" spans="1:24">
      <c r="A73" s="1" t="s">
        <v>1652</v>
      </c>
      <c r="B73" s="1" t="s">
        <v>90</v>
      </c>
      <c r="C73" s="1" t="s">
        <v>1979</v>
      </c>
      <c r="D73" s="1" t="s">
        <v>1975</v>
      </c>
      <c r="E73" s="2" t="s">
        <v>647</v>
      </c>
      <c r="F73" s="2" t="s">
        <v>1980</v>
      </c>
      <c r="G73" s="1">
        <v>1</v>
      </c>
      <c r="H73" s="1" t="s">
        <v>1663</v>
      </c>
      <c r="I73" s="1" t="s">
        <v>1657</v>
      </c>
      <c r="J73" s="1" t="s">
        <v>1658</v>
      </c>
      <c r="K73" s="1" t="s">
        <v>1658</v>
      </c>
      <c r="L73" s="1" t="s">
        <v>1658</v>
      </c>
      <c r="M73" s="1" t="s">
        <v>1658</v>
      </c>
      <c r="N73" s="1" t="s">
        <v>1658</v>
      </c>
      <c r="O73" s="1" t="s">
        <v>1658</v>
      </c>
      <c r="P73" s="1">
        <v>1</v>
      </c>
      <c r="Q73" s="1" t="s">
        <v>1658</v>
      </c>
      <c r="R73" s="1">
        <v>0</v>
      </c>
      <c r="S73" s="1" t="s">
        <v>1981</v>
      </c>
      <c r="T73" s="6" t="s">
        <v>1981</v>
      </c>
      <c r="U73" s="1" t="str">
        <f t="shared" si="1"/>
        <v>Yes</v>
      </c>
      <c r="W73" s="1" t="s">
        <v>1982</v>
      </c>
      <c r="X73" s="1" t="str">
        <f>IF(COUNTIF('MyWells Drilling Comp'!F:F,E73)=0,"Missing","Exist")</f>
        <v>Exist</v>
      </c>
    </row>
    <row r="74" hidden="1" spans="1:24">
      <c r="A74" s="1" t="s">
        <v>1652</v>
      </c>
      <c r="B74" s="1" t="s">
        <v>90</v>
      </c>
      <c r="C74" s="1" t="s">
        <v>1983</v>
      </c>
      <c r="D74" s="1" t="s">
        <v>1984</v>
      </c>
      <c r="E74" s="2" t="s">
        <v>1593</v>
      </c>
      <c r="F74" s="2" t="s">
        <v>1985</v>
      </c>
      <c r="G74" s="1">
        <v>1</v>
      </c>
      <c r="H74" s="1" t="s">
        <v>1663</v>
      </c>
      <c r="I74" s="1" t="s">
        <v>1657</v>
      </c>
      <c r="J74" s="1" t="s">
        <v>1658</v>
      </c>
      <c r="K74" s="1" t="s">
        <v>1658</v>
      </c>
      <c r="L74" s="1" t="s">
        <v>1658</v>
      </c>
      <c r="M74" s="1" t="s">
        <v>1658</v>
      </c>
      <c r="N74" s="1" t="s">
        <v>1658</v>
      </c>
      <c r="O74" s="1" t="s">
        <v>1658</v>
      </c>
      <c r="P74" s="1">
        <v>1</v>
      </c>
      <c r="Q74" s="1" t="s">
        <v>1658</v>
      </c>
      <c r="R74" s="1">
        <v>0</v>
      </c>
      <c r="S74" s="1" t="s">
        <v>1986</v>
      </c>
      <c r="T74" s="6" t="s">
        <v>1986</v>
      </c>
      <c r="U74" s="1" t="str">
        <f t="shared" si="1"/>
        <v>Yes</v>
      </c>
      <c r="W74" s="1" t="s">
        <v>1987</v>
      </c>
      <c r="X74" s="1" t="str">
        <f>IF(COUNTIF('MyWells Drilling Comp'!F:F,E74)=0,"Missing","Exist")</f>
        <v>Exist</v>
      </c>
    </row>
    <row r="75" hidden="1" spans="1:24">
      <c r="A75" s="1" t="s">
        <v>1652</v>
      </c>
      <c r="B75" s="1" t="s">
        <v>90</v>
      </c>
      <c r="C75" s="1" t="s">
        <v>1988</v>
      </c>
      <c r="D75" s="1" t="s">
        <v>1984</v>
      </c>
      <c r="E75" s="1" t="s">
        <v>1593</v>
      </c>
      <c r="F75" s="1" t="s">
        <v>1989</v>
      </c>
      <c r="G75" s="1">
        <v>1</v>
      </c>
      <c r="H75" s="1" t="s">
        <v>1656</v>
      </c>
      <c r="I75" s="1" t="s">
        <v>1657</v>
      </c>
      <c r="J75" s="1" t="s">
        <v>1658</v>
      </c>
      <c r="K75" s="1" t="s">
        <v>1658</v>
      </c>
      <c r="L75" s="1" t="s">
        <v>1658</v>
      </c>
      <c r="M75" s="1" t="s">
        <v>1658</v>
      </c>
      <c r="N75" s="1" t="s">
        <v>1658</v>
      </c>
      <c r="O75" s="1" t="s">
        <v>1658</v>
      </c>
      <c r="P75" s="1">
        <v>1</v>
      </c>
      <c r="Q75" s="1" t="s">
        <v>1658</v>
      </c>
      <c r="R75" s="1">
        <v>0</v>
      </c>
      <c r="S75" s="1" t="s">
        <v>1990</v>
      </c>
      <c r="T75" s="6" t="s">
        <v>1990</v>
      </c>
      <c r="U75" s="1" t="str">
        <f t="shared" si="1"/>
        <v>Yes</v>
      </c>
      <c r="W75" s="1" t="s">
        <v>1991</v>
      </c>
      <c r="X75" s="1" t="str">
        <f>IF(COUNTIF('MyWells Drilling Comp'!F:F,E75)=0,"Missing","Exist")</f>
        <v>Exist</v>
      </c>
    </row>
    <row r="76" hidden="1" spans="1:24">
      <c r="A76" s="1" t="s">
        <v>1652</v>
      </c>
      <c r="B76" s="1" t="s">
        <v>90</v>
      </c>
      <c r="C76" s="1" t="s">
        <v>1992</v>
      </c>
      <c r="D76" s="1" t="s">
        <v>1993</v>
      </c>
      <c r="E76" s="2" t="s">
        <v>1080</v>
      </c>
      <c r="F76" s="2" t="s">
        <v>1994</v>
      </c>
      <c r="G76" s="1">
        <v>1</v>
      </c>
      <c r="H76" s="1" t="s">
        <v>1656</v>
      </c>
      <c r="I76" s="1" t="s">
        <v>1657</v>
      </c>
      <c r="J76" s="1" t="s">
        <v>1658</v>
      </c>
      <c r="K76" s="1" t="s">
        <v>1658</v>
      </c>
      <c r="L76" s="1" t="s">
        <v>1658</v>
      </c>
      <c r="M76" s="1" t="s">
        <v>1658</v>
      </c>
      <c r="N76" s="1" t="s">
        <v>1658</v>
      </c>
      <c r="O76" s="1" t="s">
        <v>1658</v>
      </c>
      <c r="P76" s="1">
        <v>1</v>
      </c>
      <c r="Q76" s="1" t="s">
        <v>1658</v>
      </c>
      <c r="R76" s="1">
        <v>0</v>
      </c>
      <c r="S76" s="1" t="s">
        <v>1995</v>
      </c>
      <c r="T76" s="6" t="s">
        <v>1995</v>
      </c>
      <c r="U76" s="1" t="str">
        <f t="shared" si="1"/>
        <v>Yes</v>
      </c>
      <c r="W76" s="1" t="s">
        <v>1996</v>
      </c>
      <c r="X76" s="1" t="str">
        <f>IF(COUNTIF('MyWells Drilling Comp'!F:F,E76)=0,"Missing","Exist")</f>
        <v>Exist</v>
      </c>
    </row>
    <row r="77" hidden="1" spans="1:24">
      <c r="A77" s="1" t="s">
        <v>1652</v>
      </c>
      <c r="B77" s="1" t="s">
        <v>90</v>
      </c>
      <c r="C77" s="1" t="s">
        <v>1997</v>
      </c>
      <c r="D77" s="1" t="s">
        <v>1993</v>
      </c>
      <c r="E77" s="2" t="s">
        <v>1080</v>
      </c>
      <c r="F77" s="2" t="s">
        <v>1998</v>
      </c>
      <c r="G77" s="1">
        <v>1</v>
      </c>
      <c r="H77" s="1" t="s">
        <v>1663</v>
      </c>
      <c r="I77" s="1" t="s">
        <v>1657</v>
      </c>
      <c r="J77" s="1" t="s">
        <v>1658</v>
      </c>
      <c r="K77" s="1" t="s">
        <v>1658</v>
      </c>
      <c r="L77" s="1" t="s">
        <v>1658</v>
      </c>
      <c r="M77" s="1" t="s">
        <v>1658</v>
      </c>
      <c r="N77" s="1" t="s">
        <v>1658</v>
      </c>
      <c r="O77" s="1" t="s">
        <v>1658</v>
      </c>
      <c r="P77" s="1">
        <v>1</v>
      </c>
      <c r="Q77" s="1" t="s">
        <v>1658</v>
      </c>
      <c r="R77" s="1">
        <v>0</v>
      </c>
      <c r="S77" s="1" t="s">
        <v>1999</v>
      </c>
      <c r="T77" s="6" t="s">
        <v>1999</v>
      </c>
      <c r="U77" s="1" t="str">
        <f t="shared" si="1"/>
        <v>Yes</v>
      </c>
      <c r="W77" s="1" t="s">
        <v>2000</v>
      </c>
      <c r="X77" s="1" t="str">
        <f>IF(COUNTIF('MyWells Drilling Comp'!F:F,E77)=0,"Missing","Exist")</f>
        <v>Exist</v>
      </c>
    </row>
    <row r="78" hidden="1" spans="1:24">
      <c r="A78" s="1" t="s">
        <v>1652</v>
      </c>
      <c r="B78" s="1" t="s">
        <v>90</v>
      </c>
      <c r="C78" s="1" t="s">
        <v>2001</v>
      </c>
      <c r="D78" s="1" t="s">
        <v>2002</v>
      </c>
      <c r="E78" s="2" t="s">
        <v>653</v>
      </c>
      <c r="F78" s="2" t="s">
        <v>2003</v>
      </c>
      <c r="G78" s="1">
        <v>1</v>
      </c>
      <c r="H78" s="1" t="s">
        <v>1663</v>
      </c>
      <c r="I78" s="1" t="s">
        <v>1657</v>
      </c>
      <c r="J78" s="1" t="s">
        <v>1658</v>
      </c>
      <c r="K78" s="1" t="s">
        <v>1658</v>
      </c>
      <c r="L78" s="1" t="s">
        <v>1658</v>
      </c>
      <c r="M78" s="1" t="s">
        <v>1658</v>
      </c>
      <c r="N78" s="1" t="s">
        <v>1658</v>
      </c>
      <c r="O78" s="1" t="s">
        <v>1658</v>
      </c>
      <c r="P78" s="1">
        <v>1</v>
      </c>
      <c r="Q78" s="1" t="s">
        <v>1658</v>
      </c>
      <c r="R78" s="1">
        <v>0</v>
      </c>
      <c r="S78" s="1" t="s">
        <v>2004</v>
      </c>
      <c r="T78" s="1" t="s">
        <v>2004</v>
      </c>
      <c r="U78" s="1" t="str">
        <f t="shared" si="1"/>
        <v>Yes</v>
      </c>
      <c r="W78" s="1" t="s">
        <v>2005</v>
      </c>
      <c r="X78" s="1" t="str">
        <f>IF(COUNTIF('MyWells Drilling Comp'!F:F,E78)=0,"Missing","Exist")</f>
        <v>Exist</v>
      </c>
    </row>
    <row r="79" hidden="1" spans="1:24">
      <c r="A79" s="1" t="s">
        <v>1652</v>
      </c>
      <c r="B79" s="1" t="s">
        <v>90</v>
      </c>
      <c r="C79" s="1" t="s">
        <v>2006</v>
      </c>
      <c r="D79" s="1" t="s">
        <v>2002</v>
      </c>
      <c r="E79" s="2" t="s">
        <v>653</v>
      </c>
      <c r="F79" s="2" t="s">
        <v>2007</v>
      </c>
      <c r="G79" s="1">
        <v>1</v>
      </c>
      <c r="H79" s="1" t="s">
        <v>1656</v>
      </c>
      <c r="I79" s="1" t="s">
        <v>1657</v>
      </c>
      <c r="J79" s="1" t="s">
        <v>1658</v>
      </c>
      <c r="K79" s="1" t="s">
        <v>1658</v>
      </c>
      <c r="L79" s="1" t="s">
        <v>1658</v>
      </c>
      <c r="M79" s="1" t="s">
        <v>1658</v>
      </c>
      <c r="N79" s="1" t="s">
        <v>1658</v>
      </c>
      <c r="O79" s="1" t="s">
        <v>1658</v>
      </c>
      <c r="P79" s="1">
        <v>1</v>
      </c>
      <c r="Q79" s="1" t="s">
        <v>1658</v>
      </c>
      <c r="R79" s="1">
        <v>0</v>
      </c>
      <c r="S79" s="1" t="s">
        <v>2008</v>
      </c>
      <c r="T79" s="6" t="s">
        <v>2008</v>
      </c>
      <c r="U79" s="1" t="str">
        <f t="shared" si="1"/>
        <v>Yes</v>
      </c>
      <c r="W79" s="1" t="s">
        <v>2009</v>
      </c>
      <c r="X79" s="1" t="str">
        <f>IF(COUNTIF('MyWells Drilling Comp'!F:F,E79)=0,"Missing","Exist")</f>
        <v>Exist</v>
      </c>
    </row>
    <row r="80" hidden="1" spans="1:24">
      <c r="A80" s="1" t="s">
        <v>1652</v>
      </c>
      <c r="B80" s="1" t="s">
        <v>90</v>
      </c>
      <c r="C80" s="1" t="s">
        <v>2010</v>
      </c>
      <c r="D80" s="1" t="s">
        <v>2011</v>
      </c>
      <c r="E80" s="2" t="s">
        <v>968</v>
      </c>
      <c r="F80" s="2" t="s">
        <v>2012</v>
      </c>
      <c r="G80" s="1">
        <v>1</v>
      </c>
      <c r="H80" s="1" t="s">
        <v>1663</v>
      </c>
      <c r="I80" s="1" t="s">
        <v>1657</v>
      </c>
      <c r="J80" s="1" t="s">
        <v>1658</v>
      </c>
      <c r="K80" s="1" t="s">
        <v>1658</v>
      </c>
      <c r="L80" s="1" t="s">
        <v>1658</v>
      </c>
      <c r="M80" s="1" t="s">
        <v>1658</v>
      </c>
      <c r="N80" s="1" t="s">
        <v>1658</v>
      </c>
      <c r="O80" s="1" t="s">
        <v>1658</v>
      </c>
      <c r="P80" s="1">
        <v>1</v>
      </c>
      <c r="Q80" s="1" t="s">
        <v>1658</v>
      </c>
      <c r="R80" s="1">
        <v>0</v>
      </c>
      <c r="S80" s="1" t="s">
        <v>2013</v>
      </c>
      <c r="T80" s="6" t="s">
        <v>2013</v>
      </c>
      <c r="U80" s="1" t="str">
        <f t="shared" si="1"/>
        <v>Yes</v>
      </c>
      <c r="W80" s="1" t="s">
        <v>2014</v>
      </c>
      <c r="X80" s="1" t="str">
        <f>IF(COUNTIF('MyWells Drilling Comp'!F:F,E80)=0,"Missing","Exist")</f>
        <v>Exist</v>
      </c>
    </row>
    <row r="81" hidden="1" spans="1:24">
      <c r="A81" s="1" t="s">
        <v>1652</v>
      </c>
      <c r="B81" s="1" t="s">
        <v>90</v>
      </c>
      <c r="C81" s="1" t="s">
        <v>2015</v>
      </c>
      <c r="D81" s="1" t="s">
        <v>2011</v>
      </c>
      <c r="E81" s="2" t="s">
        <v>968</v>
      </c>
      <c r="F81" s="2" t="s">
        <v>2016</v>
      </c>
      <c r="G81" s="1">
        <v>1</v>
      </c>
      <c r="H81" s="1" t="s">
        <v>1656</v>
      </c>
      <c r="I81" s="1" t="s">
        <v>1657</v>
      </c>
      <c r="J81" s="1" t="s">
        <v>1658</v>
      </c>
      <c r="K81" s="1" t="s">
        <v>1658</v>
      </c>
      <c r="L81" s="1" t="s">
        <v>1658</v>
      </c>
      <c r="M81" s="1" t="s">
        <v>1658</v>
      </c>
      <c r="N81" s="1" t="s">
        <v>1658</v>
      </c>
      <c r="O81" s="1" t="s">
        <v>1658</v>
      </c>
      <c r="P81" s="1">
        <v>1</v>
      </c>
      <c r="Q81" s="1" t="s">
        <v>1658</v>
      </c>
      <c r="R81" s="1">
        <v>0</v>
      </c>
      <c r="S81" s="1" t="s">
        <v>2017</v>
      </c>
      <c r="T81" s="6" t="s">
        <v>2017</v>
      </c>
      <c r="U81" s="1" t="str">
        <f t="shared" si="1"/>
        <v>Yes</v>
      </c>
      <c r="W81" s="1" t="s">
        <v>2018</v>
      </c>
      <c r="X81" s="1" t="str">
        <f>IF(COUNTIF('MyWells Drilling Comp'!F:F,E81)=0,"Missing","Exist")</f>
        <v>Exist</v>
      </c>
    </row>
    <row r="82" hidden="1" spans="1:24">
      <c r="A82" s="1" t="s">
        <v>1652</v>
      </c>
      <c r="B82" s="1" t="s">
        <v>90</v>
      </c>
      <c r="C82" s="1" t="s">
        <v>2019</v>
      </c>
      <c r="D82" s="1" t="s">
        <v>2020</v>
      </c>
      <c r="E82" s="2" t="s">
        <v>670</v>
      </c>
      <c r="F82" s="2" t="s">
        <v>2021</v>
      </c>
      <c r="G82" s="1">
        <v>1</v>
      </c>
      <c r="H82" s="1" t="s">
        <v>1663</v>
      </c>
      <c r="I82" s="1" t="s">
        <v>1657</v>
      </c>
      <c r="J82" s="1" t="s">
        <v>1658</v>
      </c>
      <c r="K82" s="1" t="s">
        <v>1658</v>
      </c>
      <c r="L82" s="1" t="s">
        <v>1658</v>
      </c>
      <c r="M82" s="1" t="s">
        <v>1658</v>
      </c>
      <c r="N82" s="1" t="s">
        <v>1658</v>
      </c>
      <c r="O82" s="1" t="s">
        <v>1658</v>
      </c>
      <c r="P82" s="1">
        <v>1</v>
      </c>
      <c r="Q82" s="1" t="s">
        <v>1658</v>
      </c>
      <c r="R82" s="1">
        <v>0</v>
      </c>
      <c r="S82" s="1" t="s">
        <v>2022</v>
      </c>
      <c r="T82" s="6" t="s">
        <v>2022</v>
      </c>
      <c r="U82" s="1" t="str">
        <f t="shared" si="1"/>
        <v>Yes</v>
      </c>
      <c r="W82" s="1" t="s">
        <v>2023</v>
      </c>
      <c r="X82" s="1" t="str">
        <f>IF(COUNTIF('MyWells Drilling Comp'!F:F,E82)=0,"Missing","Exist")</f>
        <v>Exist</v>
      </c>
    </row>
    <row r="83" hidden="1" spans="1:24">
      <c r="A83" s="1" t="s">
        <v>1652</v>
      </c>
      <c r="B83" s="1" t="s">
        <v>90</v>
      </c>
      <c r="C83" s="1" t="s">
        <v>2024</v>
      </c>
      <c r="D83" s="1" t="s">
        <v>2020</v>
      </c>
      <c r="E83" s="2" t="s">
        <v>670</v>
      </c>
      <c r="F83" s="2" t="s">
        <v>2025</v>
      </c>
      <c r="G83" s="1">
        <v>1</v>
      </c>
      <c r="H83" s="1" t="s">
        <v>1656</v>
      </c>
      <c r="I83" s="1" t="s">
        <v>1657</v>
      </c>
      <c r="J83" s="1" t="s">
        <v>1658</v>
      </c>
      <c r="K83" s="1" t="s">
        <v>1658</v>
      </c>
      <c r="L83" s="1" t="s">
        <v>1658</v>
      </c>
      <c r="M83" s="1" t="s">
        <v>1658</v>
      </c>
      <c r="N83" s="1" t="s">
        <v>1658</v>
      </c>
      <c r="O83" s="1" t="s">
        <v>1658</v>
      </c>
      <c r="P83" s="1">
        <v>1</v>
      </c>
      <c r="Q83" s="1" t="s">
        <v>1658</v>
      </c>
      <c r="R83" s="1">
        <v>0</v>
      </c>
      <c r="S83" s="1" t="s">
        <v>2026</v>
      </c>
      <c r="T83" s="6" t="s">
        <v>2026</v>
      </c>
      <c r="U83" s="1" t="str">
        <f t="shared" si="1"/>
        <v>Yes</v>
      </c>
      <c r="W83" s="1" t="s">
        <v>2027</v>
      </c>
      <c r="X83" s="1" t="str">
        <f>IF(COUNTIF('MyWells Drilling Comp'!F:F,E83)=0,"Missing","Exist")</f>
        <v>Exist</v>
      </c>
    </row>
    <row r="84" hidden="1" spans="1:24">
      <c r="A84" s="1" t="s">
        <v>1652</v>
      </c>
      <c r="B84" s="1" t="s">
        <v>90</v>
      </c>
      <c r="C84" s="1" t="s">
        <v>2028</v>
      </c>
      <c r="D84" s="1" t="s">
        <v>2029</v>
      </c>
      <c r="E84" s="1" t="s">
        <v>1136</v>
      </c>
      <c r="F84" s="1" t="s">
        <v>2030</v>
      </c>
      <c r="G84" s="1">
        <v>1</v>
      </c>
      <c r="H84" s="1" t="s">
        <v>1656</v>
      </c>
      <c r="I84" s="1" t="s">
        <v>1657</v>
      </c>
      <c r="J84" s="1" t="s">
        <v>1658</v>
      </c>
      <c r="K84" s="1" t="s">
        <v>1658</v>
      </c>
      <c r="L84" s="1" t="s">
        <v>1658</v>
      </c>
      <c r="M84" s="1" t="s">
        <v>1658</v>
      </c>
      <c r="N84" s="1" t="s">
        <v>1658</v>
      </c>
      <c r="O84" s="1" t="s">
        <v>1658</v>
      </c>
      <c r="P84" s="1">
        <v>1</v>
      </c>
      <c r="Q84" s="1" t="s">
        <v>1658</v>
      </c>
      <c r="R84" s="1">
        <v>0</v>
      </c>
      <c r="S84" s="1" t="s">
        <v>2031</v>
      </c>
      <c r="T84" s="6"/>
      <c r="U84" s="1" t="str">
        <f t="shared" si="1"/>
        <v>No</v>
      </c>
      <c r="W84" s="1" t="s">
        <v>2032</v>
      </c>
      <c r="X84" s="1" t="str">
        <f>IF(COUNTIF('MyWells Drilling Comp'!F:F,E84)=0,"Missing","Exist")</f>
        <v>Exist</v>
      </c>
    </row>
    <row r="85" hidden="1" spans="1:24">
      <c r="A85" s="1" t="s">
        <v>1652</v>
      </c>
      <c r="B85" s="1" t="s">
        <v>90</v>
      </c>
      <c r="C85" s="1" t="s">
        <v>2033</v>
      </c>
      <c r="D85" s="1" t="s">
        <v>2029</v>
      </c>
      <c r="E85" s="1" t="s">
        <v>1136</v>
      </c>
      <c r="F85" s="1" t="s">
        <v>2034</v>
      </c>
      <c r="G85" s="1">
        <v>1</v>
      </c>
      <c r="H85" s="1" t="s">
        <v>1663</v>
      </c>
      <c r="I85" s="1" t="s">
        <v>1657</v>
      </c>
      <c r="J85" s="1" t="s">
        <v>1658</v>
      </c>
      <c r="K85" s="1" t="s">
        <v>1658</v>
      </c>
      <c r="L85" s="1" t="s">
        <v>1658</v>
      </c>
      <c r="M85" s="1" t="s">
        <v>1658</v>
      </c>
      <c r="N85" s="1" t="s">
        <v>1658</v>
      </c>
      <c r="O85" s="1" t="s">
        <v>1658</v>
      </c>
      <c r="P85" s="1">
        <v>1</v>
      </c>
      <c r="Q85" s="1" t="s">
        <v>1658</v>
      </c>
      <c r="R85" s="1">
        <v>0</v>
      </c>
      <c r="S85" s="1" t="s">
        <v>2035</v>
      </c>
      <c r="T85" s="6"/>
      <c r="U85" s="1" t="str">
        <f t="shared" si="1"/>
        <v>No</v>
      </c>
      <c r="W85" s="1" t="s">
        <v>2036</v>
      </c>
      <c r="X85" s="1" t="str">
        <f>IF(COUNTIF('MyWells Drilling Comp'!F:F,E85)=0,"Missing","Exist")</f>
        <v>Exist</v>
      </c>
    </row>
    <row r="86" hidden="1" spans="1:24">
      <c r="A86" s="1" t="s">
        <v>1652</v>
      </c>
      <c r="B86" s="1" t="s">
        <v>90</v>
      </c>
      <c r="C86" s="1" t="s">
        <v>2037</v>
      </c>
      <c r="D86" s="1" t="s">
        <v>2038</v>
      </c>
      <c r="E86" s="2" t="s">
        <v>183</v>
      </c>
      <c r="F86" s="2" t="s">
        <v>2039</v>
      </c>
      <c r="G86" s="1">
        <v>1</v>
      </c>
      <c r="H86" s="1" t="s">
        <v>1663</v>
      </c>
      <c r="I86" s="1" t="s">
        <v>1657</v>
      </c>
      <c r="J86" s="1" t="s">
        <v>1658</v>
      </c>
      <c r="K86" s="1" t="s">
        <v>1658</v>
      </c>
      <c r="L86" s="1" t="s">
        <v>1658</v>
      </c>
      <c r="M86" s="1" t="s">
        <v>1658</v>
      </c>
      <c r="N86" s="1" t="s">
        <v>1658</v>
      </c>
      <c r="O86" s="1" t="s">
        <v>1658</v>
      </c>
      <c r="P86" s="1">
        <v>1</v>
      </c>
      <c r="Q86" s="1" t="s">
        <v>1658</v>
      </c>
      <c r="R86" s="1">
        <v>0</v>
      </c>
      <c r="S86" s="1" t="s">
        <v>2040</v>
      </c>
      <c r="T86" s="6" t="s">
        <v>2040</v>
      </c>
      <c r="U86" s="1" t="str">
        <f t="shared" si="1"/>
        <v>Yes</v>
      </c>
      <c r="W86" s="1" t="s">
        <v>2041</v>
      </c>
      <c r="X86" s="1" t="str">
        <f>IF(COUNTIF('MyWells Drilling Comp'!F:F,E86)=0,"Missing","Exist")</f>
        <v>Exist</v>
      </c>
    </row>
    <row r="87" hidden="1" spans="1:24">
      <c r="A87" s="1" t="s">
        <v>1652</v>
      </c>
      <c r="B87" s="1" t="s">
        <v>90</v>
      </c>
      <c r="C87" s="1" t="s">
        <v>2042</v>
      </c>
      <c r="D87" s="1" t="s">
        <v>2038</v>
      </c>
      <c r="E87" s="1" t="s">
        <v>183</v>
      </c>
      <c r="F87" s="1" t="s">
        <v>2043</v>
      </c>
      <c r="G87" s="1">
        <v>1</v>
      </c>
      <c r="H87" s="1" t="s">
        <v>1656</v>
      </c>
      <c r="I87" s="1" t="s">
        <v>1657</v>
      </c>
      <c r="J87" s="1" t="s">
        <v>1658</v>
      </c>
      <c r="K87" s="1" t="s">
        <v>1658</v>
      </c>
      <c r="L87" s="1" t="s">
        <v>1658</v>
      </c>
      <c r="M87" s="1" t="s">
        <v>1658</v>
      </c>
      <c r="N87" s="1" t="s">
        <v>1658</v>
      </c>
      <c r="O87" s="1" t="s">
        <v>1658</v>
      </c>
      <c r="P87" s="1">
        <v>1</v>
      </c>
      <c r="Q87" s="1" t="s">
        <v>1658</v>
      </c>
      <c r="R87" s="1">
        <v>0</v>
      </c>
      <c r="S87" s="1" t="s">
        <v>2044</v>
      </c>
      <c r="T87" s="6"/>
      <c r="U87" s="1" t="str">
        <f t="shared" si="1"/>
        <v>No</v>
      </c>
      <c r="W87" s="1" t="s">
        <v>2045</v>
      </c>
      <c r="X87" s="1" t="str">
        <f>IF(COUNTIF('MyWells Drilling Comp'!F:F,E87)=0,"Missing","Exist")</f>
        <v>Exist</v>
      </c>
    </row>
    <row r="88" hidden="1" spans="1:24">
      <c r="A88" s="1" t="s">
        <v>1652</v>
      </c>
      <c r="B88" s="1" t="s">
        <v>90</v>
      </c>
      <c r="C88" s="1" t="s">
        <v>2046</v>
      </c>
      <c r="D88" s="1" t="s">
        <v>2047</v>
      </c>
      <c r="E88" s="2" t="s">
        <v>543</v>
      </c>
      <c r="F88" s="2" t="s">
        <v>2048</v>
      </c>
      <c r="G88" s="1">
        <v>1</v>
      </c>
      <c r="H88" s="1" t="s">
        <v>1663</v>
      </c>
      <c r="I88" s="1" t="s">
        <v>1657</v>
      </c>
      <c r="J88" s="1" t="s">
        <v>1658</v>
      </c>
      <c r="K88" s="1" t="s">
        <v>1658</v>
      </c>
      <c r="L88" s="1" t="s">
        <v>1658</v>
      </c>
      <c r="M88" s="1" t="s">
        <v>1658</v>
      </c>
      <c r="N88" s="1" t="s">
        <v>1658</v>
      </c>
      <c r="O88" s="1" t="s">
        <v>1658</v>
      </c>
      <c r="P88" s="1">
        <v>1</v>
      </c>
      <c r="Q88" s="1" t="s">
        <v>1658</v>
      </c>
      <c r="R88" s="1">
        <v>0</v>
      </c>
      <c r="S88" s="1" t="s">
        <v>2049</v>
      </c>
      <c r="T88" s="6" t="s">
        <v>2049</v>
      </c>
      <c r="U88" s="1" t="str">
        <f t="shared" si="1"/>
        <v>Yes</v>
      </c>
      <c r="W88" s="1" t="s">
        <v>2050</v>
      </c>
      <c r="X88" s="1" t="str">
        <f>IF(COUNTIF('MyWells Drilling Comp'!F:F,E88)=0,"Missing","Exist")</f>
        <v>Exist</v>
      </c>
    </row>
    <row r="89" hidden="1" spans="1:24">
      <c r="A89" s="1" t="s">
        <v>1652</v>
      </c>
      <c r="B89" s="1" t="s">
        <v>90</v>
      </c>
      <c r="C89" s="1" t="s">
        <v>2051</v>
      </c>
      <c r="D89" s="1" t="s">
        <v>2047</v>
      </c>
      <c r="E89" s="2" t="s">
        <v>543</v>
      </c>
      <c r="F89" s="2" t="s">
        <v>2052</v>
      </c>
      <c r="G89" s="1">
        <v>1</v>
      </c>
      <c r="H89" s="1" t="s">
        <v>1656</v>
      </c>
      <c r="I89" s="1" t="s">
        <v>1657</v>
      </c>
      <c r="J89" s="1" t="s">
        <v>1658</v>
      </c>
      <c r="K89" s="1" t="s">
        <v>1658</v>
      </c>
      <c r="L89" s="1" t="s">
        <v>1658</v>
      </c>
      <c r="M89" s="1" t="s">
        <v>1658</v>
      </c>
      <c r="N89" s="1" t="s">
        <v>1658</v>
      </c>
      <c r="O89" s="1" t="s">
        <v>1658</v>
      </c>
      <c r="P89" s="1">
        <v>1</v>
      </c>
      <c r="Q89" s="1" t="s">
        <v>1658</v>
      </c>
      <c r="R89" s="1">
        <v>0</v>
      </c>
      <c r="S89" s="1" t="s">
        <v>2053</v>
      </c>
      <c r="T89" s="6" t="s">
        <v>2053</v>
      </c>
      <c r="U89" s="1" t="str">
        <f t="shared" si="1"/>
        <v>Yes</v>
      </c>
      <c r="W89" s="1" t="s">
        <v>2054</v>
      </c>
      <c r="X89" s="1" t="str">
        <f>IF(COUNTIF('MyWells Drilling Comp'!F:F,E89)=0,"Missing","Exist")</f>
        <v>Exist</v>
      </c>
    </row>
    <row r="90" hidden="1" spans="1:24">
      <c r="A90" s="1" t="s">
        <v>1652</v>
      </c>
      <c r="B90" s="1" t="s">
        <v>90</v>
      </c>
      <c r="C90" s="1" t="s">
        <v>2055</v>
      </c>
      <c r="D90" s="1" t="s">
        <v>2056</v>
      </c>
      <c r="E90" s="2" t="s">
        <v>547</v>
      </c>
      <c r="F90" s="8" t="s">
        <v>2057</v>
      </c>
      <c r="G90" s="1">
        <v>1</v>
      </c>
      <c r="H90" s="1" t="s">
        <v>1656</v>
      </c>
      <c r="I90" s="1" t="s">
        <v>1657</v>
      </c>
      <c r="J90" s="1" t="s">
        <v>1658</v>
      </c>
      <c r="K90" s="1" t="s">
        <v>1658</v>
      </c>
      <c r="L90" s="1" t="s">
        <v>1658</v>
      </c>
      <c r="M90" s="1" t="s">
        <v>1658</v>
      </c>
      <c r="N90" s="1" t="s">
        <v>1658</v>
      </c>
      <c r="O90" s="1" t="s">
        <v>1658</v>
      </c>
      <c r="P90" s="1">
        <v>1</v>
      </c>
      <c r="Q90" s="1" t="s">
        <v>1658</v>
      </c>
      <c r="R90" s="1">
        <v>0</v>
      </c>
      <c r="S90" s="1" t="s">
        <v>2058</v>
      </c>
      <c r="T90" s="6" t="s">
        <v>2058</v>
      </c>
      <c r="U90" s="1" t="str">
        <f t="shared" si="1"/>
        <v>Yes</v>
      </c>
      <c r="W90" s="1" t="s">
        <v>2059</v>
      </c>
      <c r="X90" s="1" t="str">
        <f>IF(COUNTIF('MyWells Drilling Comp'!F:F,E90)=0,"Missing","Exist")</f>
        <v>Exist</v>
      </c>
    </row>
    <row r="91" hidden="1" spans="1:24">
      <c r="A91" s="1" t="s">
        <v>1652</v>
      </c>
      <c r="B91" s="1" t="s">
        <v>90</v>
      </c>
      <c r="C91" s="1" t="s">
        <v>2060</v>
      </c>
      <c r="D91" s="1" t="s">
        <v>2056</v>
      </c>
      <c r="E91" s="2" t="s">
        <v>547</v>
      </c>
      <c r="F91" s="2" t="s">
        <v>2061</v>
      </c>
      <c r="G91" s="1">
        <v>1</v>
      </c>
      <c r="H91" s="1" t="s">
        <v>1663</v>
      </c>
      <c r="I91" s="1" t="s">
        <v>1657</v>
      </c>
      <c r="J91" s="1" t="s">
        <v>1658</v>
      </c>
      <c r="K91" s="1" t="s">
        <v>1658</v>
      </c>
      <c r="L91" s="1" t="s">
        <v>1658</v>
      </c>
      <c r="M91" s="1" t="s">
        <v>1658</v>
      </c>
      <c r="N91" s="1" t="s">
        <v>1658</v>
      </c>
      <c r="O91" s="1" t="s">
        <v>1658</v>
      </c>
      <c r="P91" s="1">
        <v>1</v>
      </c>
      <c r="Q91" s="1" t="s">
        <v>1658</v>
      </c>
      <c r="R91" s="1">
        <v>0</v>
      </c>
      <c r="S91" s="1" t="s">
        <v>2062</v>
      </c>
      <c r="T91" s="6" t="s">
        <v>2062</v>
      </c>
      <c r="U91" s="1" t="str">
        <f t="shared" si="1"/>
        <v>Yes</v>
      </c>
      <c r="W91" s="1" t="s">
        <v>2063</v>
      </c>
      <c r="X91" s="1" t="str">
        <f>IF(COUNTIF('MyWells Drilling Comp'!F:F,E91)=0,"Missing","Exist")</f>
        <v>Exist</v>
      </c>
    </row>
    <row r="92" hidden="1" spans="1:24">
      <c r="A92" s="1" t="s">
        <v>1652</v>
      </c>
      <c r="B92" s="1" t="s">
        <v>90</v>
      </c>
      <c r="C92" s="1" t="s">
        <v>2064</v>
      </c>
      <c r="D92" s="1" t="s">
        <v>2065</v>
      </c>
      <c r="E92" s="2" t="s">
        <v>1502</v>
      </c>
      <c r="F92" s="2" t="s">
        <v>2066</v>
      </c>
      <c r="G92" s="1">
        <v>1</v>
      </c>
      <c r="H92" s="1" t="s">
        <v>1656</v>
      </c>
      <c r="I92" s="1" t="s">
        <v>1657</v>
      </c>
      <c r="J92" s="1" t="s">
        <v>1658</v>
      </c>
      <c r="K92" s="1" t="s">
        <v>1658</v>
      </c>
      <c r="L92" s="1" t="s">
        <v>1658</v>
      </c>
      <c r="M92" s="1" t="s">
        <v>1658</v>
      </c>
      <c r="N92" s="1" t="s">
        <v>1658</v>
      </c>
      <c r="O92" s="1" t="s">
        <v>1658</v>
      </c>
      <c r="P92" s="1">
        <v>1</v>
      </c>
      <c r="Q92" s="1" t="s">
        <v>1658</v>
      </c>
      <c r="R92" s="1">
        <v>0</v>
      </c>
      <c r="S92" s="1" t="s">
        <v>2067</v>
      </c>
      <c r="T92" s="6" t="s">
        <v>2067</v>
      </c>
      <c r="U92" s="1" t="str">
        <f t="shared" si="1"/>
        <v>Yes</v>
      </c>
      <c r="W92" s="1" t="s">
        <v>2068</v>
      </c>
      <c r="X92" s="1" t="str">
        <f>IF(COUNTIF('MyWells Drilling Comp'!F:F,E92)=0,"Missing","Exist")</f>
        <v>Exist</v>
      </c>
    </row>
    <row r="93" hidden="1" spans="1:24">
      <c r="A93" s="1" t="s">
        <v>1652</v>
      </c>
      <c r="B93" s="1" t="s">
        <v>90</v>
      </c>
      <c r="C93" s="1" t="s">
        <v>2069</v>
      </c>
      <c r="D93" s="1" t="s">
        <v>2065</v>
      </c>
      <c r="E93" s="2" t="s">
        <v>1502</v>
      </c>
      <c r="F93" s="2" t="s">
        <v>2070</v>
      </c>
      <c r="G93" s="1">
        <v>1</v>
      </c>
      <c r="H93" s="1" t="s">
        <v>1663</v>
      </c>
      <c r="I93" s="1" t="s">
        <v>1657</v>
      </c>
      <c r="J93" s="1" t="s">
        <v>1658</v>
      </c>
      <c r="K93" s="1" t="s">
        <v>1658</v>
      </c>
      <c r="L93" s="1" t="s">
        <v>1658</v>
      </c>
      <c r="M93" s="1" t="s">
        <v>1658</v>
      </c>
      <c r="N93" s="1" t="s">
        <v>1658</v>
      </c>
      <c r="O93" s="1" t="s">
        <v>1658</v>
      </c>
      <c r="P93" s="1">
        <v>1</v>
      </c>
      <c r="Q93" s="1" t="s">
        <v>1658</v>
      </c>
      <c r="R93" s="1">
        <v>0</v>
      </c>
      <c r="S93" s="1" t="s">
        <v>2071</v>
      </c>
      <c r="T93" s="6" t="s">
        <v>2071</v>
      </c>
      <c r="U93" s="1" t="str">
        <f t="shared" si="1"/>
        <v>Yes</v>
      </c>
      <c r="W93" s="1" t="s">
        <v>2072</v>
      </c>
      <c r="X93" s="1" t="str">
        <f>IF(COUNTIF('MyWells Drilling Comp'!F:F,E93)=0,"Missing","Exist")</f>
        <v>Exist</v>
      </c>
    </row>
    <row r="94" hidden="1" spans="1:24">
      <c r="A94" s="1" t="s">
        <v>1652</v>
      </c>
      <c r="B94" s="1" t="s">
        <v>90</v>
      </c>
      <c r="C94" s="1" t="s">
        <v>2073</v>
      </c>
      <c r="D94" s="1" t="s">
        <v>2074</v>
      </c>
      <c r="E94" s="2" t="s">
        <v>1452</v>
      </c>
      <c r="F94" s="2" t="s">
        <v>2075</v>
      </c>
      <c r="G94" s="1">
        <v>1</v>
      </c>
      <c r="H94" s="1" t="s">
        <v>1663</v>
      </c>
      <c r="I94" s="1" t="s">
        <v>1657</v>
      </c>
      <c r="J94" s="1" t="s">
        <v>1658</v>
      </c>
      <c r="K94" s="1" t="s">
        <v>1658</v>
      </c>
      <c r="L94" s="1" t="s">
        <v>1658</v>
      </c>
      <c r="M94" s="1" t="s">
        <v>1658</v>
      </c>
      <c r="N94" s="1" t="s">
        <v>1658</v>
      </c>
      <c r="O94" s="1" t="s">
        <v>1658</v>
      </c>
      <c r="P94" s="1">
        <v>1</v>
      </c>
      <c r="Q94" s="1" t="s">
        <v>1658</v>
      </c>
      <c r="R94" s="1">
        <v>0</v>
      </c>
      <c r="S94" s="1" t="s">
        <v>2076</v>
      </c>
      <c r="T94" s="6" t="s">
        <v>2076</v>
      </c>
      <c r="U94" s="1" t="str">
        <f t="shared" si="1"/>
        <v>Yes</v>
      </c>
      <c r="W94" s="1" t="s">
        <v>2077</v>
      </c>
      <c r="X94" s="1" t="str">
        <f>IF(COUNTIF('MyWells Drilling Comp'!F:F,E94)=0,"Missing","Exist")</f>
        <v>Exist</v>
      </c>
    </row>
    <row r="95" hidden="1" spans="1:24">
      <c r="A95" s="1" t="s">
        <v>1652</v>
      </c>
      <c r="B95" s="1" t="s">
        <v>90</v>
      </c>
      <c r="C95" s="1" t="s">
        <v>2078</v>
      </c>
      <c r="D95" s="1" t="s">
        <v>2074</v>
      </c>
      <c r="E95" s="2" t="s">
        <v>1452</v>
      </c>
      <c r="F95" s="2" t="s">
        <v>2079</v>
      </c>
      <c r="G95" s="1">
        <v>1</v>
      </c>
      <c r="H95" s="1" t="s">
        <v>1656</v>
      </c>
      <c r="I95" s="1" t="s">
        <v>1657</v>
      </c>
      <c r="J95" s="1" t="s">
        <v>1658</v>
      </c>
      <c r="K95" s="1" t="s">
        <v>1658</v>
      </c>
      <c r="L95" s="1" t="s">
        <v>1658</v>
      </c>
      <c r="M95" s="1" t="s">
        <v>1658</v>
      </c>
      <c r="N95" s="1" t="s">
        <v>1658</v>
      </c>
      <c r="O95" s="1" t="s">
        <v>1658</v>
      </c>
      <c r="P95" s="1">
        <v>1</v>
      </c>
      <c r="Q95" s="1" t="s">
        <v>1658</v>
      </c>
      <c r="R95" s="1">
        <v>0</v>
      </c>
      <c r="S95" s="1" t="s">
        <v>2080</v>
      </c>
      <c r="T95" s="6" t="s">
        <v>2080</v>
      </c>
      <c r="U95" s="1" t="str">
        <f t="shared" si="1"/>
        <v>Yes</v>
      </c>
      <c r="W95" s="1" t="s">
        <v>2081</v>
      </c>
      <c r="X95" s="1" t="str">
        <f>IF(COUNTIF('MyWells Drilling Comp'!F:F,E95)=0,"Missing","Exist")</f>
        <v>Exist</v>
      </c>
    </row>
    <row r="96" hidden="1" spans="1:24">
      <c r="A96" s="1" t="s">
        <v>1652</v>
      </c>
      <c r="B96" s="1" t="s">
        <v>90</v>
      </c>
      <c r="C96" s="1" t="s">
        <v>2082</v>
      </c>
      <c r="D96" s="1" t="s">
        <v>2083</v>
      </c>
      <c r="E96" s="1" t="s">
        <v>1160</v>
      </c>
      <c r="F96" s="1" t="s">
        <v>2084</v>
      </c>
      <c r="G96" s="1">
        <v>1</v>
      </c>
      <c r="H96" s="1" t="s">
        <v>1656</v>
      </c>
      <c r="I96" s="1" t="s">
        <v>1657</v>
      </c>
      <c r="J96" s="1" t="s">
        <v>1658</v>
      </c>
      <c r="K96" s="1" t="s">
        <v>1658</v>
      </c>
      <c r="L96" s="1" t="s">
        <v>1658</v>
      </c>
      <c r="M96" s="1" t="s">
        <v>1658</v>
      </c>
      <c r="N96" s="1" t="s">
        <v>1658</v>
      </c>
      <c r="O96" s="1" t="s">
        <v>1658</v>
      </c>
      <c r="P96" s="1">
        <v>1</v>
      </c>
      <c r="Q96" s="1" t="s">
        <v>1658</v>
      </c>
      <c r="R96" s="1">
        <v>0</v>
      </c>
      <c r="S96" s="1" t="s">
        <v>2085</v>
      </c>
      <c r="T96" s="6"/>
      <c r="U96" s="1" t="str">
        <f t="shared" si="1"/>
        <v>No</v>
      </c>
      <c r="W96" s="1" t="s">
        <v>2086</v>
      </c>
      <c r="X96" s="1" t="str">
        <f>IF(COUNTIF('MyWells Drilling Comp'!F:F,E96)=0,"Missing","Exist")</f>
        <v>Exist</v>
      </c>
    </row>
    <row r="97" hidden="1" spans="1:24">
      <c r="A97" s="1" t="s">
        <v>1652</v>
      </c>
      <c r="B97" s="1" t="s">
        <v>90</v>
      </c>
      <c r="C97" s="1" t="s">
        <v>2087</v>
      </c>
      <c r="D97" s="1" t="s">
        <v>2083</v>
      </c>
      <c r="E97" s="2" t="s">
        <v>1160</v>
      </c>
      <c r="F97" s="2" t="s">
        <v>2088</v>
      </c>
      <c r="G97" s="1">
        <v>1</v>
      </c>
      <c r="H97" s="1" t="s">
        <v>1663</v>
      </c>
      <c r="I97" s="1" t="s">
        <v>1657</v>
      </c>
      <c r="J97" s="1" t="s">
        <v>1658</v>
      </c>
      <c r="K97" s="1" t="s">
        <v>1658</v>
      </c>
      <c r="L97" s="1" t="s">
        <v>1658</v>
      </c>
      <c r="M97" s="1" t="s">
        <v>1658</v>
      </c>
      <c r="N97" s="1" t="s">
        <v>1658</v>
      </c>
      <c r="O97" s="1" t="s">
        <v>1658</v>
      </c>
      <c r="P97" s="1">
        <v>1</v>
      </c>
      <c r="Q97" s="1" t="s">
        <v>1658</v>
      </c>
      <c r="R97" s="1">
        <v>0</v>
      </c>
      <c r="S97" s="1" t="s">
        <v>2089</v>
      </c>
      <c r="T97" s="6" t="s">
        <v>2089</v>
      </c>
      <c r="U97" s="1" t="str">
        <f t="shared" si="1"/>
        <v>Yes</v>
      </c>
      <c r="W97" s="1" t="s">
        <v>2090</v>
      </c>
      <c r="X97" s="1" t="str">
        <f>IF(COUNTIF('MyWells Drilling Comp'!F:F,E97)=0,"Missing","Exist")</f>
        <v>Exist</v>
      </c>
    </row>
    <row r="98" hidden="1" spans="1:24">
      <c r="A98" s="1" t="s">
        <v>1652</v>
      </c>
      <c r="B98" s="1" t="s">
        <v>90</v>
      </c>
      <c r="C98" s="1" t="s">
        <v>2091</v>
      </c>
      <c r="D98" s="1" t="s">
        <v>2092</v>
      </c>
      <c r="E98" s="1" t="s">
        <v>859</v>
      </c>
      <c r="F98" s="1" t="s">
        <v>2093</v>
      </c>
      <c r="G98" s="1">
        <v>1</v>
      </c>
      <c r="H98" s="1" t="s">
        <v>1663</v>
      </c>
      <c r="I98" s="1" t="s">
        <v>1657</v>
      </c>
      <c r="J98" s="1" t="s">
        <v>1658</v>
      </c>
      <c r="K98" s="1" t="s">
        <v>1658</v>
      </c>
      <c r="L98" s="1" t="s">
        <v>1658</v>
      </c>
      <c r="M98" s="1" t="s">
        <v>1658</v>
      </c>
      <c r="N98" s="1" t="s">
        <v>1658</v>
      </c>
      <c r="O98" s="1" t="s">
        <v>1658</v>
      </c>
      <c r="P98" s="1">
        <v>1</v>
      </c>
      <c r="Q98" s="1" t="s">
        <v>1658</v>
      </c>
      <c r="R98" s="1">
        <v>0</v>
      </c>
      <c r="S98" s="1" t="s">
        <v>2094</v>
      </c>
      <c r="T98" s="6" t="s">
        <v>2095</v>
      </c>
      <c r="U98" s="1" t="str">
        <f t="shared" si="1"/>
        <v>No</v>
      </c>
      <c r="W98" s="1" t="s">
        <v>2096</v>
      </c>
      <c r="X98" s="1" t="str">
        <f>IF(COUNTIF('MyWells Drilling Comp'!F:F,E98)=0,"Missing","Exist")</f>
        <v>Exist</v>
      </c>
    </row>
    <row r="99" hidden="1" spans="1:24">
      <c r="A99" s="1" t="s">
        <v>1652</v>
      </c>
      <c r="B99" s="1" t="s">
        <v>90</v>
      </c>
      <c r="C99" s="1" t="s">
        <v>2097</v>
      </c>
      <c r="D99" s="1" t="s">
        <v>2092</v>
      </c>
      <c r="E99" s="1" t="s">
        <v>859</v>
      </c>
      <c r="F99" s="1" t="s">
        <v>2098</v>
      </c>
      <c r="G99" s="1">
        <v>1</v>
      </c>
      <c r="H99" s="1" t="s">
        <v>1656</v>
      </c>
      <c r="I99" s="1" t="s">
        <v>1657</v>
      </c>
      <c r="J99" s="1" t="s">
        <v>1658</v>
      </c>
      <c r="K99" s="1" t="s">
        <v>1658</v>
      </c>
      <c r="L99" s="1" t="s">
        <v>1658</v>
      </c>
      <c r="M99" s="1" t="s">
        <v>1658</v>
      </c>
      <c r="N99" s="1" t="s">
        <v>1658</v>
      </c>
      <c r="O99" s="1" t="s">
        <v>1658</v>
      </c>
      <c r="P99" s="1">
        <v>1</v>
      </c>
      <c r="Q99" s="1" t="s">
        <v>1658</v>
      </c>
      <c r="R99" s="1">
        <v>0</v>
      </c>
      <c r="S99" s="1" t="s">
        <v>2099</v>
      </c>
      <c r="T99" s="6"/>
      <c r="U99" s="1" t="str">
        <f t="shared" si="1"/>
        <v>No</v>
      </c>
      <c r="W99" s="1" t="s">
        <v>2100</v>
      </c>
      <c r="X99" s="1" t="str">
        <f>IF(COUNTIF('MyWells Drilling Comp'!F:F,E99)=0,"Missing","Exist")</f>
        <v>Exist</v>
      </c>
    </row>
    <row r="100" hidden="1" spans="1:24">
      <c r="A100" s="1" t="s">
        <v>1652</v>
      </c>
      <c r="B100" s="1" t="s">
        <v>90</v>
      </c>
      <c r="C100" s="1" t="s">
        <v>2101</v>
      </c>
      <c r="D100" s="1" t="s">
        <v>2102</v>
      </c>
      <c r="E100" s="2" t="s">
        <v>1568</v>
      </c>
      <c r="F100" s="2" t="s">
        <v>2103</v>
      </c>
      <c r="G100" s="1">
        <v>1</v>
      </c>
      <c r="H100" s="1" t="s">
        <v>1656</v>
      </c>
      <c r="I100" s="1" t="s">
        <v>1657</v>
      </c>
      <c r="J100" s="1" t="s">
        <v>1658</v>
      </c>
      <c r="K100" s="1" t="s">
        <v>1658</v>
      </c>
      <c r="L100" s="1" t="s">
        <v>1658</v>
      </c>
      <c r="M100" s="1" t="s">
        <v>1658</v>
      </c>
      <c r="N100" s="1" t="s">
        <v>1658</v>
      </c>
      <c r="O100" s="1" t="s">
        <v>1658</v>
      </c>
      <c r="P100" s="1">
        <v>1</v>
      </c>
      <c r="Q100" s="1" t="s">
        <v>1658</v>
      </c>
      <c r="R100" s="1">
        <v>0</v>
      </c>
      <c r="S100" s="1" t="s">
        <v>2104</v>
      </c>
      <c r="T100" s="6" t="s">
        <v>2104</v>
      </c>
      <c r="U100" s="1" t="str">
        <f t="shared" si="1"/>
        <v>Yes</v>
      </c>
      <c r="W100" s="1" t="s">
        <v>2105</v>
      </c>
      <c r="X100" s="1" t="str">
        <f>IF(COUNTIF('MyWells Drilling Comp'!F:F,E100)=0,"Missing","Exist")</f>
        <v>Exist</v>
      </c>
    </row>
    <row r="101" hidden="1" spans="1:24">
      <c r="A101" s="1" t="s">
        <v>1652</v>
      </c>
      <c r="B101" s="1" t="s">
        <v>90</v>
      </c>
      <c r="C101" s="1" t="s">
        <v>2106</v>
      </c>
      <c r="D101" s="1" t="s">
        <v>2102</v>
      </c>
      <c r="E101" s="1" t="s">
        <v>1568</v>
      </c>
      <c r="F101" s="1" t="s">
        <v>2107</v>
      </c>
      <c r="G101" s="1">
        <v>1</v>
      </c>
      <c r="H101" s="1" t="s">
        <v>1663</v>
      </c>
      <c r="I101" s="1" t="s">
        <v>1657</v>
      </c>
      <c r="J101" s="1" t="s">
        <v>1658</v>
      </c>
      <c r="K101" s="1" t="s">
        <v>1658</v>
      </c>
      <c r="L101" s="1" t="s">
        <v>1658</v>
      </c>
      <c r="M101" s="1" t="s">
        <v>1658</v>
      </c>
      <c r="N101" s="1" t="s">
        <v>1658</v>
      </c>
      <c r="O101" s="1" t="s">
        <v>1658</v>
      </c>
      <c r="P101" s="1">
        <v>1</v>
      </c>
      <c r="Q101" s="1" t="s">
        <v>1658</v>
      </c>
      <c r="R101" s="1">
        <v>0</v>
      </c>
      <c r="S101" s="1" t="s">
        <v>2108</v>
      </c>
      <c r="T101" s="6"/>
      <c r="U101" s="1" t="str">
        <f t="shared" si="1"/>
        <v>No</v>
      </c>
      <c r="W101" s="1" t="s">
        <v>2109</v>
      </c>
      <c r="X101" s="1" t="str">
        <f>IF(COUNTIF('MyWells Drilling Comp'!F:F,E101)=0,"Missing","Exist")</f>
        <v>Exist</v>
      </c>
    </row>
    <row r="102" hidden="1" spans="1:24">
      <c r="A102" s="1" t="s">
        <v>1652</v>
      </c>
      <c r="B102" s="1" t="s">
        <v>90</v>
      </c>
      <c r="C102" s="1" t="s">
        <v>2110</v>
      </c>
      <c r="D102" s="1" t="s">
        <v>2111</v>
      </c>
      <c r="E102" s="2" t="s">
        <v>1170</v>
      </c>
      <c r="F102" s="2" t="s">
        <v>2112</v>
      </c>
      <c r="G102" s="1">
        <v>1</v>
      </c>
      <c r="H102" s="1" t="s">
        <v>1663</v>
      </c>
      <c r="I102" s="1" t="s">
        <v>1657</v>
      </c>
      <c r="J102" s="1" t="s">
        <v>1658</v>
      </c>
      <c r="K102" s="1" t="s">
        <v>1658</v>
      </c>
      <c r="L102" s="1" t="s">
        <v>1658</v>
      </c>
      <c r="M102" s="1" t="s">
        <v>1658</v>
      </c>
      <c r="N102" s="1" t="s">
        <v>1658</v>
      </c>
      <c r="O102" s="1" t="s">
        <v>1658</v>
      </c>
      <c r="P102" s="1">
        <v>1</v>
      </c>
      <c r="Q102" s="1" t="s">
        <v>1658</v>
      </c>
      <c r="R102" s="1">
        <v>0</v>
      </c>
      <c r="S102" s="1" t="s">
        <v>2113</v>
      </c>
      <c r="T102" s="6" t="s">
        <v>2113</v>
      </c>
      <c r="U102" s="1" t="str">
        <f t="shared" si="1"/>
        <v>Yes</v>
      </c>
      <c r="W102" s="1" t="s">
        <v>2114</v>
      </c>
      <c r="X102" s="1" t="str">
        <f>IF(COUNTIF('MyWells Drilling Comp'!F:F,E102)=0,"Missing","Exist")</f>
        <v>Exist</v>
      </c>
    </row>
    <row r="103" hidden="1" spans="1:24">
      <c r="A103" s="1" t="s">
        <v>1652</v>
      </c>
      <c r="B103" s="1" t="s">
        <v>90</v>
      </c>
      <c r="C103" s="1" t="s">
        <v>2115</v>
      </c>
      <c r="D103" s="1" t="s">
        <v>2111</v>
      </c>
      <c r="E103" s="2" t="s">
        <v>1170</v>
      </c>
      <c r="F103" s="2" t="s">
        <v>2116</v>
      </c>
      <c r="G103" s="1">
        <v>1</v>
      </c>
      <c r="H103" s="1" t="s">
        <v>1656</v>
      </c>
      <c r="I103" s="1" t="s">
        <v>1657</v>
      </c>
      <c r="J103" s="1" t="s">
        <v>1658</v>
      </c>
      <c r="K103" s="1" t="s">
        <v>1658</v>
      </c>
      <c r="L103" s="1" t="s">
        <v>1658</v>
      </c>
      <c r="M103" s="1" t="s">
        <v>1658</v>
      </c>
      <c r="N103" s="1" t="s">
        <v>1658</v>
      </c>
      <c r="O103" s="1" t="s">
        <v>1658</v>
      </c>
      <c r="P103" s="1">
        <v>1</v>
      </c>
      <c r="Q103" s="1" t="s">
        <v>1658</v>
      </c>
      <c r="R103" s="1">
        <v>0</v>
      </c>
      <c r="S103" s="1" t="s">
        <v>2117</v>
      </c>
      <c r="T103" s="6" t="s">
        <v>2117</v>
      </c>
      <c r="U103" s="1" t="str">
        <f t="shared" si="1"/>
        <v>Yes</v>
      </c>
      <c r="W103" s="1" t="s">
        <v>2118</v>
      </c>
      <c r="X103" s="1" t="str">
        <f>IF(COUNTIF('MyWells Drilling Comp'!F:F,E103)=0,"Missing","Exist")</f>
        <v>Exist</v>
      </c>
    </row>
    <row r="104" hidden="1" spans="1:24">
      <c r="A104" s="1" t="s">
        <v>1652</v>
      </c>
      <c r="B104" s="1" t="s">
        <v>90</v>
      </c>
      <c r="C104" s="1" t="s">
        <v>2119</v>
      </c>
      <c r="D104" s="1" t="s">
        <v>2120</v>
      </c>
      <c r="E104" s="2" t="s">
        <v>1331</v>
      </c>
      <c r="F104" s="2" t="s">
        <v>2121</v>
      </c>
      <c r="G104" s="1">
        <v>1</v>
      </c>
      <c r="H104" s="1" t="s">
        <v>1656</v>
      </c>
      <c r="I104" s="1" t="s">
        <v>1657</v>
      </c>
      <c r="J104" s="1" t="s">
        <v>1658</v>
      </c>
      <c r="K104" s="1" t="s">
        <v>1658</v>
      </c>
      <c r="L104" s="1" t="s">
        <v>1658</v>
      </c>
      <c r="M104" s="1" t="s">
        <v>1658</v>
      </c>
      <c r="N104" s="1" t="s">
        <v>1658</v>
      </c>
      <c r="O104" s="1" t="s">
        <v>1658</v>
      </c>
      <c r="P104" s="1">
        <v>1</v>
      </c>
      <c r="Q104" s="1" t="s">
        <v>1658</v>
      </c>
      <c r="R104" s="1">
        <v>0</v>
      </c>
      <c r="S104" s="1" t="s">
        <v>2122</v>
      </c>
      <c r="T104" s="6" t="s">
        <v>2122</v>
      </c>
      <c r="U104" s="1" t="str">
        <f t="shared" si="1"/>
        <v>Yes</v>
      </c>
      <c r="W104" s="1" t="s">
        <v>2123</v>
      </c>
      <c r="X104" s="1" t="str">
        <f>IF(COUNTIF('MyWells Drilling Comp'!F:F,E104)=0,"Missing","Exist")</f>
        <v>Exist</v>
      </c>
    </row>
    <row r="105" hidden="1" spans="1:24">
      <c r="A105" s="1" t="s">
        <v>1652</v>
      </c>
      <c r="B105" s="1" t="s">
        <v>90</v>
      </c>
      <c r="C105" s="1" t="s">
        <v>2124</v>
      </c>
      <c r="D105" s="1" t="s">
        <v>2120</v>
      </c>
      <c r="E105" s="2" t="s">
        <v>1331</v>
      </c>
      <c r="F105" s="2" t="s">
        <v>2125</v>
      </c>
      <c r="G105" s="1">
        <v>1</v>
      </c>
      <c r="H105" s="1" t="s">
        <v>1663</v>
      </c>
      <c r="I105" s="1" t="s">
        <v>1657</v>
      </c>
      <c r="J105" s="1" t="s">
        <v>1658</v>
      </c>
      <c r="K105" s="1" t="s">
        <v>1658</v>
      </c>
      <c r="L105" s="1" t="s">
        <v>1658</v>
      </c>
      <c r="M105" s="1" t="s">
        <v>1658</v>
      </c>
      <c r="N105" s="1" t="s">
        <v>1658</v>
      </c>
      <c r="O105" s="1" t="s">
        <v>1658</v>
      </c>
      <c r="P105" s="1">
        <v>1</v>
      </c>
      <c r="Q105" s="1" t="s">
        <v>1658</v>
      </c>
      <c r="R105" s="1">
        <v>0</v>
      </c>
      <c r="S105" s="1" t="s">
        <v>2126</v>
      </c>
      <c r="T105" s="6" t="s">
        <v>2126</v>
      </c>
      <c r="U105" s="1" t="str">
        <f t="shared" si="1"/>
        <v>Yes</v>
      </c>
      <c r="W105" s="1" t="s">
        <v>2127</v>
      </c>
      <c r="X105" s="1" t="str">
        <f>IF(COUNTIF('MyWells Drilling Comp'!F:F,E105)=0,"Missing","Exist")</f>
        <v>Exist</v>
      </c>
    </row>
    <row r="106" hidden="1" spans="1:24">
      <c r="A106" s="1" t="s">
        <v>1652</v>
      </c>
      <c r="B106" s="1" t="s">
        <v>90</v>
      </c>
      <c r="C106" s="1" t="s">
        <v>2128</v>
      </c>
      <c r="D106" s="1" t="s">
        <v>2129</v>
      </c>
      <c r="E106" s="2" t="s">
        <v>895</v>
      </c>
      <c r="F106" s="2" t="s">
        <v>2130</v>
      </c>
      <c r="G106" s="1">
        <v>1</v>
      </c>
      <c r="H106" s="1" t="s">
        <v>1656</v>
      </c>
      <c r="I106" s="1" t="s">
        <v>1657</v>
      </c>
      <c r="J106" s="1" t="s">
        <v>1658</v>
      </c>
      <c r="K106" s="1" t="s">
        <v>1658</v>
      </c>
      <c r="L106" s="1" t="s">
        <v>1658</v>
      </c>
      <c r="M106" s="1" t="s">
        <v>1658</v>
      </c>
      <c r="N106" s="1" t="s">
        <v>1658</v>
      </c>
      <c r="O106" s="1" t="s">
        <v>1658</v>
      </c>
      <c r="P106" s="1">
        <v>1</v>
      </c>
      <c r="Q106" s="1" t="s">
        <v>1658</v>
      </c>
      <c r="R106" s="1">
        <v>0</v>
      </c>
      <c r="S106" s="1" t="s">
        <v>2131</v>
      </c>
      <c r="T106" s="6" t="s">
        <v>2131</v>
      </c>
      <c r="U106" s="1" t="str">
        <f t="shared" si="1"/>
        <v>Yes</v>
      </c>
      <c r="W106" s="1" t="s">
        <v>2132</v>
      </c>
      <c r="X106" s="1" t="str">
        <f>IF(COUNTIF('MyWells Drilling Comp'!F:F,E106)=0,"Missing","Exist")</f>
        <v>Exist</v>
      </c>
    </row>
    <row r="107" hidden="1" spans="1:24">
      <c r="A107" s="1" t="s">
        <v>1652</v>
      </c>
      <c r="B107" s="1" t="s">
        <v>90</v>
      </c>
      <c r="C107" s="1" t="s">
        <v>2133</v>
      </c>
      <c r="D107" s="1" t="s">
        <v>2129</v>
      </c>
      <c r="E107" s="2" t="s">
        <v>895</v>
      </c>
      <c r="F107" s="2" t="s">
        <v>2134</v>
      </c>
      <c r="G107" s="1">
        <v>1</v>
      </c>
      <c r="H107" s="1" t="s">
        <v>1663</v>
      </c>
      <c r="I107" s="1" t="s">
        <v>1657</v>
      </c>
      <c r="J107" s="1" t="s">
        <v>1658</v>
      </c>
      <c r="K107" s="1" t="s">
        <v>1658</v>
      </c>
      <c r="L107" s="1" t="s">
        <v>1658</v>
      </c>
      <c r="M107" s="1" t="s">
        <v>1658</v>
      </c>
      <c r="N107" s="1" t="s">
        <v>1658</v>
      </c>
      <c r="O107" s="1" t="s">
        <v>1658</v>
      </c>
      <c r="P107" s="1">
        <v>1</v>
      </c>
      <c r="Q107" s="1" t="s">
        <v>1658</v>
      </c>
      <c r="R107" s="1">
        <v>0</v>
      </c>
      <c r="S107" s="1" t="s">
        <v>2135</v>
      </c>
      <c r="T107" s="6" t="s">
        <v>2135</v>
      </c>
      <c r="U107" s="1" t="str">
        <f t="shared" si="1"/>
        <v>Yes</v>
      </c>
      <c r="W107" s="1" t="s">
        <v>2136</v>
      </c>
      <c r="X107" s="1" t="str">
        <f>IF(COUNTIF('MyWells Drilling Comp'!F:F,E107)=0,"Missing","Exist")</f>
        <v>Exist</v>
      </c>
    </row>
    <row r="108" hidden="1" spans="1:24">
      <c r="A108" s="1" t="s">
        <v>1652</v>
      </c>
      <c r="B108" s="1" t="s">
        <v>90</v>
      </c>
      <c r="C108" s="1" t="s">
        <v>2137</v>
      </c>
      <c r="D108" s="1" t="s">
        <v>2138</v>
      </c>
      <c r="E108" s="2" t="s">
        <v>1053</v>
      </c>
      <c r="F108" s="2" t="s">
        <v>2139</v>
      </c>
      <c r="G108" s="1">
        <v>1</v>
      </c>
      <c r="H108" s="1" t="s">
        <v>1656</v>
      </c>
      <c r="I108" s="1" t="s">
        <v>1657</v>
      </c>
      <c r="J108" s="1" t="s">
        <v>1658</v>
      </c>
      <c r="K108" s="1" t="s">
        <v>1658</v>
      </c>
      <c r="L108" s="1" t="s">
        <v>1658</v>
      </c>
      <c r="M108" s="1" t="s">
        <v>1658</v>
      </c>
      <c r="N108" s="1" t="s">
        <v>1658</v>
      </c>
      <c r="O108" s="1" t="s">
        <v>1658</v>
      </c>
      <c r="P108" s="1">
        <v>1</v>
      </c>
      <c r="Q108" s="1" t="s">
        <v>1658</v>
      </c>
      <c r="R108" s="1">
        <v>0</v>
      </c>
      <c r="S108" s="1" t="s">
        <v>2140</v>
      </c>
      <c r="T108" s="6" t="s">
        <v>2140</v>
      </c>
      <c r="U108" s="1" t="str">
        <f t="shared" si="1"/>
        <v>Yes</v>
      </c>
      <c r="W108" s="1" t="s">
        <v>2141</v>
      </c>
      <c r="X108" s="1" t="str">
        <f>IF(COUNTIF('MyWells Drilling Comp'!F:F,E108)=0,"Missing","Exist")</f>
        <v>Exist</v>
      </c>
    </row>
    <row r="109" hidden="1" spans="1:24">
      <c r="A109" s="1" t="s">
        <v>1652</v>
      </c>
      <c r="B109" s="1" t="s">
        <v>90</v>
      </c>
      <c r="C109" s="1" t="s">
        <v>2142</v>
      </c>
      <c r="D109" s="1" t="s">
        <v>2138</v>
      </c>
      <c r="E109" s="2" t="s">
        <v>1053</v>
      </c>
      <c r="F109" s="2" t="s">
        <v>2143</v>
      </c>
      <c r="G109" s="1">
        <v>1</v>
      </c>
      <c r="H109" s="1" t="s">
        <v>1663</v>
      </c>
      <c r="I109" s="1" t="s">
        <v>1657</v>
      </c>
      <c r="J109" s="1" t="s">
        <v>1658</v>
      </c>
      <c r="K109" s="1" t="s">
        <v>1658</v>
      </c>
      <c r="L109" s="1" t="s">
        <v>1658</v>
      </c>
      <c r="M109" s="1" t="s">
        <v>1658</v>
      </c>
      <c r="N109" s="1" t="s">
        <v>1658</v>
      </c>
      <c r="O109" s="1" t="s">
        <v>1658</v>
      </c>
      <c r="P109" s="1">
        <v>1</v>
      </c>
      <c r="Q109" s="1" t="s">
        <v>1658</v>
      </c>
      <c r="R109" s="1">
        <v>0</v>
      </c>
      <c r="S109" s="1" t="s">
        <v>2144</v>
      </c>
      <c r="T109" s="6" t="s">
        <v>2144</v>
      </c>
      <c r="U109" s="1" t="str">
        <f t="shared" si="1"/>
        <v>Yes</v>
      </c>
      <c r="W109" s="1" t="s">
        <v>2145</v>
      </c>
      <c r="X109" s="1" t="str">
        <f>IF(COUNTIF('MyWells Drilling Comp'!F:F,E109)=0,"Missing","Exist")</f>
        <v>Exist</v>
      </c>
    </row>
    <row r="110" hidden="1" spans="1:24">
      <c r="A110" s="1" t="s">
        <v>1652</v>
      </c>
      <c r="B110" s="1" t="s">
        <v>90</v>
      </c>
      <c r="C110" s="1" t="s">
        <v>2146</v>
      </c>
      <c r="D110" s="1" t="s">
        <v>2147</v>
      </c>
      <c r="E110" s="2" t="s">
        <v>809</v>
      </c>
      <c r="F110" s="2" t="s">
        <v>2148</v>
      </c>
      <c r="G110" s="1">
        <v>1</v>
      </c>
      <c r="H110" s="1" t="s">
        <v>1656</v>
      </c>
      <c r="I110" s="1" t="s">
        <v>1657</v>
      </c>
      <c r="J110" s="1" t="s">
        <v>1658</v>
      </c>
      <c r="K110" s="1" t="s">
        <v>1658</v>
      </c>
      <c r="L110" s="1" t="s">
        <v>1658</v>
      </c>
      <c r="M110" s="1" t="s">
        <v>1658</v>
      </c>
      <c r="N110" s="1" t="s">
        <v>1658</v>
      </c>
      <c r="O110" s="1" t="s">
        <v>1658</v>
      </c>
      <c r="P110" s="1">
        <v>1</v>
      </c>
      <c r="Q110" s="1" t="s">
        <v>1658</v>
      </c>
      <c r="R110" s="1">
        <v>0</v>
      </c>
      <c r="S110" s="1" t="s">
        <v>2149</v>
      </c>
      <c r="T110" s="6" t="s">
        <v>2149</v>
      </c>
      <c r="U110" s="1" t="str">
        <f t="shared" si="1"/>
        <v>Yes</v>
      </c>
      <c r="W110" s="1" t="s">
        <v>2150</v>
      </c>
      <c r="X110" s="1" t="str">
        <f>IF(COUNTIF('MyWells Drilling Comp'!F:F,E110)=0,"Missing","Exist")</f>
        <v>Exist</v>
      </c>
    </row>
    <row r="111" hidden="1" spans="1:24">
      <c r="A111" s="1" t="s">
        <v>1652</v>
      </c>
      <c r="B111" s="1" t="s">
        <v>90</v>
      </c>
      <c r="C111" s="1" t="s">
        <v>2151</v>
      </c>
      <c r="D111" s="1" t="s">
        <v>2147</v>
      </c>
      <c r="E111" s="2" t="s">
        <v>809</v>
      </c>
      <c r="F111" s="2" t="s">
        <v>2152</v>
      </c>
      <c r="G111" s="1">
        <v>1</v>
      </c>
      <c r="H111" s="1" t="s">
        <v>1663</v>
      </c>
      <c r="I111" s="1" t="s">
        <v>1657</v>
      </c>
      <c r="J111" s="1" t="s">
        <v>1658</v>
      </c>
      <c r="K111" s="1" t="s">
        <v>1658</v>
      </c>
      <c r="L111" s="1" t="s">
        <v>1658</v>
      </c>
      <c r="M111" s="1" t="s">
        <v>1658</v>
      </c>
      <c r="N111" s="1" t="s">
        <v>1658</v>
      </c>
      <c r="O111" s="1" t="s">
        <v>1658</v>
      </c>
      <c r="P111" s="1">
        <v>1</v>
      </c>
      <c r="Q111" s="1" t="s">
        <v>1658</v>
      </c>
      <c r="R111" s="1">
        <v>0</v>
      </c>
      <c r="S111" s="1" t="s">
        <v>2153</v>
      </c>
      <c r="T111" s="6" t="s">
        <v>2153</v>
      </c>
      <c r="U111" s="1" t="str">
        <f t="shared" si="1"/>
        <v>Yes</v>
      </c>
      <c r="W111" s="1" t="s">
        <v>2154</v>
      </c>
      <c r="X111" s="1" t="str">
        <f>IF(COUNTIF('MyWells Drilling Comp'!F:F,E111)=0,"Missing","Exist")</f>
        <v>Exist</v>
      </c>
    </row>
    <row r="112" hidden="1" spans="1:24">
      <c r="A112" s="1" t="s">
        <v>1652</v>
      </c>
      <c r="B112" s="1" t="s">
        <v>90</v>
      </c>
      <c r="C112" s="1" t="s">
        <v>2155</v>
      </c>
      <c r="D112" s="1" t="s">
        <v>2156</v>
      </c>
      <c r="E112" s="2" t="s">
        <v>496</v>
      </c>
      <c r="F112" s="2" t="s">
        <v>2157</v>
      </c>
      <c r="G112" s="1">
        <v>1</v>
      </c>
      <c r="H112" s="1" t="s">
        <v>1656</v>
      </c>
      <c r="I112" s="1" t="s">
        <v>1657</v>
      </c>
      <c r="J112" s="1" t="s">
        <v>1658</v>
      </c>
      <c r="K112" s="1" t="s">
        <v>1658</v>
      </c>
      <c r="L112" s="1" t="s">
        <v>1658</v>
      </c>
      <c r="M112" s="1" t="s">
        <v>1658</v>
      </c>
      <c r="N112" s="1" t="s">
        <v>1658</v>
      </c>
      <c r="O112" s="1" t="s">
        <v>1658</v>
      </c>
      <c r="P112" s="1">
        <v>1</v>
      </c>
      <c r="Q112" s="1" t="s">
        <v>1658</v>
      </c>
      <c r="R112" s="1">
        <v>0</v>
      </c>
      <c r="S112" s="1" t="s">
        <v>2158</v>
      </c>
      <c r="T112" s="6" t="s">
        <v>2158</v>
      </c>
      <c r="U112" s="1" t="str">
        <f t="shared" si="1"/>
        <v>Yes</v>
      </c>
      <c r="W112" s="1" t="s">
        <v>2159</v>
      </c>
      <c r="X112" s="1" t="str">
        <f>IF(COUNTIF('MyWells Drilling Comp'!F:F,E112)=0,"Missing","Exist")</f>
        <v>Exist</v>
      </c>
    </row>
    <row r="113" hidden="1" spans="1:24">
      <c r="A113" s="1" t="s">
        <v>1652</v>
      </c>
      <c r="B113" s="1" t="s">
        <v>90</v>
      </c>
      <c r="C113" s="1" t="s">
        <v>2160</v>
      </c>
      <c r="D113" s="1" t="s">
        <v>2156</v>
      </c>
      <c r="E113" s="2" t="s">
        <v>496</v>
      </c>
      <c r="F113" s="2" t="s">
        <v>2161</v>
      </c>
      <c r="G113" s="1">
        <v>1</v>
      </c>
      <c r="H113" s="1" t="s">
        <v>1663</v>
      </c>
      <c r="I113" s="1" t="s">
        <v>1657</v>
      </c>
      <c r="J113" s="1" t="s">
        <v>1658</v>
      </c>
      <c r="K113" s="1" t="s">
        <v>1658</v>
      </c>
      <c r="L113" s="1" t="s">
        <v>1658</v>
      </c>
      <c r="M113" s="1" t="s">
        <v>1658</v>
      </c>
      <c r="N113" s="1" t="s">
        <v>1658</v>
      </c>
      <c r="O113" s="1" t="s">
        <v>1658</v>
      </c>
      <c r="P113" s="1">
        <v>1</v>
      </c>
      <c r="Q113" s="1" t="s">
        <v>1658</v>
      </c>
      <c r="R113" s="1">
        <v>0</v>
      </c>
      <c r="S113" s="1" t="s">
        <v>2162</v>
      </c>
      <c r="T113" s="6" t="s">
        <v>2162</v>
      </c>
      <c r="U113" s="1" t="str">
        <f t="shared" si="1"/>
        <v>Yes</v>
      </c>
      <c r="W113" s="1" t="s">
        <v>2163</v>
      </c>
      <c r="X113" s="1" t="str">
        <f>IF(COUNTIF('MyWells Drilling Comp'!F:F,E113)=0,"Missing","Exist")</f>
        <v>Exist</v>
      </c>
    </row>
    <row r="114" hidden="1" spans="1:24">
      <c r="A114" s="1" t="s">
        <v>1652</v>
      </c>
      <c r="B114" s="1" t="s">
        <v>90</v>
      </c>
      <c r="C114" s="1" t="s">
        <v>2164</v>
      </c>
      <c r="D114" s="1" t="s">
        <v>2165</v>
      </c>
      <c r="E114" s="2" t="s">
        <v>1064</v>
      </c>
      <c r="F114" s="2" t="s">
        <v>2166</v>
      </c>
      <c r="G114" s="1">
        <v>1</v>
      </c>
      <c r="H114" s="1" t="s">
        <v>1663</v>
      </c>
      <c r="I114" s="1" t="s">
        <v>1657</v>
      </c>
      <c r="J114" s="1" t="s">
        <v>1658</v>
      </c>
      <c r="K114" s="1" t="s">
        <v>1658</v>
      </c>
      <c r="L114" s="1" t="s">
        <v>1658</v>
      </c>
      <c r="M114" s="1" t="s">
        <v>1658</v>
      </c>
      <c r="N114" s="1" t="s">
        <v>1658</v>
      </c>
      <c r="O114" s="1" t="s">
        <v>1658</v>
      </c>
      <c r="P114" s="1">
        <v>1</v>
      </c>
      <c r="Q114" s="1" t="s">
        <v>1658</v>
      </c>
      <c r="R114" s="1">
        <v>0</v>
      </c>
      <c r="S114" s="1" t="s">
        <v>2167</v>
      </c>
      <c r="T114" s="6" t="s">
        <v>2167</v>
      </c>
      <c r="U114" s="1" t="str">
        <f t="shared" si="1"/>
        <v>Yes</v>
      </c>
      <c r="W114" s="1" t="s">
        <v>2168</v>
      </c>
      <c r="X114" s="1" t="str">
        <f>IF(COUNTIF('MyWells Drilling Comp'!F:F,E114)=0,"Missing","Exist")</f>
        <v>Exist</v>
      </c>
    </row>
    <row r="115" hidden="1" spans="1:24">
      <c r="A115" s="1" t="s">
        <v>1652</v>
      </c>
      <c r="B115" s="1" t="s">
        <v>90</v>
      </c>
      <c r="C115" s="1" t="s">
        <v>2169</v>
      </c>
      <c r="D115" s="1" t="s">
        <v>2165</v>
      </c>
      <c r="E115" s="2" t="s">
        <v>1064</v>
      </c>
      <c r="F115" s="2" t="s">
        <v>2170</v>
      </c>
      <c r="G115" s="1">
        <v>1</v>
      </c>
      <c r="H115" s="1" t="s">
        <v>1656</v>
      </c>
      <c r="I115" s="1" t="s">
        <v>1657</v>
      </c>
      <c r="J115" s="1" t="s">
        <v>1658</v>
      </c>
      <c r="K115" s="1" t="s">
        <v>1658</v>
      </c>
      <c r="L115" s="1" t="s">
        <v>1658</v>
      </c>
      <c r="M115" s="1" t="s">
        <v>1658</v>
      </c>
      <c r="N115" s="1" t="s">
        <v>1658</v>
      </c>
      <c r="O115" s="1" t="s">
        <v>1658</v>
      </c>
      <c r="P115" s="1">
        <v>1</v>
      </c>
      <c r="Q115" s="1" t="s">
        <v>1658</v>
      </c>
      <c r="R115" s="1">
        <v>0</v>
      </c>
      <c r="S115" s="1" t="s">
        <v>2171</v>
      </c>
      <c r="T115" s="6" t="s">
        <v>2171</v>
      </c>
      <c r="U115" s="1" t="str">
        <f t="shared" si="1"/>
        <v>Yes</v>
      </c>
      <c r="W115" s="1" t="s">
        <v>2172</v>
      </c>
      <c r="X115" s="1" t="str">
        <f>IF(COUNTIF('MyWells Drilling Comp'!F:F,E115)=0,"Missing","Exist")</f>
        <v>Exist</v>
      </c>
    </row>
    <row r="116" hidden="1" spans="1:24">
      <c r="A116" s="1" t="s">
        <v>1652</v>
      </c>
      <c r="B116" s="1" t="s">
        <v>90</v>
      </c>
      <c r="C116" s="1" t="s">
        <v>2173</v>
      </c>
      <c r="D116" s="1" t="s">
        <v>2174</v>
      </c>
      <c r="E116" s="2" t="s">
        <v>590</v>
      </c>
      <c r="F116" s="2" t="s">
        <v>2175</v>
      </c>
      <c r="G116" s="1">
        <v>1</v>
      </c>
      <c r="H116" s="1" t="s">
        <v>1656</v>
      </c>
      <c r="I116" s="1" t="s">
        <v>1657</v>
      </c>
      <c r="J116" s="1" t="s">
        <v>1658</v>
      </c>
      <c r="K116" s="1" t="s">
        <v>1658</v>
      </c>
      <c r="L116" s="1" t="s">
        <v>1658</v>
      </c>
      <c r="M116" s="1" t="s">
        <v>1658</v>
      </c>
      <c r="N116" s="1" t="s">
        <v>1658</v>
      </c>
      <c r="O116" s="1" t="s">
        <v>1658</v>
      </c>
      <c r="P116" s="1">
        <v>1</v>
      </c>
      <c r="Q116" s="1" t="s">
        <v>1658</v>
      </c>
      <c r="R116" s="1">
        <v>0</v>
      </c>
      <c r="S116" s="1" t="s">
        <v>2176</v>
      </c>
      <c r="T116" s="6" t="s">
        <v>2176</v>
      </c>
      <c r="U116" s="1" t="str">
        <f t="shared" si="1"/>
        <v>Yes</v>
      </c>
      <c r="W116" s="1" t="s">
        <v>2177</v>
      </c>
      <c r="X116" s="1" t="str">
        <f>IF(COUNTIF('MyWells Drilling Comp'!F:F,E116)=0,"Missing","Exist")</f>
        <v>Exist</v>
      </c>
    </row>
    <row r="117" hidden="1" spans="1:24">
      <c r="A117" s="1" t="s">
        <v>1652</v>
      </c>
      <c r="B117" s="1" t="s">
        <v>90</v>
      </c>
      <c r="C117" s="1" t="s">
        <v>2178</v>
      </c>
      <c r="D117" s="1" t="s">
        <v>2174</v>
      </c>
      <c r="E117" s="2" t="s">
        <v>590</v>
      </c>
      <c r="F117" s="2" t="s">
        <v>2179</v>
      </c>
      <c r="G117" s="1">
        <v>1</v>
      </c>
      <c r="H117" s="1" t="s">
        <v>1663</v>
      </c>
      <c r="I117" s="1" t="s">
        <v>1657</v>
      </c>
      <c r="J117" s="1" t="s">
        <v>1658</v>
      </c>
      <c r="K117" s="1" t="s">
        <v>1658</v>
      </c>
      <c r="L117" s="1" t="s">
        <v>1658</v>
      </c>
      <c r="M117" s="1" t="s">
        <v>1658</v>
      </c>
      <c r="N117" s="1" t="s">
        <v>1658</v>
      </c>
      <c r="O117" s="1" t="s">
        <v>1658</v>
      </c>
      <c r="P117" s="1">
        <v>1</v>
      </c>
      <c r="Q117" s="1" t="s">
        <v>1658</v>
      </c>
      <c r="R117" s="1">
        <v>0</v>
      </c>
      <c r="S117" s="1" t="s">
        <v>2180</v>
      </c>
      <c r="T117" s="6" t="s">
        <v>2180</v>
      </c>
      <c r="U117" s="1" t="str">
        <f t="shared" si="1"/>
        <v>Yes</v>
      </c>
      <c r="W117" s="1" t="s">
        <v>2181</v>
      </c>
      <c r="X117" s="1" t="str">
        <f>IF(COUNTIF('MyWells Drilling Comp'!F:F,E117)=0,"Missing","Exist")</f>
        <v>Exist</v>
      </c>
    </row>
    <row r="118" hidden="1" spans="1:24">
      <c r="A118" s="1" t="s">
        <v>1652</v>
      </c>
      <c r="B118" s="1" t="s">
        <v>90</v>
      </c>
      <c r="C118" s="1" t="s">
        <v>2182</v>
      </c>
      <c r="D118" s="1" t="s">
        <v>2183</v>
      </c>
      <c r="E118" s="2" t="s">
        <v>1497</v>
      </c>
      <c r="F118" s="2" t="s">
        <v>2184</v>
      </c>
      <c r="G118" s="1">
        <v>1</v>
      </c>
      <c r="H118" s="1" t="s">
        <v>1663</v>
      </c>
      <c r="I118" s="1" t="s">
        <v>1657</v>
      </c>
      <c r="J118" s="1" t="s">
        <v>1658</v>
      </c>
      <c r="K118" s="1" t="s">
        <v>1658</v>
      </c>
      <c r="L118" s="1" t="s">
        <v>1658</v>
      </c>
      <c r="M118" s="1" t="s">
        <v>1658</v>
      </c>
      <c r="N118" s="1" t="s">
        <v>1658</v>
      </c>
      <c r="O118" s="1" t="s">
        <v>1658</v>
      </c>
      <c r="P118" s="1">
        <v>1</v>
      </c>
      <c r="Q118" s="1" t="s">
        <v>1658</v>
      </c>
      <c r="R118" s="1">
        <v>0</v>
      </c>
      <c r="S118" s="1" t="s">
        <v>2185</v>
      </c>
      <c r="T118" s="6" t="s">
        <v>2185</v>
      </c>
      <c r="U118" s="1" t="str">
        <f t="shared" si="1"/>
        <v>Yes</v>
      </c>
      <c r="W118" s="1" t="s">
        <v>2186</v>
      </c>
      <c r="X118" s="1" t="str">
        <f>IF(COUNTIF('MyWells Drilling Comp'!F:F,E118)=0,"Missing","Exist")</f>
        <v>Exist</v>
      </c>
    </row>
    <row r="119" hidden="1" spans="1:24">
      <c r="A119" s="1" t="s">
        <v>1652</v>
      </c>
      <c r="B119" s="1" t="s">
        <v>90</v>
      </c>
      <c r="C119" s="1" t="s">
        <v>2187</v>
      </c>
      <c r="D119" s="1" t="s">
        <v>2183</v>
      </c>
      <c r="E119" s="2" t="s">
        <v>1497</v>
      </c>
      <c r="F119" s="2" t="s">
        <v>2188</v>
      </c>
      <c r="G119" s="1">
        <v>1</v>
      </c>
      <c r="H119" s="1" t="s">
        <v>1656</v>
      </c>
      <c r="I119" s="1" t="s">
        <v>1657</v>
      </c>
      <c r="J119" s="1" t="s">
        <v>1658</v>
      </c>
      <c r="K119" s="1" t="s">
        <v>1658</v>
      </c>
      <c r="L119" s="1" t="s">
        <v>1658</v>
      </c>
      <c r="M119" s="1" t="s">
        <v>1658</v>
      </c>
      <c r="N119" s="1" t="s">
        <v>1658</v>
      </c>
      <c r="O119" s="1" t="s">
        <v>1658</v>
      </c>
      <c r="P119" s="1">
        <v>1</v>
      </c>
      <c r="Q119" s="1" t="s">
        <v>1658</v>
      </c>
      <c r="R119" s="1">
        <v>0</v>
      </c>
      <c r="S119" s="1" t="s">
        <v>2189</v>
      </c>
      <c r="T119" s="6" t="s">
        <v>2189</v>
      </c>
      <c r="U119" s="1" t="str">
        <f t="shared" si="1"/>
        <v>Yes</v>
      </c>
      <c r="W119" s="1" t="s">
        <v>2190</v>
      </c>
      <c r="X119" s="1" t="str">
        <f>IF(COUNTIF('MyWells Drilling Comp'!F:F,E119)=0,"Missing","Exist")</f>
        <v>Exist</v>
      </c>
    </row>
    <row r="120" hidden="1" spans="1:24">
      <c r="A120" s="1" t="s">
        <v>1652</v>
      </c>
      <c r="B120" s="1" t="s">
        <v>90</v>
      </c>
      <c r="C120" s="1" t="s">
        <v>2191</v>
      </c>
      <c r="D120" s="1" t="s">
        <v>2192</v>
      </c>
      <c r="E120" s="9" t="s">
        <v>1238</v>
      </c>
      <c r="F120" s="1" t="s">
        <v>2193</v>
      </c>
      <c r="G120" s="1">
        <v>1</v>
      </c>
      <c r="H120" s="1" t="s">
        <v>1656</v>
      </c>
      <c r="I120" s="1" t="s">
        <v>1657</v>
      </c>
      <c r="J120" s="1" t="s">
        <v>1658</v>
      </c>
      <c r="K120" s="1" t="s">
        <v>1658</v>
      </c>
      <c r="L120" s="1" t="s">
        <v>1658</v>
      </c>
      <c r="M120" s="1" t="s">
        <v>1658</v>
      </c>
      <c r="N120" s="1" t="s">
        <v>1658</v>
      </c>
      <c r="O120" s="1" t="s">
        <v>1658</v>
      </c>
      <c r="P120" s="1">
        <v>1</v>
      </c>
      <c r="Q120" s="1" t="s">
        <v>1658</v>
      </c>
      <c r="R120" s="1">
        <v>0</v>
      </c>
      <c r="S120" s="1" t="s">
        <v>2194</v>
      </c>
      <c r="T120" s="6" t="s">
        <v>2194</v>
      </c>
      <c r="U120" s="1" t="str">
        <f t="shared" si="1"/>
        <v>Yes</v>
      </c>
      <c r="W120" s="1" t="s">
        <v>2195</v>
      </c>
      <c r="X120" s="1" t="str">
        <f>IF(COUNTIF('MyWells Drilling Comp'!F:F,E120)=0,"Missing","Exist")</f>
        <v>Exist</v>
      </c>
    </row>
    <row r="121" hidden="1" spans="1:24">
      <c r="A121" s="1" t="s">
        <v>1652</v>
      </c>
      <c r="B121" s="1" t="s">
        <v>90</v>
      </c>
      <c r="C121" s="1" t="s">
        <v>2196</v>
      </c>
      <c r="D121" s="1" t="s">
        <v>2192</v>
      </c>
      <c r="E121" s="9" t="s">
        <v>1238</v>
      </c>
      <c r="F121" s="1" t="s">
        <v>2197</v>
      </c>
      <c r="G121" s="1">
        <v>1</v>
      </c>
      <c r="H121" s="1" t="s">
        <v>1663</v>
      </c>
      <c r="I121" s="1" t="s">
        <v>1657</v>
      </c>
      <c r="J121" s="1" t="s">
        <v>1658</v>
      </c>
      <c r="K121" s="1" t="s">
        <v>1658</v>
      </c>
      <c r="L121" s="1" t="s">
        <v>1658</v>
      </c>
      <c r="M121" s="1" t="s">
        <v>1658</v>
      </c>
      <c r="N121" s="1" t="s">
        <v>1658</v>
      </c>
      <c r="O121" s="1" t="s">
        <v>1658</v>
      </c>
      <c r="P121" s="1">
        <v>1</v>
      </c>
      <c r="Q121" s="1" t="s">
        <v>1658</v>
      </c>
      <c r="R121" s="1">
        <v>0</v>
      </c>
      <c r="S121" s="1" t="s">
        <v>2198</v>
      </c>
      <c r="T121" s="6" t="s">
        <v>2198</v>
      </c>
      <c r="U121" s="1" t="str">
        <f t="shared" si="1"/>
        <v>Yes</v>
      </c>
      <c r="W121" s="1" t="s">
        <v>2199</v>
      </c>
      <c r="X121" s="1" t="str">
        <f>IF(COUNTIF('MyWells Drilling Comp'!F:F,E121)=0,"Missing","Exist")</f>
        <v>Exist</v>
      </c>
    </row>
    <row r="122" hidden="1" spans="1:24">
      <c r="A122" s="1" t="s">
        <v>1652</v>
      </c>
      <c r="B122" s="1" t="s">
        <v>90</v>
      </c>
      <c r="C122" s="1" t="s">
        <v>2200</v>
      </c>
      <c r="D122" s="1" t="s">
        <v>2201</v>
      </c>
      <c r="E122" s="2" t="s">
        <v>663</v>
      </c>
      <c r="F122" s="2" t="s">
        <v>2202</v>
      </c>
      <c r="G122" s="1">
        <v>1</v>
      </c>
      <c r="H122" s="1" t="s">
        <v>1656</v>
      </c>
      <c r="I122" s="1" t="s">
        <v>1657</v>
      </c>
      <c r="J122" s="1" t="s">
        <v>1658</v>
      </c>
      <c r="K122" s="1" t="s">
        <v>1658</v>
      </c>
      <c r="L122" s="1" t="s">
        <v>1658</v>
      </c>
      <c r="M122" s="1" t="s">
        <v>1658</v>
      </c>
      <c r="N122" s="1" t="s">
        <v>1658</v>
      </c>
      <c r="O122" s="1" t="s">
        <v>1658</v>
      </c>
      <c r="P122" s="1">
        <v>1</v>
      </c>
      <c r="Q122" s="1" t="s">
        <v>1658</v>
      </c>
      <c r="R122" s="1">
        <v>0</v>
      </c>
      <c r="S122" s="1" t="s">
        <v>2203</v>
      </c>
      <c r="T122" s="6" t="s">
        <v>2203</v>
      </c>
      <c r="U122" s="1" t="str">
        <f t="shared" si="1"/>
        <v>Yes</v>
      </c>
      <c r="W122" s="1" t="s">
        <v>2204</v>
      </c>
      <c r="X122" s="1" t="str">
        <f>IF(COUNTIF('MyWells Drilling Comp'!F:F,E122)=0,"Missing","Exist")</f>
        <v>Exist</v>
      </c>
    </row>
    <row r="123" hidden="1" spans="1:24">
      <c r="A123" s="1" t="s">
        <v>1652</v>
      </c>
      <c r="B123" s="1" t="s">
        <v>90</v>
      </c>
      <c r="C123" s="1" t="s">
        <v>2205</v>
      </c>
      <c r="D123" s="1" t="s">
        <v>2201</v>
      </c>
      <c r="E123" s="2" t="s">
        <v>663</v>
      </c>
      <c r="F123" s="2" t="s">
        <v>2206</v>
      </c>
      <c r="G123" s="1">
        <v>1</v>
      </c>
      <c r="H123" s="1" t="s">
        <v>1663</v>
      </c>
      <c r="I123" s="1" t="s">
        <v>1657</v>
      </c>
      <c r="J123" s="1" t="s">
        <v>1658</v>
      </c>
      <c r="K123" s="1" t="s">
        <v>1658</v>
      </c>
      <c r="L123" s="1" t="s">
        <v>1658</v>
      </c>
      <c r="M123" s="1" t="s">
        <v>1658</v>
      </c>
      <c r="N123" s="1" t="s">
        <v>1658</v>
      </c>
      <c r="O123" s="1" t="s">
        <v>1658</v>
      </c>
      <c r="P123" s="1">
        <v>1</v>
      </c>
      <c r="Q123" s="1" t="s">
        <v>1658</v>
      </c>
      <c r="R123" s="1">
        <v>0</v>
      </c>
      <c r="S123" s="1" t="s">
        <v>2207</v>
      </c>
      <c r="T123" s="6" t="s">
        <v>2207</v>
      </c>
      <c r="U123" s="1" t="str">
        <f t="shared" si="1"/>
        <v>Yes</v>
      </c>
      <c r="W123" s="1" t="s">
        <v>2208</v>
      </c>
      <c r="X123" s="1" t="str">
        <f>IF(COUNTIF('MyWells Drilling Comp'!F:F,E123)=0,"Missing","Exist")</f>
        <v>Exist</v>
      </c>
    </row>
    <row r="124" hidden="1" spans="1:24">
      <c r="A124" s="1" t="s">
        <v>1652</v>
      </c>
      <c r="B124" s="1" t="s">
        <v>90</v>
      </c>
      <c r="C124" s="1" t="s">
        <v>2209</v>
      </c>
      <c r="D124" s="1" t="s">
        <v>2210</v>
      </c>
      <c r="E124" s="2" t="s">
        <v>522</v>
      </c>
      <c r="F124" s="2" t="s">
        <v>2211</v>
      </c>
      <c r="G124" s="1">
        <v>1</v>
      </c>
      <c r="H124" s="1" t="s">
        <v>1656</v>
      </c>
      <c r="I124" s="1" t="s">
        <v>1657</v>
      </c>
      <c r="J124" s="1" t="s">
        <v>1658</v>
      </c>
      <c r="K124" s="1" t="s">
        <v>1658</v>
      </c>
      <c r="L124" s="1" t="s">
        <v>1658</v>
      </c>
      <c r="M124" s="1" t="s">
        <v>1658</v>
      </c>
      <c r="N124" s="1" t="s">
        <v>1658</v>
      </c>
      <c r="O124" s="1" t="s">
        <v>1658</v>
      </c>
      <c r="P124" s="1">
        <v>1</v>
      </c>
      <c r="Q124" s="1" t="s">
        <v>1658</v>
      </c>
      <c r="R124" s="1">
        <v>0</v>
      </c>
      <c r="S124" s="1" t="s">
        <v>2212</v>
      </c>
      <c r="T124" s="6" t="s">
        <v>2212</v>
      </c>
      <c r="U124" s="1" t="str">
        <f t="shared" si="1"/>
        <v>Yes</v>
      </c>
      <c r="W124" s="1" t="s">
        <v>2213</v>
      </c>
      <c r="X124" s="1" t="str">
        <f>IF(COUNTIF('MyWells Drilling Comp'!F:F,E124)=0,"Missing","Exist")</f>
        <v>Exist</v>
      </c>
    </row>
    <row r="125" hidden="1" spans="1:24">
      <c r="A125" s="1" t="s">
        <v>1652</v>
      </c>
      <c r="B125" s="1" t="s">
        <v>90</v>
      </c>
      <c r="C125" s="1" t="s">
        <v>2214</v>
      </c>
      <c r="D125" s="1" t="s">
        <v>2210</v>
      </c>
      <c r="E125" s="2" t="s">
        <v>522</v>
      </c>
      <c r="F125" s="2" t="s">
        <v>2215</v>
      </c>
      <c r="G125" s="1">
        <v>1</v>
      </c>
      <c r="H125" s="1" t="s">
        <v>1663</v>
      </c>
      <c r="I125" s="1" t="s">
        <v>1657</v>
      </c>
      <c r="J125" s="1" t="s">
        <v>1658</v>
      </c>
      <c r="K125" s="1" t="s">
        <v>1658</v>
      </c>
      <c r="L125" s="1" t="s">
        <v>1658</v>
      </c>
      <c r="M125" s="1" t="s">
        <v>1658</v>
      </c>
      <c r="N125" s="1" t="s">
        <v>1658</v>
      </c>
      <c r="O125" s="1" t="s">
        <v>1658</v>
      </c>
      <c r="P125" s="1">
        <v>1</v>
      </c>
      <c r="Q125" s="1" t="s">
        <v>1658</v>
      </c>
      <c r="R125" s="1">
        <v>0</v>
      </c>
      <c r="S125" s="1" t="s">
        <v>2216</v>
      </c>
      <c r="T125" s="6" t="s">
        <v>2216</v>
      </c>
      <c r="U125" s="1" t="str">
        <f t="shared" si="1"/>
        <v>Yes</v>
      </c>
      <c r="W125" s="1" t="s">
        <v>2217</v>
      </c>
      <c r="X125" s="1" t="str">
        <f>IF(COUNTIF('MyWells Drilling Comp'!F:F,E125)=0,"Missing","Exist")</f>
        <v>Exist</v>
      </c>
    </row>
    <row r="126" hidden="1" spans="1:24">
      <c r="A126" s="1" t="s">
        <v>1652</v>
      </c>
      <c r="B126" s="1" t="s">
        <v>90</v>
      </c>
      <c r="C126" s="1" t="s">
        <v>2218</v>
      </c>
      <c r="D126" s="1" t="s">
        <v>2219</v>
      </c>
      <c r="E126" s="2" t="s">
        <v>932</v>
      </c>
      <c r="F126" s="2" t="s">
        <v>2220</v>
      </c>
      <c r="G126" s="1">
        <v>1</v>
      </c>
      <c r="H126" s="1" t="s">
        <v>1663</v>
      </c>
      <c r="I126" s="1" t="s">
        <v>1657</v>
      </c>
      <c r="J126" s="1" t="s">
        <v>1658</v>
      </c>
      <c r="K126" s="1" t="s">
        <v>1658</v>
      </c>
      <c r="L126" s="1" t="s">
        <v>1658</v>
      </c>
      <c r="M126" s="1" t="s">
        <v>1658</v>
      </c>
      <c r="N126" s="1" t="s">
        <v>1658</v>
      </c>
      <c r="O126" s="1" t="s">
        <v>1658</v>
      </c>
      <c r="P126" s="1">
        <v>1</v>
      </c>
      <c r="Q126" s="1" t="s">
        <v>1658</v>
      </c>
      <c r="R126" s="1">
        <v>0</v>
      </c>
      <c r="S126" s="1" t="s">
        <v>2221</v>
      </c>
      <c r="T126" s="6" t="s">
        <v>2221</v>
      </c>
      <c r="U126" s="1" t="str">
        <f t="shared" si="1"/>
        <v>Yes</v>
      </c>
      <c r="W126" s="1" t="s">
        <v>2222</v>
      </c>
      <c r="X126" s="1" t="str">
        <f>IF(COUNTIF('MyWells Drilling Comp'!F:F,E126)=0,"Missing","Exist")</f>
        <v>Exist</v>
      </c>
    </row>
    <row r="127" hidden="1" spans="1:24">
      <c r="A127" s="1" t="s">
        <v>1652</v>
      </c>
      <c r="B127" s="1" t="s">
        <v>90</v>
      </c>
      <c r="C127" s="1" t="s">
        <v>2223</v>
      </c>
      <c r="D127" s="1" t="s">
        <v>2219</v>
      </c>
      <c r="E127" s="2" t="s">
        <v>932</v>
      </c>
      <c r="F127" s="2" t="s">
        <v>2224</v>
      </c>
      <c r="G127" s="1">
        <v>1</v>
      </c>
      <c r="H127" s="1" t="s">
        <v>1656</v>
      </c>
      <c r="I127" s="1" t="s">
        <v>1657</v>
      </c>
      <c r="J127" s="1" t="s">
        <v>1658</v>
      </c>
      <c r="K127" s="1" t="s">
        <v>1658</v>
      </c>
      <c r="L127" s="1" t="s">
        <v>1658</v>
      </c>
      <c r="M127" s="1" t="s">
        <v>1658</v>
      </c>
      <c r="N127" s="1" t="s">
        <v>1658</v>
      </c>
      <c r="O127" s="1" t="s">
        <v>1658</v>
      </c>
      <c r="P127" s="1">
        <v>1</v>
      </c>
      <c r="Q127" s="1" t="s">
        <v>1658</v>
      </c>
      <c r="R127" s="1">
        <v>0</v>
      </c>
      <c r="S127" s="1" t="s">
        <v>2225</v>
      </c>
      <c r="T127" s="6" t="s">
        <v>2225</v>
      </c>
      <c r="U127" s="1" t="str">
        <f t="shared" si="1"/>
        <v>Yes</v>
      </c>
      <c r="W127" s="1" t="s">
        <v>2226</v>
      </c>
      <c r="X127" s="1" t="str">
        <f>IF(COUNTIF('MyWells Drilling Comp'!F:F,E127)=0,"Missing","Exist")</f>
        <v>Exist</v>
      </c>
    </row>
    <row r="128" hidden="1" spans="1:24">
      <c r="A128" s="1" t="s">
        <v>1652</v>
      </c>
      <c r="B128" s="1" t="s">
        <v>90</v>
      </c>
      <c r="C128" s="1" t="s">
        <v>2227</v>
      </c>
      <c r="D128" s="1" t="s">
        <v>2228</v>
      </c>
      <c r="E128" s="2" t="s">
        <v>1401</v>
      </c>
      <c r="F128" s="2" t="s">
        <v>2229</v>
      </c>
      <c r="G128" s="1">
        <v>1</v>
      </c>
      <c r="H128" s="1" t="s">
        <v>1656</v>
      </c>
      <c r="I128" s="1" t="s">
        <v>1657</v>
      </c>
      <c r="J128" s="1" t="s">
        <v>1658</v>
      </c>
      <c r="K128" s="1" t="s">
        <v>1658</v>
      </c>
      <c r="L128" s="1" t="s">
        <v>1658</v>
      </c>
      <c r="M128" s="1" t="s">
        <v>1658</v>
      </c>
      <c r="N128" s="1" t="s">
        <v>1658</v>
      </c>
      <c r="O128" s="1" t="s">
        <v>1658</v>
      </c>
      <c r="P128" s="1">
        <v>1</v>
      </c>
      <c r="Q128" s="1" t="s">
        <v>1658</v>
      </c>
      <c r="R128" s="1">
        <v>0</v>
      </c>
      <c r="S128" s="1" t="s">
        <v>2230</v>
      </c>
      <c r="T128" s="6" t="s">
        <v>2230</v>
      </c>
      <c r="U128" s="1" t="str">
        <f t="shared" si="1"/>
        <v>Yes</v>
      </c>
      <c r="W128" s="1" t="s">
        <v>2231</v>
      </c>
      <c r="X128" s="1" t="str">
        <f>IF(COUNTIF('MyWells Drilling Comp'!F:F,E128)=0,"Missing","Exist")</f>
        <v>Exist</v>
      </c>
    </row>
    <row r="129" hidden="1" spans="1:24">
      <c r="A129" s="1" t="s">
        <v>1652</v>
      </c>
      <c r="B129" s="1" t="s">
        <v>90</v>
      </c>
      <c r="C129" s="1" t="s">
        <v>2232</v>
      </c>
      <c r="D129" s="1" t="s">
        <v>2228</v>
      </c>
      <c r="E129" s="2" t="s">
        <v>1401</v>
      </c>
      <c r="F129" s="2" t="s">
        <v>2233</v>
      </c>
      <c r="G129" s="1">
        <v>1</v>
      </c>
      <c r="H129" s="1" t="s">
        <v>1663</v>
      </c>
      <c r="I129" s="1" t="s">
        <v>1657</v>
      </c>
      <c r="J129" s="1" t="s">
        <v>1658</v>
      </c>
      <c r="K129" s="1" t="s">
        <v>1658</v>
      </c>
      <c r="L129" s="1" t="s">
        <v>1658</v>
      </c>
      <c r="M129" s="1" t="s">
        <v>1658</v>
      </c>
      <c r="N129" s="1" t="s">
        <v>1658</v>
      </c>
      <c r="O129" s="1" t="s">
        <v>1658</v>
      </c>
      <c r="P129" s="1">
        <v>1</v>
      </c>
      <c r="Q129" s="1" t="s">
        <v>1658</v>
      </c>
      <c r="R129" s="1">
        <v>0</v>
      </c>
      <c r="S129" s="1" t="s">
        <v>2234</v>
      </c>
      <c r="T129" s="6" t="s">
        <v>2234</v>
      </c>
      <c r="U129" s="1" t="str">
        <f t="shared" si="1"/>
        <v>Yes</v>
      </c>
      <c r="W129" s="1" t="s">
        <v>2235</v>
      </c>
      <c r="X129" s="1" t="str">
        <f>IF(COUNTIF('MyWells Drilling Comp'!F:F,E129)=0,"Missing","Exist")</f>
        <v>Exist</v>
      </c>
    </row>
    <row r="130" hidden="1" spans="1:24">
      <c r="A130" s="1" t="s">
        <v>1652</v>
      </c>
      <c r="B130" s="1" t="s">
        <v>90</v>
      </c>
      <c r="C130" s="1" t="s">
        <v>2236</v>
      </c>
      <c r="D130" s="1" t="s">
        <v>2237</v>
      </c>
      <c r="E130" s="2" t="s">
        <v>1515</v>
      </c>
      <c r="F130" s="2" t="s">
        <v>2238</v>
      </c>
      <c r="G130" s="1">
        <v>1</v>
      </c>
      <c r="H130" s="1" t="s">
        <v>1656</v>
      </c>
      <c r="I130" s="1" t="s">
        <v>1657</v>
      </c>
      <c r="J130" s="1" t="s">
        <v>1658</v>
      </c>
      <c r="K130" s="1" t="s">
        <v>1658</v>
      </c>
      <c r="L130" s="1" t="s">
        <v>1658</v>
      </c>
      <c r="M130" s="1" t="s">
        <v>1658</v>
      </c>
      <c r="N130" s="1" t="s">
        <v>1658</v>
      </c>
      <c r="O130" s="1" t="s">
        <v>1658</v>
      </c>
      <c r="P130" s="1">
        <v>1</v>
      </c>
      <c r="Q130" s="1" t="s">
        <v>1658</v>
      </c>
      <c r="R130" s="1">
        <v>0</v>
      </c>
      <c r="S130" s="1" t="s">
        <v>2239</v>
      </c>
      <c r="T130" s="6" t="s">
        <v>2239</v>
      </c>
      <c r="U130" s="1" t="str">
        <f t="shared" ref="U130:U193" si="2">IF(S130=T130,"Yes","No")</f>
        <v>Yes</v>
      </c>
      <c r="W130" s="1" t="s">
        <v>2240</v>
      </c>
      <c r="X130" s="1" t="str">
        <f>IF(COUNTIF('MyWells Drilling Comp'!F:F,E130)=0,"Missing","Exist")</f>
        <v>Exist</v>
      </c>
    </row>
    <row r="131" hidden="1" spans="1:24">
      <c r="A131" s="1" t="s">
        <v>1652</v>
      </c>
      <c r="B131" s="1" t="s">
        <v>90</v>
      </c>
      <c r="C131" s="1" t="s">
        <v>2241</v>
      </c>
      <c r="D131" s="1" t="s">
        <v>2237</v>
      </c>
      <c r="E131" s="2" t="s">
        <v>1515</v>
      </c>
      <c r="F131" s="2" t="s">
        <v>2242</v>
      </c>
      <c r="G131" s="1">
        <v>1</v>
      </c>
      <c r="H131" s="1" t="s">
        <v>1663</v>
      </c>
      <c r="I131" s="1" t="s">
        <v>1657</v>
      </c>
      <c r="J131" s="1" t="s">
        <v>1658</v>
      </c>
      <c r="K131" s="1" t="s">
        <v>1658</v>
      </c>
      <c r="L131" s="1" t="s">
        <v>1658</v>
      </c>
      <c r="M131" s="1" t="s">
        <v>1658</v>
      </c>
      <c r="N131" s="1" t="s">
        <v>1658</v>
      </c>
      <c r="O131" s="1" t="s">
        <v>1658</v>
      </c>
      <c r="P131" s="1">
        <v>1</v>
      </c>
      <c r="Q131" s="1" t="s">
        <v>1658</v>
      </c>
      <c r="R131" s="1">
        <v>0</v>
      </c>
      <c r="S131" s="1" t="s">
        <v>2243</v>
      </c>
      <c r="T131" s="6" t="s">
        <v>2243</v>
      </c>
      <c r="U131" s="1" t="str">
        <f t="shared" si="2"/>
        <v>Yes</v>
      </c>
      <c r="W131" s="1" t="s">
        <v>2244</v>
      </c>
      <c r="X131" s="1" t="str">
        <f>IF(COUNTIF('MyWells Drilling Comp'!F:F,E131)=0,"Missing","Exist")</f>
        <v>Exist</v>
      </c>
    </row>
    <row r="132" hidden="1" spans="1:24">
      <c r="A132" s="1" t="s">
        <v>1652</v>
      </c>
      <c r="B132" s="1" t="s">
        <v>90</v>
      </c>
      <c r="C132" s="1" t="s">
        <v>2245</v>
      </c>
      <c r="D132" s="1" t="s">
        <v>2246</v>
      </c>
      <c r="E132" s="2" t="s">
        <v>1558</v>
      </c>
      <c r="F132" s="2" t="s">
        <v>2247</v>
      </c>
      <c r="G132" s="1">
        <v>1</v>
      </c>
      <c r="H132" s="1" t="s">
        <v>1663</v>
      </c>
      <c r="I132" s="1" t="s">
        <v>1657</v>
      </c>
      <c r="J132" s="1" t="s">
        <v>1658</v>
      </c>
      <c r="K132" s="1" t="s">
        <v>1658</v>
      </c>
      <c r="L132" s="1" t="s">
        <v>1658</v>
      </c>
      <c r="M132" s="1" t="s">
        <v>1658</v>
      </c>
      <c r="N132" s="1" t="s">
        <v>1658</v>
      </c>
      <c r="O132" s="1" t="s">
        <v>1658</v>
      </c>
      <c r="P132" s="1">
        <v>1</v>
      </c>
      <c r="Q132" s="1" t="s">
        <v>1658</v>
      </c>
      <c r="R132" s="1">
        <v>0</v>
      </c>
      <c r="S132" s="1" t="s">
        <v>2248</v>
      </c>
      <c r="T132" s="6" t="s">
        <v>2248</v>
      </c>
      <c r="U132" s="1" t="str">
        <f t="shared" si="2"/>
        <v>Yes</v>
      </c>
      <c r="W132" s="1" t="s">
        <v>2249</v>
      </c>
      <c r="X132" s="1" t="str">
        <f>IF(COUNTIF('MyWells Drilling Comp'!F:F,E132)=0,"Missing","Exist")</f>
        <v>Exist</v>
      </c>
    </row>
    <row r="133" hidden="1" spans="1:24">
      <c r="A133" s="1" t="s">
        <v>1652</v>
      </c>
      <c r="B133" s="1" t="s">
        <v>90</v>
      </c>
      <c r="C133" s="1" t="s">
        <v>2250</v>
      </c>
      <c r="D133" s="1" t="s">
        <v>2246</v>
      </c>
      <c r="E133" s="2" t="s">
        <v>1558</v>
      </c>
      <c r="F133" s="2" t="s">
        <v>2251</v>
      </c>
      <c r="G133" s="1">
        <v>1</v>
      </c>
      <c r="H133" s="1" t="s">
        <v>1656</v>
      </c>
      <c r="I133" s="1" t="s">
        <v>1657</v>
      </c>
      <c r="J133" s="1" t="s">
        <v>1658</v>
      </c>
      <c r="K133" s="1" t="s">
        <v>1658</v>
      </c>
      <c r="L133" s="1" t="s">
        <v>1658</v>
      </c>
      <c r="M133" s="1" t="s">
        <v>1658</v>
      </c>
      <c r="N133" s="1" t="s">
        <v>1658</v>
      </c>
      <c r="O133" s="1" t="s">
        <v>1658</v>
      </c>
      <c r="P133" s="1">
        <v>1</v>
      </c>
      <c r="Q133" s="1" t="s">
        <v>1658</v>
      </c>
      <c r="R133" s="1">
        <v>0</v>
      </c>
      <c r="S133" s="1" t="s">
        <v>2252</v>
      </c>
      <c r="T133" s="6" t="s">
        <v>2252</v>
      </c>
      <c r="U133" s="1" t="str">
        <f t="shared" si="2"/>
        <v>Yes</v>
      </c>
      <c r="W133" s="1" t="s">
        <v>2253</v>
      </c>
      <c r="X133" s="1" t="str">
        <f>IF(COUNTIF('MyWells Drilling Comp'!F:F,E133)=0,"Missing","Exist")</f>
        <v>Exist</v>
      </c>
    </row>
    <row r="134" hidden="1" spans="1:24">
      <c r="A134" s="1" t="s">
        <v>1652</v>
      </c>
      <c r="B134" s="1" t="s">
        <v>90</v>
      </c>
      <c r="C134" s="1" t="s">
        <v>2254</v>
      </c>
      <c r="D134" s="1" t="s">
        <v>2255</v>
      </c>
      <c r="E134" s="1" t="s">
        <v>1135</v>
      </c>
      <c r="F134" s="1" t="s">
        <v>2256</v>
      </c>
      <c r="G134" s="1">
        <v>1</v>
      </c>
      <c r="H134" s="1" t="s">
        <v>1663</v>
      </c>
      <c r="I134" s="1" t="s">
        <v>1657</v>
      </c>
      <c r="J134" s="1" t="s">
        <v>1658</v>
      </c>
      <c r="K134" s="1" t="s">
        <v>1658</v>
      </c>
      <c r="L134" s="1" t="s">
        <v>1658</v>
      </c>
      <c r="M134" s="1" t="s">
        <v>1658</v>
      </c>
      <c r="N134" s="1" t="s">
        <v>1658</v>
      </c>
      <c r="O134" s="1" t="s">
        <v>1658</v>
      </c>
      <c r="P134" s="1">
        <v>1</v>
      </c>
      <c r="Q134" s="1" t="s">
        <v>1658</v>
      </c>
      <c r="R134" s="1">
        <v>0</v>
      </c>
      <c r="S134" s="1" t="s">
        <v>2257</v>
      </c>
      <c r="T134" s="6"/>
      <c r="U134" s="1" t="str">
        <f t="shared" si="2"/>
        <v>No</v>
      </c>
      <c r="W134" s="1" t="s">
        <v>2258</v>
      </c>
      <c r="X134" s="1" t="str">
        <f>IF(COUNTIF('MyWells Drilling Comp'!F:F,E134)=0,"Missing","Exist")</f>
        <v>Exist</v>
      </c>
    </row>
    <row r="135" hidden="1" spans="1:24">
      <c r="A135" s="1" t="s">
        <v>1652</v>
      </c>
      <c r="B135" s="1" t="s">
        <v>90</v>
      </c>
      <c r="C135" s="1" t="s">
        <v>2259</v>
      </c>
      <c r="D135" s="1" t="s">
        <v>2255</v>
      </c>
      <c r="E135" s="1" t="s">
        <v>1135</v>
      </c>
      <c r="F135" s="1" t="s">
        <v>2260</v>
      </c>
      <c r="G135" s="1">
        <v>1</v>
      </c>
      <c r="H135" s="1" t="s">
        <v>1656</v>
      </c>
      <c r="I135" s="1" t="s">
        <v>1657</v>
      </c>
      <c r="J135" s="1" t="s">
        <v>1658</v>
      </c>
      <c r="K135" s="1" t="s">
        <v>1658</v>
      </c>
      <c r="L135" s="1" t="s">
        <v>1658</v>
      </c>
      <c r="M135" s="1" t="s">
        <v>1658</v>
      </c>
      <c r="N135" s="1" t="s">
        <v>1658</v>
      </c>
      <c r="O135" s="1" t="s">
        <v>1658</v>
      </c>
      <c r="P135" s="1">
        <v>1</v>
      </c>
      <c r="Q135" s="1" t="s">
        <v>1658</v>
      </c>
      <c r="R135" s="1">
        <v>0</v>
      </c>
      <c r="S135" s="1" t="s">
        <v>2261</v>
      </c>
      <c r="T135" s="6"/>
      <c r="U135" s="1" t="str">
        <f t="shared" si="2"/>
        <v>No</v>
      </c>
      <c r="W135" s="1" t="s">
        <v>2262</v>
      </c>
      <c r="X135" s="1" t="str">
        <f>IF(COUNTIF('MyWells Drilling Comp'!F:F,E135)=0,"Missing","Exist")</f>
        <v>Exist</v>
      </c>
    </row>
    <row r="136" spans="1:24">
      <c r="A136" s="1" t="s">
        <v>1652</v>
      </c>
      <c r="B136" s="1" t="s">
        <v>90</v>
      </c>
      <c r="C136" s="1" t="s">
        <v>2263</v>
      </c>
      <c r="D136" s="1" t="s">
        <v>2264</v>
      </c>
      <c r="E136" s="2" t="s">
        <v>2265</v>
      </c>
      <c r="F136" s="2" t="s">
        <v>2266</v>
      </c>
      <c r="G136" s="1">
        <v>1</v>
      </c>
      <c r="H136" s="1" t="s">
        <v>1663</v>
      </c>
      <c r="I136" s="1" t="s">
        <v>1657</v>
      </c>
      <c r="J136" s="1" t="s">
        <v>1658</v>
      </c>
      <c r="K136" s="1" t="s">
        <v>1658</v>
      </c>
      <c r="L136" s="1" t="s">
        <v>1658</v>
      </c>
      <c r="M136" s="1" t="s">
        <v>1658</v>
      </c>
      <c r="N136" s="1" t="s">
        <v>1658</v>
      </c>
      <c r="O136" s="1" t="s">
        <v>1658</v>
      </c>
      <c r="P136" s="1">
        <v>1</v>
      </c>
      <c r="Q136" s="1" t="s">
        <v>1658</v>
      </c>
      <c r="R136" s="1">
        <v>0</v>
      </c>
      <c r="S136" s="1" t="s">
        <v>2267</v>
      </c>
      <c r="T136" s="6" t="s">
        <v>2267</v>
      </c>
      <c r="U136" s="1" t="str">
        <f t="shared" si="2"/>
        <v>Yes</v>
      </c>
      <c r="W136" s="1" t="s">
        <v>2268</v>
      </c>
      <c r="X136" s="1" t="str">
        <f>IF(COUNTIF('MyWells Drilling Comp'!F:F,E136)=0,"Missing","Exist")</f>
        <v>Missing</v>
      </c>
    </row>
    <row r="137" hidden="1" spans="1:24">
      <c r="A137" s="1" t="s">
        <v>1652</v>
      </c>
      <c r="B137" s="1" t="s">
        <v>90</v>
      </c>
      <c r="C137" s="1" t="s">
        <v>2269</v>
      </c>
      <c r="D137" s="1" t="s">
        <v>2264</v>
      </c>
      <c r="E137" s="2" t="s">
        <v>2265</v>
      </c>
      <c r="F137" s="2" t="s">
        <v>2270</v>
      </c>
      <c r="G137" s="1">
        <v>1</v>
      </c>
      <c r="H137" s="1" t="s">
        <v>1656</v>
      </c>
      <c r="I137" s="1" t="s">
        <v>1657</v>
      </c>
      <c r="J137" s="1" t="s">
        <v>1658</v>
      </c>
      <c r="K137" s="1" t="s">
        <v>1658</v>
      </c>
      <c r="L137" s="1" t="s">
        <v>1658</v>
      </c>
      <c r="M137" s="1" t="s">
        <v>1658</v>
      </c>
      <c r="N137" s="1" t="s">
        <v>1658</v>
      </c>
      <c r="O137" s="1" t="s">
        <v>1658</v>
      </c>
      <c r="P137" s="1">
        <v>1</v>
      </c>
      <c r="Q137" s="1" t="s">
        <v>1658</v>
      </c>
      <c r="R137" s="1">
        <v>0</v>
      </c>
      <c r="S137" s="1" t="s">
        <v>2271</v>
      </c>
      <c r="T137" s="6" t="s">
        <v>2271</v>
      </c>
      <c r="U137" s="1" t="str">
        <f t="shared" si="2"/>
        <v>Yes</v>
      </c>
      <c r="W137" s="1" t="s">
        <v>2272</v>
      </c>
      <c r="X137" s="1" t="str">
        <f>IF(COUNTIF('MyWells Drilling Comp'!F:F,E137)=0,"Missing","Exist")</f>
        <v>Missing</v>
      </c>
    </row>
    <row r="138" hidden="1" spans="1:24">
      <c r="A138" s="1" t="s">
        <v>1652</v>
      </c>
      <c r="B138" s="1" t="s">
        <v>90</v>
      </c>
      <c r="C138" s="1" t="s">
        <v>2273</v>
      </c>
      <c r="D138" s="1" t="s">
        <v>2274</v>
      </c>
      <c r="E138" s="2" t="s">
        <v>1410</v>
      </c>
      <c r="F138" s="2" t="s">
        <v>2275</v>
      </c>
      <c r="G138" s="1">
        <v>1</v>
      </c>
      <c r="H138" s="1" t="s">
        <v>1663</v>
      </c>
      <c r="I138" s="1" t="s">
        <v>1657</v>
      </c>
      <c r="J138" s="1" t="s">
        <v>1658</v>
      </c>
      <c r="K138" s="1" t="s">
        <v>1658</v>
      </c>
      <c r="L138" s="1" t="s">
        <v>1658</v>
      </c>
      <c r="M138" s="1" t="s">
        <v>1658</v>
      </c>
      <c r="N138" s="1" t="s">
        <v>1658</v>
      </c>
      <c r="O138" s="1" t="s">
        <v>1658</v>
      </c>
      <c r="P138" s="1">
        <v>1</v>
      </c>
      <c r="Q138" s="1" t="s">
        <v>1658</v>
      </c>
      <c r="R138" s="1">
        <v>0</v>
      </c>
      <c r="S138" s="1" t="s">
        <v>2276</v>
      </c>
      <c r="T138" s="6" t="s">
        <v>2276</v>
      </c>
      <c r="U138" s="1" t="str">
        <f t="shared" si="2"/>
        <v>Yes</v>
      </c>
      <c r="W138" s="1" t="s">
        <v>2277</v>
      </c>
      <c r="X138" s="1" t="str">
        <f>IF(COUNTIF('MyWells Drilling Comp'!F:F,E138)=0,"Missing","Exist")</f>
        <v>Exist</v>
      </c>
    </row>
    <row r="139" hidden="1" spans="1:24">
      <c r="A139" s="1" t="s">
        <v>1652</v>
      </c>
      <c r="B139" s="1" t="s">
        <v>90</v>
      </c>
      <c r="C139" s="1" t="s">
        <v>2278</v>
      </c>
      <c r="D139" s="1" t="s">
        <v>2274</v>
      </c>
      <c r="E139" s="2" t="s">
        <v>1410</v>
      </c>
      <c r="F139" s="2" t="s">
        <v>2279</v>
      </c>
      <c r="G139" s="1">
        <v>1</v>
      </c>
      <c r="H139" s="1" t="s">
        <v>1656</v>
      </c>
      <c r="I139" s="1" t="s">
        <v>1657</v>
      </c>
      <c r="J139" s="1" t="s">
        <v>1658</v>
      </c>
      <c r="K139" s="1" t="s">
        <v>1658</v>
      </c>
      <c r="L139" s="1" t="s">
        <v>1658</v>
      </c>
      <c r="M139" s="1" t="s">
        <v>1658</v>
      </c>
      <c r="N139" s="1" t="s">
        <v>1658</v>
      </c>
      <c r="O139" s="1" t="s">
        <v>1658</v>
      </c>
      <c r="P139" s="1">
        <v>1</v>
      </c>
      <c r="Q139" s="1" t="s">
        <v>1658</v>
      </c>
      <c r="R139" s="1">
        <v>0</v>
      </c>
      <c r="S139" s="1" t="s">
        <v>2280</v>
      </c>
      <c r="T139" s="6" t="s">
        <v>2280</v>
      </c>
      <c r="U139" s="1" t="str">
        <f t="shared" si="2"/>
        <v>Yes</v>
      </c>
      <c r="W139" s="1" t="s">
        <v>2281</v>
      </c>
      <c r="X139" s="1" t="str">
        <f>IF(COUNTIF('MyWells Drilling Comp'!F:F,E139)=0,"Missing","Exist")</f>
        <v>Exist</v>
      </c>
    </row>
    <row r="140" hidden="1" spans="1:24">
      <c r="A140" s="1" t="s">
        <v>1652</v>
      </c>
      <c r="B140" s="1" t="s">
        <v>90</v>
      </c>
      <c r="C140" s="1" t="s">
        <v>2282</v>
      </c>
      <c r="D140" s="1" t="s">
        <v>2283</v>
      </c>
      <c r="E140" s="1" t="s">
        <v>534</v>
      </c>
      <c r="F140" s="1" t="s">
        <v>2284</v>
      </c>
      <c r="G140" s="1">
        <v>1</v>
      </c>
      <c r="H140" s="1" t="s">
        <v>1663</v>
      </c>
      <c r="I140" s="1" t="s">
        <v>1657</v>
      </c>
      <c r="J140" s="1" t="s">
        <v>1658</v>
      </c>
      <c r="K140" s="1" t="s">
        <v>1658</v>
      </c>
      <c r="L140" s="1" t="s">
        <v>1658</v>
      </c>
      <c r="M140" s="1" t="s">
        <v>1658</v>
      </c>
      <c r="N140" s="1" t="s">
        <v>1658</v>
      </c>
      <c r="O140" s="1" t="s">
        <v>1658</v>
      </c>
      <c r="P140" s="1">
        <v>1</v>
      </c>
      <c r="Q140" s="1" t="s">
        <v>1658</v>
      </c>
      <c r="R140" s="1">
        <v>0</v>
      </c>
      <c r="S140" s="1" t="s">
        <v>2285</v>
      </c>
      <c r="T140" s="6"/>
      <c r="U140" s="1" t="str">
        <f t="shared" si="2"/>
        <v>No</v>
      </c>
      <c r="W140" s="1" t="s">
        <v>2286</v>
      </c>
      <c r="X140" s="1" t="str">
        <f>IF(COUNTIF('MyWells Drilling Comp'!F:F,E140)=0,"Missing","Exist")</f>
        <v>Exist</v>
      </c>
    </row>
    <row r="141" hidden="1" spans="1:24">
      <c r="A141" s="1" t="s">
        <v>1652</v>
      </c>
      <c r="B141" s="1" t="s">
        <v>90</v>
      </c>
      <c r="C141" s="1" t="s">
        <v>2287</v>
      </c>
      <c r="D141" s="1" t="s">
        <v>2283</v>
      </c>
      <c r="E141" s="1" t="s">
        <v>534</v>
      </c>
      <c r="F141" s="1" t="s">
        <v>2288</v>
      </c>
      <c r="G141" s="1">
        <v>1</v>
      </c>
      <c r="H141" s="1" t="s">
        <v>1656</v>
      </c>
      <c r="I141" s="1" t="s">
        <v>1657</v>
      </c>
      <c r="J141" s="1" t="s">
        <v>1658</v>
      </c>
      <c r="K141" s="1" t="s">
        <v>1658</v>
      </c>
      <c r="L141" s="1" t="s">
        <v>1658</v>
      </c>
      <c r="M141" s="1" t="s">
        <v>1658</v>
      </c>
      <c r="N141" s="1" t="s">
        <v>1658</v>
      </c>
      <c r="O141" s="1" t="s">
        <v>1658</v>
      </c>
      <c r="P141" s="1">
        <v>1</v>
      </c>
      <c r="Q141" s="1" t="s">
        <v>1658</v>
      </c>
      <c r="R141" s="1">
        <v>0</v>
      </c>
      <c r="S141" s="1" t="s">
        <v>2289</v>
      </c>
      <c r="T141" s="6" t="s">
        <v>2289</v>
      </c>
      <c r="U141" s="1" t="str">
        <f t="shared" si="2"/>
        <v>Yes</v>
      </c>
      <c r="W141" s="1" t="s">
        <v>2290</v>
      </c>
      <c r="X141" s="1" t="str">
        <f>IF(COUNTIF('MyWells Drilling Comp'!F:F,E141)=0,"Missing","Exist")</f>
        <v>Exist</v>
      </c>
    </row>
    <row r="142" hidden="1" spans="1:24">
      <c r="A142" s="1" t="s">
        <v>1652</v>
      </c>
      <c r="B142" s="1" t="s">
        <v>90</v>
      </c>
      <c r="C142" s="7" t="s">
        <v>2291</v>
      </c>
      <c r="D142" s="1" t="s">
        <v>2292</v>
      </c>
      <c r="E142" s="1" t="s">
        <v>1425</v>
      </c>
      <c r="F142" s="1" t="s">
        <v>2293</v>
      </c>
      <c r="G142" s="1">
        <v>1</v>
      </c>
      <c r="H142" s="1" t="s">
        <v>1663</v>
      </c>
      <c r="I142" s="1" t="s">
        <v>1657</v>
      </c>
      <c r="J142" s="1" t="s">
        <v>1658</v>
      </c>
      <c r="K142" s="1" t="s">
        <v>1658</v>
      </c>
      <c r="L142" s="1" t="s">
        <v>1658</v>
      </c>
      <c r="M142" s="1" t="s">
        <v>1658</v>
      </c>
      <c r="N142" s="1" t="s">
        <v>1658</v>
      </c>
      <c r="O142" s="1" t="s">
        <v>1658</v>
      </c>
      <c r="P142" s="1">
        <v>1</v>
      </c>
      <c r="Q142" s="1" t="s">
        <v>1658</v>
      </c>
      <c r="R142" s="1">
        <v>0</v>
      </c>
      <c r="S142" s="1" t="s">
        <v>2294</v>
      </c>
      <c r="T142" s="6" t="s">
        <v>2294</v>
      </c>
      <c r="U142" s="1" t="str">
        <f t="shared" si="2"/>
        <v>Yes</v>
      </c>
      <c r="W142" s="1" t="s">
        <v>2295</v>
      </c>
      <c r="X142" s="1" t="str">
        <f>IF(COUNTIF('MyWells Drilling Comp'!F:F,E142)=0,"Missing","Exist")</f>
        <v>Exist</v>
      </c>
    </row>
    <row r="143" hidden="1" spans="1:24">
      <c r="A143" s="1" t="s">
        <v>1652</v>
      </c>
      <c r="B143" s="1" t="s">
        <v>90</v>
      </c>
      <c r="C143" s="1" t="s">
        <v>2296</v>
      </c>
      <c r="D143" s="1" t="s">
        <v>2292</v>
      </c>
      <c r="E143" s="1" t="s">
        <v>1425</v>
      </c>
      <c r="F143" s="1" t="s">
        <v>2297</v>
      </c>
      <c r="G143" s="1">
        <v>1</v>
      </c>
      <c r="H143" s="1" t="s">
        <v>1656</v>
      </c>
      <c r="I143" s="1" t="s">
        <v>1657</v>
      </c>
      <c r="J143" s="1" t="s">
        <v>1658</v>
      </c>
      <c r="K143" s="1" t="s">
        <v>1658</v>
      </c>
      <c r="L143" s="1" t="s">
        <v>1658</v>
      </c>
      <c r="M143" s="1" t="s">
        <v>1658</v>
      </c>
      <c r="N143" s="1" t="s">
        <v>1658</v>
      </c>
      <c r="O143" s="1" t="s">
        <v>1658</v>
      </c>
      <c r="P143" s="1">
        <v>1</v>
      </c>
      <c r="Q143" s="1" t="s">
        <v>1658</v>
      </c>
      <c r="R143" s="1">
        <v>0</v>
      </c>
      <c r="S143" s="1" t="s">
        <v>2298</v>
      </c>
      <c r="T143" s="6" t="s">
        <v>2298</v>
      </c>
      <c r="U143" s="1" t="str">
        <f t="shared" si="2"/>
        <v>Yes</v>
      </c>
      <c r="W143" s="1" t="s">
        <v>2299</v>
      </c>
      <c r="X143" s="1" t="str">
        <f>IF(COUNTIF('MyWells Drilling Comp'!F:F,E143)=0,"Missing","Exist")</f>
        <v>Exist</v>
      </c>
    </row>
    <row r="144" hidden="1" spans="1:24">
      <c r="A144" s="1" t="s">
        <v>1652</v>
      </c>
      <c r="B144" s="1" t="s">
        <v>90</v>
      </c>
      <c r="C144" s="1" t="s">
        <v>2300</v>
      </c>
      <c r="D144" s="1" t="s">
        <v>2301</v>
      </c>
      <c r="E144" s="1" t="s">
        <v>629</v>
      </c>
      <c r="F144" s="1" t="s">
        <v>2302</v>
      </c>
      <c r="G144" s="1">
        <v>1</v>
      </c>
      <c r="H144" s="1" t="s">
        <v>1656</v>
      </c>
      <c r="I144" s="1" t="s">
        <v>1657</v>
      </c>
      <c r="J144" s="1" t="s">
        <v>1658</v>
      </c>
      <c r="K144" s="1" t="s">
        <v>1658</v>
      </c>
      <c r="L144" s="1" t="s">
        <v>1658</v>
      </c>
      <c r="M144" s="1" t="s">
        <v>1658</v>
      </c>
      <c r="N144" s="1" t="s">
        <v>1658</v>
      </c>
      <c r="O144" s="1" t="s">
        <v>1658</v>
      </c>
      <c r="P144" s="1">
        <v>1</v>
      </c>
      <c r="Q144" s="1" t="s">
        <v>1658</v>
      </c>
      <c r="R144" s="1">
        <v>0</v>
      </c>
      <c r="S144" s="1" t="s">
        <v>2303</v>
      </c>
      <c r="T144" s="6" t="s">
        <v>2303</v>
      </c>
      <c r="U144" s="1" t="str">
        <f t="shared" si="2"/>
        <v>Yes</v>
      </c>
      <c r="W144" s="1" t="s">
        <v>2304</v>
      </c>
      <c r="X144" s="1" t="str">
        <f>IF(COUNTIF('MyWells Drilling Comp'!F:F,E144)=0,"Missing","Exist")</f>
        <v>Exist</v>
      </c>
    </row>
    <row r="145" hidden="1" spans="1:24">
      <c r="A145" s="1" t="s">
        <v>1652</v>
      </c>
      <c r="B145" s="1" t="s">
        <v>90</v>
      </c>
      <c r="C145" s="1" t="s">
        <v>2305</v>
      </c>
      <c r="D145" s="1" t="s">
        <v>2301</v>
      </c>
      <c r="E145" s="1" t="s">
        <v>629</v>
      </c>
      <c r="F145" s="1" t="s">
        <v>2306</v>
      </c>
      <c r="G145" s="1">
        <v>1</v>
      </c>
      <c r="H145" s="1" t="s">
        <v>1663</v>
      </c>
      <c r="I145" s="1" t="s">
        <v>1657</v>
      </c>
      <c r="J145" s="1" t="s">
        <v>1658</v>
      </c>
      <c r="K145" s="1" t="s">
        <v>1658</v>
      </c>
      <c r="L145" s="1" t="s">
        <v>1658</v>
      </c>
      <c r="M145" s="1" t="s">
        <v>1658</v>
      </c>
      <c r="N145" s="1" t="s">
        <v>1658</v>
      </c>
      <c r="O145" s="1" t="s">
        <v>1658</v>
      </c>
      <c r="P145" s="1">
        <v>1</v>
      </c>
      <c r="Q145" s="1" t="s">
        <v>1658</v>
      </c>
      <c r="R145" s="1">
        <v>0</v>
      </c>
      <c r="S145" s="1" t="s">
        <v>2307</v>
      </c>
      <c r="T145" s="6" t="s">
        <v>2307</v>
      </c>
      <c r="U145" s="1" t="str">
        <f t="shared" si="2"/>
        <v>Yes</v>
      </c>
      <c r="W145" s="1" t="s">
        <v>2308</v>
      </c>
      <c r="X145" s="1" t="str">
        <f>IF(COUNTIF('MyWells Drilling Comp'!F:F,E145)=0,"Missing","Exist")</f>
        <v>Exist</v>
      </c>
    </row>
    <row r="146" hidden="1" spans="1:24">
      <c r="A146" s="1" t="s">
        <v>1652</v>
      </c>
      <c r="B146" s="1" t="s">
        <v>90</v>
      </c>
      <c r="C146" s="1" t="s">
        <v>2309</v>
      </c>
      <c r="D146" s="1" t="s">
        <v>2310</v>
      </c>
      <c r="E146" s="1" t="s">
        <v>1551</v>
      </c>
      <c r="F146" s="1" t="s">
        <v>2311</v>
      </c>
      <c r="G146" s="1">
        <v>1</v>
      </c>
      <c r="H146" s="1" t="s">
        <v>1656</v>
      </c>
      <c r="I146" s="1" t="s">
        <v>1657</v>
      </c>
      <c r="J146" s="1" t="s">
        <v>1658</v>
      </c>
      <c r="K146" s="1" t="s">
        <v>1658</v>
      </c>
      <c r="L146" s="1" t="s">
        <v>1658</v>
      </c>
      <c r="M146" s="1" t="s">
        <v>1658</v>
      </c>
      <c r="N146" s="1" t="s">
        <v>1658</v>
      </c>
      <c r="O146" s="1" t="s">
        <v>1658</v>
      </c>
      <c r="P146" s="1">
        <v>1</v>
      </c>
      <c r="Q146" s="1" t="s">
        <v>1658</v>
      </c>
      <c r="R146" s="1">
        <v>0</v>
      </c>
      <c r="S146" s="1" t="s">
        <v>2312</v>
      </c>
      <c r="T146" s="6" t="s">
        <v>2312</v>
      </c>
      <c r="U146" s="1" t="str">
        <f t="shared" si="2"/>
        <v>Yes</v>
      </c>
      <c r="W146" s="1" t="s">
        <v>2313</v>
      </c>
      <c r="X146" s="1" t="str">
        <f>IF(COUNTIF('MyWells Drilling Comp'!F:F,E146)=0,"Missing","Exist")</f>
        <v>Exist</v>
      </c>
    </row>
    <row r="147" hidden="1" spans="1:24">
      <c r="A147" s="1" t="s">
        <v>1652</v>
      </c>
      <c r="B147" s="1" t="s">
        <v>90</v>
      </c>
      <c r="C147" s="1" t="s">
        <v>2314</v>
      </c>
      <c r="D147" s="1" t="s">
        <v>2310</v>
      </c>
      <c r="E147" s="1" t="s">
        <v>1551</v>
      </c>
      <c r="F147" s="1" t="s">
        <v>2315</v>
      </c>
      <c r="G147" s="1">
        <v>1</v>
      </c>
      <c r="H147" s="1" t="s">
        <v>1663</v>
      </c>
      <c r="I147" s="1" t="s">
        <v>1657</v>
      </c>
      <c r="J147" s="1" t="s">
        <v>1658</v>
      </c>
      <c r="K147" s="1" t="s">
        <v>1658</v>
      </c>
      <c r="L147" s="1" t="s">
        <v>1658</v>
      </c>
      <c r="M147" s="1" t="s">
        <v>1658</v>
      </c>
      <c r="N147" s="1" t="s">
        <v>1658</v>
      </c>
      <c r="O147" s="1" t="s">
        <v>1658</v>
      </c>
      <c r="P147" s="1">
        <v>1</v>
      </c>
      <c r="Q147" s="1" t="s">
        <v>1658</v>
      </c>
      <c r="R147" s="1">
        <v>0</v>
      </c>
      <c r="S147" s="1" t="s">
        <v>2316</v>
      </c>
      <c r="T147" s="6" t="s">
        <v>2316</v>
      </c>
      <c r="U147" s="1" t="str">
        <f t="shared" si="2"/>
        <v>Yes</v>
      </c>
      <c r="W147" s="1" t="s">
        <v>2317</v>
      </c>
      <c r="X147" s="1" t="str">
        <f>IF(COUNTIF('MyWells Drilling Comp'!F:F,E147)=0,"Missing","Exist")</f>
        <v>Exist</v>
      </c>
    </row>
    <row r="148" hidden="1" spans="1:24">
      <c r="A148" s="1" t="s">
        <v>1652</v>
      </c>
      <c r="B148" s="1" t="s">
        <v>90</v>
      </c>
      <c r="C148" s="1" t="s">
        <v>2318</v>
      </c>
      <c r="D148" s="1" t="s">
        <v>2319</v>
      </c>
      <c r="E148" s="1" t="s">
        <v>957</v>
      </c>
      <c r="F148" s="1" t="s">
        <v>2320</v>
      </c>
      <c r="G148" s="1">
        <v>1</v>
      </c>
      <c r="H148" s="1" t="s">
        <v>1656</v>
      </c>
      <c r="I148" s="1" t="s">
        <v>1657</v>
      </c>
      <c r="J148" s="1" t="s">
        <v>1658</v>
      </c>
      <c r="K148" s="1" t="s">
        <v>1658</v>
      </c>
      <c r="L148" s="1" t="s">
        <v>1658</v>
      </c>
      <c r="M148" s="1" t="s">
        <v>1658</v>
      </c>
      <c r="N148" s="1" t="s">
        <v>1658</v>
      </c>
      <c r="O148" s="1" t="s">
        <v>1658</v>
      </c>
      <c r="P148" s="1">
        <v>1</v>
      </c>
      <c r="Q148" s="1" t="s">
        <v>1658</v>
      </c>
      <c r="R148" s="1">
        <v>0</v>
      </c>
      <c r="S148" s="1" t="s">
        <v>2321</v>
      </c>
      <c r="T148" s="6"/>
      <c r="U148" s="1" t="str">
        <f t="shared" si="2"/>
        <v>No</v>
      </c>
      <c r="W148" s="1" t="s">
        <v>2322</v>
      </c>
      <c r="X148" s="1" t="str">
        <f>IF(COUNTIF('MyWells Drilling Comp'!F:F,E148)=0,"Missing","Exist")</f>
        <v>Exist</v>
      </c>
    </row>
    <row r="149" hidden="1" spans="1:24">
      <c r="A149" s="1" t="s">
        <v>1652</v>
      </c>
      <c r="B149" s="1" t="s">
        <v>90</v>
      </c>
      <c r="C149" s="1" t="s">
        <v>2323</v>
      </c>
      <c r="D149" s="1" t="s">
        <v>2319</v>
      </c>
      <c r="E149" s="1" t="s">
        <v>957</v>
      </c>
      <c r="F149" s="1" t="s">
        <v>2324</v>
      </c>
      <c r="G149" s="1">
        <v>1</v>
      </c>
      <c r="H149" s="1" t="s">
        <v>1663</v>
      </c>
      <c r="I149" s="1" t="s">
        <v>1657</v>
      </c>
      <c r="J149" s="1" t="s">
        <v>1658</v>
      </c>
      <c r="K149" s="1" t="s">
        <v>1658</v>
      </c>
      <c r="L149" s="1" t="s">
        <v>1658</v>
      </c>
      <c r="M149" s="1" t="s">
        <v>1658</v>
      </c>
      <c r="N149" s="1" t="s">
        <v>1658</v>
      </c>
      <c r="O149" s="1" t="s">
        <v>1658</v>
      </c>
      <c r="P149" s="1">
        <v>1</v>
      </c>
      <c r="Q149" s="1" t="s">
        <v>1658</v>
      </c>
      <c r="R149" s="1">
        <v>0</v>
      </c>
      <c r="S149" s="1" t="s">
        <v>2325</v>
      </c>
      <c r="T149" s="6"/>
      <c r="U149" s="1" t="str">
        <f t="shared" si="2"/>
        <v>No</v>
      </c>
      <c r="W149" s="1" t="s">
        <v>2326</v>
      </c>
      <c r="X149" s="1" t="str">
        <f>IF(COUNTIF('MyWells Drilling Comp'!F:F,E149)=0,"Missing","Exist")</f>
        <v>Exist</v>
      </c>
    </row>
    <row r="150" hidden="1" spans="1:24">
      <c r="A150" s="1" t="s">
        <v>1652</v>
      </c>
      <c r="B150" s="1" t="s">
        <v>90</v>
      </c>
      <c r="C150" s="1" t="s">
        <v>2327</v>
      </c>
      <c r="D150" s="1" t="s">
        <v>2328</v>
      </c>
      <c r="E150" s="1" t="s">
        <v>778</v>
      </c>
      <c r="F150" s="1" t="s">
        <v>2329</v>
      </c>
      <c r="G150" s="1">
        <v>1</v>
      </c>
      <c r="H150" s="1" t="s">
        <v>1663</v>
      </c>
      <c r="I150" s="1" t="s">
        <v>1657</v>
      </c>
      <c r="J150" s="1" t="s">
        <v>1658</v>
      </c>
      <c r="K150" s="1" t="s">
        <v>1658</v>
      </c>
      <c r="L150" s="1" t="s">
        <v>1658</v>
      </c>
      <c r="M150" s="1" t="s">
        <v>1658</v>
      </c>
      <c r="N150" s="1" t="s">
        <v>1658</v>
      </c>
      <c r="O150" s="1" t="s">
        <v>1658</v>
      </c>
      <c r="P150" s="1">
        <v>1</v>
      </c>
      <c r="Q150" s="1" t="s">
        <v>1658</v>
      </c>
      <c r="R150" s="1">
        <v>0</v>
      </c>
      <c r="S150" s="1" t="s">
        <v>2330</v>
      </c>
      <c r="T150" s="6" t="s">
        <v>2330</v>
      </c>
      <c r="U150" s="1" t="str">
        <f t="shared" si="2"/>
        <v>Yes</v>
      </c>
      <c r="W150" s="1" t="s">
        <v>2331</v>
      </c>
      <c r="X150" s="1" t="str">
        <f>IF(COUNTIF('MyWells Drilling Comp'!F:F,E150)=0,"Missing","Exist")</f>
        <v>Exist</v>
      </c>
    </row>
    <row r="151" hidden="1" spans="1:24">
      <c r="A151" s="1" t="s">
        <v>1652</v>
      </c>
      <c r="B151" s="1" t="s">
        <v>90</v>
      </c>
      <c r="C151" s="1" t="s">
        <v>2332</v>
      </c>
      <c r="D151" s="1" t="s">
        <v>2328</v>
      </c>
      <c r="E151" s="1" t="s">
        <v>778</v>
      </c>
      <c r="F151" s="1" t="s">
        <v>2333</v>
      </c>
      <c r="G151" s="1">
        <v>1</v>
      </c>
      <c r="H151" s="1" t="s">
        <v>1656</v>
      </c>
      <c r="I151" s="1" t="s">
        <v>1657</v>
      </c>
      <c r="J151" s="1" t="s">
        <v>1658</v>
      </c>
      <c r="K151" s="1" t="s">
        <v>1658</v>
      </c>
      <c r="L151" s="1" t="s">
        <v>1658</v>
      </c>
      <c r="M151" s="1" t="s">
        <v>1658</v>
      </c>
      <c r="N151" s="1" t="s">
        <v>1658</v>
      </c>
      <c r="O151" s="1" t="s">
        <v>1658</v>
      </c>
      <c r="P151" s="1">
        <v>1</v>
      </c>
      <c r="Q151" s="1" t="s">
        <v>1658</v>
      </c>
      <c r="R151" s="1">
        <v>0</v>
      </c>
      <c r="S151" s="1" t="s">
        <v>2334</v>
      </c>
      <c r="T151" s="6" t="s">
        <v>2334</v>
      </c>
      <c r="U151" s="1" t="str">
        <f t="shared" si="2"/>
        <v>Yes</v>
      </c>
      <c r="W151" s="1" t="s">
        <v>2335</v>
      </c>
      <c r="X151" s="1" t="str">
        <f>IF(COUNTIF('MyWells Drilling Comp'!F:F,E151)=0,"Missing","Exist")</f>
        <v>Exist</v>
      </c>
    </row>
    <row r="152" hidden="1" spans="1:24">
      <c r="A152" s="1" t="s">
        <v>1652</v>
      </c>
      <c r="B152" s="1" t="s">
        <v>90</v>
      </c>
      <c r="C152" s="1" t="s">
        <v>2336</v>
      </c>
      <c r="D152" s="1" t="s">
        <v>2337</v>
      </c>
      <c r="E152" s="1" t="s">
        <v>904</v>
      </c>
      <c r="F152" s="1" t="s">
        <v>2338</v>
      </c>
      <c r="G152" s="1">
        <v>1</v>
      </c>
      <c r="H152" s="1" t="s">
        <v>1656</v>
      </c>
      <c r="I152" s="1" t="s">
        <v>1657</v>
      </c>
      <c r="J152" s="1" t="s">
        <v>1658</v>
      </c>
      <c r="K152" s="1" t="s">
        <v>1658</v>
      </c>
      <c r="L152" s="1" t="s">
        <v>1658</v>
      </c>
      <c r="M152" s="1" t="s">
        <v>1658</v>
      </c>
      <c r="N152" s="1" t="s">
        <v>1658</v>
      </c>
      <c r="O152" s="1" t="s">
        <v>1658</v>
      </c>
      <c r="P152" s="1">
        <v>1</v>
      </c>
      <c r="Q152" s="1" t="s">
        <v>1658</v>
      </c>
      <c r="R152" s="1">
        <v>0</v>
      </c>
      <c r="S152" s="1" t="s">
        <v>2339</v>
      </c>
      <c r="T152" s="6" t="s">
        <v>2339</v>
      </c>
      <c r="U152" s="1" t="str">
        <f t="shared" si="2"/>
        <v>Yes</v>
      </c>
      <c r="W152" s="1" t="s">
        <v>2340</v>
      </c>
      <c r="X152" s="1" t="str">
        <f>IF(COUNTIF('MyWells Drilling Comp'!F:F,E152)=0,"Missing","Exist")</f>
        <v>Exist</v>
      </c>
    </row>
    <row r="153" hidden="1" spans="1:24">
      <c r="A153" s="1" t="s">
        <v>1652</v>
      </c>
      <c r="B153" s="1" t="s">
        <v>90</v>
      </c>
      <c r="C153" s="1" t="s">
        <v>2341</v>
      </c>
      <c r="D153" s="1" t="s">
        <v>2337</v>
      </c>
      <c r="E153" s="1" t="s">
        <v>904</v>
      </c>
      <c r="F153" s="1" t="s">
        <v>2342</v>
      </c>
      <c r="G153" s="1">
        <v>1</v>
      </c>
      <c r="H153" s="1" t="s">
        <v>1663</v>
      </c>
      <c r="I153" s="1" t="s">
        <v>1657</v>
      </c>
      <c r="J153" s="1" t="s">
        <v>1658</v>
      </c>
      <c r="K153" s="1" t="s">
        <v>1658</v>
      </c>
      <c r="L153" s="1" t="s">
        <v>1658</v>
      </c>
      <c r="M153" s="1" t="s">
        <v>1658</v>
      </c>
      <c r="N153" s="1" t="s">
        <v>1658</v>
      </c>
      <c r="O153" s="1" t="s">
        <v>1658</v>
      </c>
      <c r="P153" s="1">
        <v>1</v>
      </c>
      <c r="Q153" s="1" t="s">
        <v>1658</v>
      </c>
      <c r="R153" s="1">
        <v>0</v>
      </c>
      <c r="S153" s="1" t="s">
        <v>2343</v>
      </c>
      <c r="T153" s="6" t="s">
        <v>2343</v>
      </c>
      <c r="U153" s="1" t="str">
        <f t="shared" si="2"/>
        <v>Yes</v>
      </c>
      <c r="W153" s="1" t="s">
        <v>2344</v>
      </c>
      <c r="X153" s="1" t="str">
        <f>IF(COUNTIF('MyWells Drilling Comp'!F:F,E153)=0,"Missing","Exist")</f>
        <v>Exist</v>
      </c>
    </row>
    <row r="154" hidden="1" spans="1:24">
      <c r="A154" s="1" t="s">
        <v>1652</v>
      </c>
      <c r="B154" s="1" t="s">
        <v>90</v>
      </c>
      <c r="C154" s="1" t="s">
        <v>2345</v>
      </c>
      <c r="D154" s="1" t="s">
        <v>2346</v>
      </c>
      <c r="E154" s="1" t="s">
        <v>572</v>
      </c>
      <c r="F154" s="1" t="s">
        <v>2347</v>
      </c>
      <c r="G154" s="1">
        <v>1</v>
      </c>
      <c r="H154" s="1" t="s">
        <v>1663</v>
      </c>
      <c r="I154" s="1" t="s">
        <v>1657</v>
      </c>
      <c r="J154" s="1" t="s">
        <v>1658</v>
      </c>
      <c r="K154" s="1" t="s">
        <v>1658</v>
      </c>
      <c r="L154" s="1" t="s">
        <v>1658</v>
      </c>
      <c r="M154" s="1" t="s">
        <v>1658</v>
      </c>
      <c r="N154" s="1" t="s">
        <v>1658</v>
      </c>
      <c r="O154" s="1" t="s">
        <v>1658</v>
      </c>
      <c r="P154" s="1">
        <v>1</v>
      </c>
      <c r="Q154" s="1" t="s">
        <v>1658</v>
      </c>
      <c r="R154" s="1">
        <v>0</v>
      </c>
      <c r="S154" s="1" t="s">
        <v>2348</v>
      </c>
      <c r="T154" s="6" t="s">
        <v>2348</v>
      </c>
      <c r="U154" s="1" t="str">
        <f t="shared" si="2"/>
        <v>Yes</v>
      </c>
      <c r="W154" s="1" t="s">
        <v>2349</v>
      </c>
      <c r="X154" s="1" t="str">
        <f>IF(COUNTIF('MyWells Drilling Comp'!F:F,E154)=0,"Missing","Exist")</f>
        <v>Exist</v>
      </c>
    </row>
    <row r="155" hidden="1" spans="1:24">
      <c r="A155" s="1" t="s">
        <v>1652</v>
      </c>
      <c r="B155" s="1" t="s">
        <v>90</v>
      </c>
      <c r="C155" s="1" t="s">
        <v>2350</v>
      </c>
      <c r="D155" s="1" t="s">
        <v>2346</v>
      </c>
      <c r="E155" s="1" t="s">
        <v>572</v>
      </c>
      <c r="F155" s="1" t="s">
        <v>2351</v>
      </c>
      <c r="G155" s="1">
        <v>1</v>
      </c>
      <c r="H155" s="1" t="s">
        <v>1656</v>
      </c>
      <c r="I155" s="1" t="s">
        <v>1657</v>
      </c>
      <c r="J155" s="1" t="s">
        <v>1658</v>
      </c>
      <c r="K155" s="1" t="s">
        <v>1658</v>
      </c>
      <c r="L155" s="1" t="s">
        <v>1658</v>
      </c>
      <c r="M155" s="1" t="s">
        <v>1658</v>
      </c>
      <c r="N155" s="1" t="s">
        <v>1658</v>
      </c>
      <c r="O155" s="1" t="s">
        <v>1658</v>
      </c>
      <c r="P155" s="1">
        <v>1</v>
      </c>
      <c r="Q155" s="1" t="s">
        <v>1658</v>
      </c>
      <c r="R155" s="1">
        <v>0</v>
      </c>
      <c r="S155" s="1" t="s">
        <v>2352</v>
      </c>
      <c r="T155" s="6" t="s">
        <v>2352</v>
      </c>
      <c r="U155" s="1" t="str">
        <f t="shared" si="2"/>
        <v>Yes</v>
      </c>
      <c r="W155" s="1" t="s">
        <v>2353</v>
      </c>
      <c r="X155" s="1" t="str">
        <f>IF(COUNTIF('MyWells Drilling Comp'!F:F,E155)=0,"Missing","Exist")</f>
        <v>Exist</v>
      </c>
    </row>
    <row r="156" hidden="1" spans="1:24">
      <c r="A156" s="1" t="s">
        <v>1652</v>
      </c>
      <c r="B156" s="1" t="s">
        <v>90</v>
      </c>
      <c r="C156" s="1" t="s">
        <v>2354</v>
      </c>
      <c r="D156" s="1" t="s">
        <v>2355</v>
      </c>
      <c r="E156" s="2" t="s">
        <v>1071</v>
      </c>
      <c r="F156" s="2" t="s">
        <v>2356</v>
      </c>
      <c r="G156" s="1">
        <v>1</v>
      </c>
      <c r="H156" s="1" t="s">
        <v>1663</v>
      </c>
      <c r="I156" s="1" t="s">
        <v>1657</v>
      </c>
      <c r="J156" s="1" t="s">
        <v>1658</v>
      </c>
      <c r="K156" s="1" t="s">
        <v>1658</v>
      </c>
      <c r="L156" s="1" t="s">
        <v>1658</v>
      </c>
      <c r="M156" s="1" t="s">
        <v>1658</v>
      </c>
      <c r="N156" s="1" t="s">
        <v>1658</v>
      </c>
      <c r="O156" s="1" t="s">
        <v>1658</v>
      </c>
      <c r="P156" s="1">
        <v>1</v>
      </c>
      <c r="Q156" s="1" t="s">
        <v>1658</v>
      </c>
      <c r="R156" s="1">
        <v>0</v>
      </c>
      <c r="S156" s="1" t="s">
        <v>2357</v>
      </c>
      <c r="T156" s="6" t="s">
        <v>2357</v>
      </c>
      <c r="U156" s="1" t="str">
        <f t="shared" si="2"/>
        <v>Yes</v>
      </c>
      <c r="W156" s="1" t="s">
        <v>2358</v>
      </c>
      <c r="X156" s="1" t="str">
        <f>IF(COUNTIF('MyWells Drilling Comp'!F:F,E156)=0,"Missing","Exist")</f>
        <v>Exist</v>
      </c>
    </row>
    <row r="157" hidden="1" spans="1:24">
      <c r="A157" s="1" t="s">
        <v>1652</v>
      </c>
      <c r="B157" s="1" t="s">
        <v>90</v>
      </c>
      <c r="C157" s="1" t="s">
        <v>2359</v>
      </c>
      <c r="D157" s="1" t="s">
        <v>2355</v>
      </c>
      <c r="E157" s="2" t="s">
        <v>1071</v>
      </c>
      <c r="F157" s="2" t="s">
        <v>2360</v>
      </c>
      <c r="G157" s="1">
        <v>1</v>
      </c>
      <c r="H157" s="1" t="s">
        <v>1656</v>
      </c>
      <c r="I157" s="1" t="s">
        <v>1657</v>
      </c>
      <c r="J157" s="1" t="s">
        <v>1658</v>
      </c>
      <c r="K157" s="1" t="s">
        <v>1658</v>
      </c>
      <c r="L157" s="1" t="s">
        <v>1658</v>
      </c>
      <c r="M157" s="1" t="s">
        <v>1658</v>
      </c>
      <c r="N157" s="1" t="s">
        <v>1658</v>
      </c>
      <c r="O157" s="1" t="s">
        <v>1658</v>
      </c>
      <c r="P157" s="1">
        <v>1</v>
      </c>
      <c r="Q157" s="1" t="s">
        <v>1658</v>
      </c>
      <c r="R157" s="1">
        <v>0</v>
      </c>
      <c r="S157" s="1" t="s">
        <v>2361</v>
      </c>
      <c r="T157" s="6" t="s">
        <v>2361</v>
      </c>
      <c r="U157" s="1" t="str">
        <f t="shared" si="2"/>
        <v>Yes</v>
      </c>
      <c r="W157" s="1" t="s">
        <v>2362</v>
      </c>
      <c r="X157" s="1" t="str">
        <f>IF(COUNTIF('MyWells Drilling Comp'!F:F,E157)=0,"Missing","Exist")</f>
        <v>Exist</v>
      </c>
    </row>
    <row r="158" hidden="1" spans="1:24">
      <c r="A158" s="1" t="s">
        <v>1652</v>
      </c>
      <c r="B158" s="1" t="s">
        <v>90</v>
      </c>
      <c r="C158" s="1" t="s">
        <v>2363</v>
      </c>
      <c r="D158" s="1" t="s">
        <v>2364</v>
      </c>
      <c r="E158" s="1" t="s">
        <v>963</v>
      </c>
      <c r="F158" s="1" t="s">
        <v>2365</v>
      </c>
      <c r="G158" s="1">
        <v>1</v>
      </c>
      <c r="H158" s="1" t="s">
        <v>1663</v>
      </c>
      <c r="I158" s="1" t="s">
        <v>1657</v>
      </c>
      <c r="J158" s="1" t="s">
        <v>1658</v>
      </c>
      <c r="K158" s="1" t="s">
        <v>1658</v>
      </c>
      <c r="L158" s="1" t="s">
        <v>1658</v>
      </c>
      <c r="M158" s="1" t="s">
        <v>1658</v>
      </c>
      <c r="N158" s="1" t="s">
        <v>1658</v>
      </c>
      <c r="O158" s="1" t="s">
        <v>1658</v>
      </c>
      <c r="P158" s="1">
        <v>1</v>
      </c>
      <c r="Q158" s="1" t="s">
        <v>1658</v>
      </c>
      <c r="R158" s="1">
        <v>0</v>
      </c>
      <c r="S158" s="1" t="s">
        <v>2366</v>
      </c>
      <c r="T158" s="6" t="s">
        <v>2366</v>
      </c>
      <c r="U158" s="1" t="str">
        <f t="shared" si="2"/>
        <v>Yes</v>
      </c>
      <c r="W158" s="1" t="s">
        <v>2367</v>
      </c>
      <c r="X158" s="1" t="str">
        <f>IF(COUNTIF('MyWells Drilling Comp'!F:F,E158)=0,"Missing","Exist")</f>
        <v>Exist</v>
      </c>
    </row>
    <row r="159" hidden="1" spans="1:24">
      <c r="A159" s="1" t="s">
        <v>1652</v>
      </c>
      <c r="B159" s="1" t="s">
        <v>90</v>
      </c>
      <c r="C159" s="1" t="s">
        <v>2368</v>
      </c>
      <c r="D159" s="1" t="s">
        <v>2364</v>
      </c>
      <c r="E159" s="1" t="s">
        <v>963</v>
      </c>
      <c r="F159" s="1" t="s">
        <v>2369</v>
      </c>
      <c r="G159" s="1">
        <v>1</v>
      </c>
      <c r="H159" s="1" t="s">
        <v>1656</v>
      </c>
      <c r="I159" s="1" t="s">
        <v>1657</v>
      </c>
      <c r="J159" s="1" t="s">
        <v>1658</v>
      </c>
      <c r="K159" s="1" t="s">
        <v>1658</v>
      </c>
      <c r="L159" s="1" t="s">
        <v>1658</v>
      </c>
      <c r="M159" s="1" t="s">
        <v>1658</v>
      </c>
      <c r="N159" s="1" t="s">
        <v>1658</v>
      </c>
      <c r="O159" s="1" t="s">
        <v>1658</v>
      </c>
      <c r="P159" s="1">
        <v>1</v>
      </c>
      <c r="Q159" s="1" t="s">
        <v>1658</v>
      </c>
      <c r="R159" s="1">
        <v>0</v>
      </c>
      <c r="S159" s="1" t="s">
        <v>2370</v>
      </c>
      <c r="T159" s="6" t="s">
        <v>2370</v>
      </c>
      <c r="U159" s="1" t="str">
        <f t="shared" si="2"/>
        <v>Yes</v>
      </c>
      <c r="W159" s="1" t="s">
        <v>2371</v>
      </c>
      <c r="X159" s="1" t="str">
        <f>IF(COUNTIF('MyWells Drilling Comp'!F:F,E159)=0,"Missing","Exist")</f>
        <v>Exist</v>
      </c>
    </row>
    <row r="160" hidden="1" spans="1:24">
      <c r="A160" s="1" t="s">
        <v>1652</v>
      </c>
      <c r="B160" s="1" t="s">
        <v>90</v>
      </c>
      <c r="C160" s="1" t="s">
        <v>2372</v>
      </c>
      <c r="D160" s="1" t="s">
        <v>2373</v>
      </c>
      <c r="E160" s="1" t="s">
        <v>1376</v>
      </c>
      <c r="F160" s="1" t="s">
        <v>2374</v>
      </c>
      <c r="G160" s="1">
        <v>1</v>
      </c>
      <c r="H160" s="1" t="s">
        <v>1663</v>
      </c>
      <c r="I160" s="1" t="s">
        <v>1657</v>
      </c>
      <c r="J160" s="1" t="s">
        <v>1658</v>
      </c>
      <c r="K160" s="1" t="s">
        <v>1658</v>
      </c>
      <c r="L160" s="1" t="s">
        <v>1658</v>
      </c>
      <c r="M160" s="1" t="s">
        <v>1658</v>
      </c>
      <c r="N160" s="1" t="s">
        <v>1658</v>
      </c>
      <c r="O160" s="1" t="s">
        <v>1658</v>
      </c>
      <c r="P160" s="1">
        <v>1</v>
      </c>
      <c r="Q160" s="1" t="s">
        <v>1658</v>
      </c>
      <c r="R160" s="1">
        <v>0</v>
      </c>
      <c r="S160" s="1" t="s">
        <v>2375</v>
      </c>
      <c r="T160" s="6" t="s">
        <v>2375</v>
      </c>
      <c r="U160" s="1" t="str">
        <f t="shared" si="2"/>
        <v>Yes</v>
      </c>
      <c r="W160" s="1" t="s">
        <v>2376</v>
      </c>
      <c r="X160" s="1" t="str">
        <f>IF(COUNTIF('MyWells Drilling Comp'!F:F,E160)=0,"Missing","Exist")</f>
        <v>Exist</v>
      </c>
    </row>
    <row r="161" hidden="1" spans="1:24">
      <c r="A161" s="1" t="s">
        <v>1652</v>
      </c>
      <c r="B161" s="1" t="s">
        <v>90</v>
      </c>
      <c r="C161" s="1" t="s">
        <v>2377</v>
      </c>
      <c r="D161" s="1" t="s">
        <v>2373</v>
      </c>
      <c r="E161" s="1" t="s">
        <v>1376</v>
      </c>
      <c r="F161" s="1" t="s">
        <v>2378</v>
      </c>
      <c r="G161" s="1">
        <v>1</v>
      </c>
      <c r="H161" s="1" t="s">
        <v>1656</v>
      </c>
      <c r="I161" s="1" t="s">
        <v>1657</v>
      </c>
      <c r="J161" s="1" t="s">
        <v>1658</v>
      </c>
      <c r="K161" s="1" t="s">
        <v>1658</v>
      </c>
      <c r="L161" s="1" t="s">
        <v>1658</v>
      </c>
      <c r="M161" s="1" t="s">
        <v>1658</v>
      </c>
      <c r="N161" s="1" t="s">
        <v>1658</v>
      </c>
      <c r="O161" s="1" t="s">
        <v>1658</v>
      </c>
      <c r="P161" s="1">
        <v>1</v>
      </c>
      <c r="Q161" s="1" t="s">
        <v>1658</v>
      </c>
      <c r="R161" s="1">
        <v>0</v>
      </c>
      <c r="S161" s="1" t="s">
        <v>2379</v>
      </c>
      <c r="T161" s="6" t="s">
        <v>2379</v>
      </c>
      <c r="U161" s="1" t="str">
        <f t="shared" si="2"/>
        <v>Yes</v>
      </c>
      <c r="W161" s="1" t="s">
        <v>2380</v>
      </c>
      <c r="X161" s="1" t="str">
        <f>IF(COUNTIF('MyWells Drilling Comp'!F:F,E161)=0,"Missing","Exist")</f>
        <v>Exist</v>
      </c>
    </row>
    <row r="162" hidden="1" spans="1:24">
      <c r="A162" s="1" t="s">
        <v>1652</v>
      </c>
      <c r="B162" s="1" t="s">
        <v>90</v>
      </c>
      <c r="C162" s="1" t="s">
        <v>2381</v>
      </c>
      <c r="D162" s="1" t="s">
        <v>2382</v>
      </c>
      <c r="E162" s="2" t="s">
        <v>528</v>
      </c>
      <c r="F162" s="2" t="s">
        <v>2383</v>
      </c>
      <c r="G162" s="1">
        <v>1</v>
      </c>
      <c r="H162" s="1" t="s">
        <v>1656</v>
      </c>
      <c r="I162" s="1" t="s">
        <v>1657</v>
      </c>
      <c r="J162" s="1" t="s">
        <v>1658</v>
      </c>
      <c r="K162" s="1" t="s">
        <v>1658</v>
      </c>
      <c r="L162" s="1" t="s">
        <v>1658</v>
      </c>
      <c r="M162" s="1" t="s">
        <v>1658</v>
      </c>
      <c r="N162" s="1" t="s">
        <v>1658</v>
      </c>
      <c r="O162" s="1" t="s">
        <v>1658</v>
      </c>
      <c r="P162" s="1">
        <v>1</v>
      </c>
      <c r="Q162" s="1" t="s">
        <v>1658</v>
      </c>
      <c r="R162" s="1">
        <v>0</v>
      </c>
      <c r="S162" s="1" t="s">
        <v>2384</v>
      </c>
      <c r="T162" s="6" t="s">
        <v>2384</v>
      </c>
      <c r="U162" s="1" t="str">
        <f t="shared" si="2"/>
        <v>Yes</v>
      </c>
      <c r="W162" s="1" t="s">
        <v>2385</v>
      </c>
      <c r="X162" s="1" t="str">
        <f>IF(COUNTIF('MyWells Drilling Comp'!F:F,E162)=0,"Missing","Exist")</f>
        <v>Exist</v>
      </c>
    </row>
    <row r="163" hidden="1" spans="1:24">
      <c r="A163" s="1" t="s">
        <v>1652</v>
      </c>
      <c r="B163" s="1" t="s">
        <v>90</v>
      </c>
      <c r="C163" s="1" t="s">
        <v>2386</v>
      </c>
      <c r="D163" s="1" t="s">
        <v>2382</v>
      </c>
      <c r="E163" s="2" t="s">
        <v>528</v>
      </c>
      <c r="F163" s="2" t="s">
        <v>2387</v>
      </c>
      <c r="G163" s="1">
        <v>1</v>
      </c>
      <c r="H163" s="1" t="s">
        <v>1663</v>
      </c>
      <c r="I163" s="1" t="s">
        <v>1657</v>
      </c>
      <c r="J163" s="1" t="s">
        <v>1658</v>
      </c>
      <c r="K163" s="1" t="s">
        <v>1658</v>
      </c>
      <c r="L163" s="1" t="s">
        <v>1658</v>
      </c>
      <c r="M163" s="1" t="s">
        <v>1658</v>
      </c>
      <c r="N163" s="1" t="s">
        <v>1658</v>
      </c>
      <c r="O163" s="1" t="s">
        <v>1658</v>
      </c>
      <c r="P163" s="1">
        <v>1</v>
      </c>
      <c r="Q163" s="1" t="s">
        <v>1658</v>
      </c>
      <c r="R163" s="1">
        <v>0</v>
      </c>
      <c r="S163" s="1" t="s">
        <v>2388</v>
      </c>
      <c r="T163" s="6" t="s">
        <v>2388</v>
      </c>
      <c r="U163" s="1" t="str">
        <f t="shared" si="2"/>
        <v>Yes</v>
      </c>
      <c r="W163" s="1" t="s">
        <v>2389</v>
      </c>
      <c r="X163" s="1" t="str">
        <f>IF(COUNTIF('MyWells Drilling Comp'!F:F,E163)=0,"Missing","Exist")</f>
        <v>Exist</v>
      </c>
    </row>
    <row r="164" hidden="1" spans="1:24">
      <c r="A164" s="1" t="s">
        <v>1652</v>
      </c>
      <c r="B164" s="1" t="s">
        <v>90</v>
      </c>
      <c r="C164" s="1" t="s">
        <v>2390</v>
      </c>
      <c r="D164" s="1" t="s">
        <v>2391</v>
      </c>
      <c r="E164" s="1" t="s">
        <v>1007</v>
      </c>
      <c r="F164" s="1" t="s">
        <v>2392</v>
      </c>
      <c r="G164" s="1">
        <v>1</v>
      </c>
      <c r="H164" s="1" t="s">
        <v>1656</v>
      </c>
      <c r="I164" s="1" t="s">
        <v>1657</v>
      </c>
      <c r="J164" s="1" t="s">
        <v>1658</v>
      </c>
      <c r="K164" s="1" t="s">
        <v>1658</v>
      </c>
      <c r="L164" s="1" t="s">
        <v>1658</v>
      </c>
      <c r="M164" s="1" t="s">
        <v>1658</v>
      </c>
      <c r="N164" s="1" t="s">
        <v>1658</v>
      </c>
      <c r="O164" s="1" t="s">
        <v>1658</v>
      </c>
      <c r="P164" s="1">
        <v>1</v>
      </c>
      <c r="Q164" s="1" t="s">
        <v>1658</v>
      </c>
      <c r="R164" s="1">
        <v>0</v>
      </c>
      <c r="S164" s="1" t="s">
        <v>2393</v>
      </c>
      <c r="T164" s="6" t="s">
        <v>2393</v>
      </c>
      <c r="U164" s="1" t="str">
        <f t="shared" si="2"/>
        <v>Yes</v>
      </c>
      <c r="W164" s="1" t="s">
        <v>2394</v>
      </c>
      <c r="X164" s="1" t="str">
        <f>IF(COUNTIF('MyWells Drilling Comp'!F:F,E164)=0,"Missing","Exist")</f>
        <v>Exist</v>
      </c>
    </row>
    <row r="165" hidden="1" spans="1:24">
      <c r="A165" s="1" t="s">
        <v>1652</v>
      </c>
      <c r="B165" s="1" t="s">
        <v>90</v>
      </c>
      <c r="C165" s="1" t="s">
        <v>2395</v>
      </c>
      <c r="D165" s="1" t="s">
        <v>2391</v>
      </c>
      <c r="E165" s="1" t="s">
        <v>1007</v>
      </c>
      <c r="F165" s="1" t="s">
        <v>2396</v>
      </c>
      <c r="G165" s="1">
        <v>1</v>
      </c>
      <c r="H165" s="1" t="s">
        <v>1663</v>
      </c>
      <c r="I165" s="1" t="s">
        <v>1657</v>
      </c>
      <c r="J165" s="1" t="s">
        <v>1658</v>
      </c>
      <c r="K165" s="1" t="s">
        <v>1658</v>
      </c>
      <c r="L165" s="1" t="s">
        <v>1658</v>
      </c>
      <c r="M165" s="1" t="s">
        <v>1658</v>
      </c>
      <c r="N165" s="1" t="s">
        <v>1658</v>
      </c>
      <c r="O165" s="1" t="s">
        <v>1658</v>
      </c>
      <c r="P165" s="1">
        <v>1</v>
      </c>
      <c r="Q165" s="1" t="s">
        <v>1658</v>
      </c>
      <c r="R165" s="1">
        <v>0</v>
      </c>
      <c r="S165" s="1" t="s">
        <v>2397</v>
      </c>
      <c r="T165" s="6" t="s">
        <v>2397</v>
      </c>
      <c r="U165" s="1" t="str">
        <f t="shared" si="2"/>
        <v>Yes</v>
      </c>
      <c r="W165" s="1" t="s">
        <v>2398</v>
      </c>
      <c r="X165" s="1" t="str">
        <f>IF(COUNTIF('MyWells Drilling Comp'!F:F,E165)=0,"Missing","Exist")</f>
        <v>Exist</v>
      </c>
    </row>
    <row r="166" hidden="1" spans="1:24">
      <c r="A166" s="1" t="s">
        <v>1652</v>
      </c>
      <c r="B166" s="1" t="s">
        <v>90</v>
      </c>
      <c r="C166" s="1" t="s">
        <v>2399</v>
      </c>
      <c r="D166" s="1" t="s">
        <v>2400</v>
      </c>
      <c r="E166" s="1" t="s">
        <v>1418</v>
      </c>
      <c r="F166" s="1" t="s">
        <v>2401</v>
      </c>
      <c r="G166" s="1">
        <v>1</v>
      </c>
      <c r="H166" s="1" t="s">
        <v>1663</v>
      </c>
      <c r="I166" s="1" t="s">
        <v>1657</v>
      </c>
      <c r="J166" s="1" t="s">
        <v>1658</v>
      </c>
      <c r="K166" s="1" t="s">
        <v>1658</v>
      </c>
      <c r="L166" s="1" t="s">
        <v>1658</v>
      </c>
      <c r="M166" s="1" t="s">
        <v>1658</v>
      </c>
      <c r="N166" s="1" t="s">
        <v>1658</v>
      </c>
      <c r="O166" s="1" t="s">
        <v>1658</v>
      </c>
      <c r="P166" s="1">
        <v>1</v>
      </c>
      <c r="Q166" s="1" t="s">
        <v>1658</v>
      </c>
      <c r="R166" s="1">
        <v>0</v>
      </c>
      <c r="S166" s="1" t="s">
        <v>2402</v>
      </c>
      <c r="T166" s="6"/>
      <c r="U166" s="1" t="str">
        <f t="shared" si="2"/>
        <v>No</v>
      </c>
      <c r="W166" s="1" t="s">
        <v>2403</v>
      </c>
      <c r="X166" s="1" t="str">
        <f>IF(COUNTIF('MyWells Drilling Comp'!F:F,E166)=0,"Missing","Exist")</f>
        <v>Exist</v>
      </c>
    </row>
    <row r="167" hidden="1" spans="1:24">
      <c r="A167" s="1" t="s">
        <v>1652</v>
      </c>
      <c r="B167" s="1" t="s">
        <v>90</v>
      </c>
      <c r="C167" s="1" t="s">
        <v>2404</v>
      </c>
      <c r="D167" s="1" t="s">
        <v>2400</v>
      </c>
      <c r="E167" s="1" t="s">
        <v>1418</v>
      </c>
      <c r="F167" s="1" t="s">
        <v>2405</v>
      </c>
      <c r="G167" s="1">
        <v>1</v>
      </c>
      <c r="H167" s="1" t="s">
        <v>1656</v>
      </c>
      <c r="I167" s="1" t="s">
        <v>1657</v>
      </c>
      <c r="J167" s="1" t="s">
        <v>1658</v>
      </c>
      <c r="K167" s="1" t="s">
        <v>1658</v>
      </c>
      <c r="L167" s="1" t="s">
        <v>1658</v>
      </c>
      <c r="M167" s="1" t="s">
        <v>1658</v>
      </c>
      <c r="N167" s="1" t="s">
        <v>1658</v>
      </c>
      <c r="O167" s="1" t="s">
        <v>1658</v>
      </c>
      <c r="P167" s="1">
        <v>1</v>
      </c>
      <c r="Q167" s="1" t="s">
        <v>1658</v>
      </c>
      <c r="R167" s="1">
        <v>0</v>
      </c>
      <c r="S167" s="1" t="s">
        <v>2406</v>
      </c>
      <c r="T167" s="6"/>
      <c r="U167" s="1" t="str">
        <f t="shared" si="2"/>
        <v>No</v>
      </c>
      <c r="W167" s="1" t="s">
        <v>2407</v>
      </c>
      <c r="X167" s="1" t="str">
        <f>IF(COUNTIF('MyWells Drilling Comp'!F:F,E167)=0,"Missing","Exist")</f>
        <v>Exist</v>
      </c>
    </row>
    <row r="168" hidden="1" spans="1:24">
      <c r="A168" s="1" t="s">
        <v>1652</v>
      </c>
      <c r="B168" s="1" t="s">
        <v>90</v>
      </c>
      <c r="C168" s="1" t="s">
        <v>2408</v>
      </c>
      <c r="D168" s="1" t="s">
        <v>2409</v>
      </c>
      <c r="E168" s="1" t="s">
        <v>1406</v>
      </c>
      <c r="F168" s="1" t="s">
        <v>2410</v>
      </c>
      <c r="G168" s="1">
        <v>1</v>
      </c>
      <c r="H168" s="1" t="s">
        <v>1656</v>
      </c>
      <c r="I168" s="1" t="s">
        <v>1657</v>
      </c>
      <c r="J168" s="1" t="s">
        <v>1658</v>
      </c>
      <c r="K168" s="1" t="s">
        <v>1658</v>
      </c>
      <c r="L168" s="1" t="s">
        <v>1658</v>
      </c>
      <c r="M168" s="1" t="s">
        <v>1658</v>
      </c>
      <c r="N168" s="1" t="s">
        <v>1658</v>
      </c>
      <c r="O168" s="1" t="s">
        <v>1658</v>
      </c>
      <c r="P168" s="1">
        <v>1</v>
      </c>
      <c r="Q168" s="1" t="s">
        <v>1658</v>
      </c>
      <c r="R168" s="1">
        <v>0</v>
      </c>
      <c r="S168" s="1" t="s">
        <v>2280</v>
      </c>
      <c r="T168" s="6"/>
      <c r="U168" s="1" t="str">
        <f t="shared" si="2"/>
        <v>No</v>
      </c>
      <c r="W168" s="1" t="s">
        <v>2411</v>
      </c>
      <c r="X168" s="1" t="str">
        <f>IF(COUNTIF('MyWells Drilling Comp'!F:F,E168)=0,"Missing","Exist")</f>
        <v>Exist</v>
      </c>
    </row>
    <row r="169" hidden="1" spans="1:24">
      <c r="A169" s="1" t="s">
        <v>1652</v>
      </c>
      <c r="B169" s="1" t="s">
        <v>90</v>
      </c>
      <c r="C169" s="1" t="s">
        <v>2412</v>
      </c>
      <c r="D169" s="1" t="s">
        <v>2409</v>
      </c>
      <c r="E169" s="1" t="s">
        <v>1406</v>
      </c>
      <c r="F169" s="7" t="s">
        <v>2413</v>
      </c>
      <c r="G169" s="1">
        <v>1</v>
      </c>
      <c r="H169" s="1" t="s">
        <v>1663</v>
      </c>
      <c r="I169" s="1" t="s">
        <v>1657</v>
      </c>
      <c r="J169" s="1" t="s">
        <v>1658</v>
      </c>
      <c r="K169" s="1" t="s">
        <v>1658</v>
      </c>
      <c r="L169" s="1" t="s">
        <v>1658</v>
      </c>
      <c r="M169" s="1" t="s">
        <v>1658</v>
      </c>
      <c r="N169" s="1" t="s">
        <v>1658</v>
      </c>
      <c r="O169" s="1" t="s">
        <v>1658</v>
      </c>
      <c r="P169" s="1">
        <v>1</v>
      </c>
      <c r="Q169" s="1" t="s">
        <v>1658</v>
      </c>
      <c r="R169" s="1">
        <v>0</v>
      </c>
      <c r="S169" s="1" t="s">
        <v>2414</v>
      </c>
      <c r="T169" s="6" t="s">
        <v>2414</v>
      </c>
      <c r="U169" s="1" t="str">
        <f t="shared" si="2"/>
        <v>Yes</v>
      </c>
      <c r="W169" s="1" t="s">
        <v>2415</v>
      </c>
      <c r="X169" s="1" t="str">
        <f>IF(COUNTIF('MyWells Drilling Comp'!F:F,E169)=0,"Missing","Exist")</f>
        <v>Exist</v>
      </c>
    </row>
    <row r="170" hidden="1" spans="1:24">
      <c r="A170" s="1" t="s">
        <v>1652</v>
      </c>
      <c r="B170" s="1" t="s">
        <v>90</v>
      </c>
      <c r="C170" s="1" t="s">
        <v>2416</v>
      </c>
      <c r="D170" s="1" t="s">
        <v>2417</v>
      </c>
      <c r="E170" s="1" t="s">
        <v>611</v>
      </c>
      <c r="F170" s="1" t="s">
        <v>2418</v>
      </c>
      <c r="G170" s="1">
        <v>1</v>
      </c>
      <c r="H170" s="1" t="s">
        <v>1656</v>
      </c>
      <c r="I170" s="1" t="s">
        <v>1657</v>
      </c>
      <c r="J170" s="1" t="s">
        <v>1658</v>
      </c>
      <c r="K170" s="1" t="s">
        <v>1658</v>
      </c>
      <c r="L170" s="1" t="s">
        <v>1658</v>
      </c>
      <c r="M170" s="1" t="s">
        <v>1658</v>
      </c>
      <c r="N170" s="1" t="s">
        <v>1658</v>
      </c>
      <c r="O170" s="1" t="s">
        <v>1658</v>
      </c>
      <c r="P170" s="1">
        <v>1</v>
      </c>
      <c r="Q170" s="1" t="s">
        <v>1658</v>
      </c>
      <c r="R170" s="1">
        <v>0</v>
      </c>
      <c r="S170" s="1" t="s">
        <v>2419</v>
      </c>
      <c r="T170" s="6"/>
      <c r="U170" s="1" t="str">
        <f t="shared" si="2"/>
        <v>No</v>
      </c>
      <c r="W170" s="1" t="s">
        <v>2420</v>
      </c>
      <c r="X170" s="1" t="str">
        <f>IF(COUNTIF('MyWells Drilling Comp'!F:F,E170)=0,"Missing","Exist")</f>
        <v>Exist</v>
      </c>
    </row>
    <row r="171" hidden="1" spans="1:24">
      <c r="A171" s="1" t="s">
        <v>1652</v>
      </c>
      <c r="B171" s="1" t="s">
        <v>90</v>
      </c>
      <c r="C171" s="1" t="s">
        <v>2421</v>
      </c>
      <c r="D171" s="1" t="s">
        <v>2417</v>
      </c>
      <c r="E171" s="1" t="s">
        <v>611</v>
      </c>
      <c r="F171" s="1" t="s">
        <v>2422</v>
      </c>
      <c r="G171" s="1">
        <v>1</v>
      </c>
      <c r="H171" s="1" t="s">
        <v>1663</v>
      </c>
      <c r="I171" s="1" t="s">
        <v>1657</v>
      </c>
      <c r="J171" s="1" t="s">
        <v>1658</v>
      </c>
      <c r="K171" s="1" t="s">
        <v>1658</v>
      </c>
      <c r="L171" s="1" t="s">
        <v>1658</v>
      </c>
      <c r="M171" s="1" t="s">
        <v>1658</v>
      </c>
      <c r="N171" s="1" t="s">
        <v>1658</v>
      </c>
      <c r="O171" s="1" t="s">
        <v>1658</v>
      </c>
      <c r="P171" s="1">
        <v>1</v>
      </c>
      <c r="Q171" s="1" t="s">
        <v>1658</v>
      </c>
      <c r="R171" s="1">
        <v>0</v>
      </c>
      <c r="S171" s="1" t="s">
        <v>2423</v>
      </c>
      <c r="T171" s="6" t="s">
        <v>2423</v>
      </c>
      <c r="U171" s="1" t="str">
        <f t="shared" si="2"/>
        <v>Yes</v>
      </c>
      <c r="W171" s="1" t="s">
        <v>2424</v>
      </c>
      <c r="X171" s="1" t="str">
        <f>IF(COUNTIF('MyWells Drilling Comp'!F:F,E171)=0,"Missing","Exist")</f>
        <v>Exist</v>
      </c>
    </row>
    <row r="172" hidden="1" spans="1:24">
      <c r="A172" s="1" t="s">
        <v>1652</v>
      </c>
      <c r="B172" s="1" t="s">
        <v>90</v>
      </c>
      <c r="C172" s="1" t="s">
        <v>2425</v>
      </c>
      <c r="D172" s="1" t="s">
        <v>2426</v>
      </c>
      <c r="E172" s="1" t="s">
        <v>793</v>
      </c>
      <c r="F172" s="1" t="s">
        <v>2427</v>
      </c>
      <c r="G172" s="1">
        <v>1</v>
      </c>
      <c r="H172" s="1" t="s">
        <v>1656</v>
      </c>
      <c r="I172" s="1" t="s">
        <v>1657</v>
      </c>
      <c r="J172" s="1" t="s">
        <v>1658</v>
      </c>
      <c r="K172" s="1" t="s">
        <v>1658</v>
      </c>
      <c r="L172" s="1" t="s">
        <v>1658</v>
      </c>
      <c r="M172" s="1" t="s">
        <v>1658</v>
      </c>
      <c r="N172" s="1" t="s">
        <v>1658</v>
      </c>
      <c r="O172" s="1" t="s">
        <v>1658</v>
      </c>
      <c r="P172" s="1">
        <v>1</v>
      </c>
      <c r="Q172" s="1" t="s">
        <v>1658</v>
      </c>
      <c r="R172" s="1">
        <v>0</v>
      </c>
      <c r="S172" s="1" t="s">
        <v>2428</v>
      </c>
      <c r="T172" s="6" t="s">
        <v>2428</v>
      </c>
      <c r="U172" s="1" t="str">
        <f t="shared" si="2"/>
        <v>Yes</v>
      </c>
      <c r="W172" s="1" t="s">
        <v>2429</v>
      </c>
      <c r="X172" s="1" t="str">
        <f>IF(COUNTIF('MyWells Drilling Comp'!F:F,E172)=0,"Missing","Exist")</f>
        <v>Exist</v>
      </c>
    </row>
    <row r="173" hidden="1" spans="1:24">
      <c r="A173" s="1" t="s">
        <v>1652</v>
      </c>
      <c r="B173" s="1" t="s">
        <v>90</v>
      </c>
      <c r="C173" s="1" t="s">
        <v>2430</v>
      </c>
      <c r="D173" s="1" t="s">
        <v>2426</v>
      </c>
      <c r="E173" s="1" t="s">
        <v>793</v>
      </c>
      <c r="F173" s="1" t="s">
        <v>2431</v>
      </c>
      <c r="G173" s="1">
        <v>1</v>
      </c>
      <c r="H173" s="1" t="s">
        <v>1663</v>
      </c>
      <c r="I173" s="1" t="s">
        <v>1657</v>
      </c>
      <c r="J173" s="1" t="s">
        <v>1658</v>
      </c>
      <c r="K173" s="1" t="s">
        <v>1658</v>
      </c>
      <c r="L173" s="1" t="s">
        <v>1658</v>
      </c>
      <c r="M173" s="1" t="s">
        <v>1658</v>
      </c>
      <c r="N173" s="1" t="s">
        <v>1658</v>
      </c>
      <c r="O173" s="1" t="s">
        <v>1658</v>
      </c>
      <c r="P173" s="1">
        <v>1</v>
      </c>
      <c r="Q173" s="1" t="s">
        <v>1658</v>
      </c>
      <c r="R173" s="1">
        <v>0</v>
      </c>
      <c r="S173" s="1" t="s">
        <v>2432</v>
      </c>
      <c r="T173" s="6" t="s">
        <v>2432</v>
      </c>
      <c r="U173" s="1" t="str">
        <f t="shared" si="2"/>
        <v>Yes</v>
      </c>
      <c r="W173" s="1" t="s">
        <v>2433</v>
      </c>
      <c r="X173" s="1" t="str">
        <f>IF(COUNTIF('MyWells Drilling Comp'!F:F,E173)=0,"Missing","Exist")</f>
        <v>Exist</v>
      </c>
    </row>
    <row r="174" hidden="1" spans="1:24">
      <c r="A174" s="1" t="s">
        <v>1652</v>
      </c>
      <c r="B174" s="1" t="s">
        <v>90</v>
      </c>
      <c r="C174" s="1" t="s">
        <v>2434</v>
      </c>
      <c r="D174" s="1" t="s">
        <v>2435</v>
      </c>
      <c r="E174" s="1" t="s">
        <v>652</v>
      </c>
      <c r="F174" s="1" t="s">
        <v>2436</v>
      </c>
      <c r="G174" s="1">
        <v>1</v>
      </c>
      <c r="H174" s="1" t="s">
        <v>1656</v>
      </c>
      <c r="I174" s="1" t="s">
        <v>1657</v>
      </c>
      <c r="J174" s="1" t="s">
        <v>1658</v>
      </c>
      <c r="K174" s="1" t="s">
        <v>1658</v>
      </c>
      <c r="L174" s="1" t="s">
        <v>1658</v>
      </c>
      <c r="M174" s="1" t="s">
        <v>1658</v>
      </c>
      <c r="N174" s="1" t="s">
        <v>1658</v>
      </c>
      <c r="O174" s="1" t="s">
        <v>1658</v>
      </c>
      <c r="P174" s="1">
        <v>1</v>
      </c>
      <c r="Q174" s="1" t="s">
        <v>1658</v>
      </c>
      <c r="R174" s="1">
        <v>0</v>
      </c>
      <c r="S174" s="1" t="s">
        <v>2437</v>
      </c>
      <c r="T174" s="6" t="s">
        <v>2437</v>
      </c>
      <c r="U174" s="1" t="str">
        <f t="shared" si="2"/>
        <v>Yes</v>
      </c>
      <c r="W174" s="1" t="s">
        <v>2438</v>
      </c>
      <c r="X174" s="1" t="str">
        <f>IF(COUNTIF('MyWells Drilling Comp'!F:F,E174)=0,"Missing","Exist")</f>
        <v>Exist</v>
      </c>
    </row>
    <row r="175" hidden="1" spans="1:24">
      <c r="A175" s="1" t="s">
        <v>1652</v>
      </c>
      <c r="B175" s="1" t="s">
        <v>90</v>
      </c>
      <c r="C175" s="1" t="s">
        <v>2439</v>
      </c>
      <c r="D175" s="1" t="s">
        <v>2435</v>
      </c>
      <c r="E175" s="1" t="s">
        <v>652</v>
      </c>
      <c r="F175" s="1" t="s">
        <v>2440</v>
      </c>
      <c r="G175" s="1">
        <v>1</v>
      </c>
      <c r="H175" s="1" t="s">
        <v>1663</v>
      </c>
      <c r="I175" s="1" t="s">
        <v>1657</v>
      </c>
      <c r="J175" s="1" t="s">
        <v>1658</v>
      </c>
      <c r="K175" s="1" t="s">
        <v>1658</v>
      </c>
      <c r="L175" s="1" t="s">
        <v>1658</v>
      </c>
      <c r="M175" s="1" t="s">
        <v>1658</v>
      </c>
      <c r="N175" s="1" t="s">
        <v>1658</v>
      </c>
      <c r="O175" s="1" t="s">
        <v>1658</v>
      </c>
      <c r="P175" s="1">
        <v>1</v>
      </c>
      <c r="Q175" s="1" t="s">
        <v>1658</v>
      </c>
      <c r="R175" s="1">
        <v>0</v>
      </c>
      <c r="S175" s="1" t="s">
        <v>2441</v>
      </c>
      <c r="T175" s="6"/>
      <c r="U175" s="1" t="str">
        <f t="shared" si="2"/>
        <v>No</v>
      </c>
      <c r="W175" s="1" t="s">
        <v>2442</v>
      </c>
      <c r="X175" s="1" t="str">
        <f>IF(COUNTIF('MyWells Drilling Comp'!F:F,E175)=0,"Missing","Exist")</f>
        <v>Exist</v>
      </c>
    </row>
    <row r="176" hidden="1" spans="1:24">
      <c r="A176" s="1" t="s">
        <v>1652</v>
      </c>
      <c r="B176" s="1" t="s">
        <v>90</v>
      </c>
      <c r="C176" s="1" t="s">
        <v>2443</v>
      </c>
      <c r="D176" s="1" t="s">
        <v>2444</v>
      </c>
      <c r="E176" s="1" t="s">
        <v>1344</v>
      </c>
      <c r="F176" s="1" t="s">
        <v>2445</v>
      </c>
      <c r="G176" s="1">
        <v>1</v>
      </c>
      <c r="H176" s="1" t="s">
        <v>1656</v>
      </c>
      <c r="I176" s="1" t="s">
        <v>1657</v>
      </c>
      <c r="J176" s="1" t="s">
        <v>1658</v>
      </c>
      <c r="K176" s="1" t="s">
        <v>1658</v>
      </c>
      <c r="L176" s="1" t="s">
        <v>1658</v>
      </c>
      <c r="M176" s="1" t="s">
        <v>1658</v>
      </c>
      <c r="N176" s="1" t="s">
        <v>1658</v>
      </c>
      <c r="O176" s="1" t="s">
        <v>1658</v>
      </c>
      <c r="P176" s="1">
        <v>1</v>
      </c>
      <c r="Q176" s="1" t="s">
        <v>1658</v>
      </c>
      <c r="R176" s="1">
        <v>0</v>
      </c>
      <c r="S176" s="1" t="s">
        <v>2446</v>
      </c>
      <c r="T176" s="6"/>
      <c r="U176" s="1" t="str">
        <f t="shared" si="2"/>
        <v>No</v>
      </c>
      <c r="W176" s="1" t="s">
        <v>2447</v>
      </c>
      <c r="X176" s="1" t="str">
        <f>IF(COUNTIF('MyWells Drilling Comp'!F:F,E176)=0,"Missing","Exist")</f>
        <v>Exist</v>
      </c>
    </row>
    <row r="177" hidden="1" spans="1:24">
      <c r="A177" s="1" t="s">
        <v>1652</v>
      </c>
      <c r="B177" s="1" t="s">
        <v>90</v>
      </c>
      <c r="C177" s="1" t="s">
        <v>2448</v>
      </c>
      <c r="D177" s="1" t="s">
        <v>2444</v>
      </c>
      <c r="E177" s="1" t="s">
        <v>1344</v>
      </c>
      <c r="F177" s="1" t="s">
        <v>2449</v>
      </c>
      <c r="G177" s="1">
        <v>1</v>
      </c>
      <c r="H177" s="1" t="s">
        <v>1663</v>
      </c>
      <c r="I177" s="1" t="s">
        <v>1657</v>
      </c>
      <c r="J177" s="1" t="s">
        <v>1658</v>
      </c>
      <c r="K177" s="1" t="s">
        <v>1658</v>
      </c>
      <c r="L177" s="1" t="s">
        <v>1658</v>
      </c>
      <c r="M177" s="1" t="s">
        <v>1658</v>
      </c>
      <c r="N177" s="1" t="s">
        <v>1658</v>
      </c>
      <c r="O177" s="1" t="s">
        <v>1658</v>
      </c>
      <c r="P177" s="1">
        <v>1</v>
      </c>
      <c r="Q177" s="1" t="s">
        <v>1658</v>
      </c>
      <c r="R177" s="1">
        <v>0</v>
      </c>
      <c r="S177" s="1" t="s">
        <v>2450</v>
      </c>
      <c r="T177" s="6"/>
      <c r="U177" s="1" t="str">
        <f t="shared" si="2"/>
        <v>No</v>
      </c>
      <c r="W177" s="1" t="s">
        <v>2451</v>
      </c>
      <c r="X177" s="1" t="str">
        <f>IF(COUNTIF('MyWells Drilling Comp'!F:F,E177)=0,"Missing","Exist")</f>
        <v>Exist</v>
      </c>
    </row>
    <row r="178" hidden="1" spans="1:24">
      <c r="A178" s="1" t="s">
        <v>1652</v>
      </c>
      <c r="B178" s="1" t="s">
        <v>90</v>
      </c>
      <c r="C178" s="1" t="s">
        <v>2452</v>
      </c>
      <c r="D178" s="1" t="s">
        <v>2453</v>
      </c>
      <c r="E178" s="1" t="s">
        <v>657</v>
      </c>
      <c r="F178" s="1" t="s">
        <v>2454</v>
      </c>
      <c r="G178" s="1">
        <v>1</v>
      </c>
      <c r="H178" s="1" t="s">
        <v>1663</v>
      </c>
      <c r="I178" s="1" t="s">
        <v>1657</v>
      </c>
      <c r="J178" s="1" t="s">
        <v>1658</v>
      </c>
      <c r="K178" s="1" t="s">
        <v>1658</v>
      </c>
      <c r="L178" s="1" t="s">
        <v>1658</v>
      </c>
      <c r="M178" s="1" t="s">
        <v>1658</v>
      </c>
      <c r="N178" s="1" t="s">
        <v>1658</v>
      </c>
      <c r="O178" s="1" t="s">
        <v>1658</v>
      </c>
      <c r="P178" s="1">
        <v>1</v>
      </c>
      <c r="Q178" s="1" t="s">
        <v>1658</v>
      </c>
      <c r="R178" s="1">
        <v>0</v>
      </c>
      <c r="S178" s="1" t="s">
        <v>2455</v>
      </c>
      <c r="T178" s="6" t="s">
        <v>2455</v>
      </c>
      <c r="U178" s="1" t="str">
        <f t="shared" si="2"/>
        <v>Yes</v>
      </c>
      <c r="W178" s="1" t="s">
        <v>2456</v>
      </c>
      <c r="X178" s="1" t="str">
        <f>IF(COUNTIF('MyWells Drilling Comp'!F:F,E178)=0,"Missing","Exist")</f>
        <v>Exist</v>
      </c>
    </row>
    <row r="179" hidden="1" spans="1:24">
      <c r="A179" s="1" t="s">
        <v>1652</v>
      </c>
      <c r="B179" s="1" t="s">
        <v>90</v>
      </c>
      <c r="C179" s="1" t="s">
        <v>2457</v>
      </c>
      <c r="D179" s="1" t="s">
        <v>2453</v>
      </c>
      <c r="E179" s="1" t="s">
        <v>657</v>
      </c>
      <c r="F179" s="1" t="s">
        <v>2458</v>
      </c>
      <c r="G179" s="1">
        <v>1</v>
      </c>
      <c r="H179" s="1" t="s">
        <v>1656</v>
      </c>
      <c r="I179" s="1" t="s">
        <v>1657</v>
      </c>
      <c r="J179" s="1" t="s">
        <v>1658</v>
      </c>
      <c r="K179" s="1" t="s">
        <v>1658</v>
      </c>
      <c r="L179" s="1" t="s">
        <v>1658</v>
      </c>
      <c r="M179" s="1" t="s">
        <v>1658</v>
      </c>
      <c r="N179" s="1" t="s">
        <v>1658</v>
      </c>
      <c r="O179" s="1" t="s">
        <v>1658</v>
      </c>
      <c r="P179" s="1">
        <v>1</v>
      </c>
      <c r="Q179" s="1" t="s">
        <v>1658</v>
      </c>
      <c r="R179" s="1">
        <v>0</v>
      </c>
      <c r="S179" s="1" t="s">
        <v>2459</v>
      </c>
      <c r="T179" s="6" t="s">
        <v>2459</v>
      </c>
      <c r="U179" s="1" t="str">
        <f t="shared" si="2"/>
        <v>Yes</v>
      </c>
      <c r="W179" s="1" t="s">
        <v>2460</v>
      </c>
      <c r="X179" s="1" t="str">
        <f>IF(COUNTIF('MyWells Drilling Comp'!F:F,E179)=0,"Missing","Exist")</f>
        <v>Exist</v>
      </c>
    </row>
    <row r="180" hidden="1" spans="1:24">
      <c r="A180" s="1" t="s">
        <v>1652</v>
      </c>
      <c r="B180" s="1" t="s">
        <v>90</v>
      </c>
      <c r="C180" s="1" t="s">
        <v>2461</v>
      </c>
      <c r="D180" s="1" t="s">
        <v>2462</v>
      </c>
      <c r="E180" s="1" t="s">
        <v>869</v>
      </c>
      <c r="F180" s="1" t="s">
        <v>2463</v>
      </c>
      <c r="G180" s="1">
        <v>1</v>
      </c>
      <c r="H180" s="1" t="s">
        <v>1656</v>
      </c>
      <c r="I180" s="1" t="s">
        <v>1657</v>
      </c>
      <c r="J180" s="1" t="s">
        <v>1658</v>
      </c>
      <c r="K180" s="1" t="s">
        <v>1658</v>
      </c>
      <c r="L180" s="1" t="s">
        <v>1658</v>
      </c>
      <c r="M180" s="1" t="s">
        <v>1658</v>
      </c>
      <c r="N180" s="1" t="s">
        <v>1658</v>
      </c>
      <c r="O180" s="1" t="s">
        <v>1658</v>
      </c>
      <c r="P180" s="1">
        <v>1</v>
      </c>
      <c r="Q180" s="1" t="s">
        <v>1658</v>
      </c>
      <c r="R180" s="1">
        <v>0</v>
      </c>
      <c r="S180" s="1" t="s">
        <v>2464</v>
      </c>
      <c r="T180" s="6" t="s">
        <v>2464</v>
      </c>
      <c r="U180" s="1" t="str">
        <f t="shared" si="2"/>
        <v>Yes</v>
      </c>
      <c r="W180" s="1" t="s">
        <v>2465</v>
      </c>
      <c r="X180" s="1" t="str">
        <f>IF(COUNTIF('MyWells Drilling Comp'!F:F,E180)=0,"Missing","Exist")</f>
        <v>Exist</v>
      </c>
    </row>
    <row r="181" hidden="1" spans="1:24">
      <c r="A181" s="1" t="s">
        <v>1652</v>
      </c>
      <c r="B181" s="1" t="s">
        <v>90</v>
      </c>
      <c r="C181" s="1" t="s">
        <v>2466</v>
      </c>
      <c r="D181" s="1" t="s">
        <v>2462</v>
      </c>
      <c r="E181" s="1" t="s">
        <v>869</v>
      </c>
      <c r="F181" s="1" t="s">
        <v>2467</v>
      </c>
      <c r="G181" s="1">
        <v>1</v>
      </c>
      <c r="H181" s="1" t="s">
        <v>1663</v>
      </c>
      <c r="I181" s="1" t="s">
        <v>1657</v>
      </c>
      <c r="J181" s="1" t="s">
        <v>1658</v>
      </c>
      <c r="K181" s="1" t="s">
        <v>1658</v>
      </c>
      <c r="L181" s="1" t="s">
        <v>1658</v>
      </c>
      <c r="M181" s="1" t="s">
        <v>1658</v>
      </c>
      <c r="N181" s="1" t="s">
        <v>1658</v>
      </c>
      <c r="O181" s="1" t="s">
        <v>1658</v>
      </c>
      <c r="P181" s="1">
        <v>1</v>
      </c>
      <c r="Q181" s="1" t="s">
        <v>1658</v>
      </c>
      <c r="R181" s="1">
        <v>0</v>
      </c>
      <c r="S181" s="1" t="s">
        <v>2468</v>
      </c>
      <c r="T181" s="6" t="s">
        <v>2468</v>
      </c>
      <c r="U181" s="1" t="str">
        <f t="shared" si="2"/>
        <v>Yes</v>
      </c>
      <c r="W181" s="1" t="s">
        <v>2469</v>
      </c>
      <c r="X181" s="1" t="str">
        <f>IF(COUNTIF('MyWells Drilling Comp'!F:F,E181)=0,"Missing","Exist")</f>
        <v>Exist</v>
      </c>
    </row>
    <row r="182" hidden="1" spans="1:24">
      <c r="A182" s="1" t="s">
        <v>1652</v>
      </c>
      <c r="B182" s="1" t="s">
        <v>90</v>
      </c>
      <c r="C182" s="1" t="s">
        <v>2470</v>
      </c>
      <c r="D182" s="1" t="s">
        <v>2471</v>
      </c>
      <c r="E182" s="1" t="s">
        <v>1469</v>
      </c>
      <c r="F182" s="1" t="s">
        <v>2472</v>
      </c>
      <c r="G182" s="1">
        <v>1</v>
      </c>
      <c r="H182" s="1" t="s">
        <v>1663</v>
      </c>
      <c r="I182" s="1" t="s">
        <v>1657</v>
      </c>
      <c r="J182" s="1" t="s">
        <v>1658</v>
      </c>
      <c r="K182" s="1" t="s">
        <v>1658</v>
      </c>
      <c r="L182" s="1" t="s">
        <v>1658</v>
      </c>
      <c r="M182" s="1" t="s">
        <v>1658</v>
      </c>
      <c r="N182" s="1" t="s">
        <v>1658</v>
      </c>
      <c r="O182" s="1" t="s">
        <v>1658</v>
      </c>
      <c r="P182" s="1">
        <v>1</v>
      </c>
      <c r="Q182" s="1" t="s">
        <v>1658</v>
      </c>
      <c r="R182" s="1">
        <v>0</v>
      </c>
      <c r="S182" s="1" t="s">
        <v>2473</v>
      </c>
      <c r="T182" s="6" t="s">
        <v>2473</v>
      </c>
      <c r="U182" s="1" t="str">
        <f t="shared" si="2"/>
        <v>Yes</v>
      </c>
      <c r="W182" s="1" t="s">
        <v>2474</v>
      </c>
      <c r="X182" s="1" t="str">
        <f>IF(COUNTIF('MyWells Drilling Comp'!F:F,E182)=0,"Missing","Exist")</f>
        <v>Exist</v>
      </c>
    </row>
    <row r="183" hidden="1" spans="1:24">
      <c r="A183" s="1" t="s">
        <v>1652</v>
      </c>
      <c r="B183" s="1" t="s">
        <v>90</v>
      </c>
      <c r="C183" s="1" t="s">
        <v>2475</v>
      </c>
      <c r="D183" s="1" t="s">
        <v>2471</v>
      </c>
      <c r="E183" s="1" t="s">
        <v>1469</v>
      </c>
      <c r="F183" s="1" t="s">
        <v>2476</v>
      </c>
      <c r="G183" s="1">
        <v>1</v>
      </c>
      <c r="H183" s="1" t="s">
        <v>1656</v>
      </c>
      <c r="I183" s="1" t="s">
        <v>1657</v>
      </c>
      <c r="J183" s="1" t="s">
        <v>1658</v>
      </c>
      <c r="K183" s="1" t="s">
        <v>1658</v>
      </c>
      <c r="L183" s="1" t="s">
        <v>1658</v>
      </c>
      <c r="M183" s="1" t="s">
        <v>1658</v>
      </c>
      <c r="N183" s="1" t="s">
        <v>1658</v>
      </c>
      <c r="O183" s="1" t="s">
        <v>1658</v>
      </c>
      <c r="P183" s="1">
        <v>1</v>
      </c>
      <c r="Q183" s="1" t="s">
        <v>1658</v>
      </c>
      <c r="R183" s="1">
        <v>0</v>
      </c>
      <c r="S183" s="1" t="s">
        <v>2477</v>
      </c>
      <c r="T183" s="6" t="s">
        <v>2477</v>
      </c>
      <c r="U183" s="1" t="str">
        <f t="shared" si="2"/>
        <v>Yes</v>
      </c>
      <c r="W183" s="1" t="s">
        <v>2478</v>
      </c>
      <c r="X183" s="1" t="str">
        <f>IF(COUNTIF('MyWells Drilling Comp'!F:F,E183)=0,"Missing","Exist")</f>
        <v>Exist</v>
      </c>
    </row>
    <row r="184" hidden="1" spans="1:24">
      <c r="A184" s="1" t="s">
        <v>1652</v>
      </c>
      <c r="B184" s="1" t="s">
        <v>90</v>
      </c>
      <c r="C184" s="1" t="s">
        <v>2479</v>
      </c>
      <c r="D184" s="1" t="s">
        <v>2480</v>
      </c>
      <c r="E184" s="1" t="s">
        <v>844</v>
      </c>
      <c r="F184" s="1" t="s">
        <v>2481</v>
      </c>
      <c r="G184" s="1">
        <v>1</v>
      </c>
      <c r="H184" s="1" t="s">
        <v>1656</v>
      </c>
      <c r="I184" s="1" t="s">
        <v>1657</v>
      </c>
      <c r="J184" s="1" t="s">
        <v>1658</v>
      </c>
      <c r="K184" s="1" t="s">
        <v>1658</v>
      </c>
      <c r="L184" s="1" t="s">
        <v>1658</v>
      </c>
      <c r="M184" s="1" t="s">
        <v>1658</v>
      </c>
      <c r="N184" s="1" t="s">
        <v>1658</v>
      </c>
      <c r="O184" s="1" t="s">
        <v>1658</v>
      </c>
      <c r="P184" s="1">
        <v>1</v>
      </c>
      <c r="Q184" s="1" t="s">
        <v>1658</v>
      </c>
      <c r="R184" s="1">
        <v>0</v>
      </c>
      <c r="S184" s="1" t="s">
        <v>2482</v>
      </c>
      <c r="T184" s="6" t="s">
        <v>2482</v>
      </c>
      <c r="U184" s="1" t="str">
        <f t="shared" si="2"/>
        <v>Yes</v>
      </c>
      <c r="W184" s="1" t="s">
        <v>2483</v>
      </c>
      <c r="X184" s="1" t="str">
        <f>IF(COUNTIF('MyWells Drilling Comp'!F:F,E184)=0,"Missing","Exist")</f>
        <v>Exist</v>
      </c>
    </row>
    <row r="185" hidden="1" spans="1:24">
      <c r="A185" s="1" t="s">
        <v>1652</v>
      </c>
      <c r="B185" s="1" t="s">
        <v>90</v>
      </c>
      <c r="C185" s="1" t="s">
        <v>2484</v>
      </c>
      <c r="D185" s="1" t="s">
        <v>2480</v>
      </c>
      <c r="E185" s="1" t="s">
        <v>844</v>
      </c>
      <c r="F185" s="1" t="s">
        <v>2485</v>
      </c>
      <c r="G185" s="1">
        <v>1</v>
      </c>
      <c r="H185" s="1" t="s">
        <v>1663</v>
      </c>
      <c r="I185" s="1" t="s">
        <v>1657</v>
      </c>
      <c r="J185" s="1" t="s">
        <v>1658</v>
      </c>
      <c r="K185" s="1" t="s">
        <v>1658</v>
      </c>
      <c r="L185" s="1" t="s">
        <v>1658</v>
      </c>
      <c r="M185" s="1" t="s">
        <v>1658</v>
      </c>
      <c r="N185" s="1" t="s">
        <v>1658</v>
      </c>
      <c r="O185" s="1" t="s">
        <v>1658</v>
      </c>
      <c r="P185" s="1">
        <v>1</v>
      </c>
      <c r="Q185" s="1" t="s">
        <v>1658</v>
      </c>
      <c r="R185" s="1">
        <v>0</v>
      </c>
      <c r="S185" s="1" t="s">
        <v>2486</v>
      </c>
      <c r="T185" s="6"/>
      <c r="U185" s="1" t="str">
        <f t="shared" si="2"/>
        <v>No</v>
      </c>
      <c r="W185" s="1" t="s">
        <v>2487</v>
      </c>
      <c r="X185" s="1" t="str">
        <f>IF(COUNTIF('MyWells Drilling Comp'!F:F,E185)=0,"Missing","Exist")</f>
        <v>Exist</v>
      </c>
    </row>
    <row r="186" hidden="1" spans="1:24">
      <c r="A186" s="1" t="s">
        <v>1652</v>
      </c>
      <c r="B186" s="1" t="s">
        <v>90</v>
      </c>
      <c r="C186" s="1" t="s">
        <v>2488</v>
      </c>
      <c r="D186" s="1" t="s">
        <v>2489</v>
      </c>
      <c r="E186" s="1" t="s">
        <v>1578</v>
      </c>
      <c r="F186" s="1" t="s">
        <v>2490</v>
      </c>
      <c r="G186" s="1">
        <v>1</v>
      </c>
      <c r="H186" s="1" t="s">
        <v>1656</v>
      </c>
      <c r="I186" s="1" t="s">
        <v>1657</v>
      </c>
      <c r="J186" s="1" t="s">
        <v>1658</v>
      </c>
      <c r="K186" s="1" t="s">
        <v>1658</v>
      </c>
      <c r="L186" s="1" t="s">
        <v>1658</v>
      </c>
      <c r="M186" s="1" t="s">
        <v>1658</v>
      </c>
      <c r="N186" s="1" t="s">
        <v>1658</v>
      </c>
      <c r="O186" s="1" t="s">
        <v>1658</v>
      </c>
      <c r="P186" s="1">
        <v>1</v>
      </c>
      <c r="Q186" s="1" t="s">
        <v>1658</v>
      </c>
      <c r="R186" s="1">
        <v>0</v>
      </c>
      <c r="S186" s="1" t="s">
        <v>2491</v>
      </c>
      <c r="T186" s="6"/>
      <c r="U186" s="1" t="str">
        <f t="shared" si="2"/>
        <v>No</v>
      </c>
      <c r="W186" s="1" t="s">
        <v>2492</v>
      </c>
      <c r="X186" s="1" t="str">
        <f>IF(COUNTIF('MyWells Drilling Comp'!F:F,E186)=0,"Missing","Exist")</f>
        <v>Exist</v>
      </c>
    </row>
    <row r="187" hidden="1" spans="1:24">
      <c r="A187" s="1" t="s">
        <v>1652</v>
      </c>
      <c r="B187" s="1" t="s">
        <v>90</v>
      </c>
      <c r="C187" s="1" t="s">
        <v>2493</v>
      </c>
      <c r="D187" s="1" t="s">
        <v>2489</v>
      </c>
      <c r="E187" s="1" t="s">
        <v>1578</v>
      </c>
      <c r="F187" s="1" t="s">
        <v>2494</v>
      </c>
      <c r="G187" s="1">
        <v>1</v>
      </c>
      <c r="H187" s="1" t="s">
        <v>1663</v>
      </c>
      <c r="I187" s="1" t="s">
        <v>1657</v>
      </c>
      <c r="J187" s="1" t="s">
        <v>1658</v>
      </c>
      <c r="K187" s="1" t="s">
        <v>1658</v>
      </c>
      <c r="L187" s="1" t="s">
        <v>1658</v>
      </c>
      <c r="M187" s="1" t="s">
        <v>1658</v>
      </c>
      <c r="N187" s="1" t="s">
        <v>1658</v>
      </c>
      <c r="O187" s="1" t="s">
        <v>1658</v>
      </c>
      <c r="P187" s="1">
        <v>1</v>
      </c>
      <c r="Q187" s="1" t="s">
        <v>1658</v>
      </c>
      <c r="R187" s="1">
        <v>0</v>
      </c>
      <c r="S187" s="1" t="s">
        <v>2495</v>
      </c>
      <c r="T187" s="6"/>
      <c r="U187" s="1" t="str">
        <f t="shared" si="2"/>
        <v>No</v>
      </c>
      <c r="W187" s="1" t="s">
        <v>2496</v>
      </c>
      <c r="X187" s="1" t="str">
        <f>IF(COUNTIF('MyWells Drilling Comp'!F:F,E187)=0,"Missing","Exist")</f>
        <v>Exist</v>
      </c>
    </row>
    <row r="188" spans="1:24">
      <c r="A188" s="1" t="s">
        <v>1652</v>
      </c>
      <c r="B188" s="1" t="s">
        <v>90</v>
      </c>
      <c r="C188" s="1" t="s">
        <v>2497</v>
      </c>
      <c r="D188" s="1" t="s">
        <v>2498</v>
      </c>
      <c r="E188" s="1" t="s">
        <v>2499</v>
      </c>
      <c r="F188" s="1" t="s">
        <v>2500</v>
      </c>
      <c r="G188" s="1">
        <v>1</v>
      </c>
      <c r="H188" s="1" t="s">
        <v>1663</v>
      </c>
      <c r="I188" s="1" t="s">
        <v>1657</v>
      </c>
      <c r="J188" s="1" t="s">
        <v>1658</v>
      </c>
      <c r="K188" s="1" t="s">
        <v>1658</v>
      </c>
      <c r="L188" s="1" t="s">
        <v>1658</v>
      </c>
      <c r="M188" s="1" t="s">
        <v>1658</v>
      </c>
      <c r="N188" s="1" t="s">
        <v>1658</v>
      </c>
      <c r="O188" s="1" t="s">
        <v>1658</v>
      </c>
      <c r="P188" s="1">
        <v>1</v>
      </c>
      <c r="Q188" s="1" t="s">
        <v>1658</v>
      </c>
      <c r="R188" s="1">
        <v>0</v>
      </c>
      <c r="S188" s="1" t="s">
        <v>2501</v>
      </c>
      <c r="T188" s="6" t="s">
        <v>2501</v>
      </c>
      <c r="U188" s="1" t="str">
        <f t="shared" si="2"/>
        <v>Yes</v>
      </c>
      <c r="W188" s="1" t="s">
        <v>2502</v>
      </c>
      <c r="X188" s="1" t="str">
        <f>IF(COUNTIF('MyWells Drilling Comp'!F:F,E188)=0,"Missing","Exist")</f>
        <v>Missing</v>
      </c>
    </row>
    <row r="189" hidden="1" spans="1:24">
      <c r="A189" s="1" t="s">
        <v>1652</v>
      </c>
      <c r="B189" s="1" t="s">
        <v>90</v>
      </c>
      <c r="C189" s="7" t="s">
        <v>2503</v>
      </c>
      <c r="D189" s="1" t="s">
        <v>2498</v>
      </c>
      <c r="E189" s="1" t="s">
        <v>2499</v>
      </c>
      <c r="F189" s="1" t="s">
        <v>2504</v>
      </c>
      <c r="G189" s="1">
        <v>1</v>
      </c>
      <c r="H189" s="1" t="s">
        <v>1656</v>
      </c>
      <c r="I189" s="1" t="s">
        <v>1657</v>
      </c>
      <c r="J189" s="1" t="s">
        <v>1658</v>
      </c>
      <c r="K189" s="1" t="s">
        <v>1658</v>
      </c>
      <c r="L189" s="1" t="s">
        <v>1658</v>
      </c>
      <c r="M189" s="1" t="s">
        <v>1658</v>
      </c>
      <c r="N189" s="1" t="s">
        <v>1658</v>
      </c>
      <c r="O189" s="1" t="s">
        <v>1658</v>
      </c>
      <c r="P189" s="1">
        <v>1</v>
      </c>
      <c r="Q189" s="1" t="s">
        <v>1658</v>
      </c>
      <c r="R189" s="1">
        <v>0</v>
      </c>
      <c r="S189" s="1" t="s">
        <v>2505</v>
      </c>
      <c r="T189" s="6" t="s">
        <v>2505</v>
      </c>
      <c r="U189" s="1" t="str">
        <f t="shared" si="2"/>
        <v>Yes</v>
      </c>
      <c r="W189" s="1" t="s">
        <v>2506</v>
      </c>
      <c r="X189" s="1" t="str">
        <f>IF(COUNTIF('MyWells Drilling Comp'!F:F,E189)=0,"Missing","Exist")</f>
        <v>Missing</v>
      </c>
    </row>
    <row r="190" hidden="1" spans="1:24">
      <c r="A190" s="1" t="s">
        <v>1652</v>
      </c>
      <c r="B190" s="1" t="s">
        <v>90</v>
      </c>
      <c r="C190" s="1" t="s">
        <v>2507</v>
      </c>
      <c r="D190" s="1" t="s">
        <v>2508</v>
      </c>
      <c r="E190" s="1" t="s">
        <v>1190</v>
      </c>
      <c r="F190" s="1" t="s">
        <v>2509</v>
      </c>
      <c r="G190" s="1">
        <v>1</v>
      </c>
      <c r="H190" s="1" t="s">
        <v>1663</v>
      </c>
      <c r="I190" s="1" t="s">
        <v>1657</v>
      </c>
      <c r="J190" s="1" t="s">
        <v>1658</v>
      </c>
      <c r="K190" s="1" t="s">
        <v>1658</v>
      </c>
      <c r="L190" s="1" t="s">
        <v>1658</v>
      </c>
      <c r="M190" s="1" t="s">
        <v>1658</v>
      </c>
      <c r="N190" s="1" t="s">
        <v>1658</v>
      </c>
      <c r="O190" s="1" t="s">
        <v>1658</v>
      </c>
      <c r="P190" s="1">
        <v>1</v>
      </c>
      <c r="Q190" s="1" t="s">
        <v>1658</v>
      </c>
      <c r="R190" s="1">
        <v>0</v>
      </c>
      <c r="S190" s="1" t="s">
        <v>2510</v>
      </c>
      <c r="T190" s="6" t="s">
        <v>2511</v>
      </c>
      <c r="U190" s="1" t="str">
        <f t="shared" si="2"/>
        <v>No</v>
      </c>
      <c r="W190" s="1" t="s">
        <v>2512</v>
      </c>
      <c r="X190" s="1" t="str">
        <f>IF(COUNTIF('MyWells Drilling Comp'!F:F,E190)=0,"Missing","Exist")</f>
        <v>Exist</v>
      </c>
    </row>
    <row r="191" hidden="1" spans="1:24">
      <c r="A191" s="1" t="s">
        <v>1652</v>
      </c>
      <c r="B191" s="1" t="s">
        <v>90</v>
      </c>
      <c r="C191" s="1" t="s">
        <v>2513</v>
      </c>
      <c r="D191" s="1" t="s">
        <v>2508</v>
      </c>
      <c r="E191" s="1" t="s">
        <v>1190</v>
      </c>
      <c r="F191" s="1" t="s">
        <v>2514</v>
      </c>
      <c r="G191" s="1">
        <v>1</v>
      </c>
      <c r="H191" s="1" t="s">
        <v>1656</v>
      </c>
      <c r="I191" s="1" t="s">
        <v>1657</v>
      </c>
      <c r="J191" s="1" t="s">
        <v>1658</v>
      </c>
      <c r="K191" s="1" t="s">
        <v>1658</v>
      </c>
      <c r="L191" s="1" t="s">
        <v>1658</v>
      </c>
      <c r="M191" s="1" t="s">
        <v>1658</v>
      </c>
      <c r="N191" s="1" t="s">
        <v>1658</v>
      </c>
      <c r="O191" s="1" t="s">
        <v>1658</v>
      </c>
      <c r="P191" s="1">
        <v>1</v>
      </c>
      <c r="Q191" s="1" t="s">
        <v>1658</v>
      </c>
      <c r="R191" s="1">
        <v>0</v>
      </c>
      <c r="S191" s="1" t="s">
        <v>2510</v>
      </c>
      <c r="T191" s="6" t="s">
        <v>2510</v>
      </c>
      <c r="U191" s="1" t="str">
        <f t="shared" si="2"/>
        <v>Yes</v>
      </c>
      <c r="W191" s="1" t="s">
        <v>2515</v>
      </c>
      <c r="X191" s="1" t="str">
        <f>IF(COUNTIF('MyWells Drilling Comp'!F:F,E191)=0,"Missing","Exist")</f>
        <v>Exist</v>
      </c>
    </row>
    <row r="192" hidden="1" spans="1:24">
      <c r="A192" s="1" t="s">
        <v>1652</v>
      </c>
      <c r="B192" s="1" t="s">
        <v>90</v>
      </c>
      <c r="C192" s="1" t="s">
        <v>2516</v>
      </c>
      <c r="D192" s="1" t="s">
        <v>2517</v>
      </c>
      <c r="E192" s="1" t="s">
        <v>739</v>
      </c>
      <c r="F192" s="1" t="s">
        <v>2518</v>
      </c>
      <c r="G192" s="1">
        <v>1</v>
      </c>
      <c r="H192" s="1" t="s">
        <v>1656</v>
      </c>
      <c r="I192" s="1" t="s">
        <v>1657</v>
      </c>
      <c r="J192" s="1" t="s">
        <v>1658</v>
      </c>
      <c r="K192" s="1" t="s">
        <v>1658</v>
      </c>
      <c r="L192" s="1" t="s">
        <v>1658</v>
      </c>
      <c r="M192" s="1" t="s">
        <v>1658</v>
      </c>
      <c r="N192" s="1" t="s">
        <v>1658</v>
      </c>
      <c r="O192" s="1" t="s">
        <v>1658</v>
      </c>
      <c r="P192" s="1">
        <v>1</v>
      </c>
      <c r="Q192" s="1" t="s">
        <v>1658</v>
      </c>
      <c r="R192" s="1">
        <v>0</v>
      </c>
      <c r="S192" s="1" t="s">
        <v>2519</v>
      </c>
      <c r="T192" s="6" t="s">
        <v>2519</v>
      </c>
      <c r="U192" s="1" t="str">
        <f t="shared" si="2"/>
        <v>Yes</v>
      </c>
      <c r="W192" s="1" t="s">
        <v>2520</v>
      </c>
      <c r="X192" s="1" t="str">
        <f>IF(COUNTIF('MyWells Drilling Comp'!F:F,E192)=0,"Missing","Exist")</f>
        <v>Exist</v>
      </c>
    </row>
    <row r="193" hidden="1" spans="1:24">
      <c r="A193" s="1" t="s">
        <v>1652</v>
      </c>
      <c r="B193" s="1" t="s">
        <v>90</v>
      </c>
      <c r="C193" s="1" t="s">
        <v>2521</v>
      </c>
      <c r="D193" s="1" t="s">
        <v>2517</v>
      </c>
      <c r="E193" s="1" t="s">
        <v>739</v>
      </c>
      <c r="F193" s="1" t="s">
        <v>2522</v>
      </c>
      <c r="G193" s="1">
        <v>1</v>
      </c>
      <c r="H193" s="1" t="s">
        <v>1663</v>
      </c>
      <c r="I193" s="1" t="s">
        <v>1657</v>
      </c>
      <c r="J193" s="1" t="s">
        <v>1658</v>
      </c>
      <c r="K193" s="1" t="s">
        <v>1658</v>
      </c>
      <c r="L193" s="1" t="s">
        <v>1658</v>
      </c>
      <c r="M193" s="1" t="s">
        <v>1658</v>
      </c>
      <c r="N193" s="1" t="s">
        <v>1658</v>
      </c>
      <c r="O193" s="1" t="s">
        <v>1658</v>
      </c>
      <c r="P193" s="1">
        <v>1</v>
      </c>
      <c r="Q193" s="1" t="s">
        <v>1658</v>
      </c>
      <c r="R193" s="1">
        <v>0</v>
      </c>
      <c r="S193" s="1" t="s">
        <v>2523</v>
      </c>
      <c r="T193" s="6"/>
      <c r="U193" s="1" t="str">
        <f t="shared" si="2"/>
        <v>No</v>
      </c>
      <c r="W193" s="1" t="s">
        <v>2524</v>
      </c>
      <c r="X193" s="1" t="str">
        <f>IF(COUNTIF('MyWells Drilling Comp'!F:F,E193)=0,"Missing","Exist")</f>
        <v>Exist</v>
      </c>
    </row>
    <row r="194" hidden="1" spans="1:24">
      <c r="A194" s="1" t="s">
        <v>1652</v>
      </c>
      <c r="B194" s="1" t="s">
        <v>90</v>
      </c>
      <c r="C194" s="1" t="s">
        <v>2525</v>
      </c>
      <c r="D194" s="1" t="s">
        <v>2526</v>
      </c>
      <c r="E194" s="1" t="s">
        <v>1241</v>
      </c>
      <c r="F194" s="1" t="s">
        <v>2527</v>
      </c>
      <c r="G194" s="1">
        <v>1</v>
      </c>
      <c r="H194" s="1" t="s">
        <v>1656</v>
      </c>
      <c r="I194" s="1" t="s">
        <v>1657</v>
      </c>
      <c r="J194" s="1" t="s">
        <v>1658</v>
      </c>
      <c r="K194" s="1" t="s">
        <v>1658</v>
      </c>
      <c r="L194" s="1" t="s">
        <v>1658</v>
      </c>
      <c r="M194" s="1" t="s">
        <v>1658</v>
      </c>
      <c r="N194" s="1" t="s">
        <v>1658</v>
      </c>
      <c r="O194" s="1" t="s">
        <v>1658</v>
      </c>
      <c r="P194" s="1">
        <v>1</v>
      </c>
      <c r="Q194" s="1" t="s">
        <v>1658</v>
      </c>
      <c r="R194" s="1">
        <v>0</v>
      </c>
      <c r="S194" s="1" t="s">
        <v>2528</v>
      </c>
      <c r="T194" s="6" t="s">
        <v>2529</v>
      </c>
      <c r="U194" s="1" t="str">
        <f t="shared" ref="U194:U257" si="3">IF(S194=T194,"Yes","No")</f>
        <v>No</v>
      </c>
      <c r="W194" s="1" t="s">
        <v>2530</v>
      </c>
      <c r="X194" s="1" t="str">
        <f>IF(COUNTIF('MyWells Drilling Comp'!F:F,E194)=0,"Missing","Exist")</f>
        <v>Exist</v>
      </c>
    </row>
    <row r="195" hidden="1" spans="1:24">
      <c r="A195" s="1" t="s">
        <v>1652</v>
      </c>
      <c r="B195" s="1" t="s">
        <v>90</v>
      </c>
      <c r="C195" s="1" t="s">
        <v>2531</v>
      </c>
      <c r="D195" s="1" t="s">
        <v>2526</v>
      </c>
      <c r="E195" s="1" t="s">
        <v>1241</v>
      </c>
      <c r="F195" s="1" t="s">
        <v>2532</v>
      </c>
      <c r="G195" s="1">
        <v>1</v>
      </c>
      <c r="H195" s="1" t="s">
        <v>1663</v>
      </c>
      <c r="I195" s="1" t="s">
        <v>1657</v>
      </c>
      <c r="J195" s="1" t="s">
        <v>1658</v>
      </c>
      <c r="K195" s="1" t="s">
        <v>1658</v>
      </c>
      <c r="L195" s="1" t="s">
        <v>1658</v>
      </c>
      <c r="M195" s="1" t="s">
        <v>1658</v>
      </c>
      <c r="N195" s="1" t="s">
        <v>1658</v>
      </c>
      <c r="O195" s="1" t="s">
        <v>1658</v>
      </c>
      <c r="P195" s="1">
        <v>1</v>
      </c>
      <c r="Q195" s="1" t="s">
        <v>1658</v>
      </c>
      <c r="R195" s="1">
        <v>0</v>
      </c>
      <c r="S195" s="1" t="s">
        <v>2533</v>
      </c>
      <c r="T195" s="6" t="s">
        <v>2534</v>
      </c>
      <c r="U195" s="1" t="str">
        <f t="shared" si="3"/>
        <v>No</v>
      </c>
      <c r="W195" s="1" t="s">
        <v>2535</v>
      </c>
      <c r="X195" s="1" t="str">
        <f>IF(COUNTIF('MyWells Drilling Comp'!F:F,E195)=0,"Missing","Exist")</f>
        <v>Exist</v>
      </c>
    </row>
    <row r="196" hidden="1" spans="1:24">
      <c r="A196" s="1" t="s">
        <v>1652</v>
      </c>
      <c r="B196" s="1" t="s">
        <v>90</v>
      </c>
      <c r="C196" s="1" t="s">
        <v>2536</v>
      </c>
      <c r="D196" s="1" t="s">
        <v>2537</v>
      </c>
      <c r="E196" s="1" t="s">
        <v>1448</v>
      </c>
      <c r="F196" s="1" t="s">
        <v>2538</v>
      </c>
      <c r="G196" s="1">
        <v>1</v>
      </c>
      <c r="H196" s="1" t="s">
        <v>1663</v>
      </c>
      <c r="I196" s="1" t="s">
        <v>1657</v>
      </c>
      <c r="J196" s="1" t="s">
        <v>1658</v>
      </c>
      <c r="K196" s="1" t="s">
        <v>1658</v>
      </c>
      <c r="L196" s="1" t="s">
        <v>1658</v>
      </c>
      <c r="M196" s="1" t="s">
        <v>1658</v>
      </c>
      <c r="N196" s="1" t="s">
        <v>1658</v>
      </c>
      <c r="O196" s="1" t="s">
        <v>1658</v>
      </c>
      <c r="P196" s="1">
        <v>1</v>
      </c>
      <c r="Q196" s="1" t="s">
        <v>1658</v>
      </c>
      <c r="R196" s="1">
        <v>0</v>
      </c>
      <c r="S196" s="1" t="s">
        <v>2539</v>
      </c>
      <c r="T196" s="6" t="s">
        <v>2539</v>
      </c>
      <c r="U196" s="1" t="str">
        <f t="shared" si="3"/>
        <v>Yes</v>
      </c>
      <c r="W196" s="1" t="s">
        <v>2540</v>
      </c>
      <c r="X196" s="1" t="str">
        <f>IF(COUNTIF('MyWells Drilling Comp'!F:F,E196)=0,"Missing","Exist")</f>
        <v>Exist</v>
      </c>
    </row>
    <row r="197" hidden="1" spans="1:24">
      <c r="A197" s="1" t="s">
        <v>1652</v>
      </c>
      <c r="B197" s="1" t="s">
        <v>90</v>
      </c>
      <c r="C197" s="1" t="s">
        <v>2541</v>
      </c>
      <c r="D197" s="1" t="s">
        <v>2537</v>
      </c>
      <c r="E197" s="1" t="s">
        <v>1448</v>
      </c>
      <c r="F197" s="1" t="s">
        <v>2542</v>
      </c>
      <c r="G197" s="1">
        <v>1</v>
      </c>
      <c r="H197" s="1" t="s">
        <v>1656</v>
      </c>
      <c r="I197" s="1" t="s">
        <v>1657</v>
      </c>
      <c r="J197" s="1" t="s">
        <v>1658</v>
      </c>
      <c r="K197" s="1" t="s">
        <v>1658</v>
      </c>
      <c r="L197" s="1" t="s">
        <v>1658</v>
      </c>
      <c r="M197" s="1" t="s">
        <v>1658</v>
      </c>
      <c r="N197" s="1" t="s">
        <v>1658</v>
      </c>
      <c r="O197" s="1" t="s">
        <v>1658</v>
      </c>
      <c r="P197" s="1">
        <v>1</v>
      </c>
      <c r="Q197" s="1" t="s">
        <v>1658</v>
      </c>
      <c r="R197" s="1">
        <v>0</v>
      </c>
      <c r="S197" s="1" t="s">
        <v>2543</v>
      </c>
      <c r="T197" s="6" t="s">
        <v>2543</v>
      </c>
      <c r="U197" s="1" t="str">
        <f t="shared" si="3"/>
        <v>Yes</v>
      </c>
      <c r="W197" s="1" t="s">
        <v>2544</v>
      </c>
      <c r="X197" s="1" t="str">
        <f>IF(COUNTIF('MyWells Drilling Comp'!F:F,E197)=0,"Missing","Exist")</f>
        <v>Exist</v>
      </c>
    </row>
    <row r="198" hidden="1" spans="1:24">
      <c r="A198" s="1" t="s">
        <v>1652</v>
      </c>
      <c r="B198" s="1" t="s">
        <v>90</v>
      </c>
      <c r="C198" s="1" t="s">
        <v>2545</v>
      </c>
      <c r="D198" s="1" t="s">
        <v>2546</v>
      </c>
      <c r="E198" s="1" t="s">
        <v>1013</v>
      </c>
      <c r="F198" s="1" t="s">
        <v>2547</v>
      </c>
      <c r="G198" s="1">
        <v>1</v>
      </c>
      <c r="H198" s="1" t="s">
        <v>1663</v>
      </c>
      <c r="I198" s="1" t="s">
        <v>1657</v>
      </c>
      <c r="J198" s="1" t="s">
        <v>1658</v>
      </c>
      <c r="K198" s="1" t="s">
        <v>1658</v>
      </c>
      <c r="L198" s="1" t="s">
        <v>1658</v>
      </c>
      <c r="M198" s="1" t="s">
        <v>1658</v>
      </c>
      <c r="N198" s="1" t="s">
        <v>1658</v>
      </c>
      <c r="O198" s="1" t="s">
        <v>1658</v>
      </c>
      <c r="P198" s="1">
        <v>1</v>
      </c>
      <c r="Q198" s="1" t="s">
        <v>1658</v>
      </c>
      <c r="R198" s="1">
        <v>0</v>
      </c>
      <c r="S198" s="1" t="s">
        <v>2548</v>
      </c>
      <c r="T198" s="6" t="s">
        <v>2548</v>
      </c>
      <c r="U198" s="1" t="str">
        <f t="shared" si="3"/>
        <v>Yes</v>
      </c>
      <c r="W198" s="1" t="s">
        <v>2549</v>
      </c>
      <c r="X198" s="1" t="str">
        <f>IF(COUNTIF('MyWells Drilling Comp'!F:F,E198)=0,"Missing","Exist")</f>
        <v>Exist</v>
      </c>
    </row>
    <row r="199" hidden="1" spans="1:24">
      <c r="A199" s="1" t="s">
        <v>1652</v>
      </c>
      <c r="B199" s="1" t="s">
        <v>90</v>
      </c>
      <c r="C199" s="1" t="s">
        <v>2550</v>
      </c>
      <c r="D199" s="1" t="s">
        <v>2546</v>
      </c>
      <c r="E199" s="1" t="s">
        <v>1013</v>
      </c>
      <c r="F199" s="1" t="s">
        <v>2551</v>
      </c>
      <c r="G199" s="1">
        <v>1</v>
      </c>
      <c r="H199" s="1" t="s">
        <v>1656</v>
      </c>
      <c r="I199" s="1" t="s">
        <v>1657</v>
      </c>
      <c r="J199" s="1" t="s">
        <v>1658</v>
      </c>
      <c r="K199" s="1" t="s">
        <v>1658</v>
      </c>
      <c r="L199" s="1" t="s">
        <v>1658</v>
      </c>
      <c r="M199" s="1" t="s">
        <v>1658</v>
      </c>
      <c r="N199" s="1" t="s">
        <v>1658</v>
      </c>
      <c r="O199" s="1" t="s">
        <v>1658</v>
      </c>
      <c r="P199" s="1">
        <v>1</v>
      </c>
      <c r="Q199" s="1" t="s">
        <v>1658</v>
      </c>
      <c r="R199" s="1">
        <v>0</v>
      </c>
      <c r="S199" s="1" t="s">
        <v>2552</v>
      </c>
      <c r="T199" s="6" t="s">
        <v>2552</v>
      </c>
      <c r="U199" s="1" t="str">
        <f t="shared" si="3"/>
        <v>Yes</v>
      </c>
      <c r="W199" s="1" t="s">
        <v>2553</v>
      </c>
      <c r="X199" s="1" t="str">
        <f>IF(COUNTIF('MyWells Drilling Comp'!F:F,E199)=0,"Missing","Exist")</f>
        <v>Exist</v>
      </c>
    </row>
    <row r="200" hidden="1" spans="1:24">
      <c r="A200" s="1" t="s">
        <v>1652</v>
      </c>
      <c r="B200" s="1" t="s">
        <v>90</v>
      </c>
      <c r="C200" s="1" t="s">
        <v>2554</v>
      </c>
      <c r="D200" s="1" t="s">
        <v>2555</v>
      </c>
      <c r="E200" s="1" t="s">
        <v>1385</v>
      </c>
      <c r="F200" s="1" t="s">
        <v>2556</v>
      </c>
      <c r="G200" s="1">
        <v>1</v>
      </c>
      <c r="H200" s="1" t="s">
        <v>1656</v>
      </c>
      <c r="I200" s="1" t="s">
        <v>1657</v>
      </c>
      <c r="J200" s="1" t="s">
        <v>1658</v>
      </c>
      <c r="K200" s="1" t="s">
        <v>1658</v>
      </c>
      <c r="L200" s="1" t="s">
        <v>1658</v>
      </c>
      <c r="M200" s="1" t="s">
        <v>1658</v>
      </c>
      <c r="N200" s="1" t="s">
        <v>1658</v>
      </c>
      <c r="O200" s="1" t="s">
        <v>1658</v>
      </c>
      <c r="P200" s="1">
        <v>1</v>
      </c>
      <c r="Q200" s="1" t="s">
        <v>1658</v>
      </c>
      <c r="R200" s="1">
        <v>0</v>
      </c>
      <c r="S200" s="1" t="s">
        <v>2557</v>
      </c>
      <c r="T200" s="6"/>
      <c r="U200" s="1" t="str">
        <f t="shared" si="3"/>
        <v>No</v>
      </c>
      <c r="W200" s="1" t="s">
        <v>2558</v>
      </c>
      <c r="X200" s="1" t="str">
        <f>IF(COUNTIF('MyWells Drilling Comp'!F:F,E200)=0,"Missing","Exist")</f>
        <v>Exist</v>
      </c>
    </row>
    <row r="201" hidden="1" spans="1:24">
      <c r="A201" s="1" t="s">
        <v>1652</v>
      </c>
      <c r="B201" s="1" t="s">
        <v>90</v>
      </c>
      <c r="C201" s="1" t="s">
        <v>2559</v>
      </c>
      <c r="D201" s="1" t="s">
        <v>2555</v>
      </c>
      <c r="E201" s="1" t="s">
        <v>1385</v>
      </c>
      <c r="F201" s="1" t="s">
        <v>2560</v>
      </c>
      <c r="G201" s="1">
        <v>1</v>
      </c>
      <c r="H201" s="1" t="s">
        <v>1663</v>
      </c>
      <c r="I201" s="1" t="s">
        <v>1657</v>
      </c>
      <c r="J201" s="1" t="s">
        <v>1658</v>
      </c>
      <c r="K201" s="1" t="s">
        <v>1658</v>
      </c>
      <c r="L201" s="1" t="s">
        <v>1658</v>
      </c>
      <c r="M201" s="1" t="s">
        <v>1658</v>
      </c>
      <c r="N201" s="1" t="s">
        <v>1658</v>
      </c>
      <c r="O201" s="1" t="s">
        <v>1658</v>
      </c>
      <c r="P201" s="1">
        <v>1</v>
      </c>
      <c r="Q201" s="1" t="s">
        <v>1658</v>
      </c>
      <c r="R201" s="1">
        <v>0</v>
      </c>
      <c r="S201" s="1" t="s">
        <v>2561</v>
      </c>
      <c r="T201" s="6" t="s">
        <v>2561</v>
      </c>
      <c r="U201" s="1" t="str">
        <f t="shared" si="3"/>
        <v>Yes</v>
      </c>
      <c r="W201" s="1" t="s">
        <v>2562</v>
      </c>
      <c r="X201" s="1" t="str">
        <f>IF(COUNTIF('MyWells Drilling Comp'!F:F,E201)=0,"Missing","Exist")</f>
        <v>Exist</v>
      </c>
    </row>
    <row r="202" hidden="1" spans="1:24">
      <c r="A202" s="1" t="s">
        <v>1652</v>
      </c>
      <c r="B202" s="1" t="s">
        <v>90</v>
      </c>
      <c r="C202" s="1" t="s">
        <v>2563</v>
      </c>
      <c r="D202" s="1" t="s">
        <v>2564</v>
      </c>
      <c r="E202" s="1" t="s">
        <v>742</v>
      </c>
      <c r="F202" s="1" t="s">
        <v>2565</v>
      </c>
      <c r="G202" s="1">
        <v>1</v>
      </c>
      <c r="H202" s="1" t="s">
        <v>1663</v>
      </c>
      <c r="I202" s="1" t="s">
        <v>1657</v>
      </c>
      <c r="J202" s="1" t="s">
        <v>1658</v>
      </c>
      <c r="K202" s="1" t="s">
        <v>1658</v>
      </c>
      <c r="L202" s="1" t="s">
        <v>1658</v>
      </c>
      <c r="M202" s="1" t="s">
        <v>1658</v>
      </c>
      <c r="N202" s="1" t="s">
        <v>1658</v>
      </c>
      <c r="O202" s="1" t="s">
        <v>1658</v>
      </c>
      <c r="P202" s="1">
        <v>1</v>
      </c>
      <c r="Q202" s="1" t="s">
        <v>1658</v>
      </c>
      <c r="R202" s="1">
        <v>0</v>
      </c>
      <c r="S202" s="1" t="s">
        <v>2566</v>
      </c>
      <c r="T202" s="6" t="s">
        <v>2566</v>
      </c>
      <c r="U202" s="1" t="str">
        <f t="shared" si="3"/>
        <v>Yes</v>
      </c>
      <c r="W202" s="1" t="s">
        <v>2567</v>
      </c>
      <c r="X202" s="1" t="str">
        <f>IF(COUNTIF('MyWells Drilling Comp'!F:F,E202)=0,"Missing","Exist")</f>
        <v>Exist</v>
      </c>
    </row>
    <row r="203" hidden="1" spans="1:24">
      <c r="A203" s="1" t="s">
        <v>1652</v>
      </c>
      <c r="B203" s="1" t="s">
        <v>90</v>
      </c>
      <c r="C203" s="1" t="s">
        <v>2568</v>
      </c>
      <c r="D203" s="1" t="s">
        <v>2564</v>
      </c>
      <c r="E203" s="1" t="s">
        <v>742</v>
      </c>
      <c r="F203" s="1" t="s">
        <v>2569</v>
      </c>
      <c r="G203" s="1">
        <v>1</v>
      </c>
      <c r="H203" s="1" t="s">
        <v>1656</v>
      </c>
      <c r="I203" s="1" t="s">
        <v>1657</v>
      </c>
      <c r="J203" s="1" t="s">
        <v>1658</v>
      </c>
      <c r="K203" s="1" t="s">
        <v>1658</v>
      </c>
      <c r="L203" s="1" t="s">
        <v>1658</v>
      </c>
      <c r="M203" s="1" t="s">
        <v>1658</v>
      </c>
      <c r="N203" s="1" t="s">
        <v>1658</v>
      </c>
      <c r="O203" s="1" t="s">
        <v>1658</v>
      </c>
      <c r="P203" s="1">
        <v>1</v>
      </c>
      <c r="Q203" s="1" t="s">
        <v>1658</v>
      </c>
      <c r="R203" s="1">
        <v>0</v>
      </c>
      <c r="S203" s="1" t="s">
        <v>2570</v>
      </c>
      <c r="T203" s="6" t="s">
        <v>2570</v>
      </c>
      <c r="U203" s="1" t="str">
        <f t="shared" si="3"/>
        <v>Yes</v>
      </c>
      <c r="W203" s="1" t="s">
        <v>2571</v>
      </c>
      <c r="X203" s="1" t="str">
        <f>IF(COUNTIF('MyWells Drilling Comp'!F:F,E203)=0,"Missing","Exist")</f>
        <v>Exist</v>
      </c>
    </row>
    <row r="204" hidden="1" spans="1:24">
      <c r="A204" s="1" t="s">
        <v>1652</v>
      </c>
      <c r="B204" s="1" t="s">
        <v>90</v>
      </c>
      <c r="C204" s="1" t="s">
        <v>2572</v>
      </c>
      <c r="D204" s="1" t="s">
        <v>2573</v>
      </c>
      <c r="E204" s="1" t="s">
        <v>838</v>
      </c>
      <c r="F204" s="1" t="s">
        <v>2574</v>
      </c>
      <c r="G204" s="1">
        <v>1</v>
      </c>
      <c r="H204" s="1" t="s">
        <v>1663</v>
      </c>
      <c r="I204" s="1" t="s">
        <v>1657</v>
      </c>
      <c r="J204" s="1" t="s">
        <v>1658</v>
      </c>
      <c r="K204" s="1" t="s">
        <v>1658</v>
      </c>
      <c r="L204" s="1" t="s">
        <v>1658</v>
      </c>
      <c r="M204" s="1" t="s">
        <v>1658</v>
      </c>
      <c r="N204" s="1" t="s">
        <v>1658</v>
      </c>
      <c r="O204" s="1" t="s">
        <v>1658</v>
      </c>
      <c r="P204" s="1">
        <v>1</v>
      </c>
      <c r="Q204" s="1" t="s">
        <v>1658</v>
      </c>
      <c r="R204" s="1">
        <v>0</v>
      </c>
      <c r="S204" s="1" t="s">
        <v>2575</v>
      </c>
      <c r="T204" s="6"/>
      <c r="U204" s="1" t="str">
        <f t="shared" si="3"/>
        <v>No</v>
      </c>
      <c r="W204" s="1" t="s">
        <v>2576</v>
      </c>
      <c r="X204" s="1" t="str">
        <f>IF(COUNTIF('MyWells Drilling Comp'!F:F,E204)=0,"Missing","Exist")</f>
        <v>Exist</v>
      </c>
    </row>
    <row r="205" hidden="1" spans="1:24">
      <c r="A205" s="1" t="s">
        <v>1652</v>
      </c>
      <c r="B205" s="1" t="s">
        <v>90</v>
      </c>
      <c r="C205" s="1" t="s">
        <v>2577</v>
      </c>
      <c r="D205" s="1" t="s">
        <v>2573</v>
      </c>
      <c r="E205" s="1" t="s">
        <v>838</v>
      </c>
      <c r="F205" s="1" t="s">
        <v>2578</v>
      </c>
      <c r="G205" s="1">
        <v>1</v>
      </c>
      <c r="H205" s="1" t="s">
        <v>1656</v>
      </c>
      <c r="I205" s="1" t="s">
        <v>1657</v>
      </c>
      <c r="J205" s="1" t="s">
        <v>1658</v>
      </c>
      <c r="K205" s="1" t="s">
        <v>1658</v>
      </c>
      <c r="L205" s="1" t="s">
        <v>1658</v>
      </c>
      <c r="M205" s="1" t="s">
        <v>1658</v>
      </c>
      <c r="N205" s="1" t="s">
        <v>1658</v>
      </c>
      <c r="O205" s="1" t="s">
        <v>1658</v>
      </c>
      <c r="P205" s="1">
        <v>1</v>
      </c>
      <c r="Q205" s="1" t="s">
        <v>1658</v>
      </c>
      <c r="R205" s="1">
        <v>0</v>
      </c>
      <c r="S205" s="1" t="s">
        <v>2579</v>
      </c>
      <c r="T205" s="6"/>
      <c r="U205" s="1" t="str">
        <f t="shared" si="3"/>
        <v>No</v>
      </c>
      <c r="W205" s="1" t="s">
        <v>2580</v>
      </c>
      <c r="X205" s="1" t="str">
        <f>IF(COUNTIF('MyWells Drilling Comp'!F:F,E205)=0,"Missing","Exist")</f>
        <v>Exist</v>
      </c>
    </row>
    <row r="206" hidden="1" spans="1:24">
      <c r="A206" s="1" t="s">
        <v>1652</v>
      </c>
      <c r="B206" s="1" t="s">
        <v>90</v>
      </c>
      <c r="C206" s="1" t="s">
        <v>2581</v>
      </c>
      <c r="D206" s="1" t="s">
        <v>2582</v>
      </c>
      <c r="E206" s="1" t="s">
        <v>1193</v>
      </c>
      <c r="F206" s="1" t="s">
        <v>2583</v>
      </c>
      <c r="G206" s="1">
        <v>1</v>
      </c>
      <c r="H206" s="1" t="s">
        <v>1663</v>
      </c>
      <c r="I206" s="1" t="s">
        <v>1657</v>
      </c>
      <c r="J206" s="1" t="s">
        <v>1658</v>
      </c>
      <c r="K206" s="1" t="s">
        <v>1658</v>
      </c>
      <c r="L206" s="1" t="s">
        <v>1658</v>
      </c>
      <c r="M206" s="1" t="s">
        <v>1658</v>
      </c>
      <c r="N206" s="1" t="s">
        <v>1658</v>
      </c>
      <c r="O206" s="1" t="s">
        <v>1658</v>
      </c>
      <c r="P206" s="1">
        <v>1</v>
      </c>
      <c r="Q206" s="1" t="s">
        <v>1658</v>
      </c>
      <c r="R206" s="1">
        <v>0</v>
      </c>
      <c r="S206" s="1" t="s">
        <v>2584</v>
      </c>
      <c r="T206" s="6"/>
      <c r="U206" s="1" t="str">
        <f t="shared" si="3"/>
        <v>No</v>
      </c>
      <c r="W206" s="1" t="s">
        <v>2585</v>
      </c>
      <c r="X206" s="1" t="str">
        <f>IF(COUNTIF('MyWells Drilling Comp'!F:F,E206)=0,"Missing","Exist")</f>
        <v>Exist</v>
      </c>
    </row>
    <row r="207" hidden="1" spans="1:24">
      <c r="A207" s="1" t="s">
        <v>1652</v>
      </c>
      <c r="B207" s="1" t="s">
        <v>90</v>
      </c>
      <c r="C207" s="1" t="s">
        <v>2586</v>
      </c>
      <c r="D207" s="1" t="s">
        <v>2582</v>
      </c>
      <c r="E207" s="1" t="s">
        <v>1193</v>
      </c>
      <c r="F207" s="1" t="s">
        <v>2587</v>
      </c>
      <c r="G207" s="1">
        <v>1</v>
      </c>
      <c r="H207" s="1" t="s">
        <v>1656</v>
      </c>
      <c r="I207" s="1" t="s">
        <v>1657</v>
      </c>
      <c r="J207" s="1" t="s">
        <v>1658</v>
      </c>
      <c r="K207" s="1" t="s">
        <v>1658</v>
      </c>
      <c r="L207" s="1" t="s">
        <v>1658</v>
      </c>
      <c r="M207" s="1" t="s">
        <v>1658</v>
      </c>
      <c r="N207" s="1" t="s">
        <v>1658</v>
      </c>
      <c r="O207" s="1" t="s">
        <v>1658</v>
      </c>
      <c r="P207" s="1">
        <v>1</v>
      </c>
      <c r="Q207" s="1" t="s">
        <v>1658</v>
      </c>
      <c r="R207" s="1">
        <v>0</v>
      </c>
      <c r="S207" s="1" t="s">
        <v>2588</v>
      </c>
      <c r="T207" s="6"/>
      <c r="U207" s="1" t="str">
        <f t="shared" si="3"/>
        <v>No</v>
      </c>
      <c r="W207" s="1" t="s">
        <v>2589</v>
      </c>
      <c r="X207" s="1" t="str">
        <f>IF(COUNTIF('MyWells Drilling Comp'!F:F,E207)=0,"Missing","Exist")</f>
        <v>Exist</v>
      </c>
    </row>
    <row r="208" hidden="1" spans="1:24">
      <c r="A208" s="1" t="s">
        <v>1652</v>
      </c>
      <c r="B208" s="1" t="s">
        <v>90</v>
      </c>
      <c r="C208" s="1" t="s">
        <v>2590</v>
      </c>
      <c r="D208" s="1" t="s">
        <v>2591</v>
      </c>
      <c r="E208" s="1" t="s">
        <v>883</v>
      </c>
      <c r="F208" s="7" t="s">
        <v>2592</v>
      </c>
      <c r="G208" s="1">
        <v>1</v>
      </c>
      <c r="H208" s="1" t="s">
        <v>1656</v>
      </c>
      <c r="I208" s="1" t="s">
        <v>1657</v>
      </c>
      <c r="J208" s="1" t="s">
        <v>1658</v>
      </c>
      <c r="K208" s="1" t="s">
        <v>1658</v>
      </c>
      <c r="L208" s="1" t="s">
        <v>1658</v>
      </c>
      <c r="M208" s="1" t="s">
        <v>1658</v>
      </c>
      <c r="N208" s="1" t="s">
        <v>1658</v>
      </c>
      <c r="O208" s="1" t="s">
        <v>1658</v>
      </c>
      <c r="P208" s="1">
        <v>1</v>
      </c>
      <c r="Q208" s="1" t="s">
        <v>1658</v>
      </c>
      <c r="R208" s="1">
        <v>0</v>
      </c>
      <c r="S208" s="1" t="s">
        <v>2593</v>
      </c>
      <c r="T208" s="6" t="s">
        <v>2593</v>
      </c>
      <c r="U208" s="1" t="str">
        <f t="shared" si="3"/>
        <v>Yes</v>
      </c>
      <c r="W208" s="1" t="s">
        <v>2594</v>
      </c>
      <c r="X208" s="1" t="str">
        <f>IF(COUNTIF('MyWells Drilling Comp'!F:F,E208)=0,"Missing","Exist")</f>
        <v>Exist</v>
      </c>
    </row>
    <row r="209" hidden="1" spans="1:24">
      <c r="A209" s="1" t="s">
        <v>1652</v>
      </c>
      <c r="B209" s="1" t="s">
        <v>90</v>
      </c>
      <c r="C209" s="1" t="s">
        <v>2595</v>
      </c>
      <c r="D209" s="1" t="s">
        <v>2591</v>
      </c>
      <c r="E209" s="1" t="s">
        <v>883</v>
      </c>
      <c r="F209" s="1" t="s">
        <v>2596</v>
      </c>
      <c r="G209" s="1">
        <v>1</v>
      </c>
      <c r="H209" s="1" t="s">
        <v>1663</v>
      </c>
      <c r="I209" s="1" t="s">
        <v>1657</v>
      </c>
      <c r="J209" s="1" t="s">
        <v>1658</v>
      </c>
      <c r="K209" s="1" t="s">
        <v>1658</v>
      </c>
      <c r="L209" s="1" t="s">
        <v>1658</v>
      </c>
      <c r="M209" s="1" t="s">
        <v>1658</v>
      </c>
      <c r="N209" s="1" t="s">
        <v>1658</v>
      </c>
      <c r="O209" s="1" t="s">
        <v>1658</v>
      </c>
      <c r="P209" s="1">
        <v>1</v>
      </c>
      <c r="Q209" s="1" t="s">
        <v>1658</v>
      </c>
      <c r="R209" s="1">
        <v>0</v>
      </c>
      <c r="S209" s="1" t="s">
        <v>2597</v>
      </c>
      <c r="T209" s="6" t="s">
        <v>2597</v>
      </c>
      <c r="U209" s="1" t="str">
        <f t="shared" si="3"/>
        <v>Yes</v>
      </c>
      <c r="W209" s="1" t="s">
        <v>2598</v>
      </c>
      <c r="X209" s="1" t="str">
        <f>IF(COUNTIF('MyWells Drilling Comp'!F:F,E209)=0,"Missing","Exist")</f>
        <v>Exist</v>
      </c>
    </row>
    <row r="210" hidden="1" spans="1:24">
      <c r="A210" s="1" t="s">
        <v>1652</v>
      </c>
      <c r="B210" s="1" t="s">
        <v>90</v>
      </c>
      <c r="C210" s="1" t="s">
        <v>2599</v>
      </c>
      <c r="D210" s="1" t="s">
        <v>2600</v>
      </c>
      <c r="E210" s="1" t="s">
        <v>1548</v>
      </c>
      <c r="F210" s="1" t="s">
        <v>2601</v>
      </c>
      <c r="G210" s="1">
        <v>1</v>
      </c>
      <c r="H210" s="1" t="s">
        <v>1656</v>
      </c>
      <c r="I210" s="1" t="s">
        <v>1657</v>
      </c>
      <c r="J210" s="1" t="s">
        <v>1658</v>
      </c>
      <c r="K210" s="1" t="s">
        <v>1658</v>
      </c>
      <c r="L210" s="1" t="s">
        <v>1658</v>
      </c>
      <c r="M210" s="1" t="s">
        <v>1658</v>
      </c>
      <c r="N210" s="1" t="s">
        <v>1658</v>
      </c>
      <c r="O210" s="1" t="s">
        <v>1658</v>
      </c>
      <c r="P210" s="1">
        <v>1</v>
      </c>
      <c r="Q210" s="1" t="s">
        <v>1658</v>
      </c>
      <c r="R210" s="1">
        <v>0</v>
      </c>
      <c r="S210" s="1" t="s">
        <v>2602</v>
      </c>
      <c r="T210" s="6" t="s">
        <v>2602</v>
      </c>
      <c r="U210" s="1" t="str">
        <f t="shared" si="3"/>
        <v>Yes</v>
      </c>
      <c r="W210" s="1" t="s">
        <v>2603</v>
      </c>
      <c r="X210" s="1" t="str">
        <f>IF(COUNTIF('MyWells Drilling Comp'!F:F,E210)=0,"Missing","Exist")</f>
        <v>Exist</v>
      </c>
    </row>
    <row r="211" hidden="1" spans="1:24">
      <c r="A211" s="1" t="s">
        <v>1652</v>
      </c>
      <c r="B211" s="1" t="s">
        <v>90</v>
      </c>
      <c r="C211" s="1" t="s">
        <v>2604</v>
      </c>
      <c r="D211" s="1" t="s">
        <v>2600</v>
      </c>
      <c r="E211" s="1" t="s">
        <v>1548</v>
      </c>
      <c r="F211" s="1" t="s">
        <v>2605</v>
      </c>
      <c r="G211" s="1">
        <v>1</v>
      </c>
      <c r="H211" s="1" t="s">
        <v>1663</v>
      </c>
      <c r="I211" s="1" t="s">
        <v>1657</v>
      </c>
      <c r="J211" s="1" t="s">
        <v>1658</v>
      </c>
      <c r="K211" s="1" t="s">
        <v>1658</v>
      </c>
      <c r="L211" s="1" t="s">
        <v>1658</v>
      </c>
      <c r="M211" s="1" t="s">
        <v>1658</v>
      </c>
      <c r="N211" s="1" t="s">
        <v>1658</v>
      </c>
      <c r="O211" s="1" t="s">
        <v>1658</v>
      </c>
      <c r="P211" s="1">
        <v>1</v>
      </c>
      <c r="Q211" s="1" t="s">
        <v>1658</v>
      </c>
      <c r="R211" s="1">
        <v>0</v>
      </c>
      <c r="S211" s="1" t="s">
        <v>2606</v>
      </c>
      <c r="T211" s="6" t="s">
        <v>2606</v>
      </c>
      <c r="U211" s="1" t="str">
        <f t="shared" si="3"/>
        <v>Yes</v>
      </c>
      <c r="W211" s="1" t="s">
        <v>2607</v>
      </c>
      <c r="X211" s="1" t="str">
        <f>IF(COUNTIF('MyWells Drilling Comp'!F:F,E211)=0,"Missing","Exist")</f>
        <v>Exist</v>
      </c>
    </row>
    <row r="212" hidden="1" spans="1:24">
      <c r="A212" s="1" t="s">
        <v>1652</v>
      </c>
      <c r="B212" s="1" t="s">
        <v>90</v>
      </c>
      <c r="C212" s="1" t="s">
        <v>2608</v>
      </c>
      <c r="D212" s="1" t="s">
        <v>2609</v>
      </c>
      <c r="E212" s="1" t="s">
        <v>116</v>
      </c>
      <c r="F212" s="1" t="s">
        <v>2610</v>
      </c>
      <c r="G212" s="1">
        <v>1</v>
      </c>
      <c r="H212" s="1" t="s">
        <v>1656</v>
      </c>
      <c r="I212" s="1" t="s">
        <v>1657</v>
      </c>
      <c r="J212" s="1" t="s">
        <v>1658</v>
      </c>
      <c r="K212" s="1" t="s">
        <v>1658</v>
      </c>
      <c r="L212" s="1" t="s">
        <v>1658</v>
      </c>
      <c r="M212" s="1" t="s">
        <v>1658</v>
      </c>
      <c r="N212" s="1" t="s">
        <v>1658</v>
      </c>
      <c r="O212" s="1" t="s">
        <v>1658</v>
      </c>
      <c r="P212" s="1">
        <v>1</v>
      </c>
      <c r="Q212" s="1" t="s">
        <v>1658</v>
      </c>
      <c r="R212" s="1">
        <v>0</v>
      </c>
      <c r="S212" s="1" t="s">
        <v>2611</v>
      </c>
      <c r="T212" s="6" t="s">
        <v>2611</v>
      </c>
      <c r="U212" s="1" t="str">
        <f t="shared" si="3"/>
        <v>Yes</v>
      </c>
      <c r="W212" s="1" t="s">
        <v>2612</v>
      </c>
      <c r="X212" s="1" t="str">
        <f>IF(COUNTIF('MyWells Drilling Comp'!F:F,E212)=0,"Missing","Exist")</f>
        <v>Exist</v>
      </c>
    </row>
    <row r="213" hidden="1" spans="1:24">
      <c r="A213" s="1" t="s">
        <v>1652</v>
      </c>
      <c r="B213" s="1" t="s">
        <v>90</v>
      </c>
      <c r="C213" s="1" t="s">
        <v>2613</v>
      </c>
      <c r="D213" s="1" t="s">
        <v>2609</v>
      </c>
      <c r="E213" s="1" t="s">
        <v>116</v>
      </c>
      <c r="F213" s="1" t="s">
        <v>2614</v>
      </c>
      <c r="G213" s="1">
        <v>1</v>
      </c>
      <c r="H213" s="1" t="s">
        <v>1663</v>
      </c>
      <c r="I213" s="1" t="s">
        <v>1657</v>
      </c>
      <c r="J213" s="1" t="s">
        <v>1658</v>
      </c>
      <c r="K213" s="1" t="s">
        <v>1658</v>
      </c>
      <c r="L213" s="1" t="s">
        <v>1658</v>
      </c>
      <c r="M213" s="1" t="s">
        <v>1658</v>
      </c>
      <c r="N213" s="1" t="s">
        <v>1658</v>
      </c>
      <c r="O213" s="1" t="s">
        <v>1658</v>
      </c>
      <c r="P213" s="1">
        <v>1</v>
      </c>
      <c r="Q213" s="1" t="s">
        <v>1658</v>
      </c>
      <c r="R213" s="1">
        <v>0</v>
      </c>
      <c r="S213" s="1" t="s">
        <v>2615</v>
      </c>
      <c r="T213" s="6" t="s">
        <v>2615</v>
      </c>
      <c r="U213" s="1" t="str">
        <f t="shared" si="3"/>
        <v>Yes</v>
      </c>
      <c r="W213" s="1" t="s">
        <v>2616</v>
      </c>
      <c r="X213" s="1" t="str">
        <f>IF(COUNTIF('MyWells Drilling Comp'!F:F,E213)=0,"Missing","Exist")</f>
        <v>Exist</v>
      </c>
    </row>
    <row r="214" hidden="1" spans="1:24">
      <c r="A214" s="1" t="s">
        <v>1652</v>
      </c>
      <c r="B214" s="1" t="s">
        <v>90</v>
      </c>
      <c r="C214" s="1" t="s">
        <v>2617</v>
      </c>
      <c r="D214" s="1" t="s">
        <v>2618</v>
      </c>
      <c r="E214" s="1" t="s">
        <v>1511</v>
      </c>
      <c r="F214" s="1" t="s">
        <v>2619</v>
      </c>
      <c r="G214" s="1">
        <v>1</v>
      </c>
      <c r="H214" s="1" t="s">
        <v>1663</v>
      </c>
      <c r="I214" s="1" t="s">
        <v>1657</v>
      </c>
      <c r="J214" s="1" t="s">
        <v>1658</v>
      </c>
      <c r="K214" s="1" t="s">
        <v>1658</v>
      </c>
      <c r="L214" s="1" t="s">
        <v>1658</v>
      </c>
      <c r="M214" s="1" t="s">
        <v>1658</v>
      </c>
      <c r="N214" s="1" t="s">
        <v>1658</v>
      </c>
      <c r="O214" s="1" t="s">
        <v>1658</v>
      </c>
      <c r="P214" s="1">
        <v>1</v>
      </c>
      <c r="Q214" s="1" t="s">
        <v>1658</v>
      </c>
      <c r="R214" s="1">
        <v>0</v>
      </c>
      <c r="S214" s="1" t="s">
        <v>2620</v>
      </c>
      <c r="T214" s="6" t="s">
        <v>2620</v>
      </c>
      <c r="U214" s="1" t="str">
        <f t="shared" si="3"/>
        <v>Yes</v>
      </c>
      <c r="W214" s="1" t="s">
        <v>2621</v>
      </c>
      <c r="X214" s="1" t="str">
        <f>IF(COUNTIF('MyWells Drilling Comp'!F:F,E214)=0,"Missing","Exist")</f>
        <v>Exist</v>
      </c>
    </row>
    <row r="215" hidden="1" spans="1:24">
      <c r="A215" s="1" t="s">
        <v>1652</v>
      </c>
      <c r="B215" s="1" t="s">
        <v>90</v>
      </c>
      <c r="C215" s="1" t="s">
        <v>2622</v>
      </c>
      <c r="D215" s="1" t="s">
        <v>2618</v>
      </c>
      <c r="E215" s="1" t="s">
        <v>1511</v>
      </c>
      <c r="F215" s="1" t="s">
        <v>2623</v>
      </c>
      <c r="G215" s="1">
        <v>1</v>
      </c>
      <c r="H215" s="1" t="s">
        <v>1656</v>
      </c>
      <c r="I215" s="1" t="s">
        <v>1657</v>
      </c>
      <c r="J215" s="1" t="s">
        <v>1658</v>
      </c>
      <c r="K215" s="1" t="s">
        <v>1658</v>
      </c>
      <c r="L215" s="1" t="s">
        <v>1658</v>
      </c>
      <c r="M215" s="1" t="s">
        <v>1658</v>
      </c>
      <c r="N215" s="1" t="s">
        <v>1658</v>
      </c>
      <c r="O215" s="1" t="s">
        <v>1658</v>
      </c>
      <c r="P215" s="1">
        <v>1</v>
      </c>
      <c r="Q215" s="1" t="s">
        <v>1658</v>
      </c>
      <c r="R215" s="1">
        <v>0</v>
      </c>
      <c r="S215" s="1" t="s">
        <v>2624</v>
      </c>
      <c r="T215" s="6" t="s">
        <v>2624</v>
      </c>
      <c r="U215" s="1" t="str">
        <f t="shared" si="3"/>
        <v>Yes</v>
      </c>
      <c r="W215" s="1" t="s">
        <v>2625</v>
      </c>
      <c r="X215" s="1" t="str">
        <f>IF(COUNTIF('MyWells Drilling Comp'!F:F,E215)=0,"Missing","Exist")</f>
        <v>Exist</v>
      </c>
    </row>
    <row r="216" hidden="1" spans="1:24">
      <c r="A216" s="1" t="s">
        <v>1652</v>
      </c>
      <c r="B216" s="1" t="s">
        <v>90</v>
      </c>
      <c r="C216" s="1" t="s">
        <v>2626</v>
      </c>
      <c r="D216" s="1" t="s">
        <v>2627</v>
      </c>
      <c r="E216" s="1" t="s">
        <v>1363</v>
      </c>
      <c r="F216" s="1" t="s">
        <v>2628</v>
      </c>
      <c r="G216" s="1">
        <v>1</v>
      </c>
      <c r="H216" s="1" t="s">
        <v>1656</v>
      </c>
      <c r="I216" s="1" t="s">
        <v>1657</v>
      </c>
      <c r="J216" s="1" t="s">
        <v>1658</v>
      </c>
      <c r="K216" s="1" t="s">
        <v>1658</v>
      </c>
      <c r="L216" s="1" t="s">
        <v>1658</v>
      </c>
      <c r="M216" s="1" t="s">
        <v>1658</v>
      </c>
      <c r="N216" s="1" t="s">
        <v>1658</v>
      </c>
      <c r="O216" s="1" t="s">
        <v>1658</v>
      </c>
      <c r="P216" s="1">
        <v>1</v>
      </c>
      <c r="Q216" s="1" t="s">
        <v>1658</v>
      </c>
      <c r="R216" s="1">
        <v>0</v>
      </c>
      <c r="S216" s="1" t="s">
        <v>2629</v>
      </c>
      <c r="T216" s="6"/>
      <c r="U216" s="1" t="str">
        <f t="shared" si="3"/>
        <v>No</v>
      </c>
      <c r="W216" s="1" t="s">
        <v>2630</v>
      </c>
      <c r="X216" s="1" t="str">
        <f>IF(COUNTIF('MyWells Drilling Comp'!F:F,E216)=0,"Missing","Exist")</f>
        <v>Exist</v>
      </c>
    </row>
    <row r="217" hidden="1" spans="1:24">
      <c r="A217" s="1" t="s">
        <v>1652</v>
      </c>
      <c r="B217" s="1" t="s">
        <v>90</v>
      </c>
      <c r="C217" s="1" t="s">
        <v>2631</v>
      </c>
      <c r="D217" s="1" t="s">
        <v>2627</v>
      </c>
      <c r="E217" s="1" t="s">
        <v>1363</v>
      </c>
      <c r="F217" s="1" t="s">
        <v>2632</v>
      </c>
      <c r="G217" s="1">
        <v>1</v>
      </c>
      <c r="H217" s="1" t="s">
        <v>1663</v>
      </c>
      <c r="I217" s="1" t="s">
        <v>1657</v>
      </c>
      <c r="J217" s="1" t="s">
        <v>1658</v>
      </c>
      <c r="K217" s="1" t="s">
        <v>1658</v>
      </c>
      <c r="L217" s="1" t="s">
        <v>1658</v>
      </c>
      <c r="M217" s="1" t="s">
        <v>1658</v>
      </c>
      <c r="N217" s="1" t="s">
        <v>1658</v>
      </c>
      <c r="O217" s="1" t="s">
        <v>1658</v>
      </c>
      <c r="P217" s="1">
        <v>1</v>
      </c>
      <c r="Q217" s="1" t="s">
        <v>1658</v>
      </c>
      <c r="R217" s="1">
        <v>0</v>
      </c>
      <c r="S217" s="1" t="s">
        <v>2633</v>
      </c>
      <c r="T217" s="6"/>
      <c r="U217" s="1" t="str">
        <f t="shared" si="3"/>
        <v>No</v>
      </c>
      <c r="W217" s="1" t="s">
        <v>2634</v>
      </c>
      <c r="X217" s="1" t="str">
        <f>IF(COUNTIF('MyWells Drilling Comp'!F:F,E217)=0,"Missing","Exist")</f>
        <v>Exist</v>
      </c>
    </row>
    <row r="218" hidden="1" spans="1:24">
      <c r="A218" s="1" t="s">
        <v>1652</v>
      </c>
      <c r="B218" s="1" t="s">
        <v>90</v>
      </c>
      <c r="C218" s="1" t="s">
        <v>2635</v>
      </c>
      <c r="D218" s="1" t="s">
        <v>2636</v>
      </c>
      <c r="E218" s="1" t="s">
        <v>1438</v>
      </c>
      <c r="F218" s="1" t="s">
        <v>2637</v>
      </c>
      <c r="G218" s="1">
        <v>1</v>
      </c>
      <c r="H218" s="1" t="s">
        <v>1663</v>
      </c>
      <c r="I218" s="1" t="s">
        <v>1657</v>
      </c>
      <c r="J218" s="1" t="s">
        <v>1658</v>
      </c>
      <c r="K218" s="1" t="s">
        <v>1658</v>
      </c>
      <c r="L218" s="1" t="s">
        <v>1658</v>
      </c>
      <c r="M218" s="1" t="s">
        <v>1658</v>
      </c>
      <c r="N218" s="1" t="s">
        <v>1658</v>
      </c>
      <c r="O218" s="1" t="s">
        <v>1658</v>
      </c>
      <c r="P218" s="1">
        <v>1</v>
      </c>
      <c r="Q218" s="1" t="s">
        <v>1658</v>
      </c>
      <c r="R218" s="1">
        <v>0</v>
      </c>
      <c r="S218" s="1" t="s">
        <v>2638</v>
      </c>
      <c r="T218" s="6"/>
      <c r="U218" s="1" t="str">
        <f t="shared" si="3"/>
        <v>No</v>
      </c>
      <c r="W218" s="1" t="s">
        <v>2639</v>
      </c>
      <c r="X218" s="1" t="str">
        <f>IF(COUNTIF('MyWells Drilling Comp'!F:F,E218)=0,"Missing","Exist")</f>
        <v>Exist</v>
      </c>
    </row>
    <row r="219" hidden="1" spans="1:24">
      <c r="A219" s="1" t="s">
        <v>1652</v>
      </c>
      <c r="B219" s="1" t="s">
        <v>90</v>
      </c>
      <c r="C219" s="1" t="s">
        <v>2640</v>
      </c>
      <c r="D219" s="1" t="s">
        <v>2636</v>
      </c>
      <c r="E219" s="1" t="s">
        <v>1438</v>
      </c>
      <c r="F219" s="1" t="s">
        <v>2641</v>
      </c>
      <c r="G219" s="1">
        <v>1</v>
      </c>
      <c r="H219" s="1" t="s">
        <v>1656</v>
      </c>
      <c r="I219" s="1" t="s">
        <v>1657</v>
      </c>
      <c r="J219" s="1" t="s">
        <v>1658</v>
      </c>
      <c r="K219" s="1" t="s">
        <v>1658</v>
      </c>
      <c r="L219" s="1" t="s">
        <v>1658</v>
      </c>
      <c r="M219" s="1" t="s">
        <v>1658</v>
      </c>
      <c r="N219" s="1" t="s">
        <v>1658</v>
      </c>
      <c r="O219" s="1" t="s">
        <v>1658</v>
      </c>
      <c r="P219" s="1">
        <v>1</v>
      </c>
      <c r="Q219" s="1" t="s">
        <v>1658</v>
      </c>
      <c r="R219" s="1">
        <v>0</v>
      </c>
      <c r="S219" s="1" t="s">
        <v>2642</v>
      </c>
      <c r="T219" s="6" t="s">
        <v>2642</v>
      </c>
      <c r="U219" s="1" t="str">
        <f t="shared" si="3"/>
        <v>Yes</v>
      </c>
      <c r="W219" s="1" t="s">
        <v>2643</v>
      </c>
      <c r="X219" s="1" t="str">
        <f>IF(COUNTIF('MyWells Drilling Comp'!F:F,E219)=0,"Missing","Exist")</f>
        <v>Exist</v>
      </c>
    </row>
    <row r="220" hidden="1" spans="1:24">
      <c r="A220" s="1" t="s">
        <v>1652</v>
      </c>
      <c r="B220" s="1" t="s">
        <v>90</v>
      </c>
      <c r="C220" s="1" t="s">
        <v>2644</v>
      </c>
      <c r="D220" s="1" t="s">
        <v>2645</v>
      </c>
      <c r="E220" s="1" t="s">
        <v>1441</v>
      </c>
      <c r="F220" s="7" t="s">
        <v>2646</v>
      </c>
      <c r="G220" s="1">
        <v>1</v>
      </c>
      <c r="H220" s="1" t="s">
        <v>1656</v>
      </c>
      <c r="I220" s="1" t="s">
        <v>1657</v>
      </c>
      <c r="J220" s="1" t="s">
        <v>1658</v>
      </c>
      <c r="K220" s="1" t="s">
        <v>1658</v>
      </c>
      <c r="L220" s="1" t="s">
        <v>1658</v>
      </c>
      <c r="M220" s="1" t="s">
        <v>1658</v>
      </c>
      <c r="N220" s="1" t="s">
        <v>1658</v>
      </c>
      <c r="O220" s="1" t="s">
        <v>1658</v>
      </c>
      <c r="P220" s="1">
        <v>1</v>
      </c>
      <c r="Q220" s="1" t="s">
        <v>1658</v>
      </c>
      <c r="R220" s="1">
        <v>0</v>
      </c>
      <c r="S220" s="1" t="s">
        <v>2647</v>
      </c>
      <c r="T220" s="6" t="s">
        <v>2647</v>
      </c>
      <c r="U220" s="1" t="str">
        <f t="shared" si="3"/>
        <v>Yes</v>
      </c>
      <c r="W220" s="1" t="s">
        <v>2648</v>
      </c>
      <c r="X220" s="1" t="str">
        <f>IF(COUNTIF('MyWells Drilling Comp'!F:F,E220)=0,"Missing","Exist")</f>
        <v>Exist</v>
      </c>
    </row>
    <row r="221" hidden="1" spans="1:24">
      <c r="A221" s="1" t="s">
        <v>1652</v>
      </c>
      <c r="B221" s="1" t="s">
        <v>90</v>
      </c>
      <c r="C221" s="1" t="s">
        <v>2649</v>
      </c>
      <c r="D221" s="1" t="s">
        <v>2645</v>
      </c>
      <c r="E221" s="1" t="s">
        <v>1441</v>
      </c>
      <c r="F221" s="1" t="s">
        <v>2650</v>
      </c>
      <c r="G221" s="1">
        <v>1</v>
      </c>
      <c r="H221" s="1" t="s">
        <v>1663</v>
      </c>
      <c r="I221" s="1" t="s">
        <v>1657</v>
      </c>
      <c r="J221" s="1" t="s">
        <v>1658</v>
      </c>
      <c r="K221" s="1" t="s">
        <v>1658</v>
      </c>
      <c r="L221" s="1" t="s">
        <v>1658</v>
      </c>
      <c r="M221" s="1" t="s">
        <v>1658</v>
      </c>
      <c r="N221" s="1" t="s">
        <v>1658</v>
      </c>
      <c r="O221" s="1" t="s">
        <v>1658</v>
      </c>
      <c r="P221" s="1">
        <v>1</v>
      </c>
      <c r="Q221" s="1" t="s">
        <v>1658</v>
      </c>
      <c r="R221" s="1">
        <v>0</v>
      </c>
      <c r="S221" s="1" t="s">
        <v>2651</v>
      </c>
      <c r="T221" s="6" t="s">
        <v>2651</v>
      </c>
      <c r="U221" s="1" t="str">
        <f t="shared" si="3"/>
        <v>Yes</v>
      </c>
      <c r="W221" s="1" t="s">
        <v>2652</v>
      </c>
      <c r="X221" s="1" t="str">
        <f>IF(COUNTIF('MyWells Drilling Comp'!F:F,E221)=0,"Missing","Exist")</f>
        <v>Exist</v>
      </c>
    </row>
    <row r="222" hidden="1" spans="1:24">
      <c r="A222" s="1" t="s">
        <v>1652</v>
      </c>
      <c r="B222" s="1" t="s">
        <v>90</v>
      </c>
      <c r="C222" s="1" t="s">
        <v>2653</v>
      </c>
      <c r="D222" s="1" t="s">
        <v>2654</v>
      </c>
      <c r="E222" s="1" t="s">
        <v>1509</v>
      </c>
      <c r="F222" s="1" t="s">
        <v>2655</v>
      </c>
      <c r="G222" s="1">
        <v>1</v>
      </c>
      <c r="H222" s="1" t="s">
        <v>1663</v>
      </c>
      <c r="I222" s="1" t="s">
        <v>1657</v>
      </c>
      <c r="J222" s="1" t="s">
        <v>1658</v>
      </c>
      <c r="K222" s="1" t="s">
        <v>1658</v>
      </c>
      <c r="L222" s="1" t="s">
        <v>1658</v>
      </c>
      <c r="M222" s="1" t="s">
        <v>1658</v>
      </c>
      <c r="N222" s="1" t="s">
        <v>1658</v>
      </c>
      <c r="O222" s="1" t="s">
        <v>1658</v>
      </c>
      <c r="P222" s="1">
        <v>1</v>
      </c>
      <c r="Q222" s="1" t="s">
        <v>1658</v>
      </c>
      <c r="R222" s="1">
        <v>0</v>
      </c>
      <c r="S222" s="1" t="s">
        <v>2656</v>
      </c>
      <c r="T222" s="6"/>
      <c r="U222" s="1" t="str">
        <f t="shared" si="3"/>
        <v>No</v>
      </c>
      <c r="W222" s="1" t="s">
        <v>2657</v>
      </c>
      <c r="X222" s="1" t="str">
        <f>IF(COUNTIF('MyWells Drilling Comp'!F:F,E222)=0,"Missing","Exist")</f>
        <v>Exist</v>
      </c>
    </row>
    <row r="223" hidden="1" spans="1:24">
      <c r="A223" s="1" t="s">
        <v>1652</v>
      </c>
      <c r="B223" s="1" t="s">
        <v>90</v>
      </c>
      <c r="C223" s="1" t="s">
        <v>2658</v>
      </c>
      <c r="D223" s="1" t="s">
        <v>2654</v>
      </c>
      <c r="E223" s="1" t="s">
        <v>1509</v>
      </c>
      <c r="F223" s="1" t="s">
        <v>2659</v>
      </c>
      <c r="G223" s="1">
        <v>1</v>
      </c>
      <c r="H223" s="1" t="s">
        <v>1656</v>
      </c>
      <c r="I223" s="1" t="s">
        <v>1657</v>
      </c>
      <c r="J223" s="1" t="s">
        <v>1658</v>
      </c>
      <c r="K223" s="1" t="s">
        <v>1658</v>
      </c>
      <c r="L223" s="1" t="s">
        <v>1658</v>
      </c>
      <c r="M223" s="1" t="s">
        <v>1658</v>
      </c>
      <c r="N223" s="1" t="s">
        <v>1658</v>
      </c>
      <c r="O223" s="1" t="s">
        <v>1658</v>
      </c>
      <c r="P223" s="1">
        <v>1</v>
      </c>
      <c r="Q223" s="1" t="s">
        <v>1658</v>
      </c>
      <c r="R223" s="1">
        <v>0</v>
      </c>
      <c r="S223" s="1" t="s">
        <v>2660</v>
      </c>
      <c r="T223" s="6"/>
      <c r="U223" s="1" t="str">
        <f t="shared" si="3"/>
        <v>No</v>
      </c>
      <c r="W223" s="1" t="s">
        <v>2661</v>
      </c>
      <c r="X223" s="1" t="str">
        <f>IF(COUNTIF('MyWells Drilling Comp'!F:F,E223)=0,"Missing","Exist")</f>
        <v>Exist</v>
      </c>
    </row>
    <row r="224" hidden="1" spans="1:24">
      <c r="A224" s="1" t="s">
        <v>1652</v>
      </c>
      <c r="B224" s="1" t="s">
        <v>90</v>
      </c>
      <c r="C224" s="1" t="s">
        <v>2662</v>
      </c>
      <c r="D224" s="1" t="s">
        <v>2663</v>
      </c>
      <c r="E224" s="1" t="s">
        <v>502</v>
      </c>
      <c r="F224" s="1" t="s">
        <v>2664</v>
      </c>
      <c r="G224" s="1">
        <v>1</v>
      </c>
      <c r="H224" s="1" t="s">
        <v>1663</v>
      </c>
      <c r="I224" s="1" t="s">
        <v>1657</v>
      </c>
      <c r="J224" s="1" t="s">
        <v>1658</v>
      </c>
      <c r="K224" s="1" t="s">
        <v>1658</v>
      </c>
      <c r="L224" s="1" t="s">
        <v>1658</v>
      </c>
      <c r="M224" s="1" t="s">
        <v>1658</v>
      </c>
      <c r="N224" s="1" t="s">
        <v>1658</v>
      </c>
      <c r="O224" s="1" t="s">
        <v>1658</v>
      </c>
      <c r="P224" s="1">
        <v>1</v>
      </c>
      <c r="Q224" s="1" t="s">
        <v>1658</v>
      </c>
      <c r="R224" s="1">
        <v>0</v>
      </c>
      <c r="S224" s="1" t="s">
        <v>2665</v>
      </c>
      <c r="T224" s="6" t="s">
        <v>2665</v>
      </c>
      <c r="U224" s="1" t="str">
        <f t="shared" si="3"/>
        <v>Yes</v>
      </c>
      <c r="W224" s="1" t="s">
        <v>2666</v>
      </c>
      <c r="X224" s="1" t="str">
        <f>IF(COUNTIF('MyWells Drilling Comp'!F:F,E224)=0,"Missing","Exist")</f>
        <v>Exist</v>
      </c>
    </row>
    <row r="225" hidden="1" spans="1:24">
      <c r="A225" s="1" t="s">
        <v>1652</v>
      </c>
      <c r="B225" s="1" t="s">
        <v>90</v>
      </c>
      <c r="C225" s="1" t="s">
        <v>2667</v>
      </c>
      <c r="D225" s="1" t="s">
        <v>2663</v>
      </c>
      <c r="E225" s="1" t="s">
        <v>502</v>
      </c>
      <c r="F225" s="1" t="s">
        <v>2668</v>
      </c>
      <c r="G225" s="1">
        <v>1</v>
      </c>
      <c r="H225" s="1" t="s">
        <v>1656</v>
      </c>
      <c r="I225" s="1" t="s">
        <v>1657</v>
      </c>
      <c r="J225" s="1" t="s">
        <v>1658</v>
      </c>
      <c r="K225" s="1" t="s">
        <v>1658</v>
      </c>
      <c r="L225" s="1" t="s">
        <v>1658</v>
      </c>
      <c r="M225" s="1" t="s">
        <v>1658</v>
      </c>
      <c r="N225" s="1" t="s">
        <v>1658</v>
      </c>
      <c r="O225" s="1" t="s">
        <v>1658</v>
      </c>
      <c r="P225" s="1">
        <v>1</v>
      </c>
      <c r="Q225" s="1" t="s">
        <v>1658</v>
      </c>
      <c r="R225" s="1">
        <v>0</v>
      </c>
      <c r="S225" s="1" t="s">
        <v>2669</v>
      </c>
      <c r="T225" s="6" t="s">
        <v>2669</v>
      </c>
      <c r="U225" s="1" t="str">
        <f t="shared" si="3"/>
        <v>Yes</v>
      </c>
      <c r="W225" s="1" t="s">
        <v>2670</v>
      </c>
      <c r="X225" s="1" t="str">
        <f>IF(COUNTIF('MyWells Drilling Comp'!F:F,E225)=0,"Missing","Exist")</f>
        <v>Exist</v>
      </c>
    </row>
    <row r="226" hidden="1" spans="1:24">
      <c r="A226" s="1" t="s">
        <v>1652</v>
      </c>
      <c r="B226" s="1" t="s">
        <v>90</v>
      </c>
      <c r="C226" s="1" t="s">
        <v>2671</v>
      </c>
      <c r="D226" s="1" t="s">
        <v>2672</v>
      </c>
      <c r="E226" s="1" t="s">
        <v>1390</v>
      </c>
      <c r="F226" s="1" t="s">
        <v>2673</v>
      </c>
      <c r="G226" s="1">
        <v>1</v>
      </c>
      <c r="H226" s="1" t="s">
        <v>1663</v>
      </c>
      <c r="I226" s="1" t="s">
        <v>1657</v>
      </c>
      <c r="J226" s="1" t="s">
        <v>1658</v>
      </c>
      <c r="K226" s="1" t="s">
        <v>1658</v>
      </c>
      <c r="L226" s="1" t="s">
        <v>1658</v>
      </c>
      <c r="M226" s="1" t="s">
        <v>1658</v>
      </c>
      <c r="N226" s="1" t="s">
        <v>1658</v>
      </c>
      <c r="O226" s="1" t="s">
        <v>1658</v>
      </c>
      <c r="P226" s="1">
        <v>1</v>
      </c>
      <c r="Q226" s="1" t="s">
        <v>1658</v>
      </c>
      <c r="R226" s="1">
        <v>0</v>
      </c>
      <c r="S226" s="1" t="s">
        <v>2674</v>
      </c>
      <c r="T226" s="6" t="s">
        <v>2675</v>
      </c>
      <c r="U226" s="1" t="str">
        <f t="shared" si="3"/>
        <v>No</v>
      </c>
      <c r="W226" s="1" t="s">
        <v>2676</v>
      </c>
      <c r="X226" s="1" t="str">
        <f>IF(COUNTIF('MyWells Drilling Comp'!F:F,E226)=0,"Missing","Exist")</f>
        <v>Exist</v>
      </c>
    </row>
    <row r="227" hidden="1" spans="1:24">
      <c r="A227" s="1" t="s">
        <v>1652</v>
      </c>
      <c r="B227" s="1" t="s">
        <v>90</v>
      </c>
      <c r="C227" s="1" t="s">
        <v>2677</v>
      </c>
      <c r="D227" s="1" t="s">
        <v>2672</v>
      </c>
      <c r="E227" s="1" t="s">
        <v>1390</v>
      </c>
      <c r="F227" s="1" t="s">
        <v>2678</v>
      </c>
      <c r="G227" s="1">
        <v>1</v>
      </c>
      <c r="H227" s="1" t="s">
        <v>1656</v>
      </c>
      <c r="I227" s="1" t="s">
        <v>1657</v>
      </c>
      <c r="J227" s="1" t="s">
        <v>1658</v>
      </c>
      <c r="K227" s="1" t="s">
        <v>1658</v>
      </c>
      <c r="L227" s="1" t="s">
        <v>1658</v>
      </c>
      <c r="M227" s="1" t="s">
        <v>1658</v>
      </c>
      <c r="N227" s="1" t="s">
        <v>1658</v>
      </c>
      <c r="O227" s="1" t="s">
        <v>1658</v>
      </c>
      <c r="P227" s="1">
        <v>1</v>
      </c>
      <c r="Q227" s="1" t="s">
        <v>1658</v>
      </c>
      <c r="R227" s="1">
        <v>0</v>
      </c>
      <c r="S227" s="1" t="s">
        <v>2679</v>
      </c>
      <c r="T227" s="6" t="s">
        <v>2679</v>
      </c>
      <c r="U227" s="1" t="str">
        <f t="shared" si="3"/>
        <v>Yes</v>
      </c>
      <c r="W227" s="1" t="s">
        <v>2680</v>
      </c>
      <c r="X227" s="1" t="str">
        <f>IF(COUNTIF('MyWells Drilling Comp'!F:F,E227)=0,"Missing","Exist")</f>
        <v>Exist</v>
      </c>
    </row>
    <row r="228" hidden="1" spans="1:24">
      <c r="A228" s="1" t="s">
        <v>1652</v>
      </c>
      <c r="B228" s="1" t="s">
        <v>90</v>
      </c>
      <c r="C228" s="1" t="s">
        <v>2681</v>
      </c>
      <c r="D228" s="1" t="s">
        <v>2682</v>
      </c>
      <c r="E228" s="2" t="s">
        <v>521</v>
      </c>
      <c r="F228" s="2" t="s">
        <v>2683</v>
      </c>
      <c r="G228" s="1">
        <v>1</v>
      </c>
      <c r="H228" s="1" t="s">
        <v>1663</v>
      </c>
      <c r="I228" s="1" t="s">
        <v>1657</v>
      </c>
      <c r="J228" s="1" t="s">
        <v>1658</v>
      </c>
      <c r="K228" s="1" t="s">
        <v>1658</v>
      </c>
      <c r="L228" s="1" t="s">
        <v>1658</v>
      </c>
      <c r="M228" s="1" t="s">
        <v>1658</v>
      </c>
      <c r="N228" s="1" t="s">
        <v>1658</v>
      </c>
      <c r="O228" s="1" t="s">
        <v>1658</v>
      </c>
      <c r="P228" s="1">
        <v>1</v>
      </c>
      <c r="Q228" s="1" t="s">
        <v>1658</v>
      </c>
      <c r="R228" s="1">
        <v>0</v>
      </c>
      <c r="S228" s="1" t="s">
        <v>2684</v>
      </c>
      <c r="T228" s="6" t="s">
        <v>2684</v>
      </c>
      <c r="U228" s="1" t="str">
        <f t="shared" si="3"/>
        <v>Yes</v>
      </c>
      <c r="W228" s="1" t="s">
        <v>2685</v>
      </c>
      <c r="X228" s="1" t="str">
        <f>IF(COUNTIF('MyWells Drilling Comp'!F:F,E228)=0,"Missing","Exist")</f>
        <v>Exist</v>
      </c>
    </row>
    <row r="229" hidden="1" spans="1:24">
      <c r="A229" s="1" t="s">
        <v>1652</v>
      </c>
      <c r="B229" s="1" t="s">
        <v>90</v>
      </c>
      <c r="C229" s="1" t="s">
        <v>2686</v>
      </c>
      <c r="D229" s="1" t="s">
        <v>2682</v>
      </c>
      <c r="E229" s="2" t="s">
        <v>521</v>
      </c>
      <c r="F229" s="2" t="s">
        <v>2687</v>
      </c>
      <c r="G229" s="1">
        <v>1</v>
      </c>
      <c r="H229" s="1" t="s">
        <v>1656</v>
      </c>
      <c r="I229" s="1" t="s">
        <v>1657</v>
      </c>
      <c r="J229" s="1" t="s">
        <v>1658</v>
      </c>
      <c r="K229" s="1" t="s">
        <v>1658</v>
      </c>
      <c r="L229" s="1" t="s">
        <v>1658</v>
      </c>
      <c r="M229" s="1" t="s">
        <v>1658</v>
      </c>
      <c r="N229" s="1" t="s">
        <v>1658</v>
      </c>
      <c r="O229" s="1" t="s">
        <v>1658</v>
      </c>
      <c r="P229" s="1">
        <v>1</v>
      </c>
      <c r="Q229" s="1" t="s">
        <v>1658</v>
      </c>
      <c r="R229" s="1">
        <v>0</v>
      </c>
      <c r="S229" s="1" t="s">
        <v>2688</v>
      </c>
      <c r="T229" s="6" t="s">
        <v>2688</v>
      </c>
      <c r="U229" s="1" t="str">
        <f t="shared" si="3"/>
        <v>Yes</v>
      </c>
      <c r="W229" s="1" t="s">
        <v>2689</v>
      </c>
      <c r="X229" s="1" t="str">
        <f>IF(COUNTIF('MyWells Drilling Comp'!F:F,E229)=0,"Missing","Exist")</f>
        <v>Exist</v>
      </c>
    </row>
    <row r="230" hidden="1" spans="1:24">
      <c r="A230" s="1" t="s">
        <v>1652</v>
      </c>
      <c r="B230" s="1" t="s">
        <v>90</v>
      </c>
      <c r="C230" s="1" t="s">
        <v>2690</v>
      </c>
      <c r="D230" s="1" t="s">
        <v>2691</v>
      </c>
      <c r="E230" s="1" t="s">
        <v>1333</v>
      </c>
      <c r="F230" s="1" t="s">
        <v>2692</v>
      </c>
      <c r="G230" s="1">
        <v>1</v>
      </c>
      <c r="H230" s="1" t="s">
        <v>1663</v>
      </c>
      <c r="I230" s="1" t="s">
        <v>1657</v>
      </c>
      <c r="J230" s="1" t="s">
        <v>1658</v>
      </c>
      <c r="K230" s="1" t="s">
        <v>1658</v>
      </c>
      <c r="L230" s="1" t="s">
        <v>1658</v>
      </c>
      <c r="M230" s="1" t="s">
        <v>1658</v>
      </c>
      <c r="N230" s="1" t="s">
        <v>1658</v>
      </c>
      <c r="O230" s="1" t="s">
        <v>1658</v>
      </c>
      <c r="P230" s="1">
        <v>1</v>
      </c>
      <c r="Q230" s="1" t="s">
        <v>1658</v>
      </c>
      <c r="R230" s="1">
        <v>0</v>
      </c>
      <c r="S230" s="1" t="s">
        <v>2693</v>
      </c>
      <c r="T230" s="6" t="s">
        <v>2693</v>
      </c>
      <c r="U230" s="1" t="str">
        <f t="shared" si="3"/>
        <v>Yes</v>
      </c>
      <c r="W230" s="1" t="s">
        <v>2694</v>
      </c>
      <c r="X230" s="1" t="str">
        <f>IF(COUNTIF('MyWells Drilling Comp'!F:F,E230)=0,"Missing","Exist")</f>
        <v>Exist</v>
      </c>
    </row>
    <row r="231" hidden="1" spans="1:24">
      <c r="A231" s="1" t="s">
        <v>1652</v>
      </c>
      <c r="B231" s="1" t="s">
        <v>90</v>
      </c>
      <c r="C231" s="1" t="s">
        <v>2695</v>
      </c>
      <c r="D231" s="1" t="s">
        <v>2691</v>
      </c>
      <c r="E231" s="1" t="s">
        <v>1333</v>
      </c>
      <c r="F231" s="1" t="s">
        <v>2696</v>
      </c>
      <c r="G231" s="1">
        <v>1</v>
      </c>
      <c r="H231" s="1" t="s">
        <v>1656</v>
      </c>
      <c r="I231" s="1" t="s">
        <v>1657</v>
      </c>
      <c r="J231" s="1" t="s">
        <v>1658</v>
      </c>
      <c r="K231" s="1" t="s">
        <v>1658</v>
      </c>
      <c r="L231" s="1" t="s">
        <v>1658</v>
      </c>
      <c r="M231" s="1" t="s">
        <v>1658</v>
      </c>
      <c r="N231" s="1" t="s">
        <v>1658</v>
      </c>
      <c r="O231" s="1" t="s">
        <v>1658</v>
      </c>
      <c r="P231" s="1">
        <v>1</v>
      </c>
      <c r="Q231" s="1" t="s">
        <v>1658</v>
      </c>
      <c r="R231" s="1">
        <v>0</v>
      </c>
      <c r="S231" s="1" t="s">
        <v>2697</v>
      </c>
      <c r="T231" s="6" t="s">
        <v>2697</v>
      </c>
      <c r="U231" s="1" t="str">
        <f t="shared" si="3"/>
        <v>Yes</v>
      </c>
      <c r="W231" s="1" t="s">
        <v>2698</v>
      </c>
      <c r="X231" s="1" t="str">
        <f>IF(COUNTIF('MyWells Drilling Comp'!F:F,E231)=0,"Missing","Exist")</f>
        <v>Exist</v>
      </c>
    </row>
    <row r="232" hidden="1" spans="1:24">
      <c r="A232" s="1" t="s">
        <v>1652</v>
      </c>
      <c r="B232" s="1" t="s">
        <v>90</v>
      </c>
      <c r="C232" s="1" t="s">
        <v>2699</v>
      </c>
      <c r="D232" s="1" t="s">
        <v>2700</v>
      </c>
      <c r="E232" s="1" t="s">
        <v>1154</v>
      </c>
      <c r="F232" s="1" t="s">
        <v>2701</v>
      </c>
      <c r="G232" s="1">
        <v>1</v>
      </c>
      <c r="H232" s="1" t="s">
        <v>1663</v>
      </c>
      <c r="I232" s="1" t="s">
        <v>1657</v>
      </c>
      <c r="J232" s="1" t="s">
        <v>1658</v>
      </c>
      <c r="K232" s="1" t="s">
        <v>1658</v>
      </c>
      <c r="L232" s="1" t="s">
        <v>1658</v>
      </c>
      <c r="M232" s="1" t="s">
        <v>1658</v>
      </c>
      <c r="N232" s="1" t="s">
        <v>1658</v>
      </c>
      <c r="O232" s="1" t="s">
        <v>1658</v>
      </c>
      <c r="P232" s="1">
        <v>1</v>
      </c>
      <c r="Q232" s="1" t="s">
        <v>1658</v>
      </c>
      <c r="R232" s="1">
        <v>0</v>
      </c>
      <c r="S232" s="1" t="s">
        <v>2702</v>
      </c>
      <c r="T232" s="6" t="s">
        <v>2702</v>
      </c>
      <c r="U232" s="1" t="str">
        <f t="shared" si="3"/>
        <v>Yes</v>
      </c>
      <c r="W232" s="1" t="s">
        <v>2703</v>
      </c>
      <c r="X232" s="1" t="str">
        <f>IF(COUNTIF('MyWells Drilling Comp'!F:F,E232)=0,"Missing","Exist")</f>
        <v>Exist</v>
      </c>
    </row>
    <row r="233" hidden="1" spans="1:24">
      <c r="A233" s="1" t="s">
        <v>1652</v>
      </c>
      <c r="B233" s="1" t="s">
        <v>90</v>
      </c>
      <c r="C233" s="1" t="s">
        <v>2704</v>
      </c>
      <c r="D233" s="1" t="s">
        <v>2700</v>
      </c>
      <c r="E233" s="1" t="s">
        <v>1154</v>
      </c>
      <c r="F233" s="1" t="s">
        <v>2705</v>
      </c>
      <c r="G233" s="1">
        <v>1</v>
      </c>
      <c r="H233" s="1" t="s">
        <v>1656</v>
      </c>
      <c r="I233" s="1" t="s">
        <v>1657</v>
      </c>
      <c r="J233" s="1" t="s">
        <v>1658</v>
      </c>
      <c r="K233" s="1" t="s">
        <v>1658</v>
      </c>
      <c r="L233" s="1" t="s">
        <v>1658</v>
      </c>
      <c r="M233" s="1" t="s">
        <v>1658</v>
      </c>
      <c r="N233" s="1" t="s">
        <v>1658</v>
      </c>
      <c r="O233" s="1" t="s">
        <v>1658</v>
      </c>
      <c r="P233" s="1">
        <v>1</v>
      </c>
      <c r="Q233" s="1" t="s">
        <v>1658</v>
      </c>
      <c r="R233" s="1">
        <v>0</v>
      </c>
      <c r="S233" s="1" t="s">
        <v>2706</v>
      </c>
      <c r="T233" s="6" t="s">
        <v>2706</v>
      </c>
      <c r="U233" s="1" t="str">
        <f t="shared" si="3"/>
        <v>Yes</v>
      </c>
      <c r="W233" s="1" t="s">
        <v>2707</v>
      </c>
      <c r="X233" s="1" t="str">
        <f>IF(COUNTIF('MyWells Drilling Comp'!F:F,E233)=0,"Missing","Exist")</f>
        <v>Exist</v>
      </c>
    </row>
    <row r="234" hidden="1" spans="1:24">
      <c r="A234" s="1" t="s">
        <v>1652</v>
      </c>
      <c r="B234" s="1" t="s">
        <v>90</v>
      </c>
      <c r="C234" s="1" t="s">
        <v>2708</v>
      </c>
      <c r="D234" s="1" t="s">
        <v>2709</v>
      </c>
      <c r="E234" s="1" t="s">
        <v>177</v>
      </c>
      <c r="F234" s="1" t="s">
        <v>2710</v>
      </c>
      <c r="G234" s="1">
        <v>1</v>
      </c>
      <c r="H234" s="1" t="s">
        <v>1663</v>
      </c>
      <c r="I234" s="1" t="s">
        <v>1657</v>
      </c>
      <c r="J234" s="1" t="s">
        <v>1658</v>
      </c>
      <c r="K234" s="1" t="s">
        <v>1658</v>
      </c>
      <c r="L234" s="1" t="s">
        <v>1658</v>
      </c>
      <c r="M234" s="1" t="s">
        <v>1658</v>
      </c>
      <c r="N234" s="1" t="s">
        <v>1658</v>
      </c>
      <c r="O234" s="1" t="s">
        <v>1658</v>
      </c>
      <c r="P234" s="1">
        <v>1</v>
      </c>
      <c r="Q234" s="1" t="s">
        <v>1658</v>
      </c>
      <c r="R234" s="1">
        <v>0</v>
      </c>
      <c r="S234" s="1" t="s">
        <v>2711</v>
      </c>
      <c r="T234" s="6" t="s">
        <v>2711</v>
      </c>
      <c r="U234" s="1" t="str">
        <f t="shared" si="3"/>
        <v>Yes</v>
      </c>
      <c r="W234" s="1" t="s">
        <v>2712</v>
      </c>
      <c r="X234" s="1" t="str">
        <f>IF(COUNTIF('MyWells Drilling Comp'!F:F,E234)=0,"Missing","Exist")</f>
        <v>Exist</v>
      </c>
    </row>
    <row r="235" hidden="1" spans="1:24">
      <c r="A235" s="1" t="s">
        <v>1652</v>
      </c>
      <c r="B235" s="1" t="s">
        <v>90</v>
      </c>
      <c r="C235" s="1" t="s">
        <v>2713</v>
      </c>
      <c r="D235" s="1" t="s">
        <v>2709</v>
      </c>
      <c r="E235" s="1" t="s">
        <v>177</v>
      </c>
      <c r="F235" s="1" t="s">
        <v>2714</v>
      </c>
      <c r="G235" s="1">
        <v>1</v>
      </c>
      <c r="H235" s="1" t="s">
        <v>1656</v>
      </c>
      <c r="I235" s="1" t="s">
        <v>1657</v>
      </c>
      <c r="J235" s="1" t="s">
        <v>1658</v>
      </c>
      <c r="K235" s="1" t="s">
        <v>1658</v>
      </c>
      <c r="L235" s="1" t="s">
        <v>1658</v>
      </c>
      <c r="M235" s="1" t="s">
        <v>1658</v>
      </c>
      <c r="N235" s="1" t="s">
        <v>1658</v>
      </c>
      <c r="O235" s="1" t="s">
        <v>1658</v>
      </c>
      <c r="P235" s="1">
        <v>1</v>
      </c>
      <c r="Q235" s="1" t="s">
        <v>1658</v>
      </c>
      <c r="R235" s="1">
        <v>0</v>
      </c>
      <c r="S235" s="1" t="s">
        <v>2715</v>
      </c>
      <c r="T235" s="6" t="s">
        <v>2715</v>
      </c>
      <c r="U235" s="1" t="str">
        <f t="shared" si="3"/>
        <v>Yes</v>
      </c>
      <c r="W235" s="1" t="s">
        <v>2716</v>
      </c>
      <c r="X235" s="1" t="str">
        <f>IF(COUNTIF('MyWells Drilling Comp'!F:F,E235)=0,"Missing","Exist")</f>
        <v>Exist</v>
      </c>
    </row>
    <row r="236" hidden="1" spans="1:24">
      <c r="A236" s="1" t="s">
        <v>1652</v>
      </c>
      <c r="B236" s="1" t="s">
        <v>90</v>
      </c>
      <c r="C236" s="1" t="s">
        <v>2717</v>
      </c>
      <c r="D236" s="1" t="s">
        <v>2718</v>
      </c>
      <c r="E236" s="1" t="s">
        <v>594</v>
      </c>
      <c r="F236" s="1" t="s">
        <v>2719</v>
      </c>
      <c r="G236" s="1">
        <v>1</v>
      </c>
      <c r="H236" s="1" t="s">
        <v>1656</v>
      </c>
      <c r="I236" s="1" t="s">
        <v>1657</v>
      </c>
      <c r="J236" s="1" t="s">
        <v>1658</v>
      </c>
      <c r="K236" s="1" t="s">
        <v>1658</v>
      </c>
      <c r="L236" s="1" t="s">
        <v>1658</v>
      </c>
      <c r="M236" s="1" t="s">
        <v>1658</v>
      </c>
      <c r="N236" s="1" t="s">
        <v>1658</v>
      </c>
      <c r="O236" s="1" t="s">
        <v>1658</v>
      </c>
      <c r="P236" s="1">
        <v>1</v>
      </c>
      <c r="Q236" s="1" t="s">
        <v>1658</v>
      </c>
      <c r="R236" s="1">
        <v>0</v>
      </c>
      <c r="S236" s="1" t="s">
        <v>2720</v>
      </c>
      <c r="T236" s="6"/>
      <c r="U236" s="1" t="str">
        <f t="shared" si="3"/>
        <v>No</v>
      </c>
      <c r="W236" s="1" t="s">
        <v>2721</v>
      </c>
      <c r="X236" s="1" t="str">
        <f>IF(COUNTIF('MyWells Drilling Comp'!F:F,E236)=0,"Missing","Exist")</f>
        <v>Exist</v>
      </c>
    </row>
    <row r="237" hidden="1" spans="1:24">
      <c r="A237" s="1" t="s">
        <v>1652</v>
      </c>
      <c r="B237" s="1" t="s">
        <v>90</v>
      </c>
      <c r="C237" s="1" t="s">
        <v>2722</v>
      </c>
      <c r="D237" s="1" t="s">
        <v>2718</v>
      </c>
      <c r="E237" s="1" t="s">
        <v>594</v>
      </c>
      <c r="F237" s="1" t="s">
        <v>2723</v>
      </c>
      <c r="G237" s="1">
        <v>1</v>
      </c>
      <c r="H237" s="1" t="s">
        <v>1663</v>
      </c>
      <c r="I237" s="1" t="s">
        <v>1657</v>
      </c>
      <c r="J237" s="1" t="s">
        <v>1658</v>
      </c>
      <c r="K237" s="1" t="s">
        <v>1658</v>
      </c>
      <c r="L237" s="1" t="s">
        <v>1658</v>
      </c>
      <c r="M237" s="1" t="s">
        <v>1658</v>
      </c>
      <c r="N237" s="1" t="s">
        <v>1658</v>
      </c>
      <c r="O237" s="1" t="s">
        <v>1658</v>
      </c>
      <c r="P237" s="1">
        <v>1</v>
      </c>
      <c r="Q237" s="1" t="s">
        <v>1658</v>
      </c>
      <c r="R237" s="1">
        <v>0</v>
      </c>
      <c r="S237" s="1" t="s">
        <v>2724</v>
      </c>
      <c r="T237" s="6"/>
      <c r="U237" s="1" t="str">
        <f t="shared" si="3"/>
        <v>No</v>
      </c>
      <c r="W237" s="1" t="s">
        <v>2725</v>
      </c>
      <c r="X237" s="1" t="str">
        <f>IF(COUNTIF('MyWells Drilling Comp'!F:F,E237)=0,"Missing","Exist")</f>
        <v>Exist</v>
      </c>
    </row>
    <row r="238" hidden="1" spans="1:24">
      <c r="A238" s="1" t="s">
        <v>1652</v>
      </c>
      <c r="B238" s="1" t="s">
        <v>90</v>
      </c>
      <c r="C238" s="1" t="s">
        <v>2726</v>
      </c>
      <c r="D238" s="7" t="s">
        <v>2727</v>
      </c>
      <c r="E238" s="1" t="s">
        <v>781</v>
      </c>
      <c r="F238" s="1" t="s">
        <v>2728</v>
      </c>
      <c r="G238" s="1">
        <v>1</v>
      </c>
      <c r="H238" s="1" t="s">
        <v>1656</v>
      </c>
      <c r="I238" s="1" t="s">
        <v>1657</v>
      </c>
      <c r="J238" s="1" t="s">
        <v>1658</v>
      </c>
      <c r="K238" s="1" t="s">
        <v>1658</v>
      </c>
      <c r="L238" s="1" t="s">
        <v>1658</v>
      </c>
      <c r="M238" s="1" t="s">
        <v>1658</v>
      </c>
      <c r="N238" s="1" t="s">
        <v>1658</v>
      </c>
      <c r="O238" s="1" t="s">
        <v>1658</v>
      </c>
      <c r="P238" s="1">
        <v>1</v>
      </c>
      <c r="Q238" s="1" t="s">
        <v>1658</v>
      </c>
      <c r="R238" s="1">
        <v>0</v>
      </c>
      <c r="S238" s="1" t="s">
        <v>2729</v>
      </c>
      <c r="T238" s="6" t="s">
        <v>2729</v>
      </c>
      <c r="U238" s="1" t="str">
        <f t="shared" si="3"/>
        <v>Yes</v>
      </c>
      <c r="W238" s="1" t="s">
        <v>2730</v>
      </c>
      <c r="X238" s="1" t="str">
        <f>IF(COUNTIF('MyWells Drilling Comp'!F:F,E238)=0,"Missing","Exist")</f>
        <v>Exist</v>
      </c>
    </row>
    <row r="239" hidden="1" spans="1:24">
      <c r="A239" s="1" t="s">
        <v>1652</v>
      </c>
      <c r="B239" s="1" t="s">
        <v>90</v>
      </c>
      <c r="C239" s="1" t="s">
        <v>2731</v>
      </c>
      <c r="D239" s="7" t="s">
        <v>2727</v>
      </c>
      <c r="E239" s="1" t="s">
        <v>781</v>
      </c>
      <c r="F239" s="1" t="s">
        <v>2732</v>
      </c>
      <c r="G239" s="1">
        <v>1</v>
      </c>
      <c r="H239" s="1" t="s">
        <v>1663</v>
      </c>
      <c r="I239" s="1" t="s">
        <v>1657</v>
      </c>
      <c r="J239" s="1" t="s">
        <v>1658</v>
      </c>
      <c r="K239" s="1" t="s">
        <v>1658</v>
      </c>
      <c r="L239" s="1" t="s">
        <v>1658</v>
      </c>
      <c r="M239" s="1" t="s">
        <v>1658</v>
      </c>
      <c r="N239" s="1" t="s">
        <v>1658</v>
      </c>
      <c r="O239" s="1" t="s">
        <v>1658</v>
      </c>
      <c r="P239" s="1">
        <v>1</v>
      </c>
      <c r="Q239" s="1" t="s">
        <v>1658</v>
      </c>
      <c r="R239" s="1">
        <v>0</v>
      </c>
      <c r="S239" s="1" t="s">
        <v>2733</v>
      </c>
      <c r="T239" s="6" t="s">
        <v>2733</v>
      </c>
      <c r="U239" s="1" t="str">
        <f t="shared" si="3"/>
        <v>Yes</v>
      </c>
      <c r="W239" s="1" t="s">
        <v>2734</v>
      </c>
      <c r="X239" s="1" t="str">
        <f>IF(COUNTIF('MyWells Drilling Comp'!F:F,E239)=0,"Missing","Exist")</f>
        <v>Exist</v>
      </c>
    </row>
    <row r="240" hidden="1" spans="1:24">
      <c r="A240" s="1" t="s">
        <v>1652</v>
      </c>
      <c r="B240" s="1" t="s">
        <v>90</v>
      </c>
      <c r="C240" s="1" t="s">
        <v>2735</v>
      </c>
      <c r="D240" s="1" t="s">
        <v>2736</v>
      </c>
      <c r="E240" s="1" t="s">
        <v>1382</v>
      </c>
      <c r="F240" s="1" t="s">
        <v>2737</v>
      </c>
      <c r="G240" s="1">
        <v>1</v>
      </c>
      <c r="H240" s="1" t="s">
        <v>1663</v>
      </c>
      <c r="I240" s="1" t="s">
        <v>1657</v>
      </c>
      <c r="J240" s="1" t="s">
        <v>1658</v>
      </c>
      <c r="K240" s="1" t="s">
        <v>1658</v>
      </c>
      <c r="L240" s="1" t="s">
        <v>1658</v>
      </c>
      <c r="M240" s="1" t="s">
        <v>1658</v>
      </c>
      <c r="N240" s="1" t="s">
        <v>1658</v>
      </c>
      <c r="O240" s="1" t="s">
        <v>1658</v>
      </c>
      <c r="P240" s="1">
        <v>1</v>
      </c>
      <c r="Q240" s="1" t="s">
        <v>1658</v>
      </c>
      <c r="R240" s="1">
        <v>0</v>
      </c>
      <c r="S240" s="1" t="s">
        <v>2738</v>
      </c>
      <c r="T240" s="6"/>
      <c r="U240" s="1" t="str">
        <f t="shared" si="3"/>
        <v>No</v>
      </c>
      <c r="W240" s="1" t="s">
        <v>2739</v>
      </c>
      <c r="X240" s="1" t="str">
        <f>IF(COUNTIF('MyWells Drilling Comp'!F:F,E240)=0,"Missing","Exist")</f>
        <v>Exist</v>
      </c>
    </row>
    <row r="241" hidden="1" spans="1:24">
      <c r="A241" s="1" t="s">
        <v>1652</v>
      </c>
      <c r="B241" s="1" t="s">
        <v>90</v>
      </c>
      <c r="C241" s="1" t="s">
        <v>2740</v>
      </c>
      <c r="D241" s="1" t="s">
        <v>2736</v>
      </c>
      <c r="E241" s="1" t="s">
        <v>1382</v>
      </c>
      <c r="F241" s="1" t="s">
        <v>2741</v>
      </c>
      <c r="G241" s="1">
        <v>1</v>
      </c>
      <c r="H241" s="1" t="s">
        <v>1656</v>
      </c>
      <c r="I241" s="1" t="s">
        <v>1657</v>
      </c>
      <c r="J241" s="1" t="s">
        <v>1658</v>
      </c>
      <c r="K241" s="1" t="s">
        <v>1658</v>
      </c>
      <c r="L241" s="1" t="s">
        <v>1658</v>
      </c>
      <c r="M241" s="1" t="s">
        <v>1658</v>
      </c>
      <c r="N241" s="1" t="s">
        <v>1658</v>
      </c>
      <c r="O241" s="1" t="s">
        <v>1658</v>
      </c>
      <c r="P241" s="1">
        <v>1</v>
      </c>
      <c r="Q241" s="1" t="s">
        <v>1658</v>
      </c>
      <c r="R241" s="1">
        <v>0</v>
      </c>
      <c r="S241" s="1" t="s">
        <v>2742</v>
      </c>
      <c r="T241" s="6"/>
      <c r="U241" s="1" t="str">
        <f t="shared" si="3"/>
        <v>No</v>
      </c>
      <c r="W241" s="1" t="s">
        <v>2743</v>
      </c>
      <c r="X241" s="1" t="str">
        <f>IF(COUNTIF('MyWells Drilling Comp'!F:F,E241)=0,"Missing","Exist")</f>
        <v>Exist</v>
      </c>
    </row>
    <row r="242" hidden="1" spans="1:24">
      <c r="A242" s="1" t="s">
        <v>1652</v>
      </c>
      <c r="B242" s="1" t="s">
        <v>90</v>
      </c>
      <c r="C242" s="1" t="s">
        <v>2744</v>
      </c>
      <c r="D242" s="1" t="s">
        <v>2745</v>
      </c>
      <c r="E242" s="1" t="s">
        <v>532</v>
      </c>
      <c r="F242" s="1" t="s">
        <v>2746</v>
      </c>
      <c r="G242" s="1">
        <v>1</v>
      </c>
      <c r="H242" s="1" t="s">
        <v>1663</v>
      </c>
      <c r="I242" s="1" t="s">
        <v>1657</v>
      </c>
      <c r="J242" s="1" t="s">
        <v>1658</v>
      </c>
      <c r="K242" s="1" t="s">
        <v>1658</v>
      </c>
      <c r="L242" s="1" t="s">
        <v>1658</v>
      </c>
      <c r="M242" s="1" t="s">
        <v>1658</v>
      </c>
      <c r="N242" s="1" t="s">
        <v>1658</v>
      </c>
      <c r="O242" s="1" t="s">
        <v>1658</v>
      </c>
      <c r="P242" s="1">
        <v>1</v>
      </c>
      <c r="Q242" s="1" t="s">
        <v>1658</v>
      </c>
      <c r="R242" s="1">
        <v>0</v>
      </c>
      <c r="S242" s="1" t="s">
        <v>2747</v>
      </c>
      <c r="T242" s="6"/>
      <c r="U242" s="1" t="str">
        <f t="shared" si="3"/>
        <v>No</v>
      </c>
      <c r="W242" s="1" t="s">
        <v>2748</v>
      </c>
      <c r="X242" s="1" t="str">
        <f>IF(COUNTIF('MyWells Drilling Comp'!F:F,E242)=0,"Missing","Exist")</f>
        <v>Exist</v>
      </c>
    </row>
    <row r="243" hidden="1" spans="1:24">
      <c r="A243" s="1" t="s">
        <v>1652</v>
      </c>
      <c r="B243" s="1" t="s">
        <v>90</v>
      </c>
      <c r="C243" s="1" t="s">
        <v>2749</v>
      </c>
      <c r="D243" s="1" t="s">
        <v>2745</v>
      </c>
      <c r="E243" s="1" t="s">
        <v>532</v>
      </c>
      <c r="F243" s="1" t="s">
        <v>2750</v>
      </c>
      <c r="G243" s="1">
        <v>1</v>
      </c>
      <c r="H243" s="1" t="s">
        <v>1656</v>
      </c>
      <c r="I243" s="1" t="s">
        <v>1657</v>
      </c>
      <c r="J243" s="1" t="s">
        <v>1658</v>
      </c>
      <c r="K243" s="1" t="s">
        <v>1658</v>
      </c>
      <c r="L243" s="1" t="s">
        <v>1658</v>
      </c>
      <c r="M243" s="1" t="s">
        <v>1658</v>
      </c>
      <c r="N243" s="1" t="s">
        <v>1658</v>
      </c>
      <c r="O243" s="1" t="s">
        <v>1658</v>
      </c>
      <c r="P243" s="1">
        <v>1</v>
      </c>
      <c r="Q243" s="1" t="s">
        <v>1658</v>
      </c>
      <c r="R243" s="1">
        <v>0</v>
      </c>
      <c r="S243" s="1" t="s">
        <v>2751</v>
      </c>
      <c r="T243" s="6" t="s">
        <v>2751</v>
      </c>
      <c r="U243" s="1" t="str">
        <f t="shared" si="3"/>
        <v>Yes</v>
      </c>
      <c r="W243" s="1" t="s">
        <v>2752</v>
      </c>
      <c r="X243" s="1" t="str">
        <f>IF(COUNTIF('MyWells Drilling Comp'!F:F,E243)=0,"Missing","Exist")</f>
        <v>Exist</v>
      </c>
    </row>
    <row r="244" hidden="1" spans="1:24">
      <c r="A244" s="1" t="s">
        <v>1652</v>
      </c>
      <c r="B244" s="1" t="s">
        <v>90</v>
      </c>
      <c r="C244" s="1" t="s">
        <v>2753</v>
      </c>
      <c r="D244" s="1" t="s">
        <v>2754</v>
      </c>
      <c r="E244" s="1" t="s">
        <v>1594</v>
      </c>
      <c r="F244" s="1" t="s">
        <v>2755</v>
      </c>
      <c r="G244" s="1">
        <v>1</v>
      </c>
      <c r="H244" s="1" t="s">
        <v>1656</v>
      </c>
      <c r="I244" s="1" t="s">
        <v>1657</v>
      </c>
      <c r="J244" s="1" t="s">
        <v>1658</v>
      </c>
      <c r="K244" s="1" t="s">
        <v>1658</v>
      </c>
      <c r="L244" s="1" t="s">
        <v>1658</v>
      </c>
      <c r="M244" s="1" t="s">
        <v>1658</v>
      </c>
      <c r="N244" s="1" t="s">
        <v>1658</v>
      </c>
      <c r="O244" s="1" t="s">
        <v>1658</v>
      </c>
      <c r="P244" s="1">
        <v>1</v>
      </c>
      <c r="Q244" s="1" t="s">
        <v>1658</v>
      </c>
      <c r="R244" s="1">
        <v>0</v>
      </c>
      <c r="S244" s="1" t="s">
        <v>2756</v>
      </c>
      <c r="T244" s="6" t="s">
        <v>2757</v>
      </c>
      <c r="U244" s="1" t="str">
        <f t="shared" si="3"/>
        <v>No</v>
      </c>
      <c r="W244" s="1" t="s">
        <v>2758</v>
      </c>
      <c r="X244" s="1" t="str">
        <f>IF(COUNTIF('MyWells Drilling Comp'!F:F,E244)=0,"Missing","Exist")</f>
        <v>Exist</v>
      </c>
    </row>
    <row r="245" hidden="1" spans="1:24">
      <c r="A245" s="1" t="s">
        <v>1652</v>
      </c>
      <c r="B245" s="1" t="s">
        <v>90</v>
      </c>
      <c r="C245" s="1" t="s">
        <v>2759</v>
      </c>
      <c r="D245" s="1" t="s">
        <v>2754</v>
      </c>
      <c r="E245" s="1" t="s">
        <v>1594</v>
      </c>
      <c r="F245" s="1" t="s">
        <v>2760</v>
      </c>
      <c r="G245" s="1">
        <v>1</v>
      </c>
      <c r="H245" s="1" t="s">
        <v>1663</v>
      </c>
      <c r="I245" s="1" t="s">
        <v>1657</v>
      </c>
      <c r="J245" s="1" t="s">
        <v>1658</v>
      </c>
      <c r="K245" s="1" t="s">
        <v>1658</v>
      </c>
      <c r="L245" s="1" t="s">
        <v>1658</v>
      </c>
      <c r="M245" s="1" t="s">
        <v>1658</v>
      </c>
      <c r="N245" s="1" t="s">
        <v>1658</v>
      </c>
      <c r="O245" s="1" t="s">
        <v>1658</v>
      </c>
      <c r="P245" s="1">
        <v>1</v>
      </c>
      <c r="Q245" s="1" t="s">
        <v>1658</v>
      </c>
      <c r="R245" s="1">
        <v>0</v>
      </c>
      <c r="S245" s="1" t="s">
        <v>2761</v>
      </c>
      <c r="T245" s="6" t="s">
        <v>2761</v>
      </c>
      <c r="U245" s="1" t="str">
        <f t="shared" si="3"/>
        <v>Yes</v>
      </c>
      <c r="W245" s="1" t="s">
        <v>2762</v>
      </c>
      <c r="X245" s="1" t="str">
        <f>IF(COUNTIF('MyWells Drilling Comp'!F:F,E245)=0,"Missing","Exist")</f>
        <v>Exist</v>
      </c>
    </row>
    <row r="246" hidden="1" spans="1:24">
      <c r="A246" s="1" t="s">
        <v>1652</v>
      </c>
      <c r="B246" s="1" t="s">
        <v>90</v>
      </c>
      <c r="C246" s="1" t="s">
        <v>2763</v>
      </c>
      <c r="D246" s="1" t="s">
        <v>2764</v>
      </c>
      <c r="E246" s="1" t="s">
        <v>1541</v>
      </c>
      <c r="F246" s="1" t="s">
        <v>2765</v>
      </c>
      <c r="G246" s="1">
        <v>1</v>
      </c>
      <c r="H246" s="1" t="s">
        <v>1663</v>
      </c>
      <c r="I246" s="1" t="s">
        <v>1657</v>
      </c>
      <c r="J246" s="1" t="s">
        <v>1658</v>
      </c>
      <c r="K246" s="1" t="s">
        <v>1658</v>
      </c>
      <c r="L246" s="1" t="s">
        <v>1658</v>
      </c>
      <c r="M246" s="1" t="s">
        <v>1658</v>
      </c>
      <c r="N246" s="1" t="s">
        <v>1658</v>
      </c>
      <c r="O246" s="1" t="s">
        <v>1658</v>
      </c>
      <c r="P246" s="1">
        <v>1</v>
      </c>
      <c r="Q246" s="1" t="s">
        <v>1658</v>
      </c>
      <c r="R246" s="1">
        <v>0</v>
      </c>
      <c r="S246" s="1" t="s">
        <v>2766</v>
      </c>
      <c r="T246" s="6" t="s">
        <v>2766</v>
      </c>
      <c r="U246" s="1" t="str">
        <f t="shared" si="3"/>
        <v>Yes</v>
      </c>
      <c r="W246" s="1" t="s">
        <v>2767</v>
      </c>
      <c r="X246" s="1" t="str">
        <f>IF(COUNTIF('MyWells Drilling Comp'!F:F,E246)=0,"Missing","Exist")</f>
        <v>Exist</v>
      </c>
    </row>
    <row r="247" hidden="1" spans="1:24">
      <c r="A247" s="1" t="s">
        <v>1652</v>
      </c>
      <c r="B247" s="1" t="s">
        <v>90</v>
      </c>
      <c r="C247" s="1" t="s">
        <v>2768</v>
      </c>
      <c r="D247" s="1" t="s">
        <v>2764</v>
      </c>
      <c r="E247" s="1" t="s">
        <v>1541</v>
      </c>
      <c r="F247" s="1" t="s">
        <v>2769</v>
      </c>
      <c r="G247" s="1">
        <v>1</v>
      </c>
      <c r="H247" s="1" t="s">
        <v>1656</v>
      </c>
      <c r="I247" s="1" t="s">
        <v>1657</v>
      </c>
      <c r="J247" s="1" t="s">
        <v>1658</v>
      </c>
      <c r="K247" s="1" t="s">
        <v>1658</v>
      </c>
      <c r="L247" s="1" t="s">
        <v>1658</v>
      </c>
      <c r="M247" s="1" t="s">
        <v>1658</v>
      </c>
      <c r="N247" s="1" t="s">
        <v>1658</v>
      </c>
      <c r="O247" s="1" t="s">
        <v>1658</v>
      </c>
      <c r="P247" s="1">
        <v>1</v>
      </c>
      <c r="Q247" s="1" t="s">
        <v>1658</v>
      </c>
      <c r="R247" s="1">
        <v>0</v>
      </c>
      <c r="S247" s="1" t="s">
        <v>2770</v>
      </c>
      <c r="T247" s="6" t="s">
        <v>2770</v>
      </c>
      <c r="U247" s="1" t="str">
        <f t="shared" si="3"/>
        <v>Yes</v>
      </c>
      <c r="W247" s="1" t="s">
        <v>2771</v>
      </c>
      <c r="X247" s="1" t="str">
        <f>IF(COUNTIF('MyWells Drilling Comp'!F:F,E247)=0,"Missing","Exist")</f>
        <v>Exist</v>
      </c>
    </row>
    <row r="248" hidden="1" spans="1:24">
      <c r="A248" s="1" t="s">
        <v>1652</v>
      </c>
      <c r="B248" s="1" t="s">
        <v>90</v>
      </c>
      <c r="C248" s="1" t="s">
        <v>2772</v>
      </c>
      <c r="D248" s="1" t="s">
        <v>2773</v>
      </c>
      <c r="E248" s="1" t="s">
        <v>1364</v>
      </c>
      <c r="F248" s="1" t="s">
        <v>2774</v>
      </c>
      <c r="G248" s="1">
        <v>1</v>
      </c>
      <c r="H248" s="1" t="s">
        <v>1656</v>
      </c>
      <c r="I248" s="1" t="s">
        <v>1657</v>
      </c>
      <c r="J248" s="1" t="s">
        <v>1658</v>
      </c>
      <c r="K248" s="1" t="s">
        <v>1658</v>
      </c>
      <c r="L248" s="1" t="s">
        <v>1658</v>
      </c>
      <c r="M248" s="1" t="s">
        <v>1658</v>
      </c>
      <c r="N248" s="1" t="s">
        <v>1658</v>
      </c>
      <c r="O248" s="1" t="s">
        <v>1658</v>
      </c>
      <c r="P248" s="1">
        <v>1</v>
      </c>
      <c r="Q248" s="1" t="s">
        <v>1658</v>
      </c>
      <c r="R248" s="1">
        <v>0</v>
      </c>
      <c r="S248" s="1" t="s">
        <v>2775</v>
      </c>
      <c r="T248" s="6"/>
      <c r="U248" s="1" t="str">
        <f t="shared" si="3"/>
        <v>No</v>
      </c>
      <c r="W248" s="1" t="s">
        <v>2776</v>
      </c>
      <c r="X248" s="1" t="str">
        <f>IF(COUNTIF('MyWells Drilling Comp'!F:F,E248)=0,"Missing","Exist")</f>
        <v>Exist</v>
      </c>
    </row>
    <row r="249" hidden="1" spans="1:24">
      <c r="A249" s="1" t="s">
        <v>1652</v>
      </c>
      <c r="B249" s="1" t="s">
        <v>90</v>
      </c>
      <c r="C249" s="1" t="s">
        <v>2777</v>
      </c>
      <c r="D249" s="1" t="s">
        <v>2773</v>
      </c>
      <c r="E249" s="1" t="s">
        <v>1364</v>
      </c>
      <c r="F249" s="1" t="s">
        <v>2778</v>
      </c>
      <c r="G249" s="1">
        <v>1</v>
      </c>
      <c r="H249" s="1" t="s">
        <v>1663</v>
      </c>
      <c r="I249" s="1" t="s">
        <v>1657</v>
      </c>
      <c r="J249" s="1" t="s">
        <v>1658</v>
      </c>
      <c r="K249" s="1" t="s">
        <v>1658</v>
      </c>
      <c r="L249" s="1" t="s">
        <v>1658</v>
      </c>
      <c r="M249" s="1" t="s">
        <v>1658</v>
      </c>
      <c r="N249" s="1" t="s">
        <v>1658</v>
      </c>
      <c r="O249" s="1" t="s">
        <v>1658</v>
      </c>
      <c r="P249" s="1">
        <v>1</v>
      </c>
      <c r="Q249" s="1" t="s">
        <v>1658</v>
      </c>
      <c r="R249" s="1">
        <v>0</v>
      </c>
      <c r="S249" s="1" t="s">
        <v>2779</v>
      </c>
      <c r="T249" s="6"/>
      <c r="U249" s="1" t="str">
        <f t="shared" si="3"/>
        <v>No</v>
      </c>
      <c r="W249" s="1" t="s">
        <v>2780</v>
      </c>
      <c r="X249" s="1" t="str">
        <f>IF(COUNTIF('MyWells Drilling Comp'!F:F,E249)=0,"Missing","Exist")</f>
        <v>Exist</v>
      </c>
    </row>
    <row r="250" hidden="1" spans="1:24">
      <c r="A250" s="1" t="s">
        <v>1652</v>
      </c>
      <c r="B250" s="1" t="s">
        <v>90</v>
      </c>
      <c r="C250" s="1" t="s">
        <v>2781</v>
      </c>
      <c r="D250" s="1" t="s">
        <v>2782</v>
      </c>
      <c r="E250" s="1" t="s">
        <v>508</v>
      </c>
      <c r="F250" s="1" t="s">
        <v>2783</v>
      </c>
      <c r="G250" s="1">
        <v>1</v>
      </c>
      <c r="H250" s="1" t="s">
        <v>1663</v>
      </c>
      <c r="I250" s="1" t="s">
        <v>1657</v>
      </c>
      <c r="J250" s="1" t="s">
        <v>1658</v>
      </c>
      <c r="K250" s="1" t="s">
        <v>1658</v>
      </c>
      <c r="L250" s="1" t="s">
        <v>1658</v>
      </c>
      <c r="M250" s="1" t="s">
        <v>1658</v>
      </c>
      <c r="N250" s="1" t="s">
        <v>1658</v>
      </c>
      <c r="O250" s="1" t="s">
        <v>1658</v>
      </c>
      <c r="P250" s="1">
        <v>1</v>
      </c>
      <c r="Q250" s="1" t="s">
        <v>1658</v>
      </c>
      <c r="R250" s="1">
        <v>0</v>
      </c>
      <c r="S250" s="1" t="s">
        <v>2784</v>
      </c>
      <c r="T250" s="6"/>
      <c r="U250" s="1" t="str">
        <f t="shared" si="3"/>
        <v>No</v>
      </c>
      <c r="W250" s="1" t="s">
        <v>2785</v>
      </c>
      <c r="X250" s="1" t="str">
        <f>IF(COUNTIF('MyWells Drilling Comp'!F:F,E250)=0,"Missing","Exist")</f>
        <v>Exist</v>
      </c>
    </row>
    <row r="251" hidden="1" spans="1:24">
      <c r="A251" s="1" t="s">
        <v>1652</v>
      </c>
      <c r="B251" s="1" t="s">
        <v>90</v>
      </c>
      <c r="C251" s="1" t="s">
        <v>2786</v>
      </c>
      <c r="D251" s="1" t="s">
        <v>2782</v>
      </c>
      <c r="E251" s="1" t="s">
        <v>508</v>
      </c>
      <c r="F251" s="1" t="s">
        <v>2787</v>
      </c>
      <c r="G251" s="1">
        <v>1</v>
      </c>
      <c r="H251" s="1" t="s">
        <v>1656</v>
      </c>
      <c r="I251" s="1" t="s">
        <v>1657</v>
      </c>
      <c r="J251" s="1" t="s">
        <v>1658</v>
      </c>
      <c r="K251" s="1" t="s">
        <v>1658</v>
      </c>
      <c r="L251" s="1" t="s">
        <v>1658</v>
      </c>
      <c r="M251" s="1" t="s">
        <v>1658</v>
      </c>
      <c r="N251" s="1" t="s">
        <v>1658</v>
      </c>
      <c r="O251" s="1" t="s">
        <v>1658</v>
      </c>
      <c r="P251" s="1">
        <v>1</v>
      </c>
      <c r="Q251" s="1" t="s">
        <v>1658</v>
      </c>
      <c r="R251" s="1">
        <v>0</v>
      </c>
      <c r="S251" s="1" t="s">
        <v>2788</v>
      </c>
      <c r="T251" s="6"/>
      <c r="U251" s="1" t="str">
        <f t="shared" si="3"/>
        <v>No</v>
      </c>
      <c r="W251" s="1" t="s">
        <v>2789</v>
      </c>
      <c r="X251" s="1" t="str">
        <f>IF(COUNTIF('MyWells Drilling Comp'!F:F,E251)=0,"Missing","Exist")</f>
        <v>Exist</v>
      </c>
    </row>
    <row r="252" hidden="1" spans="1:24">
      <c r="A252" s="1" t="s">
        <v>1652</v>
      </c>
      <c r="B252" s="1" t="s">
        <v>90</v>
      </c>
      <c r="C252" s="1" t="s">
        <v>2790</v>
      </c>
      <c r="D252" s="1" t="s">
        <v>2791</v>
      </c>
      <c r="E252" s="1" t="s">
        <v>1109</v>
      </c>
      <c r="F252" s="1" t="s">
        <v>2792</v>
      </c>
      <c r="G252" s="1">
        <v>1</v>
      </c>
      <c r="H252" s="1" t="s">
        <v>1656</v>
      </c>
      <c r="I252" s="1" t="s">
        <v>1657</v>
      </c>
      <c r="J252" s="1" t="s">
        <v>1658</v>
      </c>
      <c r="K252" s="1" t="s">
        <v>1658</v>
      </c>
      <c r="L252" s="1" t="s">
        <v>1658</v>
      </c>
      <c r="M252" s="1" t="s">
        <v>1658</v>
      </c>
      <c r="N252" s="1" t="s">
        <v>1658</v>
      </c>
      <c r="O252" s="1" t="s">
        <v>1658</v>
      </c>
      <c r="P252" s="1">
        <v>1</v>
      </c>
      <c r="Q252" s="1" t="s">
        <v>1658</v>
      </c>
      <c r="R252" s="1">
        <v>0</v>
      </c>
      <c r="S252" s="1" t="s">
        <v>2793</v>
      </c>
      <c r="T252" s="6" t="s">
        <v>2793</v>
      </c>
      <c r="U252" s="1" t="str">
        <f t="shared" si="3"/>
        <v>Yes</v>
      </c>
      <c r="W252" s="1" t="s">
        <v>2794</v>
      </c>
      <c r="X252" s="1" t="str">
        <f>IF(COUNTIF('MyWells Drilling Comp'!F:F,E252)=0,"Missing","Exist")</f>
        <v>Exist</v>
      </c>
    </row>
    <row r="253" hidden="1" spans="1:24">
      <c r="A253" s="1" t="s">
        <v>1652</v>
      </c>
      <c r="B253" s="1" t="s">
        <v>90</v>
      </c>
      <c r="C253" s="1" t="s">
        <v>2795</v>
      </c>
      <c r="D253" s="1" t="s">
        <v>2791</v>
      </c>
      <c r="E253" s="1" t="s">
        <v>1109</v>
      </c>
      <c r="F253" s="1" t="s">
        <v>2796</v>
      </c>
      <c r="G253" s="1">
        <v>1</v>
      </c>
      <c r="H253" s="1" t="s">
        <v>1663</v>
      </c>
      <c r="I253" s="1" t="s">
        <v>1657</v>
      </c>
      <c r="J253" s="1" t="s">
        <v>1658</v>
      </c>
      <c r="K253" s="1" t="s">
        <v>1658</v>
      </c>
      <c r="L253" s="1" t="s">
        <v>1658</v>
      </c>
      <c r="M253" s="1" t="s">
        <v>1658</v>
      </c>
      <c r="N253" s="1" t="s">
        <v>1658</v>
      </c>
      <c r="O253" s="1" t="s">
        <v>1658</v>
      </c>
      <c r="P253" s="1">
        <v>1</v>
      </c>
      <c r="Q253" s="1" t="s">
        <v>1658</v>
      </c>
      <c r="R253" s="1">
        <v>0</v>
      </c>
      <c r="S253" s="1" t="s">
        <v>2797</v>
      </c>
      <c r="T253" s="6" t="s">
        <v>2797</v>
      </c>
      <c r="U253" s="1" t="str">
        <f t="shared" si="3"/>
        <v>Yes</v>
      </c>
      <c r="W253" s="1" t="s">
        <v>2798</v>
      </c>
      <c r="X253" s="1" t="str">
        <f>IF(COUNTIF('MyWells Drilling Comp'!F:F,E253)=0,"Missing","Exist")</f>
        <v>Exist</v>
      </c>
    </row>
    <row r="254" hidden="1" spans="1:24">
      <c r="A254" s="1" t="s">
        <v>1652</v>
      </c>
      <c r="B254" s="1" t="s">
        <v>90</v>
      </c>
      <c r="C254" s="1" t="s">
        <v>2799</v>
      </c>
      <c r="D254" s="1" t="s">
        <v>2800</v>
      </c>
      <c r="E254" s="1" t="s">
        <v>973</v>
      </c>
      <c r="F254" s="1" t="s">
        <v>2801</v>
      </c>
      <c r="G254" s="1">
        <v>1</v>
      </c>
      <c r="H254" s="1" t="s">
        <v>1656</v>
      </c>
      <c r="I254" s="1" t="s">
        <v>1657</v>
      </c>
      <c r="J254" s="1" t="s">
        <v>1658</v>
      </c>
      <c r="K254" s="1" t="s">
        <v>1658</v>
      </c>
      <c r="L254" s="1" t="s">
        <v>1658</v>
      </c>
      <c r="M254" s="1" t="s">
        <v>1658</v>
      </c>
      <c r="N254" s="1" t="s">
        <v>1658</v>
      </c>
      <c r="O254" s="1" t="s">
        <v>1658</v>
      </c>
      <c r="P254" s="1">
        <v>1</v>
      </c>
      <c r="Q254" s="1" t="s">
        <v>1658</v>
      </c>
      <c r="R254" s="1">
        <v>0</v>
      </c>
      <c r="S254" s="1" t="s">
        <v>2802</v>
      </c>
      <c r="T254" s="6"/>
      <c r="U254" s="1" t="str">
        <f t="shared" si="3"/>
        <v>No</v>
      </c>
      <c r="W254" s="1" t="s">
        <v>2803</v>
      </c>
      <c r="X254" s="1" t="str">
        <f>IF(COUNTIF('MyWells Drilling Comp'!F:F,E254)=0,"Missing","Exist")</f>
        <v>Exist</v>
      </c>
    </row>
    <row r="255" hidden="1" spans="1:24">
      <c r="A255" s="1" t="s">
        <v>1652</v>
      </c>
      <c r="B255" s="1" t="s">
        <v>90</v>
      </c>
      <c r="C255" s="1" t="s">
        <v>2804</v>
      </c>
      <c r="D255" s="1" t="s">
        <v>2800</v>
      </c>
      <c r="E255" s="1" t="s">
        <v>973</v>
      </c>
      <c r="F255" s="1" t="s">
        <v>2805</v>
      </c>
      <c r="G255" s="1">
        <v>1</v>
      </c>
      <c r="H255" s="1" t="s">
        <v>1663</v>
      </c>
      <c r="I255" s="1" t="s">
        <v>1657</v>
      </c>
      <c r="J255" s="1" t="s">
        <v>1658</v>
      </c>
      <c r="K255" s="1" t="s">
        <v>1658</v>
      </c>
      <c r="L255" s="1" t="s">
        <v>1658</v>
      </c>
      <c r="M255" s="1" t="s">
        <v>1658</v>
      </c>
      <c r="N255" s="1" t="s">
        <v>1658</v>
      </c>
      <c r="O255" s="1" t="s">
        <v>1658</v>
      </c>
      <c r="P255" s="1">
        <v>1</v>
      </c>
      <c r="Q255" s="1" t="s">
        <v>1658</v>
      </c>
      <c r="R255" s="1">
        <v>0</v>
      </c>
      <c r="S255" s="1" t="s">
        <v>2806</v>
      </c>
      <c r="T255" s="6"/>
      <c r="U255" s="1" t="str">
        <f t="shared" si="3"/>
        <v>No</v>
      </c>
      <c r="W255" s="1" t="s">
        <v>2807</v>
      </c>
      <c r="X255" s="1" t="str">
        <f>IF(COUNTIF('MyWells Drilling Comp'!F:F,E255)=0,"Missing","Exist")</f>
        <v>Exist</v>
      </c>
    </row>
    <row r="256" hidden="1" spans="1:24">
      <c r="A256" s="1" t="s">
        <v>1652</v>
      </c>
      <c r="B256" s="1" t="s">
        <v>90</v>
      </c>
      <c r="C256" s="1" t="s">
        <v>2808</v>
      </c>
      <c r="D256" s="1" t="s">
        <v>2809</v>
      </c>
      <c r="E256" s="1" t="s">
        <v>851</v>
      </c>
      <c r="F256" s="1" t="s">
        <v>2810</v>
      </c>
      <c r="G256" s="1">
        <v>1</v>
      </c>
      <c r="H256" s="1" t="s">
        <v>1663</v>
      </c>
      <c r="I256" s="1" t="s">
        <v>1657</v>
      </c>
      <c r="J256" s="1" t="s">
        <v>1658</v>
      </c>
      <c r="K256" s="1" t="s">
        <v>1658</v>
      </c>
      <c r="L256" s="1" t="s">
        <v>1658</v>
      </c>
      <c r="M256" s="1" t="s">
        <v>1658</v>
      </c>
      <c r="N256" s="1" t="s">
        <v>1658</v>
      </c>
      <c r="O256" s="1" t="s">
        <v>1658</v>
      </c>
      <c r="P256" s="1">
        <v>1</v>
      </c>
      <c r="Q256" s="1" t="s">
        <v>1658</v>
      </c>
      <c r="R256" s="1">
        <v>0</v>
      </c>
      <c r="S256" s="1" t="s">
        <v>2811</v>
      </c>
      <c r="T256" s="6"/>
      <c r="U256" s="1" t="str">
        <f t="shared" si="3"/>
        <v>No</v>
      </c>
      <c r="W256" s="1" t="s">
        <v>2812</v>
      </c>
      <c r="X256" s="1" t="str">
        <f>IF(COUNTIF('MyWells Drilling Comp'!F:F,E256)=0,"Missing","Exist")</f>
        <v>Exist</v>
      </c>
    </row>
    <row r="257" hidden="1" spans="1:24">
      <c r="A257" s="1" t="s">
        <v>1652</v>
      </c>
      <c r="B257" s="1" t="s">
        <v>90</v>
      </c>
      <c r="C257" s="7" t="s">
        <v>2813</v>
      </c>
      <c r="D257" s="1" t="s">
        <v>2809</v>
      </c>
      <c r="E257" s="1" t="s">
        <v>851</v>
      </c>
      <c r="F257" s="1" t="s">
        <v>2814</v>
      </c>
      <c r="G257" s="1">
        <v>1</v>
      </c>
      <c r="H257" s="1" t="s">
        <v>1656</v>
      </c>
      <c r="I257" s="1" t="s">
        <v>1657</v>
      </c>
      <c r="J257" s="1" t="s">
        <v>1658</v>
      </c>
      <c r="K257" s="1" t="s">
        <v>1658</v>
      </c>
      <c r="L257" s="1" t="s">
        <v>1658</v>
      </c>
      <c r="M257" s="1" t="s">
        <v>1658</v>
      </c>
      <c r="N257" s="1" t="s">
        <v>1658</v>
      </c>
      <c r="O257" s="1" t="s">
        <v>1658</v>
      </c>
      <c r="P257" s="1">
        <v>1</v>
      </c>
      <c r="Q257" s="1" t="s">
        <v>1658</v>
      </c>
      <c r="R257" s="1">
        <v>0</v>
      </c>
      <c r="S257" s="1" t="s">
        <v>2815</v>
      </c>
      <c r="T257" s="6" t="s">
        <v>2815</v>
      </c>
      <c r="U257" s="1" t="str">
        <f t="shared" si="3"/>
        <v>Yes</v>
      </c>
      <c r="W257" s="1" t="s">
        <v>2816</v>
      </c>
      <c r="X257" s="1" t="str">
        <f>IF(COUNTIF('MyWells Drilling Comp'!F:F,E257)=0,"Missing","Exist")</f>
        <v>Exist</v>
      </c>
    </row>
    <row r="258" hidden="1" spans="1:24">
      <c r="A258" s="1" t="s">
        <v>1652</v>
      </c>
      <c r="B258" s="1" t="s">
        <v>90</v>
      </c>
      <c r="C258" s="1" t="s">
        <v>2817</v>
      </c>
      <c r="D258" s="1" t="s">
        <v>2818</v>
      </c>
      <c r="E258" s="1" t="s">
        <v>1038</v>
      </c>
      <c r="F258" s="1" t="s">
        <v>2819</v>
      </c>
      <c r="G258" s="1">
        <v>1</v>
      </c>
      <c r="H258" s="1" t="s">
        <v>1656</v>
      </c>
      <c r="I258" s="1" t="s">
        <v>1657</v>
      </c>
      <c r="J258" s="1" t="s">
        <v>1658</v>
      </c>
      <c r="K258" s="1" t="s">
        <v>1658</v>
      </c>
      <c r="L258" s="1" t="s">
        <v>1658</v>
      </c>
      <c r="M258" s="1" t="s">
        <v>1658</v>
      </c>
      <c r="N258" s="1" t="s">
        <v>1658</v>
      </c>
      <c r="O258" s="1" t="s">
        <v>1658</v>
      </c>
      <c r="P258" s="1">
        <v>1</v>
      </c>
      <c r="Q258" s="1" t="s">
        <v>1658</v>
      </c>
      <c r="R258" s="1">
        <v>0</v>
      </c>
      <c r="S258" s="1" t="s">
        <v>2820</v>
      </c>
      <c r="T258" s="6" t="s">
        <v>2820</v>
      </c>
      <c r="U258" s="1" t="str">
        <f t="shared" ref="U258:U321" si="4">IF(S258=T258,"Yes","No")</f>
        <v>Yes</v>
      </c>
      <c r="W258" s="1" t="s">
        <v>2821</v>
      </c>
      <c r="X258" s="1" t="str">
        <f>IF(COUNTIF('MyWells Drilling Comp'!F:F,E258)=0,"Missing","Exist")</f>
        <v>Exist</v>
      </c>
    </row>
    <row r="259" hidden="1" spans="1:24">
      <c r="A259" s="1" t="s">
        <v>1652</v>
      </c>
      <c r="B259" s="1" t="s">
        <v>90</v>
      </c>
      <c r="C259" s="1" t="s">
        <v>2822</v>
      </c>
      <c r="D259" s="1" t="s">
        <v>2818</v>
      </c>
      <c r="E259" s="1" t="s">
        <v>1038</v>
      </c>
      <c r="F259" s="1" t="s">
        <v>2823</v>
      </c>
      <c r="G259" s="1">
        <v>1</v>
      </c>
      <c r="H259" s="1" t="s">
        <v>1663</v>
      </c>
      <c r="I259" s="1" t="s">
        <v>1657</v>
      </c>
      <c r="J259" s="1" t="s">
        <v>1658</v>
      </c>
      <c r="K259" s="1" t="s">
        <v>1658</v>
      </c>
      <c r="L259" s="1" t="s">
        <v>1658</v>
      </c>
      <c r="M259" s="1" t="s">
        <v>1658</v>
      </c>
      <c r="N259" s="1" t="s">
        <v>1658</v>
      </c>
      <c r="O259" s="1" t="s">
        <v>1658</v>
      </c>
      <c r="P259" s="1">
        <v>1</v>
      </c>
      <c r="Q259" s="1" t="s">
        <v>1658</v>
      </c>
      <c r="R259" s="1">
        <v>0</v>
      </c>
      <c r="S259" s="1" t="s">
        <v>2824</v>
      </c>
      <c r="T259" s="6" t="s">
        <v>2824</v>
      </c>
      <c r="U259" s="1" t="str">
        <f t="shared" si="4"/>
        <v>Yes</v>
      </c>
      <c r="W259" s="1" t="s">
        <v>2825</v>
      </c>
      <c r="X259" s="1" t="str">
        <f>IF(COUNTIF('MyWells Drilling Comp'!F:F,E259)=0,"Missing","Exist")</f>
        <v>Exist</v>
      </c>
    </row>
    <row r="260" hidden="1" spans="1:24">
      <c r="A260" s="1" t="s">
        <v>1652</v>
      </c>
      <c r="B260" s="1" t="s">
        <v>90</v>
      </c>
      <c r="C260" s="1" t="s">
        <v>2826</v>
      </c>
      <c r="D260" s="1" t="s">
        <v>2827</v>
      </c>
      <c r="E260" s="1" t="s">
        <v>510</v>
      </c>
      <c r="F260" s="1" t="s">
        <v>2828</v>
      </c>
      <c r="G260" s="1">
        <v>1</v>
      </c>
      <c r="H260" s="1" t="s">
        <v>1663</v>
      </c>
      <c r="I260" s="1" t="s">
        <v>1657</v>
      </c>
      <c r="J260" s="1" t="s">
        <v>1658</v>
      </c>
      <c r="K260" s="1" t="s">
        <v>1658</v>
      </c>
      <c r="L260" s="1" t="s">
        <v>1658</v>
      </c>
      <c r="M260" s="1" t="s">
        <v>1658</v>
      </c>
      <c r="N260" s="1" t="s">
        <v>1658</v>
      </c>
      <c r="O260" s="1" t="s">
        <v>1658</v>
      </c>
      <c r="P260" s="1">
        <v>1</v>
      </c>
      <c r="Q260" s="1" t="s">
        <v>1658</v>
      </c>
      <c r="R260" s="1">
        <v>0</v>
      </c>
      <c r="S260" s="1" t="s">
        <v>2829</v>
      </c>
      <c r="T260" s="6"/>
      <c r="U260" s="1" t="str">
        <f t="shared" si="4"/>
        <v>No</v>
      </c>
      <c r="W260" s="1" t="s">
        <v>2830</v>
      </c>
      <c r="X260" s="1" t="str">
        <f>IF(COUNTIF('MyWells Drilling Comp'!F:F,E260)=0,"Missing","Exist")</f>
        <v>Exist</v>
      </c>
    </row>
    <row r="261" hidden="1" spans="1:24">
      <c r="A261" s="1" t="s">
        <v>1652</v>
      </c>
      <c r="B261" s="1" t="s">
        <v>90</v>
      </c>
      <c r="C261" s="1" t="s">
        <v>2831</v>
      </c>
      <c r="D261" s="1" t="s">
        <v>2827</v>
      </c>
      <c r="E261" s="1" t="s">
        <v>510</v>
      </c>
      <c r="F261" s="1" t="s">
        <v>2832</v>
      </c>
      <c r="G261" s="1">
        <v>1</v>
      </c>
      <c r="H261" s="1" t="s">
        <v>1656</v>
      </c>
      <c r="I261" s="1" t="s">
        <v>1657</v>
      </c>
      <c r="J261" s="1" t="s">
        <v>1658</v>
      </c>
      <c r="K261" s="1" t="s">
        <v>1658</v>
      </c>
      <c r="L261" s="1" t="s">
        <v>1658</v>
      </c>
      <c r="M261" s="1" t="s">
        <v>1658</v>
      </c>
      <c r="N261" s="1" t="s">
        <v>1658</v>
      </c>
      <c r="O261" s="1" t="s">
        <v>1658</v>
      </c>
      <c r="P261" s="1">
        <v>1</v>
      </c>
      <c r="Q261" s="1" t="s">
        <v>1658</v>
      </c>
      <c r="R261" s="1">
        <v>0</v>
      </c>
      <c r="S261" s="1" t="s">
        <v>2833</v>
      </c>
      <c r="T261" s="6"/>
      <c r="U261" s="1" t="str">
        <f t="shared" si="4"/>
        <v>No</v>
      </c>
      <c r="W261" s="1" t="s">
        <v>2834</v>
      </c>
      <c r="X261" s="1" t="str">
        <f>IF(COUNTIF('MyWells Drilling Comp'!F:F,E261)=0,"Missing","Exist")</f>
        <v>Exist</v>
      </c>
    </row>
    <row r="262" hidden="1" spans="1:24">
      <c r="A262" s="1" t="s">
        <v>1652</v>
      </c>
      <c r="B262" s="1" t="s">
        <v>90</v>
      </c>
      <c r="C262" s="1" t="s">
        <v>2835</v>
      </c>
      <c r="D262" s="1" t="s">
        <v>2836</v>
      </c>
      <c r="E262" s="1" t="s">
        <v>864</v>
      </c>
      <c r="F262" s="1" t="s">
        <v>2837</v>
      </c>
      <c r="G262" s="1">
        <v>1</v>
      </c>
      <c r="H262" s="1" t="s">
        <v>1663</v>
      </c>
      <c r="I262" s="1" t="s">
        <v>1657</v>
      </c>
      <c r="J262" s="1" t="s">
        <v>1658</v>
      </c>
      <c r="K262" s="1" t="s">
        <v>1658</v>
      </c>
      <c r="L262" s="1" t="s">
        <v>1658</v>
      </c>
      <c r="M262" s="1" t="s">
        <v>1658</v>
      </c>
      <c r="N262" s="1" t="s">
        <v>1658</v>
      </c>
      <c r="O262" s="1" t="s">
        <v>1658</v>
      </c>
      <c r="P262" s="1">
        <v>1</v>
      </c>
      <c r="Q262" s="1" t="s">
        <v>1658</v>
      </c>
      <c r="R262" s="1">
        <v>0</v>
      </c>
      <c r="S262" s="1" t="s">
        <v>2838</v>
      </c>
      <c r="T262" s="6"/>
      <c r="U262" s="1" t="str">
        <f t="shared" si="4"/>
        <v>No</v>
      </c>
      <c r="W262" s="1" t="s">
        <v>2839</v>
      </c>
      <c r="X262" s="1" t="str">
        <f>IF(COUNTIF('MyWells Drilling Comp'!F:F,E262)=0,"Missing","Exist")</f>
        <v>Exist</v>
      </c>
    </row>
    <row r="263" hidden="1" spans="1:24">
      <c r="A263" s="1" t="s">
        <v>1652</v>
      </c>
      <c r="B263" s="1" t="s">
        <v>90</v>
      </c>
      <c r="C263" s="1" t="s">
        <v>2840</v>
      </c>
      <c r="D263" s="1" t="s">
        <v>2836</v>
      </c>
      <c r="E263" s="1" t="s">
        <v>864</v>
      </c>
      <c r="F263" s="1" t="s">
        <v>2841</v>
      </c>
      <c r="G263" s="1">
        <v>1</v>
      </c>
      <c r="H263" s="1" t="s">
        <v>1656</v>
      </c>
      <c r="I263" s="1" t="s">
        <v>1657</v>
      </c>
      <c r="J263" s="1" t="s">
        <v>1658</v>
      </c>
      <c r="K263" s="1" t="s">
        <v>1658</v>
      </c>
      <c r="L263" s="1" t="s">
        <v>1658</v>
      </c>
      <c r="M263" s="1" t="s">
        <v>1658</v>
      </c>
      <c r="N263" s="1" t="s">
        <v>1658</v>
      </c>
      <c r="O263" s="1" t="s">
        <v>1658</v>
      </c>
      <c r="P263" s="1">
        <v>1</v>
      </c>
      <c r="Q263" s="1" t="s">
        <v>1658</v>
      </c>
      <c r="R263" s="1">
        <v>0</v>
      </c>
      <c r="S263" s="1" t="s">
        <v>2842</v>
      </c>
      <c r="T263" s="6" t="s">
        <v>2843</v>
      </c>
      <c r="U263" s="1" t="str">
        <f t="shared" si="4"/>
        <v>No</v>
      </c>
      <c r="W263" s="1" t="s">
        <v>2844</v>
      </c>
      <c r="X263" s="1" t="str">
        <f>IF(COUNTIF('MyWells Drilling Comp'!F:F,E263)=0,"Missing","Exist")</f>
        <v>Exist</v>
      </c>
    </row>
    <row r="264" hidden="1" spans="1:24">
      <c r="A264" s="1" t="s">
        <v>1652</v>
      </c>
      <c r="B264" s="1" t="s">
        <v>90</v>
      </c>
      <c r="C264" s="1" t="s">
        <v>2845</v>
      </c>
      <c r="D264" s="1" t="s">
        <v>2846</v>
      </c>
      <c r="E264" s="1" t="s">
        <v>1142</v>
      </c>
      <c r="F264" s="1" t="s">
        <v>2847</v>
      </c>
      <c r="G264" s="1">
        <v>1</v>
      </c>
      <c r="H264" s="1" t="s">
        <v>1663</v>
      </c>
      <c r="I264" s="1" t="s">
        <v>1657</v>
      </c>
      <c r="J264" s="1" t="s">
        <v>1658</v>
      </c>
      <c r="K264" s="1" t="s">
        <v>1658</v>
      </c>
      <c r="L264" s="1" t="s">
        <v>1658</v>
      </c>
      <c r="M264" s="1" t="s">
        <v>1658</v>
      </c>
      <c r="N264" s="1" t="s">
        <v>1658</v>
      </c>
      <c r="O264" s="1" t="s">
        <v>1658</v>
      </c>
      <c r="P264" s="1">
        <v>1</v>
      </c>
      <c r="Q264" s="1" t="s">
        <v>1658</v>
      </c>
      <c r="R264" s="1">
        <v>0</v>
      </c>
      <c r="S264" s="1" t="s">
        <v>2848</v>
      </c>
      <c r="T264" s="6" t="s">
        <v>2848</v>
      </c>
      <c r="U264" s="1" t="str">
        <f t="shared" si="4"/>
        <v>Yes</v>
      </c>
      <c r="W264" s="1" t="s">
        <v>2849</v>
      </c>
      <c r="X264" s="1" t="str">
        <f>IF(COUNTIF('MyWells Drilling Comp'!F:F,E264)=0,"Missing","Exist")</f>
        <v>Exist</v>
      </c>
    </row>
    <row r="265" hidden="1" spans="1:24">
      <c r="A265" s="1" t="s">
        <v>1652</v>
      </c>
      <c r="B265" s="1" t="s">
        <v>90</v>
      </c>
      <c r="C265" s="1" t="s">
        <v>2850</v>
      </c>
      <c r="D265" s="1" t="s">
        <v>2846</v>
      </c>
      <c r="E265" s="1" t="s">
        <v>1142</v>
      </c>
      <c r="F265" s="1" t="s">
        <v>2851</v>
      </c>
      <c r="G265" s="1">
        <v>1</v>
      </c>
      <c r="H265" s="1" t="s">
        <v>1656</v>
      </c>
      <c r="I265" s="1" t="s">
        <v>1657</v>
      </c>
      <c r="J265" s="1" t="s">
        <v>1658</v>
      </c>
      <c r="K265" s="1" t="s">
        <v>1658</v>
      </c>
      <c r="L265" s="1" t="s">
        <v>1658</v>
      </c>
      <c r="M265" s="1" t="s">
        <v>1658</v>
      </c>
      <c r="N265" s="1" t="s">
        <v>1658</v>
      </c>
      <c r="O265" s="1" t="s">
        <v>1658</v>
      </c>
      <c r="P265" s="1">
        <v>1</v>
      </c>
      <c r="Q265" s="1" t="s">
        <v>1658</v>
      </c>
      <c r="R265" s="1">
        <v>0</v>
      </c>
      <c r="S265" s="1" t="s">
        <v>2852</v>
      </c>
      <c r="T265" s="6" t="s">
        <v>2852</v>
      </c>
      <c r="U265" s="1" t="str">
        <f t="shared" si="4"/>
        <v>Yes</v>
      </c>
      <c r="W265" s="1" t="s">
        <v>2853</v>
      </c>
      <c r="X265" s="1" t="str">
        <f>IF(COUNTIF('MyWells Drilling Comp'!F:F,E265)=0,"Missing","Exist")</f>
        <v>Exist</v>
      </c>
    </row>
    <row r="266" hidden="1" spans="1:24">
      <c r="A266" s="1" t="s">
        <v>1652</v>
      </c>
      <c r="B266" s="1" t="s">
        <v>90</v>
      </c>
      <c r="C266" s="1" t="s">
        <v>2854</v>
      </c>
      <c r="D266" s="1" t="s">
        <v>2855</v>
      </c>
      <c r="E266" s="1" t="s">
        <v>775</v>
      </c>
      <c r="F266" s="1" t="s">
        <v>2856</v>
      </c>
      <c r="G266" s="1">
        <v>1</v>
      </c>
      <c r="H266" s="1" t="s">
        <v>1656</v>
      </c>
      <c r="I266" s="1" t="s">
        <v>1657</v>
      </c>
      <c r="J266" s="1" t="s">
        <v>1658</v>
      </c>
      <c r="K266" s="1" t="s">
        <v>1658</v>
      </c>
      <c r="L266" s="1" t="s">
        <v>1658</v>
      </c>
      <c r="M266" s="1" t="s">
        <v>1658</v>
      </c>
      <c r="N266" s="1" t="s">
        <v>1658</v>
      </c>
      <c r="O266" s="1" t="s">
        <v>1658</v>
      </c>
      <c r="P266" s="1">
        <v>1</v>
      </c>
      <c r="Q266" s="1" t="s">
        <v>1658</v>
      </c>
      <c r="R266" s="1">
        <v>0</v>
      </c>
      <c r="S266" s="1" t="s">
        <v>2857</v>
      </c>
      <c r="T266" s="6"/>
      <c r="U266" s="1" t="str">
        <f t="shared" si="4"/>
        <v>No</v>
      </c>
      <c r="W266" s="1" t="s">
        <v>2858</v>
      </c>
      <c r="X266" s="1" t="str">
        <f>IF(COUNTIF('MyWells Drilling Comp'!F:F,E266)=0,"Missing","Exist")</f>
        <v>Exist</v>
      </c>
    </row>
    <row r="267" hidden="1" spans="1:24">
      <c r="A267" s="1" t="s">
        <v>1652</v>
      </c>
      <c r="B267" s="1" t="s">
        <v>90</v>
      </c>
      <c r="C267" s="1" t="s">
        <v>2859</v>
      </c>
      <c r="D267" s="1" t="s">
        <v>2855</v>
      </c>
      <c r="E267" s="1" t="s">
        <v>775</v>
      </c>
      <c r="F267" s="1" t="s">
        <v>2860</v>
      </c>
      <c r="G267" s="1">
        <v>1</v>
      </c>
      <c r="H267" s="1" t="s">
        <v>1663</v>
      </c>
      <c r="I267" s="1" t="s">
        <v>1657</v>
      </c>
      <c r="J267" s="1" t="s">
        <v>1658</v>
      </c>
      <c r="K267" s="1" t="s">
        <v>1658</v>
      </c>
      <c r="L267" s="1" t="s">
        <v>1658</v>
      </c>
      <c r="M267" s="1" t="s">
        <v>1658</v>
      </c>
      <c r="N267" s="1" t="s">
        <v>1658</v>
      </c>
      <c r="O267" s="1" t="s">
        <v>1658</v>
      </c>
      <c r="P267" s="1">
        <v>1</v>
      </c>
      <c r="Q267" s="1" t="s">
        <v>1658</v>
      </c>
      <c r="R267" s="1">
        <v>0</v>
      </c>
      <c r="S267" s="1" t="s">
        <v>2861</v>
      </c>
      <c r="T267" s="6" t="s">
        <v>2861</v>
      </c>
      <c r="U267" s="1" t="str">
        <f t="shared" si="4"/>
        <v>Yes</v>
      </c>
      <c r="W267" s="1" t="s">
        <v>2862</v>
      </c>
      <c r="X267" s="1" t="str">
        <f>IF(COUNTIF('MyWells Drilling Comp'!F:F,E267)=0,"Missing","Exist")</f>
        <v>Exist</v>
      </c>
    </row>
    <row r="268" hidden="1" spans="1:24">
      <c r="A268" s="1" t="s">
        <v>1652</v>
      </c>
      <c r="B268" s="1" t="s">
        <v>90</v>
      </c>
      <c r="C268" s="1" t="s">
        <v>2863</v>
      </c>
      <c r="D268" s="7" t="s">
        <v>2864</v>
      </c>
      <c r="E268" s="1" t="s">
        <v>946</v>
      </c>
      <c r="F268" s="1" t="s">
        <v>2865</v>
      </c>
      <c r="G268" s="1">
        <v>1</v>
      </c>
      <c r="H268" s="1" t="s">
        <v>1663</v>
      </c>
      <c r="I268" s="1" t="s">
        <v>1657</v>
      </c>
      <c r="J268" s="1" t="s">
        <v>1658</v>
      </c>
      <c r="K268" s="1" t="s">
        <v>1658</v>
      </c>
      <c r="L268" s="1" t="s">
        <v>1658</v>
      </c>
      <c r="M268" s="1" t="s">
        <v>1658</v>
      </c>
      <c r="N268" s="1" t="s">
        <v>1658</v>
      </c>
      <c r="O268" s="1" t="s">
        <v>1658</v>
      </c>
      <c r="P268" s="1">
        <v>1</v>
      </c>
      <c r="Q268" s="1" t="s">
        <v>1658</v>
      </c>
      <c r="R268" s="1">
        <v>0</v>
      </c>
      <c r="S268" s="1" t="s">
        <v>2866</v>
      </c>
      <c r="T268" s="6"/>
      <c r="U268" s="1" t="str">
        <f t="shared" si="4"/>
        <v>No</v>
      </c>
      <c r="W268" s="1" t="s">
        <v>2867</v>
      </c>
      <c r="X268" s="1" t="str">
        <f>IF(COUNTIF('MyWells Drilling Comp'!F:F,E268)=0,"Missing","Exist")</f>
        <v>Exist</v>
      </c>
    </row>
    <row r="269" hidden="1" spans="1:24">
      <c r="A269" s="1" t="s">
        <v>1652</v>
      </c>
      <c r="B269" s="1" t="s">
        <v>90</v>
      </c>
      <c r="C269" s="1" t="s">
        <v>2868</v>
      </c>
      <c r="D269" s="7" t="s">
        <v>2864</v>
      </c>
      <c r="E269" s="1" t="s">
        <v>946</v>
      </c>
      <c r="F269" s="1" t="s">
        <v>2869</v>
      </c>
      <c r="G269" s="1">
        <v>1</v>
      </c>
      <c r="H269" s="1" t="s">
        <v>1656</v>
      </c>
      <c r="I269" s="1" t="s">
        <v>1657</v>
      </c>
      <c r="J269" s="1" t="s">
        <v>1658</v>
      </c>
      <c r="K269" s="1" t="s">
        <v>1658</v>
      </c>
      <c r="L269" s="1" t="s">
        <v>1658</v>
      </c>
      <c r="M269" s="1" t="s">
        <v>1658</v>
      </c>
      <c r="N269" s="1" t="s">
        <v>1658</v>
      </c>
      <c r="O269" s="1" t="s">
        <v>1658</v>
      </c>
      <c r="P269" s="1">
        <v>1</v>
      </c>
      <c r="Q269" s="1" t="s">
        <v>1658</v>
      </c>
      <c r="R269" s="1">
        <v>0</v>
      </c>
      <c r="S269" s="1" t="s">
        <v>2870</v>
      </c>
      <c r="T269" s="6"/>
      <c r="U269" s="1" t="str">
        <f t="shared" si="4"/>
        <v>No</v>
      </c>
      <c r="W269" s="1" t="s">
        <v>2871</v>
      </c>
      <c r="X269" s="1" t="str">
        <f>IF(COUNTIF('MyWells Drilling Comp'!F:F,E269)=0,"Missing","Exist")</f>
        <v>Exist</v>
      </c>
    </row>
    <row r="270" hidden="1" spans="1:24">
      <c r="A270" s="1" t="s">
        <v>1652</v>
      </c>
      <c r="B270" s="1" t="s">
        <v>90</v>
      </c>
      <c r="C270" s="1" t="s">
        <v>2872</v>
      </c>
      <c r="D270" s="1" t="s">
        <v>2873</v>
      </c>
      <c r="E270" s="1" t="s">
        <v>115</v>
      </c>
      <c r="F270" s="1" t="s">
        <v>2874</v>
      </c>
      <c r="G270" s="1">
        <v>1</v>
      </c>
      <c r="H270" s="1" t="s">
        <v>1656</v>
      </c>
      <c r="I270" s="1" t="s">
        <v>1657</v>
      </c>
      <c r="J270" s="1" t="s">
        <v>1658</v>
      </c>
      <c r="K270" s="1" t="s">
        <v>1658</v>
      </c>
      <c r="L270" s="1" t="s">
        <v>1658</v>
      </c>
      <c r="M270" s="1" t="s">
        <v>1658</v>
      </c>
      <c r="N270" s="1" t="s">
        <v>1658</v>
      </c>
      <c r="O270" s="1" t="s">
        <v>1658</v>
      </c>
      <c r="P270" s="1">
        <v>1</v>
      </c>
      <c r="Q270" s="1" t="s">
        <v>1658</v>
      </c>
      <c r="R270" s="1">
        <v>0</v>
      </c>
      <c r="S270" s="1" t="s">
        <v>2875</v>
      </c>
      <c r="T270" s="6" t="s">
        <v>2875</v>
      </c>
      <c r="U270" s="1" t="str">
        <f t="shared" si="4"/>
        <v>Yes</v>
      </c>
      <c r="W270" s="1" t="s">
        <v>2876</v>
      </c>
      <c r="X270" s="1" t="str">
        <f>IF(COUNTIF('MyWells Drilling Comp'!F:F,E270)=0,"Missing","Exist")</f>
        <v>Exist</v>
      </c>
    </row>
    <row r="271" hidden="1" spans="1:24">
      <c r="A271" s="1" t="s">
        <v>1652</v>
      </c>
      <c r="B271" s="1" t="s">
        <v>90</v>
      </c>
      <c r="C271" s="1" t="s">
        <v>2877</v>
      </c>
      <c r="D271" s="1" t="s">
        <v>2873</v>
      </c>
      <c r="E271" s="1" t="s">
        <v>115</v>
      </c>
      <c r="F271" s="1" t="s">
        <v>2878</v>
      </c>
      <c r="G271" s="1">
        <v>1</v>
      </c>
      <c r="H271" s="1" t="s">
        <v>1663</v>
      </c>
      <c r="I271" s="1" t="s">
        <v>1657</v>
      </c>
      <c r="J271" s="1" t="s">
        <v>1658</v>
      </c>
      <c r="K271" s="1" t="s">
        <v>1658</v>
      </c>
      <c r="L271" s="1" t="s">
        <v>1658</v>
      </c>
      <c r="M271" s="1" t="s">
        <v>1658</v>
      </c>
      <c r="N271" s="1" t="s">
        <v>1658</v>
      </c>
      <c r="O271" s="1" t="s">
        <v>1658</v>
      </c>
      <c r="P271" s="1">
        <v>1</v>
      </c>
      <c r="Q271" s="1" t="s">
        <v>1658</v>
      </c>
      <c r="R271" s="1">
        <v>0</v>
      </c>
      <c r="S271" s="1" t="s">
        <v>2879</v>
      </c>
      <c r="T271" s="6" t="s">
        <v>2879</v>
      </c>
      <c r="U271" s="1" t="str">
        <f t="shared" si="4"/>
        <v>Yes</v>
      </c>
      <c r="W271" s="1" t="s">
        <v>2880</v>
      </c>
      <c r="X271" s="1" t="str">
        <f>IF(COUNTIF('MyWells Drilling Comp'!F:F,E271)=0,"Missing","Exist")</f>
        <v>Exist</v>
      </c>
    </row>
    <row r="272" hidden="1" spans="1:24">
      <c r="A272" s="1" t="s">
        <v>1652</v>
      </c>
      <c r="B272" s="1" t="s">
        <v>90</v>
      </c>
      <c r="C272" s="1" t="s">
        <v>2881</v>
      </c>
      <c r="D272" s="7" t="s">
        <v>2882</v>
      </c>
      <c r="E272" s="1" t="s">
        <v>1157</v>
      </c>
      <c r="F272" s="1" t="s">
        <v>2883</v>
      </c>
      <c r="G272" s="1">
        <v>1</v>
      </c>
      <c r="H272" s="1" t="s">
        <v>1656</v>
      </c>
      <c r="I272" s="1" t="s">
        <v>1657</v>
      </c>
      <c r="J272" s="1" t="s">
        <v>1658</v>
      </c>
      <c r="K272" s="1" t="s">
        <v>1658</v>
      </c>
      <c r="L272" s="1" t="s">
        <v>1658</v>
      </c>
      <c r="M272" s="1" t="s">
        <v>1658</v>
      </c>
      <c r="N272" s="1" t="s">
        <v>1658</v>
      </c>
      <c r="O272" s="1" t="s">
        <v>1658</v>
      </c>
      <c r="P272" s="1">
        <v>1</v>
      </c>
      <c r="Q272" s="1" t="s">
        <v>1658</v>
      </c>
      <c r="R272" s="1">
        <v>0</v>
      </c>
      <c r="S272" s="1" t="s">
        <v>2884</v>
      </c>
      <c r="T272" s="6" t="s">
        <v>2884</v>
      </c>
      <c r="U272" s="1" t="str">
        <f t="shared" si="4"/>
        <v>Yes</v>
      </c>
      <c r="W272" s="1" t="s">
        <v>2885</v>
      </c>
      <c r="X272" s="1" t="str">
        <f>IF(COUNTIF('MyWells Drilling Comp'!F:F,E272)=0,"Missing","Exist")</f>
        <v>Exist</v>
      </c>
    </row>
    <row r="273" hidden="1" spans="1:24">
      <c r="A273" s="1" t="s">
        <v>1652</v>
      </c>
      <c r="B273" s="1" t="s">
        <v>90</v>
      </c>
      <c r="C273" s="1" t="s">
        <v>2886</v>
      </c>
      <c r="D273" s="7" t="s">
        <v>2882</v>
      </c>
      <c r="E273" s="1" t="s">
        <v>1157</v>
      </c>
      <c r="F273" s="1" t="s">
        <v>2887</v>
      </c>
      <c r="G273" s="1">
        <v>1</v>
      </c>
      <c r="H273" s="1" t="s">
        <v>1663</v>
      </c>
      <c r="I273" s="1" t="s">
        <v>1657</v>
      </c>
      <c r="J273" s="1" t="s">
        <v>1658</v>
      </c>
      <c r="K273" s="1" t="s">
        <v>1658</v>
      </c>
      <c r="L273" s="1" t="s">
        <v>1658</v>
      </c>
      <c r="M273" s="1" t="s">
        <v>1658</v>
      </c>
      <c r="N273" s="1" t="s">
        <v>1658</v>
      </c>
      <c r="O273" s="1" t="s">
        <v>1658</v>
      </c>
      <c r="P273" s="1">
        <v>1</v>
      </c>
      <c r="Q273" s="1" t="s">
        <v>1658</v>
      </c>
      <c r="R273" s="1">
        <v>0</v>
      </c>
      <c r="S273" s="1" t="s">
        <v>2888</v>
      </c>
      <c r="T273" s="6"/>
      <c r="U273" s="1" t="str">
        <f t="shared" si="4"/>
        <v>No</v>
      </c>
      <c r="W273" s="1" t="s">
        <v>2889</v>
      </c>
      <c r="X273" s="1" t="str">
        <f>IF(COUNTIF('MyWells Drilling Comp'!F:F,E273)=0,"Missing","Exist")</f>
        <v>Exist</v>
      </c>
    </row>
    <row r="274" hidden="1" spans="1:24">
      <c r="A274" s="1" t="s">
        <v>1652</v>
      </c>
      <c r="B274" s="1" t="s">
        <v>90</v>
      </c>
      <c r="C274" s="1" t="s">
        <v>2890</v>
      </c>
      <c r="D274" s="1" t="s">
        <v>2891</v>
      </c>
      <c r="E274" s="1" t="s">
        <v>797</v>
      </c>
      <c r="F274" s="1" t="s">
        <v>2892</v>
      </c>
      <c r="G274" s="1">
        <v>1</v>
      </c>
      <c r="H274" s="1" t="s">
        <v>1656</v>
      </c>
      <c r="I274" s="1" t="s">
        <v>1657</v>
      </c>
      <c r="J274" s="1" t="s">
        <v>1658</v>
      </c>
      <c r="K274" s="1" t="s">
        <v>1658</v>
      </c>
      <c r="L274" s="1" t="s">
        <v>1658</v>
      </c>
      <c r="M274" s="1" t="s">
        <v>1658</v>
      </c>
      <c r="N274" s="1" t="s">
        <v>1658</v>
      </c>
      <c r="O274" s="1" t="s">
        <v>1658</v>
      </c>
      <c r="P274" s="1">
        <v>1</v>
      </c>
      <c r="Q274" s="1" t="s">
        <v>1658</v>
      </c>
      <c r="R274" s="1">
        <v>0</v>
      </c>
      <c r="S274" s="1" t="s">
        <v>2893</v>
      </c>
      <c r="T274" s="6" t="s">
        <v>2894</v>
      </c>
      <c r="U274" s="1" t="str">
        <f t="shared" si="4"/>
        <v>No</v>
      </c>
      <c r="W274" s="1" t="s">
        <v>2895</v>
      </c>
      <c r="X274" s="1" t="str">
        <f>IF(COUNTIF('MyWells Drilling Comp'!F:F,E274)=0,"Missing","Exist")</f>
        <v>Exist</v>
      </c>
    </row>
    <row r="275" hidden="1" spans="1:24">
      <c r="A275" s="1" t="s">
        <v>1652</v>
      </c>
      <c r="B275" s="1" t="s">
        <v>90</v>
      </c>
      <c r="C275" s="1" t="s">
        <v>2896</v>
      </c>
      <c r="D275" s="1" t="s">
        <v>2891</v>
      </c>
      <c r="E275" s="1" t="s">
        <v>797</v>
      </c>
      <c r="F275" s="1" t="s">
        <v>2897</v>
      </c>
      <c r="G275" s="1">
        <v>1</v>
      </c>
      <c r="H275" s="1" t="s">
        <v>1663</v>
      </c>
      <c r="I275" s="1" t="s">
        <v>1657</v>
      </c>
      <c r="J275" s="1" t="s">
        <v>1658</v>
      </c>
      <c r="K275" s="1" t="s">
        <v>1658</v>
      </c>
      <c r="L275" s="1" t="s">
        <v>1658</v>
      </c>
      <c r="M275" s="1" t="s">
        <v>1658</v>
      </c>
      <c r="N275" s="1" t="s">
        <v>1658</v>
      </c>
      <c r="O275" s="1" t="s">
        <v>1658</v>
      </c>
      <c r="P275" s="1">
        <v>1</v>
      </c>
      <c r="Q275" s="1" t="s">
        <v>1658</v>
      </c>
      <c r="R275" s="1">
        <v>0</v>
      </c>
      <c r="S275" s="1" t="s">
        <v>2898</v>
      </c>
      <c r="T275" s="6" t="s">
        <v>2898</v>
      </c>
      <c r="U275" s="1" t="str">
        <f t="shared" si="4"/>
        <v>Yes</v>
      </c>
      <c r="W275" s="1" t="s">
        <v>2899</v>
      </c>
      <c r="X275" s="1" t="str">
        <f>IF(COUNTIF('MyWells Drilling Comp'!F:F,E275)=0,"Missing","Exist")</f>
        <v>Exist</v>
      </c>
    </row>
    <row r="276" hidden="1" spans="1:24">
      <c r="A276" s="1" t="s">
        <v>1652</v>
      </c>
      <c r="B276" s="1" t="s">
        <v>90</v>
      </c>
      <c r="C276" s="1" t="s">
        <v>2900</v>
      </c>
      <c r="D276" s="1" t="s">
        <v>2901</v>
      </c>
      <c r="E276" s="1" t="s">
        <v>1218</v>
      </c>
      <c r="F276" s="1" t="s">
        <v>2902</v>
      </c>
      <c r="G276" s="1">
        <v>1</v>
      </c>
      <c r="H276" s="1" t="s">
        <v>1656</v>
      </c>
      <c r="I276" s="1" t="s">
        <v>1657</v>
      </c>
      <c r="J276" s="1" t="s">
        <v>1658</v>
      </c>
      <c r="K276" s="1" t="s">
        <v>1658</v>
      </c>
      <c r="L276" s="1" t="s">
        <v>1658</v>
      </c>
      <c r="M276" s="1" t="s">
        <v>1658</v>
      </c>
      <c r="N276" s="1" t="s">
        <v>1658</v>
      </c>
      <c r="O276" s="1" t="s">
        <v>1658</v>
      </c>
      <c r="P276" s="1">
        <v>1</v>
      </c>
      <c r="Q276" s="1" t="s">
        <v>1658</v>
      </c>
      <c r="R276" s="1">
        <v>0</v>
      </c>
      <c r="S276" s="1" t="s">
        <v>2903</v>
      </c>
      <c r="T276" s="6"/>
      <c r="U276" s="1" t="str">
        <f t="shared" si="4"/>
        <v>No</v>
      </c>
      <c r="W276" s="1" t="s">
        <v>2904</v>
      </c>
      <c r="X276" s="1" t="str">
        <f>IF(COUNTIF('MyWells Drilling Comp'!F:F,E276)=0,"Missing","Exist")</f>
        <v>Exist</v>
      </c>
    </row>
    <row r="277" hidden="1" spans="1:24">
      <c r="A277" s="1" t="s">
        <v>1652</v>
      </c>
      <c r="B277" s="1" t="s">
        <v>90</v>
      </c>
      <c r="C277" s="1" t="s">
        <v>2905</v>
      </c>
      <c r="D277" s="1" t="s">
        <v>2901</v>
      </c>
      <c r="E277" s="1" t="s">
        <v>1218</v>
      </c>
      <c r="F277" s="1" t="s">
        <v>2906</v>
      </c>
      <c r="G277" s="1">
        <v>1</v>
      </c>
      <c r="H277" s="1" t="s">
        <v>1663</v>
      </c>
      <c r="I277" s="1" t="s">
        <v>1657</v>
      </c>
      <c r="J277" s="1" t="s">
        <v>1658</v>
      </c>
      <c r="K277" s="1" t="s">
        <v>1658</v>
      </c>
      <c r="L277" s="1" t="s">
        <v>1658</v>
      </c>
      <c r="M277" s="1" t="s">
        <v>1658</v>
      </c>
      <c r="N277" s="1" t="s">
        <v>1658</v>
      </c>
      <c r="O277" s="1" t="s">
        <v>1658</v>
      </c>
      <c r="P277" s="1">
        <v>1</v>
      </c>
      <c r="Q277" s="1" t="s">
        <v>1658</v>
      </c>
      <c r="R277" s="1">
        <v>0</v>
      </c>
      <c r="S277" s="1" t="s">
        <v>2907</v>
      </c>
      <c r="T277" s="6"/>
      <c r="U277" s="1" t="str">
        <f t="shared" si="4"/>
        <v>No</v>
      </c>
      <c r="W277" s="1" t="s">
        <v>2908</v>
      </c>
      <c r="X277" s="1" t="str">
        <f>IF(COUNTIF('MyWells Drilling Comp'!F:F,E277)=0,"Missing","Exist")</f>
        <v>Exist</v>
      </c>
    </row>
    <row r="278" hidden="1" spans="1:24">
      <c r="A278" s="1" t="s">
        <v>1652</v>
      </c>
      <c r="B278" s="1" t="s">
        <v>90</v>
      </c>
      <c r="C278" s="1" t="s">
        <v>2909</v>
      </c>
      <c r="D278" s="1" t="s">
        <v>2910</v>
      </c>
      <c r="E278" s="1" t="s">
        <v>1182</v>
      </c>
      <c r="F278" s="1" t="s">
        <v>2911</v>
      </c>
      <c r="G278" s="1">
        <v>1</v>
      </c>
      <c r="H278" s="1" t="s">
        <v>1663</v>
      </c>
      <c r="I278" s="1" t="s">
        <v>1657</v>
      </c>
      <c r="J278" s="1" t="s">
        <v>1658</v>
      </c>
      <c r="K278" s="1" t="s">
        <v>1658</v>
      </c>
      <c r="L278" s="1" t="s">
        <v>1658</v>
      </c>
      <c r="M278" s="1" t="s">
        <v>1658</v>
      </c>
      <c r="N278" s="1" t="s">
        <v>1658</v>
      </c>
      <c r="O278" s="1" t="s">
        <v>1658</v>
      </c>
      <c r="P278" s="1">
        <v>1</v>
      </c>
      <c r="Q278" s="1" t="s">
        <v>1658</v>
      </c>
      <c r="R278" s="1">
        <v>0</v>
      </c>
      <c r="S278" s="1" t="s">
        <v>2912</v>
      </c>
      <c r="T278" s="6" t="s">
        <v>2912</v>
      </c>
      <c r="U278" s="1" t="str">
        <f t="shared" si="4"/>
        <v>Yes</v>
      </c>
      <c r="W278" s="1" t="s">
        <v>2913</v>
      </c>
      <c r="X278" s="1" t="str">
        <f>IF(COUNTIF('MyWells Drilling Comp'!F:F,E278)=0,"Missing","Exist")</f>
        <v>Exist</v>
      </c>
    </row>
    <row r="279" hidden="1" spans="1:24">
      <c r="A279" s="1" t="s">
        <v>1652</v>
      </c>
      <c r="B279" s="1" t="s">
        <v>90</v>
      </c>
      <c r="C279" s="1" t="s">
        <v>2914</v>
      </c>
      <c r="D279" s="1" t="s">
        <v>2910</v>
      </c>
      <c r="E279" s="1" t="s">
        <v>1182</v>
      </c>
      <c r="F279" s="1" t="s">
        <v>2915</v>
      </c>
      <c r="G279" s="1">
        <v>1</v>
      </c>
      <c r="H279" s="1" t="s">
        <v>1656</v>
      </c>
      <c r="I279" s="1" t="s">
        <v>1657</v>
      </c>
      <c r="J279" s="1" t="s">
        <v>1658</v>
      </c>
      <c r="K279" s="1" t="s">
        <v>1658</v>
      </c>
      <c r="L279" s="1" t="s">
        <v>1658</v>
      </c>
      <c r="M279" s="1" t="s">
        <v>1658</v>
      </c>
      <c r="N279" s="1" t="s">
        <v>1658</v>
      </c>
      <c r="O279" s="1" t="s">
        <v>1658</v>
      </c>
      <c r="P279" s="1">
        <v>1</v>
      </c>
      <c r="Q279" s="1" t="s">
        <v>1658</v>
      </c>
      <c r="R279" s="1">
        <v>0</v>
      </c>
      <c r="S279" s="1" t="s">
        <v>2916</v>
      </c>
      <c r="T279" s="6" t="s">
        <v>2916</v>
      </c>
      <c r="U279" s="1" t="str">
        <f t="shared" si="4"/>
        <v>Yes</v>
      </c>
      <c r="W279" s="1" t="s">
        <v>2917</v>
      </c>
      <c r="X279" s="1" t="str">
        <f>IF(COUNTIF('MyWells Drilling Comp'!F:F,E279)=0,"Missing","Exist")</f>
        <v>Exist</v>
      </c>
    </row>
    <row r="280" hidden="1" spans="1:24">
      <c r="A280" s="1" t="s">
        <v>1652</v>
      </c>
      <c r="B280" s="1" t="s">
        <v>90</v>
      </c>
      <c r="C280" s="1" t="s">
        <v>2918</v>
      </c>
      <c r="D280" s="1" t="s">
        <v>2919</v>
      </c>
      <c r="E280" s="1" t="s">
        <v>1613</v>
      </c>
      <c r="F280" s="1" t="s">
        <v>2920</v>
      </c>
      <c r="G280" s="1">
        <v>1</v>
      </c>
      <c r="H280" s="1" t="s">
        <v>1663</v>
      </c>
      <c r="I280" s="1" t="s">
        <v>1657</v>
      </c>
      <c r="J280" s="1" t="s">
        <v>1658</v>
      </c>
      <c r="K280" s="1" t="s">
        <v>1658</v>
      </c>
      <c r="L280" s="1" t="s">
        <v>1658</v>
      </c>
      <c r="M280" s="1" t="s">
        <v>1658</v>
      </c>
      <c r="N280" s="1" t="s">
        <v>1658</v>
      </c>
      <c r="O280" s="1" t="s">
        <v>1658</v>
      </c>
      <c r="P280" s="1">
        <v>1</v>
      </c>
      <c r="Q280" s="1" t="s">
        <v>1658</v>
      </c>
      <c r="R280" s="1">
        <v>0</v>
      </c>
      <c r="S280" s="1" t="s">
        <v>2921</v>
      </c>
      <c r="T280" s="6"/>
      <c r="U280" s="1" t="str">
        <f t="shared" si="4"/>
        <v>No</v>
      </c>
      <c r="W280" s="1" t="s">
        <v>2922</v>
      </c>
      <c r="X280" s="1" t="str">
        <f>IF(COUNTIF('MyWells Drilling Comp'!F:F,E280)=0,"Missing","Exist")</f>
        <v>Exist</v>
      </c>
    </row>
    <row r="281" hidden="1" spans="1:24">
      <c r="A281" s="1" t="s">
        <v>1652</v>
      </c>
      <c r="B281" s="1" t="s">
        <v>90</v>
      </c>
      <c r="C281" s="1" t="s">
        <v>2923</v>
      </c>
      <c r="D281" s="1" t="s">
        <v>2919</v>
      </c>
      <c r="E281" s="1" t="s">
        <v>1613</v>
      </c>
      <c r="F281" s="1" t="s">
        <v>2924</v>
      </c>
      <c r="G281" s="1">
        <v>1</v>
      </c>
      <c r="H281" s="1" t="s">
        <v>1656</v>
      </c>
      <c r="I281" s="1" t="s">
        <v>1657</v>
      </c>
      <c r="J281" s="1" t="s">
        <v>1658</v>
      </c>
      <c r="K281" s="1" t="s">
        <v>1658</v>
      </c>
      <c r="L281" s="1" t="s">
        <v>1658</v>
      </c>
      <c r="M281" s="1" t="s">
        <v>1658</v>
      </c>
      <c r="N281" s="1" t="s">
        <v>1658</v>
      </c>
      <c r="O281" s="1" t="s">
        <v>1658</v>
      </c>
      <c r="P281" s="1">
        <v>1</v>
      </c>
      <c r="Q281" s="1" t="s">
        <v>1658</v>
      </c>
      <c r="R281" s="1">
        <v>0</v>
      </c>
      <c r="S281" s="1" t="s">
        <v>2925</v>
      </c>
      <c r="T281" s="6"/>
      <c r="U281" s="1" t="str">
        <f t="shared" si="4"/>
        <v>No</v>
      </c>
      <c r="W281" s="1" t="s">
        <v>2926</v>
      </c>
      <c r="X281" s="1" t="str">
        <f>IF(COUNTIF('MyWells Drilling Comp'!F:F,E281)=0,"Missing","Exist")</f>
        <v>Exist</v>
      </c>
    </row>
    <row r="282" hidden="1" spans="1:24">
      <c r="A282" s="1" t="s">
        <v>1652</v>
      </c>
      <c r="B282" s="1" t="s">
        <v>90</v>
      </c>
      <c r="C282" s="1" t="s">
        <v>2927</v>
      </c>
      <c r="D282" s="1" t="s">
        <v>2928</v>
      </c>
      <c r="E282" s="1" t="s">
        <v>1070</v>
      </c>
      <c r="F282" s="1" t="s">
        <v>2929</v>
      </c>
      <c r="G282" s="1">
        <v>1</v>
      </c>
      <c r="H282" s="1" t="s">
        <v>1663</v>
      </c>
      <c r="I282" s="1" t="s">
        <v>1657</v>
      </c>
      <c r="J282" s="1" t="s">
        <v>1658</v>
      </c>
      <c r="K282" s="1" t="s">
        <v>1658</v>
      </c>
      <c r="L282" s="1" t="s">
        <v>1658</v>
      </c>
      <c r="M282" s="1" t="s">
        <v>1658</v>
      </c>
      <c r="N282" s="1" t="s">
        <v>1658</v>
      </c>
      <c r="O282" s="1" t="s">
        <v>1658</v>
      </c>
      <c r="P282" s="1">
        <v>1</v>
      </c>
      <c r="Q282" s="1" t="s">
        <v>1658</v>
      </c>
      <c r="R282" s="1">
        <v>0</v>
      </c>
      <c r="S282" s="1" t="s">
        <v>2930</v>
      </c>
      <c r="T282" s="6" t="s">
        <v>2930</v>
      </c>
      <c r="U282" s="1" t="str">
        <f t="shared" si="4"/>
        <v>Yes</v>
      </c>
      <c r="W282" s="1" t="s">
        <v>2931</v>
      </c>
      <c r="X282" s="1" t="str">
        <f>IF(COUNTIF('MyWells Drilling Comp'!F:F,E282)=0,"Missing","Exist")</f>
        <v>Exist</v>
      </c>
    </row>
    <row r="283" hidden="1" spans="1:24">
      <c r="A283" s="1" t="s">
        <v>1652</v>
      </c>
      <c r="B283" s="1" t="s">
        <v>90</v>
      </c>
      <c r="C283" s="1" t="s">
        <v>2932</v>
      </c>
      <c r="D283" s="1" t="s">
        <v>2928</v>
      </c>
      <c r="E283" s="1" t="s">
        <v>1070</v>
      </c>
      <c r="F283" s="1" t="s">
        <v>2933</v>
      </c>
      <c r="G283" s="1">
        <v>1</v>
      </c>
      <c r="H283" s="1" t="s">
        <v>1656</v>
      </c>
      <c r="I283" s="1" t="s">
        <v>1657</v>
      </c>
      <c r="J283" s="1" t="s">
        <v>1658</v>
      </c>
      <c r="K283" s="1" t="s">
        <v>1658</v>
      </c>
      <c r="L283" s="1" t="s">
        <v>1658</v>
      </c>
      <c r="M283" s="1" t="s">
        <v>1658</v>
      </c>
      <c r="N283" s="1" t="s">
        <v>1658</v>
      </c>
      <c r="O283" s="1" t="s">
        <v>1658</v>
      </c>
      <c r="P283" s="1">
        <v>1</v>
      </c>
      <c r="Q283" s="1" t="s">
        <v>1658</v>
      </c>
      <c r="R283" s="1">
        <v>0</v>
      </c>
      <c r="S283" s="1" t="s">
        <v>2934</v>
      </c>
      <c r="T283" s="6" t="s">
        <v>2934</v>
      </c>
      <c r="U283" s="1" t="str">
        <f t="shared" si="4"/>
        <v>Yes</v>
      </c>
      <c r="W283" s="1" t="s">
        <v>2935</v>
      </c>
      <c r="X283" s="1" t="str">
        <f>IF(COUNTIF('MyWells Drilling Comp'!F:F,E283)=0,"Missing","Exist")</f>
        <v>Exist</v>
      </c>
    </row>
    <row r="284" hidden="1" spans="1:24">
      <c r="A284" s="1" t="s">
        <v>1652</v>
      </c>
      <c r="B284" s="1" t="s">
        <v>90</v>
      </c>
      <c r="C284" s="1" t="s">
        <v>2936</v>
      </c>
      <c r="D284" s="1" t="s">
        <v>2937</v>
      </c>
      <c r="E284" s="1" t="s">
        <v>1351</v>
      </c>
      <c r="F284" s="1" t="s">
        <v>2938</v>
      </c>
      <c r="G284" s="1">
        <v>1</v>
      </c>
      <c r="H284" s="1" t="s">
        <v>1656</v>
      </c>
      <c r="I284" s="1" t="s">
        <v>1657</v>
      </c>
      <c r="J284" s="1" t="s">
        <v>1658</v>
      </c>
      <c r="K284" s="1" t="s">
        <v>1658</v>
      </c>
      <c r="L284" s="1" t="s">
        <v>1658</v>
      </c>
      <c r="M284" s="1" t="s">
        <v>1658</v>
      </c>
      <c r="N284" s="1" t="s">
        <v>1658</v>
      </c>
      <c r="O284" s="1" t="s">
        <v>1658</v>
      </c>
      <c r="P284" s="1">
        <v>1</v>
      </c>
      <c r="Q284" s="1" t="s">
        <v>1658</v>
      </c>
      <c r="R284" s="1">
        <v>0</v>
      </c>
      <c r="S284" s="1" t="s">
        <v>2939</v>
      </c>
      <c r="T284" s="6" t="s">
        <v>2939</v>
      </c>
      <c r="U284" s="1" t="str">
        <f t="shared" si="4"/>
        <v>Yes</v>
      </c>
      <c r="W284" s="1" t="s">
        <v>2940</v>
      </c>
      <c r="X284" s="1" t="str">
        <f>IF(COUNTIF('MyWells Drilling Comp'!F:F,E284)=0,"Missing","Exist")</f>
        <v>Exist</v>
      </c>
    </row>
    <row r="285" hidden="1" spans="1:24">
      <c r="A285" s="1" t="s">
        <v>1652</v>
      </c>
      <c r="B285" s="1" t="s">
        <v>90</v>
      </c>
      <c r="C285" s="1" t="s">
        <v>2941</v>
      </c>
      <c r="D285" s="1" t="s">
        <v>2937</v>
      </c>
      <c r="E285" s="1" t="s">
        <v>1351</v>
      </c>
      <c r="F285" s="1" t="s">
        <v>2942</v>
      </c>
      <c r="G285" s="1">
        <v>1</v>
      </c>
      <c r="H285" s="1" t="s">
        <v>1663</v>
      </c>
      <c r="I285" s="1" t="s">
        <v>1657</v>
      </c>
      <c r="J285" s="1" t="s">
        <v>1658</v>
      </c>
      <c r="K285" s="1" t="s">
        <v>1658</v>
      </c>
      <c r="L285" s="1" t="s">
        <v>1658</v>
      </c>
      <c r="M285" s="1" t="s">
        <v>1658</v>
      </c>
      <c r="N285" s="1" t="s">
        <v>1658</v>
      </c>
      <c r="O285" s="1" t="s">
        <v>1658</v>
      </c>
      <c r="P285" s="1">
        <v>1</v>
      </c>
      <c r="Q285" s="1" t="s">
        <v>1658</v>
      </c>
      <c r="R285" s="1">
        <v>0</v>
      </c>
      <c r="S285" s="1" t="s">
        <v>2943</v>
      </c>
      <c r="T285" s="6" t="s">
        <v>2943</v>
      </c>
      <c r="U285" s="1" t="str">
        <f t="shared" si="4"/>
        <v>Yes</v>
      </c>
      <c r="W285" s="1" t="s">
        <v>2944</v>
      </c>
      <c r="X285" s="1" t="str">
        <f>IF(COUNTIF('MyWells Drilling Comp'!F:F,E285)=0,"Missing","Exist")</f>
        <v>Exist</v>
      </c>
    </row>
    <row r="286" hidden="1" spans="1:24">
      <c r="A286" s="1" t="s">
        <v>1652</v>
      </c>
      <c r="B286" s="1" t="s">
        <v>90</v>
      </c>
      <c r="C286" s="1" t="s">
        <v>2945</v>
      </c>
      <c r="D286" s="1" t="s">
        <v>2946</v>
      </c>
      <c r="E286" s="1" t="s">
        <v>1443</v>
      </c>
      <c r="F286" s="1" t="s">
        <v>2947</v>
      </c>
      <c r="G286" s="1">
        <v>1</v>
      </c>
      <c r="H286" s="1" t="s">
        <v>1656</v>
      </c>
      <c r="I286" s="1" t="s">
        <v>1657</v>
      </c>
      <c r="J286" s="1" t="s">
        <v>1658</v>
      </c>
      <c r="K286" s="1" t="s">
        <v>1658</v>
      </c>
      <c r="L286" s="1" t="s">
        <v>1658</v>
      </c>
      <c r="M286" s="1" t="s">
        <v>1658</v>
      </c>
      <c r="N286" s="1" t="s">
        <v>1658</v>
      </c>
      <c r="O286" s="1" t="s">
        <v>1658</v>
      </c>
      <c r="P286" s="1">
        <v>1</v>
      </c>
      <c r="Q286" s="1" t="s">
        <v>1658</v>
      </c>
      <c r="R286" s="1">
        <v>0</v>
      </c>
      <c r="S286" s="1" t="s">
        <v>2948</v>
      </c>
      <c r="T286" s="6"/>
      <c r="U286" s="1" t="str">
        <f t="shared" si="4"/>
        <v>No</v>
      </c>
      <c r="W286" s="1" t="s">
        <v>2949</v>
      </c>
      <c r="X286" s="1" t="str">
        <f>IF(COUNTIF('MyWells Drilling Comp'!F:F,E286)=0,"Missing","Exist")</f>
        <v>Exist</v>
      </c>
    </row>
    <row r="287" hidden="1" spans="1:24">
      <c r="A287" s="1" t="s">
        <v>1652</v>
      </c>
      <c r="B287" s="1" t="s">
        <v>90</v>
      </c>
      <c r="C287" s="1" t="s">
        <v>2950</v>
      </c>
      <c r="D287" s="1" t="s">
        <v>2946</v>
      </c>
      <c r="E287" s="1" t="s">
        <v>1443</v>
      </c>
      <c r="F287" s="1" t="s">
        <v>2951</v>
      </c>
      <c r="G287" s="1">
        <v>1</v>
      </c>
      <c r="H287" s="1" t="s">
        <v>1663</v>
      </c>
      <c r="I287" s="1" t="s">
        <v>1657</v>
      </c>
      <c r="J287" s="1" t="s">
        <v>1658</v>
      </c>
      <c r="K287" s="1" t="s">
        <v>1658</v>
      </c>
      <c r="L287" s="1" t="s">
        <v>1658</v>
      </c>
      <c r="M287" s="1" t="s">
        <v>1658</v>
      </c>
      <c r="N287" s="1" t="s">
        <v>1658</v>
      </c>
      <c r="O287" s="1" t="s">
        <v>1658</v>
      </c>
      <c r="P287" s="1">
        <v>1</v>
      </c>
      <c r="Q287" s="1" t="s">
        <v>1658</v>
      </c>
      <c r="R287" s="1">
        <v>0</v>
      </c>
      <c r="S287" s="1" t="s">
        <v>2952</v>
      </c>
      <c r="T287" s="6" t="s">
        <v>2952</v>
      </c>
      <c r="U287" s="1" t="str">
        <f t="shared" si="4"/>
        <v>Yes</v>
      </c>
      <c r="W287" s="1" t="s">
        <v>2953</v>
      </c>
      <c r="X287" s="1" t="str">
        <f>IF(COUNTIF('MyWells Drilling Comp'!F:F,E287)=0,"Missing","Exist")</f>
        <v>Exist</v>
      </c>
    </row>
    <row r="288" hidden="1" spans="1:24">
      <c r="A288" s="1" t="s">
        <v>1652</v>
      </c>
      <c r="B288" s="1" t="s">
        <v>90</v>
      </c>
      <c r="C288" s="1" t="s">
        <v>2954</v>
      </c>
      <c r="D288" s="1" t="s">
        <v>2955</v>
      </c>
      <c r="E288" s="1" t="s">
        <v>1290</v>
      </c>
      <c r="F288" s="1" t="s">
        <v>2956</v>
      </c>
      <c r="G288" s="1">
        <v>1</v>
      </c>
      <c r="H288" s="1" t="s">
        <v>1663</v>
      </c>
      <c r="I288" s="1" t="s">
        <v>1657</v>
      </c>
      <c r="J288" s="1" t="s">
        <v>1658</v>
      </c>
      <c r="K288" s="1" t="s">
        <v>1658</v>
      </c>
      <c r="L288" s="1" t="s">
        <v>1658</v>
      </c>
      <c r="M288" s="1" t="s">
        <v>1658</v>
      </c>
      <c r="N288" s="1" t="s">
        <v>1658</v>
      </c>
      <c r="O288" s="1" t="s">
        <v>1658</v>
      </c>
      <c r="P288" s="1">
        <v>1</v>
      </c>
      <c r="Q288" s="1" t="s">
        <v>1658</v>
      </c>
      <c r="R288" s="1">
        <v>0</v>
      </c>
      <c r="S288" s="1" t="s">
        <v>2957</v>
      </c>
      <c r="T288" s="6" t="s">
        <v>2958</v>
      </c>
      <c r="U288" s="1" t="str">
        <f t="shared" si="4"/>
        <v>No</v>
      </c>
      <c r="W288" s="1" t="s">
        <v>2959</v>
      </c>
      <c r="X288" s="1" t="str">
        <f>IF(COUNTIF('MyWells Drilling Comp'!F:F,E288)=0,"Missing","Exist")</f>
        <v>Exist</v>
      </c>
    </row>
    <row r="289" hidden="1" spans="1:24">
      <c r="A289" s="1" t="s">
        <v>1652</v>
      </c>
      <c r="B289" s="1" t="s">
        <v>90</v>
      </c>
      <c r="C289" s="1" t="s">
        <v>2960</v>
      </c>
      <c r="D289" s="1" t="s">
        <v>2955</v>
      </c>
      <c r="E289" s="1" t="s">
        <v>1290</v>
      </c>
      <c r="F289" s="1" t="s">
        <v>2961</v>
      </c>
      <c r="G289" s="1">
        <v>1</v>
      </c>
      <c r="H289" s="1" t="s">
        <v>1656</v>
      </c>
      <c r="I289" s="1" t="s">
        <v>1657</v>
      </c>
      <c r="J289" s="1" t="s">
        <v>1658</v>
      </c>
      <c r="K289" s="1" t="s">
        <v>1658</v>
      </c>
      <c r="L289" s="1" t="s">
        <v>1658</v>
      </c>
      <c r="M289" s="1" t="s">
        <v>1658</v>
      </c>
      <c r="N289" s="1" t="s">
        <v>1658</v>
      </c>
      <c r="O289" s="1" t="s">
        <v>1658</v>
      </c>
      <c r="P289" s="1">
        <v>1</v>
      </c>
      <c r="Q289" s="1" t="s">
        <v>1658</v>
      </c>
      <c r="R289" s="1">
        <v>0</v>
      </c>
      <c r="S289" s="1" t="s">
        <v>2958</v>
      </c>
      <c r="T289" s="6"/>
      <c r="U289" s="1" t="str">
        <f t="shared" si="4"/>
        <v>No</v>
      </c>
      <c r="W289" s="1" t="s">
        <v>2962</v>
      </c>
      <c r="X289" s="1" t="str">
        <f>IF(COUNTIF('MyWells Drilling Comp'!F:F,E289)=0,"Missing","Exist")</f>
        <v>Exist</v>
      </c>
    </row>
    <row r="290" hidden="1" spans="1:24">
      <c r="A290" s="1" t="s">
        <v>1652</v>
      </c>
      <c r="B290" s="1" t="s">
        <v>90</v>
      </c>
      <c r="C290" s="1" t="s">
        <v>2963</v>
      </c>
      <c r="D290" s="1" t="s">
        <v>2964</v>
      </c>
      <c r="E290" s="1" t="s">
        <v>1174</v>
      </c>
      <c r="F290" s="1" t="s">
        <v>2965</v>
      </c>
      <c r="G290" s="1">
        <v>1</v>
      </c>
      <c r="H290" s="1" t="s">
        <v>1656</v>
      </c>
      <c r="I290" s="1" t="s">
        <v>1657</v>
      </c>
      <c r="J290" s="1" t="s">
        <v>1658</v>
      </c>
      <c r="K290" s="1" t="s">
        <v>1658</v>
      </c>
      <c r="L290" s="1" t="s">
        <v>1658</v>
      </c>
      <c r="M290" s="1" t="s">
        <v>1658</v>
      </c>
      <c r="N290" s="1" t="s">
        <v>1658</v>
      </c>
      <c r="O290" s="1" t="s">
        <v>1658</v>
      </c>
      <c r="P290" s="1">
        <v>1</v>
      </c>
      <c r="Q290" s="1" t="s">
        <v>1658</v>
      </c>
      <c r="R290" s="1">
        <v>0</v>
      </c>
      <c r="S290" s="1" t="s">
        <v>2966</v>
      </c>
      <c r="T290" s="6" t="s">
        <v>2966</v>
      </c>
      <c r="U290" s="1" t="str">
        <f t="shared" si="4"/>
        <v>Yes</v>
      </c>
      <c r="W290" s="1" t="s">
        <v>2967</v>
      </c>
      <c r="X290" s="1" t="str">
        <f>IF(COUNTIF('MyWells Drilling Comp'!F:F,E290)=0,"Missing","Exist")</f>
        <v>Exist</v>
      </c>
    </row>
    <row r="291" hidden="1" spans="1:24">
      <c r="A291" s="1" t="s">
        <v>1652</v>
      </c>
      <c r="B291" s="1" t="s">
        <v>90</v>
      </c>
      <c r="C291" s="1" t="s">
        <v>2968</v>
      </c>
      <c r="D291" s="1" t="s">
        <v>2964</v>
      </c>
      <c r="E291" s="1" t="s">
        <v>1174</v>
      </c>
      <c r="F291" s="1" t="s">
        <v>2969</v>
      </c>
      <c r="G291" s="1">
        <v>1</v>
      </c>
      <c r="H291" s="1" t="s">
        <v>1663</v>
      </c>
      <c r="I291" s="1" t="s">
        <v>1657</v>
      </c>
      <c r="J291" s="1" t="s">
        <v>1658</v>
      </c>
      <c r="K291" s="1" t="s">
        <v>1658</v>
      </c>
      <c r="L291" s="1" t="s">
        <v>1658</v>
      </c>
      <c r="M291" s="1" t="s">
        <v>1658</v>
      </c>
      <c r="N291" s="1" t="s">
        <v>1658</v>
      </c>
      <c r="O291" s="1" t="s">
        <v>1658</v>
      </c>
      <c r="P291" s="1">
        <v>1</v>
      </c>
      <c r="Q291" s="1" t="s">
        <v>1658</v>
      </c>
      <c r="R291" s="1">
        <v>0</v>
      </c>
      <c r="S291" s="1" t="s">
        <v>2970</v>
      </c>
      <c r="T291" s="6" t="s">
        <v>2970</v>
      </c>
      <c r="U291" s="1" t="str">
        <f t="shared" si="4"/>
        <v>Yes</v>
      </c>
      <c r="W291" s="1" t="s">
        <v>2971</v>
      </c>
      <c r="X291" s="1" t="str">
        <f>IF(COUNTIF('MyWells Drilling Comp'!F:F,E291)=0,"Missing","Exist")</f>
        <v>Exist</v>
      </c>
    </row>
    <row r="292" hidden="1" spans="1:24">
      <c r="A292" s="1" t="s">
        <v>1652</v>
      </c>
      <c r="B292" s="1" t="s">
        <v>90</v>
      </c>
      <c r="C292" s="1" t="s">
        <v>2972</v>
      </c>
      <c r="D292" s="1" t="s">
        <v>2973</v>
      </c>
      <c r="E292" s="1" t="s">
        <v>518</v>
      </c>
      <c r="F292" s="1" t="s">
        <v>2974</v>
      </c>
      <c r="G292" s="1">
        <v>1</v>
      </c>
      <c r="H292" s="1" t="s">
        <v>1663</v>
      </c>
      <c r="I292" s="1" t="s">
        <v>1657</v>
      </c>
      <c r="J292" s="1" t="s">
        <v>1658</v>
      </c>
      <c r="K292" s="1" t="s">
        <v>1658</v>
      </c>
      <c r="L292" s="1" t="s">
        <v>1658</v>
      </c>
      <c r="M292" s="1" t="s">
        <v>1658</v>
      </c>
      <c r="N292" s="1" t="s">
        <v>1658</v>
      </c>
      <c r="O292" s="1" t="s">
        <v>1658</v>
      </c>
      <c r="P292" s="1">
        <v>1</v>
      </c>
      <c r="Q292" s="1" t="s">
        <v>1658</v>
      </c>
      <c r="R292" s="1">
        <v>0</v>
      </c>
      <c r="S292" s="1" t="s">
        <v>2975</v>
      </c>
      <c r="T292" s="6" t="s">
        <v>2975</v>
      </c>
      <c r="U292" s="1" t="str">
        <f t="shared" si="4"/>
        <v>Yes</v>
      </c>
      <c r="W292" s="1" t="s">
        <v>2976</v>
      </c>
      <c r="X292" s="1" t="str">
        <f>IF(COUNTIF('MyWells Drilling Comp'!F:F,E292)=0,"Missing","Exist")</f>
        <v>Exist</v>
      </c>
    </row>
    <row r="293" hidden="1" spans="1:24">
      <c r="A293" s="1" t="s">
        <v>1652</v>
      </c>
      <c r="B293" s="1" t="s">
        <v>90</v>
      </c>
      <c r="C293" s="1" t="s">
        <v>2977</v>
      </c>
      <c r="D293" s="1" t="s">
        <v>2973</v>
      </c>
      <c r="E293" s="1" t="s">
        <v>518</v>
      </c>
      <c r="F293" s="1" t="s">
        <v>2978</v>
      </c>
      <c r="G293" s="1">
        <v>1</v>
      </c>
      <c r="H293" s="1" t="s">
        <v>1656</v>
      </c>
      <c r="I293" s="1" t="s">
        <v>1657</v>
      </c>
      <c r="J293" s="1" t="s">
        <v>1658</v>
      </c>
      <c r="K293" s="1" t="s">
        <v>1658</v>
      </c>
      <c r="L293" s="1" t="s">
        <v>1658</v>
      </c>
      <c r="M293" s="1" t="s">
        <v>1658</v>
      </c>
      <c r="N293" s="1" t="s">
        <v>1658</v>
      </c>
      <c r="O293" s="1" t="s">
        <v>1658</v>
      </c>
      <c r="P293" s="1">
        <v>1</v>
      </c>
      <c r="Q293" s="1" t="s">
        <v>1658</v>
      </c>
      <c r="R293" s="1">
        <v>0</v>
      </c>
      <c r="S293" s="1" t="s">
        <v>2979</v>
      </c>
      <c r="T293" s="6" t="s">
        <v>2979</v>
      </c>
      <c r="U293" s="1" t="str">
        <f t="shared" si="4"/>
        <v>Yes</v>
      </c>
      <c r="W293" s="1" t="s">
        <v>2980</v>
      </c>
      <c r="X293" s="1" t="str">
        <f>IF(COUNTIF('MyWells Drilling Comp'!F:F,E293)=0,"Missing","Exist")</f>
        <v>Exist</v>
      </c>
    </row>
    <row r="294" hidden="1" spans="1:24">
      <c r="A294" s="1" t="s">
        <v>1652</v>
      </c>
      <c r="B294" s="1" t="s">
        <v>90</v>
      </c>
      <c r="C294" s="1" t="s">
        <v>2981</v>
      </c>
      <c r="D294" s="1" t="s">
        <v>2982</v>
      </c>
      <c r="E294" s="1" t="s">
        <v>852</v>
      </c>
      <c r="F294" s="1" t="s">
        <v>2983</v>
      </c>
      <c r="G294" s="1">
        <v>1</v>
      </c>
      <c r="H294" s="1" t="s">
        <v>1656</v>
      </c>
      <c r="I294" s="1" t="s">
        <v>1657</v>
      </c>
      <c r="J294" s="1" t="s">
        <v>1658</v>
      </c>
      <c r="K294" s="1" t="s">
        <v>1658</v>
      </c>
      <c r="L294" s="1" t="s">
        <v>1658</v>
      </c>
      <c r="M294" s="1" t="s">
        <v>1658</v>
      </c>
      <c r="N294" s="1" t="s">
        <v>1658</v>
      </c>
      <c r="O294" s="1" t="s">
        <v>1658</v>
      </c>
      <c r="P294" s="1">
        <v>1</v>
      </c>
      <c r="Q294" s="1" t="s">
        <v>1658</v>
      </c>
      <c r="R294" s="1">
        <v>0</v>
      </c>
      <c r="S294" s="1" t="s">
        <v>2984</v>
      </c>
      <c r="T294" s="6" t="s">
        <v>2984</v>
      </c>
      <c r="U294" s="1" t="str">
        <f t="shared" si="4"/>
        <v>Yes</v>
      </c>
      <c r="W294" s="1" t="s">
        <v>2985</v>
      </c>
      <c r="X294" s="1" t="str">
        <f>IF(COUNTIF('MyWells Drilling Comp'!F:F,E294)=0,"Missing","Exist")</f>
        <v>Exist</v>
      </c>
    </row>
    <row r="295" hidden="1" spans="1:24">
      <c r="A295" s="1" t="s">
        <v>1652</v>
      </c>
      <c r="B295" s="1" t="s">
        <v>90</v>
      </c>
      <c r="C295" s="1" t="s">
        <v>2986</v>
      </c>
      <c r="D295" s="1" t="s">
        <v>2982</v>
      </c>
      <c r="E295" s="1" t="s">
        <v>852</v>
      </c>
      <c r="F295" s="1" t="s">
        <v>2987</v>
      </c>
      <c r="G295" s="1">
        <v>1</v>
      </c>
      <c r="H295" s="1" t="s">
        <v>1663</v>
      </c>
      <c r="I295" s="1" t="s">
        <v>1657</v>
      </c>
      <c r="J295" s="1" t="s">
        <v>1658</v>
      </c>
      <c r="K295" s="1" t="s">
        <v>1658</v>
      </c>
      <c r="L295" s="1" t="s">
        <v>1658</v>
      </c>
      <c r="M295" s="1" t="s">
        <v>1658</v>
      </c>
      <c r="N295" s="1" t="s">
        <v>1658</v>
      </c>
      <c r="O295" s="1" t="s">
        <v>1658</v>
      </c>
      <c r="P295" s="1">
        <v>1</v>
      </c>
      <c r="Q295" s="1" t="s">
        <v>1658</v>
      </c>
      <c r="R295" s="1">
        <v>0</v>
      </c>
      <c r="S295" s="1" t="s">
        <v>2988</v>
      </c>
      <c r="T295" s="6"/>
      <c r="U295" s="1" t="str">
        <f t="shared" si="4"/>
        <v>No</v>
      </c>
      <c r="W295" s="1" t="s">
        <v>2989</v>
      </c>
      <c r="X295" s="1" t="str">
        <f>IF(COUNTIF('MyWells Drilling Comp'!F:F,E295)=0,"Missing","Exist")</f>
        <v>Exist</v>
      </c>
    </row>
    <row r="296" hidden="1" spans="1:24">
      <c r="A296" s="1" t="s">
        <v>1652</v>
      </c>
      <c r="B296" s="1" t="s">
        <v>90</v>
      </c>
      <c r="C296" s="1" t="s">
        <v>2990</v>
      </c>
      <c r="D296" s="1" t="s">
        <v>2991</v>
      </c>
      <c r="E296" s="2" t="s">
        <v>259</v>
      </c>
      <c r="F296" s="2" t="s">
        <v>2992</v>
      </c>
      <c r="G296" s="1">
        <v>1</v>
      </c>
      <c r="H296" s="1" t="s">
        <v>1656</v>
      </c>
      <c r="I296" s="1" t="s">
        <v>1657</v>
      </c>
      <c r="J296" s="1" t="s">
        <v>1658</v>
      </c>
      <c r="K296" s="1" t="s">
        <v>1658</v>
      </c>
      <c r="L296" s="1" t="s">
        <v>1658</v>
      </c>
      <c r="M296" s="1" t="s">
        <v>1658</v>
      </c>
      <c r="N296" s="1" t="s">
        <v>1658</v>
      </c>
      <c r="O296" s="1" t="s">
        <v>1658</v>
      </c>
      <c r="P296" s="1">
        <v>1</v>
      </c>
      <c r="Q296" s="1" t="s">
        <v>1658</v>
      </c>
      <c r="R296" s="1">
        <v>0</v>
      </c>
      <c r="S296" s="1" t="s">
        <v>2993</v>
      </c>
      <c r="T296" s="6" t="s">
        <v>2993</v>
      </c>
      <c r="U296" s="1" t="str">
        <f t="shared" si="4"/>
        <v>Yes</v>
      </c>
      <c r="W296" s="1" t="s">
        <v>2994</v>
      </c>
      <c r="X296" s="1" t="str">
        <f>IF(COUNTIF('MyWells Drilling Comp'!F:F,E296)=0,"Missing","Exist")</f>
        <v>Exist</v>
      </c>
    </row>
    <row r="297" hidden="1" spans="1:24">
      <c r="A297" s="1" t="s">
        <v>1652</v>
      </c>
      <c r="B297" s="1" t="s">
        <v>90</v>
      </c>
      <c r="C297" s="1" t="s">
        <v>2995</v>
      </c>
      <c r="D297" s="1" t="s">
        <v>2991</v>
      </c>
      <c r="E297" s="2" t="s">
        <v>259</v>
      </c>
      <c r="F297" s="2" t="s">
        <v>2996</v>
      </c>
      <c r="G297" s="1">
        <v>1</v>
      </c>
      <c r="H297" s="1" t="s">
        <v>1663</v>
      </c>
      <c r="I297" s="1" t="s">
        <v>1657</v>
      </c>
      <c r="J297" s="1" t="s">
        <v>1658</v>
      </c>
      <c r="K297" s="1" t="s">
        <v>1658</v>
      </c>
      <c r="L297" s="1" t="s">
        <v>1658</v>
      </c>
      <c r="M297" s="1" t="s">
        <v>1658</v>
      </c>
      <c r="N297" s="1" t="s">
        <v>1658</v>
      </c>
      <c r="O297" s="1" t="s">
        <v>1658</v>
      </c>
      <c r="P297" s="1">
        <v>1</v>
      </c>
      <c r="Q297" s="1" t="s">
        <v>1658</v>
      </c>
      <c r="R297" s="1">
        <v>0</v>
      </c>
      <c r="S297" s="1" t="s">
        <v>2997</v>
      </c>
      <c r="T297" s="6" t="s">
        <v>2997</v>
      </c>
      <c r="U297" s="1" t="str">
        <f t="shared" si="4"/>
        <v>Yes</v>
      </c>
      <c r="W297" s="1" t="s">
        <v>2998</v>
      </c>
      <c r="X297" s="1" t="str">
        <f>IF(COUNTIF('MyWells Drilling Comp'!F:F,E297)=0,"Missing","Exist")</f>
        <v>Exist</v>
      </c>
    </row>
    <row r="298" hidden="1" spans="1:24">
      <c r="A298" s="1" t="s">
        <v>1652</v>
      </c>
      <c r="B298" s="1" t="s">
        <v>90</v>
      </c>
      <c r="C298" s="1" t="s">
        <v>2999</v>
      </c>
      <c r="D298" s="1" t="s">
        <v>3000</v>
      </c>
      <c r="E298" s="1" t="s">
        <v>762</v>
      </c>
      <c r="F298" s="1" t="s">
        <v>3001</v>
      </c>
      <c r="G298" s="1">
        <v>1</v>
      </c>
      <c r="H298" s="1" t="s">
        <v>1656</v>
      </c>
      <c r="I298" s="1" t="s">
        <v>1657</v>
      </c>
      <c r="J298" s="1" t="s">
        <v>1658</v>
      </c>
      <c r="K298" s="1" t="s">
        <v>1658</v>
      </c>
      <c r="L298" s="1" t="s">
        <v>1658</v>
      </c>
      <c r="M298" s="1" t="s">
        <v>1658</v>
      </c>
      <c r="N298" s="1" t="s">
        <v>1658</v>
      </c>
      <c r="O298" s="1" t="s">
        <v>1658</v>
      </c>
      <c r="P298" s="1">
        <v>1</v>
      </c>
      <c r="Q298" s="1" t="s">
        <v>1658</v>
      </c>
      <c r="R298" s="1">
        <v>0</v>
      </c>
      <c r="S298" s="1" t="s">
        <v>3002</v>
      </c>
      <c r="T298" s="6" t="s">
        <v>3002</v>
      </c>
      <c r="U298" s="1" t="str">
        <f t="shared" si="4"/>
        <v>Yes</v>
      </c>
      <c r="W298" s="1" t="s">
        <v>3003</v>
      </c>
      <c r="X298" s="1" t="str">
        <f>IF(COUNTIF('MyWells Drilling Comp'!F:F,E298)=0,"Missing","Exist")</f>
        <v>Exist</v>
      </c>
    </row>
    <row r="299" hidden="1" spans="1:24">
      <c r="A299" s="1" t="s">
        <v>1652</v>
      </c>
      <c r="B299" s="1" t="s">
        <v>90</v>
      </c>
      <c r="C299" s="1" t="s">
        <v>3004</v>
      </c>
      <c r="D299" s="1" t="s">
        <v>3000</v>
      </c>
      <c r="E299" s="1" t="s">
        <v>762</v>
      </c>
      <c r="F299" s="1" t="s">
        <v>3005</v>
      </c>
      <c r="G299" s="1">
        <v>1</v>
      </c>
      <c r="H299" s="1" t="s">
        <v>1663</v>
      </c>
      <c r="I299" s="1" t="s">
        <v>1657</v>
      </c>
      <c r="J299" s="1" t="s">
        <v>1658</v>
      </c>
      <c r="K299" s="1" t="s">
        <v>1658</v>
      </c>
      <c r="L299" s="1" t="s">
        <v>1658</v>
      </c>
      <c r="M299" s="1" t="s">
        <v>1658</v>
      </c>
      <c r="N299" s="1" t="s">
        <v>1658</v>
      </c>
      <c r="O299" s="1" t="s">
        <v>1658</v>
      </c>
      <c r="P299" s="1">
        <v>1</v>
      </c>
      <c r="Q299" s="1" t="s">
        <v>1658</v>
      </c>
      <c r="R299" s="1">
        <v>0</v>
      </c>
      <c r="S299" s="1" t="s">
        <v>3006</v>
      </c>
      <c r="T299" s="6" t="s">
        <v>3006</v>
      </c>
      <c r="U299" s="1" t="str">
        <f t="shared" si="4"/>
        <v>Yes</v>
      </c>
      <c r="W299" s="1" t="s">
        <v>3007</v>
      </c>
      <c r="X299" s="1" t="str">
        <f>IF(COUNTIF('MyWells Drilling Comp'!F:F,E299)=0,"Missing","Exist")</f>
        <v>Exist</v>
      </c>
    </row>
    <row r="300" hidden="1" spans="1:24">
      <c r="A300" s="1" t="s">
        <v>1652</v>
      </c>
      <c r="C300" s="1" t="s">
        <v>3008</v>
      </c>
      <c r="D300" s="1" t="s">
        <v>3009</v>
      </c>
      <c r="E300" s="9" t="s">
        <v>622</v>
      </c>
      <c r="F300" s="1" t="s">
        <v>3010</v>
      </c>
      <c r="G300" s="1">
        <v>1</v>
      </c>
      <c r="H300" s="1" t="s">
        <v>1663</v>
      </c>
      <c r="I300" s="1" t="s">
        <v>1657</v>
      </c>
      <c r="J300" s="1" t="s">
        <v>1658</v>
      </c>
      <c r="K300" s="1" t="s">
        <v>1658</v>
      </c>
      <c r="L300" s="1" t="s">
        <v>1658</v>
      </c>
      <c r="M300" s="1" t="s">
        <v>1658</v>
      </c>
      <c r="N300" s="1" t="s">
        <v>1658</v>
      </c>
      <c r="O300" s="1" t="s">
        <v>1658</v>
      </c>
      <c r="P300" s="1">
        <v>1</v>
      </c>
      <c r="Q300" s="1" t="s">
        <v>1658</v>
      </c>
      <c r="R300" s="1">
        <v>0</v>
      </c>
      <c r="S300" s="1" t="s">
        <v>1658</v>
      </c>
      <c r="T300" s="6"/>
      <c r="U300" s="1" t="str">
        <f t="shared" si="4"/>
        <v>No</v>
      </c>
      <c r="W300" s="1" t="s">
        <v>3011</v>
      </c>
      <c r="X300" s="1" t="str">
        <f>IF(COUNTIF('MyWells Drilling Comp'!F:F,E300)=0,"Missing","Exist")</f>
        <v>Exist</v>
      </c>
    </row>
    <row r="301" hidden="1" spans="1:24">
      <c r="A301" s="1" t="s">
        <v>1652</v>
      </c>
      <c r="B301" s="1" t="s">
        <v>90</v>
      </c>
      <c r="C301" s="1" t="s">
        <v>3012</v>
      </c>
      <c r="D301" s="1" t="s">
        <v>3009</v>
      </c>
      <c r="E301" s="1" t="s">
        <v>622</v>
      </c>
      <c r="F301" s="1" t="s">
        <v>3013</v>
      </c>
      <c r="G301" s="1">
        <v>1</v>
      </c>
      <c r="H301" s="1" t="s">
        <v>1656</v>
      </c>
      <c r="I301" s="1" t="s">
        <v>1657</v>
      </c>
      <c r="J301" s="1" t="s">
        <v>1658</v>
      </c>
      <c r="K301" s="1" t="s">
        <v>1658</v>
      </c>
      <c r="L301" s="1" t="s">
        <v>1658</v>
      </c>
      <c r="M301" s="1" t="s">
        <v>1658</v>
      </c>
      <c r="N301" s="1" t="s">
        <v>1658</v>
      </c>
      <c r="O301" s="1" t="s">
        <v>1658</v>
      </c>
      <c r="P301" s="1">
        <v>1</v>
      </c>
      <c r="Q301" s="1" t="s">
        <v>1658</v>
      </c>
      <c r="R301" s="1">
        <v>0</v>
      </c>
      <c r="S301" s="1" t="s">
        <v>1963</v>
      </c>
      <c r="T301" s="6"/>
      <c r="U301" s="1" t="str">
        <f t="shared" si="4"/>
        <v>No</v>
      </c>
      <c r="W301" s="1" t="s">
        <v>3014</v>
      </c>
      <c r="X301" s="1" t="str">
        <f>IF(COUNTIF('MyWells Drilling Comp'!F:F,E301)=0,"Missing","Exist")</f>
        <v>Exist</v>
      </c>
    </row>
    <row r="302" hidden="1" spans="1:24">
      <c r="A302" s="1" t="s">
        <v>1652</v>
      </c>
      <c r="B302" s="1" t="s">
        <v>90</v>
      </c>
      <c r="C302" s="1" t="s">
        <v>3015</v>
      </c>
      <c r="D302" s="1" t="s">
        <v>3016</v>
      </c>
      <c r="E302" s="1" t="s">
        <v>468</v>
      </c>
      <c r="F302" s="1" t="s">
        <v>3017</v>
      </c>
      <c r="G302" s="1">
        <v>1</v>
      </c>
      <c r="H302" s="1" t="s">
        <v>1663</v>
      </c>
      <c r="I302" s="1" t="s">
        <v>1657</v>
      </c>
      <c r="J302" s="1" t="s">
        <v>1658</v>
      </c>
      <c r="K302" s="1" t="s">
        <v>1658</v>
      </c>
      <c r="L302" s="1" t="s">
        <v>1658</v>
      </c>
      <c r="M302" s="1" t="s">
        <v>1658</v>
      </c>
      <c r="N302" s="1" t="s">
        <v>1658</v>
      </c>
      <c r="O302" s="1" t="s">
        <v>1658</v>
      </c>
      <c r="P302" s="1">
        <v>1</v>
      </c>
      <c r="Q302" s="1" t="s">
        <v>1658</v>
      </c>
      <c r="R302" s="1">
        <v>0</v>
      </c>
      <c r="S302" s="1" t="s">
        <v>3018</v>
      </c>
      <c r="T302" s="6" t="s">
        <v>3018</v>
      </c>
      <c r="U302" s="1" t="str">
        <f t="shared" si="4"/>
        <v>Yes</v>
      </c>
      <c r="W302" s="1" t="s">
        <v>3019</v>
      </c>
      <c r="X302" s="1" t="str">
        <f>IF(COUNTIF('MyWells Drilling Comp'!F:F,E302)=0,"Missing","Exist")</f>
        <v>Exist</v>
      </c>
    </row>
    <row r="303" hidden="1" spans="1:24">
      <c r="A303" s="1" t="s">
        <v>1652</v>
      </c>
      <c r="B303" s="1" t="s">
        <v>90</v>
      </c>
      <c r="C303" s="1" t="s">
        <v>3020</v>
      </c>
      <c r="D303" s="1" t="s">
        <v>3016</v>
      </c>
      <c r="E303" s="1" t="s">
        <v>468</v>
      </c>
      <c r="F303" s="1" t="s">
        <v>3021</v>
      </c>
      <c r="G303" s="1">
        <v>1</v>
      </c>
      <c r="H303" s="1" t="s">
        <v>1656</v>
      </c>
      <c r="I303" s="1" t="s">
        <v>1657</v>
      </c>
      <c r="J303" s="1" t="s">
        <v>1658</v>
      </c>
      <c r="K303" s="1" t="s">
        <v>1658</v>
      </c>
      <c r="L303" s="1" t="s">
        <v>1658</v>
      </c>
      <c r="M303" s="1" t="s">
        <v>1658</v>
      </c>
      <c r="N303" s="1" t="s">
        <v>1658</v>
      </c>
      <c r="O303" s="1" t="s">
        <v>1658</v>
      </c>
      <c r="P303" s="1">
        <v>1</v>
      </c>
      <c r="Q303" s="1" t="s">
        <v>1658</v>
      </c>
      <c r="R303" s="1">
        <v>0</v>
      </c>
      <c r="S303" s="1" t="s">
        <v>3022</v>
      </c>
      <c r="T303" s="6" t="s">
        <v>3023</v>
      </c>
      <c r="U303" s="1" t="str">
        <f t="shared" si="4"/>
        <v>No</v>
      </c>
      <c r="W303" s="1" t="s">
        <v>3024</v>
      </c>
      <c r="X303" s="1" t="str">
        <f>IF(COUNTIF('MyWells Drilling Comp'!F:F,E303)=0,"Missing","Exist")</f>
        <v>Exist</v>
      </c>
    </row>
    <row r="304" hidden="1" spans="1:24">
      <c r="A304" s="1" t="s">
        <v>1652</v>
      </c>
      <c r="B304" s="1" t="s">
        <v>90</v>
      </c>
      <c r="C304" s="1" t="s">
        <v>3025</v>
      </c>
      <c r="D304" s="1" t="s">
        <v>3026</v>
      </c>
      <c r="E304" s="1" t="s">
        <v>119</v>
      </c>
      <c r="F304" s="1" t="s">
        <v>3027</v>
      </c>
      <c r="G304" s="1">
        <v>1</v>
      </c>
      <c r="H304" s="1" t="s">
        <v>1663</v>
      </c>
      <c r="I304" s="1" t="s">
        <v>1657</v>
      </c>
      <c r="J304" s="1" t="s">
        <v>1658</v>
      </c>
      <c r="K304" s="1" t="s">
        <v>1658</v>
      </c>
      <c r="L304" s="1" t="s">
        <v>1658</v>
      </c>
      <c r="M304" s="1" t="s">
        <v>1658</v>
      </c>
      <c r="N304" s="1" t="s">
        <v>1658</v>
      </c>
      <c r="O304" s="1" t="s">
        <v>1658</v>
      </c>
      <c r="P304" s="1">
        <v>1</v>
      </c>
      <c r="Q304" s="1" t="s">
        <v>1658</v>
      </c>
      <c r="R304" s="1">
        <v>0</v>
      </c>
      <c r="S304" s="1" t="s">
        <v>3028</v>
      </c>
      <c r="T304" s="6" t="s">
        <v>3028</v>
      </c>
      <c r="U304" s="1" t="str">
        <f t="shared" si="4"/>
        <v>Yes</v>
      </c>
      <c r="W304" s="1" t="s">
        <v>3029</v>
      </c>
      <c r="X304" s="1" t="str">
        <f>IF(COUNTIF('MyWells Drilling Comp'!F:F,E304)=0,"Missing","Exist")</f>
        <v>Exist</v>
      </c>
    </row>
    <row r="305" hidden="1" spans="1:24">
      <c r="A305" s="1" t="s">
        <v>1652</v>
      </c>
      <c r="B305" s="1" t="s">
        <v>90</v>
      </c>
      <c r="C305" s="1" t="s">
        <v>3030</v>
      </c>
      <c r="D305" s="1" t="s">
        <v>3026</v>
      </c>
      <c r="E305" s="1" t="s">
        <v>119</v>
      </c>
      <c r="F305" s="1" t="s">
        <v>3031</v>
      </c>
      <c r="G305" s="1">
        <v>1</v>
      </c>
      <c r="H305" s="1" t="s">
        <v>1656</v>
      </c>
      <c r="I305" s="1" t="s">
        <v>1657</v>
      </c>
      <c r="J305" s="1" t="s">
        <v>1658</v>
      </c>
      <c r="K305" s="1" t="s">
        <v>1658</v>
      </c>
      <c r="L305" s="1" t="s">
        <v>1658</v>
      </c>
      <c r="M305" s="1" t="s">
        <v>1658</v>
      </c>
      <c r="N305" s="1" t="s">
        <v>1658</v>
      </c>
      <c r="O305" s="1" t="s">
        <v>1658</v>
      </c>
      <c r="P305" s="1">
        <v>1</v>
      </c>
      <c r="Q305" s="1" t="s">
        <v>1658</v>
      </c>
      <c r="R305" s="1">
        <v>0</v>
      </c>
      <c r="S305" s="1" t="s">
        <v>3032</v>
      </c>
      <c r="T305" s="6" t="s">
        <v>3032</v>
      </c>
      <c r="U305" s="1" t="str">
        <f t="shared" si="4"/>
        <v>Yes</v>
      </c>
      <c r="W305" s="1" t="s">
        <v>3033</v>
      </c>
      <c r="X305" s="1" t="str">
        <f>IF(COUNTIF('MyWells Drilling Comp'!F:F,E305)=0,"Missing","Exist")</f>
        <v>Exist</v>
      </c>
    </row>
    <row r="306" hidden="1" spans="1:24">
      <c r="A306" s="1" t="s">
        <v>1652</v>
      </c>
      <c r="B306" s="1" t="s">
        <v>90</v>
      </c>
      <c r="C306" s="1" t="s">
        <v>3034</v>
      </c>
      <c r="D306" s="1" t="s">
        <v>3035</v>
      </c>
      <c r="E306" s="1" t="s">
        <v>554</v>
      </c>
      <c r="F306" s="1" t="s">
        <v>3036</v>
      </c>
      <c r="G306" s="1">
        <v>1</v>
      </c>
      <c r="H306" s="1" t="s">
        <v>1656</v>
      </c>
      <c r="I306" s="1" t="s">
        <v>1657</v>
      </c>
      <c r="J306" s="1" t="s">
        <v>1658</v>
      </c>
      <c r="K306" s="1" t="s">
        <v>1658</v>
      </c>
      <c r="L306" s="1" t="s">
        <v>1658</v>
      </c>
      <c r="M306" s="1" t="s">
        <v>1658</v>
      </c>
      <c r="N306" s="1" t="s">
        <v>1658</v>
      </c>
      <c r="O306" s="1" t="s">
        <v>1658</v>
      </c>
      <c r="P306" s="1">
        <v>1</v>
      </c>
      <c r="Q306" s="1" t="s">
        <v>1658</v>
      </c>
      <c r="R306" s="1">
        <v>0</v>
      </c>
      <c r="S306" s="1" t="s">
        <v>3037</v>
      </c>
      <c r="T306" s="6" t="s">
        <v>3038</v>
      </c>
      <c r="U306" s="1" t="str">
        <f t="shared" si="4"/>
        <v>No</v>
      </c>
      <c r="W306" s="1" t="s">
        <v>3039</v>
      </c>
      <c r="X306" s="1" t="str">
        <f>IF(COUNTIF('MyWells Drilling Comp'!F:F,E306)=0,"Missing","Exist")</f>
        <v>Exist</v>
      </c>
    </row>
    <row r="307" hidden="1" spans="1:24">
      <c r="A307" s="1" t="s">
        <v>1652</v>
      </c>
      <c r="B307" s="1" t="s">
        <v>90</v>
      </c>
      <c r="C307" s="1" t="s">
        <v>3040</v>
      </c>
      <c r="D307" s="1" t="s">
        <v>3035</v>
      </c>
      <c r="E307" s="1" t="s">
        <v>554</v>
      </c>
      <c r="F307" s="1" t="s">
        <v>3041</v>
      </c>
      <c r="G307" s="1">
        <v>1</v>
      </c>
      <c r="H307" s="1" t="s">
        <v>1663</v>
      </c>
      <c r="I307" s="1" t="s">
        <v>1657</v>
      </c>
      <c r="J307" s="1" t="s">
        <v>1658</v>
      </c>
      <c r="K307" s="1" t="s">
        <v>1658</v>
      </c>
      <c r="L307" s="1" t="s">
        <v>1658</v>
      </c>
      <c r="M307" s="1" t="s">
        <v>1658</v>
      </c>
      <c r="N307" s="1" t="s">
        <v>1658</v>
      </c>
      <c r="O307" s="1" t="s">
        <v>1658</v>
      </c>
      <c r="P307" s="1">
        <v>1</v>
      </c>
      <c r="Q307" s="1" t="s">
        <v>1658</v>
      </c>
      <c r="R307" s="1">
        <v>0</v>
      </c>
      <c r="S307" s="1" t="s">
        <v>3042</v>
      </c>
      <c r="T307" s="6" t="s">
        <v>3042</v>
      </c>
      <c r="U307" s="1" t="str">
        <f t="shared" si="4"/>
        <v>Yes</v>
      </c>
      <c r="W307" s="1" t="s">
        <v>3043</v>
      </c>
      <c r="X307" s="1" t="str">
        <f>IF(COUNTIF('MyWells Drilling Comp'!F:F,E307)=0,"Missing","Exist")</f>
        <v>Exist</v>
      </c>
    </row>
    <row r="308" hidden="1" spans="1:24">
      <c r="A308" s="1" t="s">
        <v>3044</v>
      </c>
      <c r="B308" s="1" t="s">
        <v>90</v>
      </c>
      <c r="C308" s="1" t="s">
        <v>3045</v>
      </c>
      <c r="D308" s="1" t="s">
        <v>3046</v>
      </c>
      <c r="E308" s="1" t="s">
        <v>1220</v>
      </c>
      <c r="F308" s="1" t="s">
        <v>3047</v>
      </c>
      <c r="G308" s="1">
        <v>1</v>
      </c>
      <c r="H308" s="1" t="s">
        <v>1656</v>
      </c>
      <c r="I308" s="1" t="s">
        <v>1657</v>
      </c>
      <c r="J308" s="1" t="s">
        <v>1658</v>
      </c>
      <c r="K308" s="1" t="s">
        <v>1658</v>
      </c>
      <c r="L308" s="1" t="s">
        <v>1658</v>
      </c>
      <c r="M308" s="1" t="s">
        <v>1658</v>
      </c>
      <c r="N308" s="1" t="s">
        <v>1658</v>
      </c>
      <c r="O308" s="1" t="s">
        <v>1658</v>
      </c>
      <c r="P308" s="1">
        <v>1</v>
      </c>
      <c r="Q308" s="1" t="s">
        <v>1658</v>
      </c>
      <c r="R308" s="1">
        <v>0</v>
      </c>
      <c r="S308" s="1" t="s">
        <v>3048</v>
      </c>
      <c r="T308" s="6"/>
      <c r="U308" s="1" t="str">
        <f t="shared" si="4"/>
        <v>No</v>
      </c>
      <c r="W308" s="1" t="s">
        <v>3049</v>
      </c>
      <c r="X308" s="1" t="str">
        <f>IF(COUNTIF('MyWells Drilling Comp'!F:F,E308)=0,"Missing","Exist")</f>
        <v>Exist</v>
      </c>
    </row>
    <row r="309" hidden="1" spans="1:24">
      <c r="A309" s="1" t="s">
        <v>1652</v>
      </c>
      <c r="B309" s="1" t="s">
        <v>90</v>
      </c>
      <c r="C309" s="7" t="s">
        <v>3050</v>
      </c>
      <c r="D309" s="1" t="s">
        <v>3046</v>
      </c>
      <c r="E309" s="1" t="s">
        <v>1220</v>
      </c>
      <c r="F309" s="1" t="s">
        <v>3051</v>
      </c>
      <c r="G309" s="1">
        <v>1</v>
      </c>
      <c r="H309" s="1" t="s">
        <v>1663</v>
      </c>
      <c r="I309" s="1" t="s">
        <v>1657</v>
      </c>
      <c r="J309" s="1" t="s">
        <v>1658</v>
      </c>
      <c r="K309" s="1" t="s">
        <v>1658</v>
      </c>
      <c r="L309" s="1" t="s">
        <v>1658</v>
      </c>
      <c r="M309" s="1" t="s">
        <v>1658</v>
      </c>
      <c r="N309" s="1" t="s">
        <v>1658</v>
      </c>
      <c r="O309" s="1" t="s">
        <v>1658</v>
      </c>
      <c r="P309" s="1">
        <v>1</v>
      </c>
      <c r="Q309" s="1" t="s">
        <v>1658</v>
      </c>
      <c r="R309" s="1">
        <v>0</v>
      </c>
      <c r="S309" s="1" t="s">
        <v>3052</v>
      </c>
      <c r="T309" s="6" t="s">
        <v>3052</v>
      </c>
      <c r="U309" s="1" t="str">
        <f t="shared" si="4"/>
        <v>Yes</v>
      </c>
      <c r="W309" s="1" t="s">
        <v>3053</v>
      </c>
      <c r="X309" s="1" t="str">
        <f>IF(COUNTIF('MyWells Drilling Comp'!F:F,E309)=0,"Missing","Exist")</f>
        <v>Exist</v>
      </c>
    </row>
    <row r="310" hidden="1" spans="1:24">
      <c r="A310" s="1" t="s">
        <v>1652</v>
      </c>
      <c r="B310" s="1" t="s">
        <v>90</v>
      </c>
      <c r="C310" s="1" t="s">
        <v>3054</v>
      </c>
      <c r="D310" s="1" t="s">
        <v>3055</v>
      </c>
      <c r="E310" s="1" t="s">
        <v>875</v>
      </c>
      <c r="F310" s="1" t="s">
        <v>3056</v>
      </c>
      <c r="G310" s="1">
        <v>1</v>
      </c>
      <c r="H310" s="1" t="s">
        <v>1663</v>
      </c>
      <c r="I310" s="1" t="s">
        <v>1657</v>
      </c>
      <c r="J310" s="1" t="s">
        <v>1658</v>
      </c>
      <c r="K310" s="1" t="s">
        <v>1658</v>
      </c>
      <c r="L310" s="1" t="s">
        <v>1658</v>
      </c>
      <c r="M310" s="1" t="s">
        <v>1658</v>
      </c>
      <c r="N310" s="1" t="s">
        <v>1658</v>
      </c>
      <c r="O310" s="1" t="s">
        <v>1658</v>
      </c>
      <c r="P310" s="1">
        <v>1</v>
      </c>
      <c r="Q310" s="1" t="s">
        <v>1658</v>
      </c>
      <c r="R310" s="1">
        <v>0</v>
      </c>
      <c r="S310" s="1" t="s">
        <v>3057</v>
      </c>
      <c r="T310" s="6"/>
      <c r="U310" s="1" t="str">
        <f t="shared" si="4"/>
        <v>No</v>
      </c>
      <c r="W310" s="1" t="s">
        <v>3058</v>
      </c>
      <c r="X310" s="1" t="str">
        <f>IF(COUNTIF('MyWells Drilling Comp'!F:F,E310)=0,"Missing","Exist")</f>
        <v>Exist</v>
      </c>
    </row>
    <row r="311" hidden="1" spans="1:24">
      <c r="A311" s="1" t="s">
        <v>1652</v>
      </c>
      <c r="B311" s="1" t="s">
        <v>90</v>
      </c>
      <c r="C311" s="1" t="s">
        <v>3059</v>
      </c>
      <c r="D311" s="1" t="s">
        <v>3055</v>
      </c>
      <c r="E311" s="1" t="s">
        <v>875</v>
      </c>
      <c r="F311" s="1" t="s">
        <v>3060</v>
      </c>
      <c r="G311" s="1">
        <v>1</v>
      </c>
      <c r="H311" s="1" t="s">
        <v>1656</v>
      </c>
      <c r="I311" s="1" t="s">
        <v>1657</v>
      </c>
      <c r="J311" s="1" t="s">
        <v>1658</v>
      </c>
      <c r="K311" s="1" t="s">
        <v>1658</v>
      </c>
      <c r="L311" s="1" t="s">
        <v>1658</v>
      </c>
      <c r="M311" s="1" t="s">
        <v>1658</v>
      </c>
      <c r="N311" s="1" t="s">
        <v>1658</v>
      </c>
      <c r="O311" s="1" t="s">
        <v>1658</v>
      </c>
      <c r="P311" s="1">
        <v>1</v>
      </c>
      <c r="Q311" s="1" t="s">
        <v>1658</v>
      </c>
      <c r="R311" s="1">
        <v>0</v>
      </c>
      <c r="S311" s="1" t="s">
        <v>3061</v>
      </c>
      <c r="T311" s="6"/>
      <c r="U311" s="1" t="str">
        <f t="shared" si="4"/>
        <v>No</v>
      </c>
      <c r="W311" s="1" t="s">
        <v>3062</v>
      </c>
      <c r="X311" s="1" t="str">
        <f>IF(COUNTIF('MyWells Drilling Comp'!F:F,E311)=0,"Missing","Exist")</f>
        <v>Exist</v>
      </c>
    </row>
    <row r="312" hidden="1" spans="1:24">
      <c r="A312" s="1" t="s">
        <v>1652</v>
      </c>
      <c r="B312" s="1" t="s">
        <v>90</v>
      </c>
      <c r="C312" s="1" t="s">
        <v>3063</v>
      </c>
      <c r="D312" s="1" t="s">
        <v>3064</v>
      </c>
      <c r="E312" s="1" t="s">
        <v>1310</v>
      </c>
      <c r="F312" s="1" t="s">
        <v>3065</v>
      </c>
      <c r="G312" s="1">
        <v>1</v>
      </c>
      <c r="H312" s="1" t="s">
        <v>1656</v>
      </c>
      <c r="I312" s="1" t="s">
        <v>1657</v>
      </c>
      <c r="J312" s="1" t="s">
        <v>1658</v>
      </c>
      <c r="K312" s="1" t="s">
        <v>1658</v>
      </c>
      <c r="L312" s="1" t="s">
        <v>1658</v>
      </c>
      <c r="M312" s="1" t="s">
        <v>1658</v>
      </c>
      <c r="N312" s="1" t="s">
        <v>1658</v>
      </c>
      <c r="O312" s="1" t="s">
        <v>1658</v>
      </c>
      <c r="P312" s="1">
        <v>1</v>
      </c>
      <c r="Q312" s="1" t="s">
        <v>1658</v>
      </c>
      <c r="R312" s="1">
        <v>0</v>
      </c>
      <c r="S312" s="1" t="s">
        <v>3066</v>
      </c>
      <c r="T312" s="6" t="s">
        <v>3066</v>
      </c>
      <c r="U312" s="1" t="str">
        <f t="shared" si="4"/>
        <v>Yes</v>
      </c>
      <c r="W312" s="1" t="s">
        <v>3067</v>
      </c>
      <c r="X312" s="1" t="str">
        <f>IF(COUNTIF('MyWells Drilling Comp'!F:F,E312)=0,"Missing","Exist")</f>
        <v>Exist</v>
      </c>
    </row>
    <row r="313" hidden="1" spans="1:24">
      <c r="A313" s="1" t="s">
        <v>1652</v>
      </c>
      <c r="B313" s="1" t="s">
        <v>90</v>
      </c>
      <c r="C313" s="1" t="s">
        <v>3068</v>
      </c>
      <c r="D313" s="1" t="s">
        <v>3064</v>
      </c>
      <c r="E313" s="1" t="s">
        <v>1310</v>
      </c>
      <c r="F313" s="1" t="s">
        <v>3069</v>
      </c>
      <c r="G313" s="1">
        <v>1</v>
      </c>
      <c r="H313" s="1" t="s">
        <v>1663</v>
      </c>
      <c r="I313" s="1" t="s">
        <v>1657</v>
      </c>
      <c r="J313" s="1" t="s">
        <v>1658</v>
      </c>
      <c r="K313" s="1" t="s">
        <v>1658</v>
      </c>
      <c r="L313" s="1" t="s">
        <v>1658</v>
      </c>
      <c r="M313" s="1" t="s">
        <v>1658</v>
      </c>
      <c r="N313" s="1" t="s">
        <v>1658</v>
      </c>
      <c r="O313" s="1" t="s">
        <v>1658</v>
      </c>
      <c r="P313" s="1">
        <v>1</v>
      </c>
      <c r="Q313" s="1" t="s">
        <v>1658</v>
      </c>
      <c r="R313" s="1">
        <v>0</v>
      </c>
      <c r="S313" s="1" t="s">
        <v>3070</v>
      </c>
      <c r="T313" s="6" t="s">
        <v>3070</v>
      </c>
      <c r="U313" s="1" t="str">
        <f t="shared" si="4"/>
        <v>Yes</v>
      </c>
      <c r="W313" s="1" t="s">
        <v>3071</v>
      </c>
      <c r="X313" s="1" t="str">
        <f>IF(COUNTIF('MyWells Drilling Comp'!F:F,E313)=0,"Missing","Exist")</f>
        <v>Exist</v>
      </c>
    </row>
    <row r="314" hidden="1" spans="1:24">
      <c r="A314" s="1" t="s">
        <v>1652</v>
      </c>
      <c r="B314" s="1" t="s">
        <v>90</v>
      </c>
      <c r="C314" s="1" t="s">
        <v>3072</v>
      </c>
      <c r="D314" s="1" t="s">
        <v>3073</v>
      </c>
      <c r="E314" s="1" t="s">
        <v>650</v>
      </c>
      <c r="F314" s="1" t="s">
        <v>3074</v>
      </c>
      <c r="G314" s="1">
        <v>1</v>
      </c>
      <c r="H314" s="1" t="s">
        <v>1663</v>
      </c>
      <c r="I314" s="1" t="s">
        <v>1657</v>
      </c>
      <c r="J314" s="1" t="s">
        <v>1658</v>
      </c>
      <c r="K314" s="1" t="s">
        <v>1658</v>
      </c>
      <c r="L314" s="1" t="s">
        <v>1658</v>
      </c>
      <c r="M314" s="1" t="s">
        <v>1658</v>
      </c>
      <c r="N314" s="1" t="s">
        <v>1658</v>
      </c>
      <c r="O314" s="1" t="s">
        <v>1658</v>
      </c>
      <c r="P314" s="1">
        <v>1</v>
      </c>
      <c r="Q314" s="1" t="s">
        <v>1658</v>
      </c>
      <c r="R314" s="1">
        <v>0</v>
      </c>
      <c r="S314" s="1" t="s">
        <v>3075</v>
      </c>
      <c r="T314" s="6"/>
      <c r="U314" s="1" t="str">
        <f t="shared" si="4"/>
        <v>No</v>
      </c>
      <c r="W314" s="1" t="s">
        <v>3076</v>
      </c>
      <c r="X314" s="1" t="str">
        <f>IF(COUNTIF('MyWells Drilling Comp'!F:F,E314)=0,"Missing","Exist")</f>
        <v>Exist</v>
      </c>
    </row>
    <row r="315" hidden="1" spans="1:24">
      <c r="A315" s="1" t="s">
        <v>1652</v>
      </c>
      <c r="B315" s="1" t="s">
        <v>90</v>
      </c>
      <c r="C315" s="1" t="s">
        <v>3077</v>
      </c>
      <c r="D315" s="1" t="s">
        <v>3073</v>
      </c>
      <c r="E315" s="1" t="s">
        <v>650</v>
      </c>
      <c r="F315" s="1" t="s">
        <v>3078</v>
      </c>
      <c r="G315" s="1">
        <v>1</v>
      </c>
      <c r="H315" s="1" t="s">
        <v>1656</v>
      </c>
      <c r="I315" s="1" t="s">
        <v>1657</v>
      </c>
      <c r="J315" s="1" t="s">
        <v>1658</v>
      </c>
      <c r="K315" s="1" t="s">
        <v>1658</v>
      </c>
      <c r="L315" s="1" t="s">
        <v>1658</v>
      </c>
      <c r="M315" s="1" t="s">
        <v>1658</v>
      </c>
      <c r="N315" s="1" t="s">
        <v>1658</v>
      </c>
      <c r="O315" s="1" t="s">
        <v>1658</v>
      </c>
      <c r="P315" s="1">
        <v>1</v>
      </c>
      <c r="Q315" s="1" t="s">
        <v>1658</v>
      </c>
      <c r="R315" s="1">
        <v>0</v>
      </c>
      <c r="S315" s="1" t="s">
        <v>3079</v>
      </c>
      <c r="T315" s="6"/>
      <c r="U315" s="1" t="str">
        <f t="shared" si="4"/>
        <v>No</v>
      </c>
      <c r="W315" s="1" t="s">
        <v>3080</v>
      </c>
      <c r="X315" s="1" t="str">
        <f>IF(COUNTIF('MyWells Drilling Comp'!F:F,E315)=0,"Missing","Exist")</f>
        <v>Exist</v>
      </c>
    </row>
    <row r="316" hidden="1" spans="1:24">
      <c r="A316" s="1" t="s">
        <v>1652</v>
      </c>
      <c r="B316" s="1" t="s">
        <v>90</v>
      </c>
      <c r="C316" s="1" t="s">
        <v>3081</v>
      </c>
      <c r="D316" s="1" t="s">
        <v>3082</v>
      </c>
      <c r="E316" s="1" t="s">
        <v>600</v>
      </c>
      <c r="F316" s="1" t="s">
        <v>3083</v>
      </c>
      <c r="G316" s="1">
        <v>1</v>
      </c>
      <c r="H316" s="1" t="s">
        <v>1656</v>
      </c>
      <c r="I316" s="1" t="s">
        <v>1657</v>
      </c>
      <c r="J316" s="1" t="s">
        <v>1658</v>
      </c>
      <c r="K316" s="1" t="s">
        <v>1658</v>
      </c>
      <c r="L316" s="1" t="s">
        <v>1658</v>
      </c>
      <c r="M316" s="1" t="s">
        <v>1658</v>
      </c>
      <c r="N316" s="1" t="s">
        <v>1658</v>
      </c>
      <c r="O316" s="1" t="s">
        <v>1658</v>
      </c>
      <c r="P316" s="1">
        <v>1</v>
      </c>
      <c r="Q316" s="1" t="s">
        <v>1658</v>
      </c>
      <c r="R316" s="1">
        <v>0</v>
      </c>
      <c r="S316" s="1" t="s">
        <v>3084</v>
      </c>
      <c r="T316" s="6"/>
      <c r="U316" s="1" t="str">
        <f t="shared" si="4"/>
        <v>No</v>
      </c>
      <c r="W316" s="1" t="s">
        <v>3085</v>
      </c>
      <c r="X316" s="1" t="str">
        <f>IF(COUNTIF('MyWells Drilling Comp'!F:F,E316)=0,"Missing","Exist")</f>
        <v>Exist</v>
      </c>
    </row>
    <row r="317" hidden="1" spans="1:24">
      <c r="A317" s="1" t="s">
        <v>1652</v>
      </c>
      <c r="B317" s="1" t="s">
        <v>90</v>
      </c>
      <c r="C317" s="1" t="s">
        <v>3086</v>
      </c>
      <c r="D317" s="1" t="s">
        <v>3082</v>
      </c>
      <c r="E317" s="1" t="s">
        <v>600</v>
      </c>
      <c r="F317" s="1" t="s">
        <v>3087</v>
      </c>
      <c r="G317" s="1">
        <v>1</v>
      </c>
      <c r="H317" s="1" t="s">
        <v>1663</v>
      </c>
      <c r="I317" s="1" t="s">
        <v>1657</v>
      </c>
      <c r="J317" s="1" t="s">
        <v>1658</v>
      </c>
      <c r="K317" s="1" t="s">
        <v>1658</v>
      </c>
      <c r="L317" s="1" t="s">
        <v>1658</v>
      </c>
      <c r="M317" s="1" t="s">
        <v>1658</v>
      </c>
      <c r="N317" s="1" t="s">
        <v>1658</v>
      </c>
      <c r="O317" s="1" t="s">
        <v>1658</v>
      </c>
      <c r="P317" s="1">
        <v>1</v>
      </c>
      <c r="Q317" s="1" t="s">
        <v>1658</v>
      </c>
      <c r="R317" s="1">
        <v>0</v>
      </c>
      <c r="S317" s="1" t="s">
        <v>3088</v>
      </c>
      <c r="T317" s="6" t="s">
        <v>3088</v>
      </c>
      <c r="U317" s="1" t="str">
        <f t="shared" si="4"/>
        <v>Yes</v>
      </c>
      <c r="W317" s="1" t="s">
        <v>3089</v>
      </c>
      <c r="X317" s="1" t="str">
        <f>IF(COUNTIF('MyWells Drilling Comp'!F:F,E317)=0,"Missing","Exist")</f>
        <v>Exist</v>
      </c>
    </row>
    <row r="318" hidden="1" spans="1:24">
      <c r="A318" s="1" t="s">
        <v>1652</v>
      </c>
      <c r="B318" s="1" t="s">
        <v>90</v>
      </c>
      <c r="C318" s="1" t="s">
        <v>3090</v>
      </c>
      <c r="D318" s="1" t="s">
        <v>3091</v>
      </c>
      <c r="E318" s="1" t="s">
        <v>576</v>
      </c>
      <c r="F318" s="1" t="s">
        <v>3092</v>
      </c>
      <c r="G318" s="1">
        <v>1</v>
      </c>
      <c r="H318" s="1" t="s">
        <v>1663</v>
      </c>
      <c r="I318" s="1" t="s">
        <v>1657</v>
      </c>
      <c r="J318" s="1" t="s">
        <v>1658</v>
      </c>
      <c r="K318" s="1" t="s">
        <v>1658</v>
      </c>
      <c r="L318" s="1" t="s">
        <v>1658</v>
      </c>
      <c r="M318" s="1" t="s">
        <v>1658</v>
      </c>
      <c r="N318" s="1" t="s">
        <v>1658</v>
      </c>
      <c r="O318" s="1" t="s">
        <v>1658</v>
      </c>
      <c r="P318" s="1">
        <v>1</v>
      </c>
      <c r="Q318" s="1" t="s">
        <v>1658</v>
      </c>
      <c r="R318" s="1">
        <v>0</v>
      </c>
      <c r="S318" s="1" t="s">
        <v>3093</v>
      </c>
      <c r="T318" s="6" t="s">
        <v>3093</v>
      </c>
      <c r="U318" s="1" t="str">
        <f t="shared" si="4"/>
        <v>Yes</v>
      </c>
      <c r="W318" s="1" t="s">
        <v>3094</v>
      </c>
      <c r="X318" s="1" t="str">
        <f>IF(COUNTIF('MyWells Drilling Comp'!F:F,E318)=0,"Missing","Exist")</f>
        <v>Exist</v>
      </c>
    </row>
    <row r="319" hidden="1" spans="1:24">
      <c r="A319" s="1" t="s">
        <v>1652</v>
      </c>
      <c r="B319" s="1" t="s">
        <v>90</v>
      </c>
      <c r="C319" s="1" t="s">
        <v>3095</v>
      </c>
      <c r="D319" s="1" t="s">
        <v>3091</v>
      </c>
      <c r="E319" s="1" t="s">
        <v>576</v>
      </c>
      <c r="F319" s="1" t="s">
        <v>3096</v>
      </c>
      <c r="G319" s="1">
        <v>1</v>
      </c>
      <c r="H319" s="1" t="s">
        <v>1656</v>
      </c>
      <c r="I319" s="1" t="s">
        <v>1657</v>
      </c>
      <c r="J319" s="1" t="s">
        <v>1658</v>
      </c>
      <c r="K319" s="1" t="s">
        <v>1658</v>
      </c>
      <c r="L319" s="1" t="s">
        <v>1658</v>
      </c>
      <c r="M319" s="1" t="s">
        <v>1658</v>
      </c>
      <c r="N319" s="1" t="s">
        <v>1658</v>
      </c>
      <c r="O319" s="1" t="s">
        <v>1658</v>
      </c>
      <c r="P319" s="1">
        <v>1</v>
      </c>
      <c r="Q319" s="1" t="s">
        <v>1658</v>
      </c>
      <c r="R319" s="1">
        <v>0</v>
      </c>
      <c r="S319" s="1" t="s">
        <v>3097</v>
      </c>
      <c r="T319" s="6" t="s">
        <v>3097</v>
      </c>
      <c r="U319" s="1" t="str">
        <f t="shared" si="4"/>
        <v>Yes</v>
      </c>
      <c r="W319" s="1" t="s">
        <v>3098</v>
      </c>
      <c r="X319" s="1" t="str">
        <f>IF(COUNTIF('MyWells Drilling Comp'!F:F,E319)=0,"Missing","Exist")</f>
        <v>Exist</v>
      </c>
    </row>
    <row r="320" hidden="1" spans="1:24">
      <c r="A320" s="1" t="s">
        <v>1652</v>
      </c>
      <c r="B320" s="1" t="s">
        <v>90</v>
      </c>
      <c r="C320" s="1" t="s">
        <v>3099</v>
      </c>
      <c r="D320" s="1" t="s">
        <v>3100</v>
      </c>
      <c r="E320" s="1" t="s">
        <v>1017</v>
      </c>
      <c r="F320" s="1" t="s">
        <v>3101</v>
      </c>
      <c r="G320" s="1">
        <v>1</v>
      </c>
      <c r="H320" s="1" t="s">
        <v>1656</v>
      </c>
      <c r="I320" s="1" t="s">
        <v>1657</v>
      </c>
      <c r="J320" s="1" t="s">
        <v>1658</v>
      </c>
      <c r="K320" s="1" t="s">
        <v>1658</v>
      </c>
      <c r="L320" s="1" t="s">
        <v>1658</v>
      </c>
      <c r="M320" s="1" t="s">
        <v>1658</v>
      </c>
      <c r="N320" s="1" t="s">
        <v>1658</v>
      </c>
      <c r="O320" s="1" t="s">
        <v>1658</v>
      </c>
      <c r="P320" s="1">
        <v>1</v>
      </c>
      <c r="Q320" s="1" t="s">
        <v>1658</v>
      </c>
      <c r="R320" s="1">
        <v>0</v>
      </c>
      <c r="S320" s="1" t="s">
        <v>3102</v>
      </c>
      <c r="T320" s="6"/>
      <c r="U320" s="1" t="str">
        <f t="shared" si="4"/>
        <v>No</v>
      </c>
      <c r="W320" s="1" t="s">
        <v>3103</v>
      </c>
      <c r="X320" s="1" t="str">
        <f>IF(COUNTIF('MyWells Drilling Comp'!F:F,E320)=0,"Missing","Exist")</f>
        <v>Exist</v>
      </c>
    </row>
    <row r="321" hidden="1" spans="1:24">
      <c r="A321" s="1" t="s">
        <v>1652</v>
      </c>
      <c r="B321" s="1" t="s">
        <v>90</v>
      </c>
      <c r="C321" s="1" t="s">
        <v>3104</v>
      </c>
      <c r="D321" s="1" t="s">
        <v>3100</v>
      </c>
      <c r="E321" s="1" t="s">
        <v>1017</v>
      </c>
      <c r="F321" s="1" t="s">
        <v>3105</v>
      </c>
      <c r="G321" s="1">
        <v>1</v>
      </c>
      <c r="H321" s="1" t="s">
        <v>1663</v>
      </c>
      <c r="I321" s="1" t="s">
        <v>1657</v>
      </c>
      <c r="J321" s="1" t="s">
        <v>1658</v>
      </c>
      <c r="K321" s="1" t="s">
        <v>1658</v>
      </c>
      <c r="L321" s="1" t="s">
        <v>1658</v>
      </c>
      <c r="M321" s="1" t="s">
        <v>1658</v>
      </c>
      <c r="N321" s="1" t="s">
        <v>1658</v>
      </c>
      <c r="O321" s="1" t="s">
        <v>1658</v>
      </c>
      <c r="P321" s="1">
        <v>1</v>
      </c>
      <c r="Q321" s="1" t="s">
        <v>1658</v>
      </c>
      <c r="R321" s="1">
        <v>0</v>
      </c>
      <c r="S321" s="1" t="s">
        <v>3106</v>
      </c>
      <c r="T321" s="6" t="s">
        <v>3106</v>
      </c>
      <c r="U321" s="1" t="str">
        <f t="shared" si="4"/>
        <v>Yes</v>
      </c>
      <c r="W321" s="1" t="s">
        <v>3107</v>
      </c>
      <c r="X321" s="1" t="str">
        <f>IF(COUNTIF('MyWells Drilling Comp'!F:F,E321)=0,"Missing","Exist")</f>
        <v>Exist</v>
      </c>
    </row>
    <row r="322" hidden="1" spans="1:24">
      <c r="A322" s="1" t="s">
        <v>1652</v>
      </c>
      <c r="B322" s="1" t="s">
        <v>90</v>
      </c>
      <c r="C322" s="1" t="s">
        <v>3108</v>
      </c>
      <c r="D322" s="1" t="s">
        <v>3109</v>
      </c>
      <c r="E322" s="1" t="s">
        <v>1089</v>
      </c>
      <c r="F322" s="1" t="s">
        <v>3110</v>
      </c>
      <c r="G322" s="1">
        <v>1</v>
      </c>
      <c r="H322" s="1" t="s">
        <v>1663</v>
      </c>
      <c r="I322" s="1" t="s">
        <v>1657</v>
      </c>
      <c r="J322" s="1" t="s">
        <v>1658</v>
      </c>
      <c r="K322" s="1" t="s">
        <v>1658</v>
      </c>
      <c r="L322" s="1" t="s">
        <v>1658</v>
      </c>
      <c r="M322" s="1" t="s">
        <v>1658</v>
      </c>
      <c r="N322" s="1" t="s">
        <v>1658</v>
      </c>
      <c r="O322" s="1" t="s">
        <v>1658</v>
      </c>
      <c r="P322" s="1">
        <v>1</v>
      </c>
      <c r="Q322" s="1" t="s">
        <v>1658</v>
      </c>
      <c r="R322" s="1">
        <v>0</v>
      </c>
      <c r="S322" s="1" t="s">
        <v>3111</v>
      </c>
      <c r="T322" s="6" t="s">
        <v>3111</v>
      </c>
      <c r="U322" s="1" t="str">
        <f t="shared" ref="U322:U385" si="5">IF(S322=T322,"Yes","No")</f>
        <v>Yes</v>
      </c>
      <c r="W322" s="1" t="s">
        <v>3112</v>
      </c>
      <c r="X322" s="1" t="str">
        <f>IF(COUNTIF('MyWells Drilling Comp'!F:F,E322)=0,"Missing","Exist")</f>
        <v>Exist</v>
      </c>
    </row>
    <row r="323" hidden="1" spans="1:24">
      <c r="A323" s="1" t="s">
        <v>1652</v>
      </c>
      <c r="B323" s="1" t="s">
        <v>90</v>
      </c>
      <c r="C323" s="1" t="s">
        <v>3113</v>
      </c>
      <c r="D323" s="1" t="s">
        <v>3109</v>
      </c>
      <c r="E323" s="1" t="s">
        <v>1089</v>
      </c>
      <c r="F323" s="1" t="s">
        <v>3114</v>
      </c>
      <c r="G323" s="1">
        <v>1</v>
      </c>
      <c r="H323" s="1" t="s">
        <v>1656</v>
      </c>
      <c r="I323" s="1" t="s">
        <v>1657</v>
      </c>
      <c r="J323" s="1" t="s">
        <v>1658</v>
      </c>
      <c r="K323" s="1" t="s">
        <v>1658</v>
      </c>
      <c r="L323" s="1" t="s">
        <v>1658</v>
      </c>
      <c r="M323" s="1" t="s">
        <v>1658</v>
      </c>
      <c r="N323" s="1" t="s">
        <v>1658</v>
      </c>
      <c r="O323" s="1" t="s">
        <v>1658</v>
      </c>
      <c r="P323" s="1">
        <v>1</v>
      </c>
      <c r="Q323" s="1" t="s">
        <v>1658</v>
      </c>
      <c r="R323" s="1">
        <v>0</v>
      </c>
      <c r="S323" s="1" t="s">
        <v>3115</v>
      </c>
      <c r="T323" s="6" t="s">
        <v>3115</v>
      </c>
      <c r="U323" s="1" t="str">
        <f t="shared" si="5"/>
        <v>Yes</v>
      </c>
      <c r="W323" s="1" t="s">
        <v>3116</v>
      </c>
      <c r="X323" s="1" t="str">
        <f>IF(COUNTIF('MyWells Drilling Comp'!F:F,E323)=0,"Missing","Exist")</f>
        <v>Exist</v>
      </c>
    </row>
    <row r="324" hidden="1" spans="1:24">
      <c r="A324" s="1" t="s">
        <v>1652</v>
      </c>
      <c r="B324" s="1" t="s">
        <v>90</v>
      </c>
      <c r="C324" s="1" t="s">
        <v>3117</v>
      </c>
      <c r="D324" s="1" t="s">
        <v>3118</v>
      </c>
      <c r="E324" s="1" t="s">
        <v>1412</v>
      </c>
      <c r="F324" s="1" t="s">
        <v>3119</v>
      </c>
      <c r="G324" s="1">
        <v>1</v>
      </c>
      <c r="H324" s="1" t="s">
        <v>1656</v>
      </c>
      <c r="I324" s="1" t="s">
        <v>1657</v>
      </c>
      <c r="J324" s="1" t="s">
        <v>1658</v>
      </c>
      <c r="K324" s="1" t="s">
        <v>1658</v>
      </c>
      <c r="L324" s="1" t="s">
        <v>1658</v>
      </c>
      <c r="M324" s="1" t="s">
        <v>1658</v>
      </c>
      <c r="N324" s="1" t="s">
        <v>1658</v>
      </c>
      <c r="O324" s="1" t="s">
        <v>1658</v>
      </c>
      <c r="P324" s="1">
        <v>1</v>
      </c>
      <c r="Q324" s="1" t="s">
        <v>1658</v>
      </c>
      <c r="R324" s="1">
        <v>0</v>
      </c>
      <c r="S324" s="1" t="s">
        <v>3120</v>
      </c>
      <c r="T324" s="6" t="s">
        <v>3120</v>
      </c>
      <c r="U324" s="1" t="str">
        <f t="shared" si="5"/>
        <v>Yes</v>
      </c>
      <c r="W324" s="1" t="s">
        <v>3121</v>
      </c>
      <c r="X324" s="1" t="str">
        <f>IF(COUNTIF('MyWells Drilling Comp'!F:F,E324)=0,"Missing","Exist")</f>
        <v>Exist</v>
      </c>
    </row>
    <row r="325" hidden="1" spans="1:24">
      <c r="A325" s="1" t="s">
        <v>1652</v>
      </c>
      <c r="B325" s="1" t="s">
        <v>90</v>
      </c>
      <c r="C325" s="1" t="s">
        <v>3122</v>
      </c>
      <c r="D325" s="1" t="s">
        <v>3118</v>
      </c>
      <c r="E325" s="1" t="s">
        <v>1412</v>
      </c>
      <c r="F325" s="1" t="s">
        <v>3123</v>
      </c>
      <c r="G325" s="1">
        <v>1</v>
      </c>
      <c r="H325" s="1" t="s">
        <v>1663</v>
      </c>
      <c r="I325" s="1" t="s">
        <v>1657</v>
      </c>
      <c r="J325" s="1" t="s">
        <v>1658</v>
      </c>
      <c r="K325" s="1" t="s">
        <v>1658</v>
      </c>
      <c r="L325" s="1" t="s">
        <v>1658</v>
      </c>
      <c r="M325" s="1" t="s">
        <v>1658</v>
      </c>
      <c r="N325" s="1" t="s">
        <v>1658</v>
      </c>
      <c r="O325" s="1" t="s">
        <v>1658</v>
      </c>
      <c r="P325" s="1">
        <v>1</v>
      </c>
      <c r="Q325" s="1" t="s">
        <v>1658</v>
      </c>
      <c r="R325" s="1">
        <v>0</v>
      </c>
      <c r="S325" s="1" t="s">
        <v>3124</v>
      </c>
      <c r="T325" s="6" t="s">
        <v>3124</v>
      </c>
      <c r="U325" s="1" t="str">
        <f t="shared" si="5"/>
        <v>Yes</v>
      </c>
      <c r="W325" s="1" t="s">
        <v>3125</v>
      </c>
      <c r="X325" s="1" t="str">
        <f>IF(COUNTIF('MyWells Drilling Comp'!F:F,E325)=0,"Missing","Exist")</f>
        <v>Exist</v>
      </c>
    </row>
    <row r="326" hidden="1" spans="1:24">
      <c r="A326" s="1" t="s">
        <v>1652</v>
      </c>
      <c r="B326" s="1" t="s">
        <v>90</v>
      </c>
      <c r="C326" s="1" t="s">
        <v>3126</v>
      </c>
      <c r="D326" s="1" t="s">
        <v>3127</v>
      </c>
      <c r="E326" s="1" t="s">
        <v>1403</v>
      </c>
      <c r="F326" s="1" t="s">
        <v>3128</v>
      </c>
      <c r="G326" s="1">
        <v>1</v>
      </c>
      <c r="H326" s="1" t="s">
        <v>1663</v>
      </c>
      <c r="I326" s="1" t="s">
        <v>1657</v>
      </c>
      <c r="J326" s="1" t="s">
        <v>1658</v>
      </c>
      <c r="K326" s="1" t="s">
        <v>1658</v>
      </c>
      <c r="L326" s="1" t="s">
        <v>1658</v>
      </c>
      <c r="M326" s="1" t="s">
        <v>1658</v>
      </c>
      <c r="N326" s="1" t="s">
        <v>1658</v>
      </c>
      <c r="O326" s="1" t="s">
        <v>1658</v>
      </c>
      <c r="P326" s="1">
        <v>1</v>
      </c>
      <c r="Q326" s="1" t="s">
        <v>1658</v>
      </c>
      <c r="R326" s="1">
        <v>0</v>
      </c>
      <c r="S326" s="1" t="s">
        <v>3129</v>
      </c>
      <c r="T326" s="6" t="s">
        <v>3129</v>
      </c>
      <c r="U326" s="1" t="str">
        <f t="shared" si="5"/>
        <v>Yes</v>
      </c>
      <c r="W326" s="1" t="s">
        <v>3130</v>
      </c>
      <c r="X326" s="1" t="str">
        <f>IF(COUNTIF('MyWells Drilling Comp'!F:F,E326)=0,"Missing","Exist")</f>
        <v>Exist</v>
      </c>
    </row>
    <row r="327" hidden="1" spans="1:24">
      <c r="A327" s="1" t="s">
        <v>1652</v>
      </c>
      <c r="B327" s="1" t="s">
        <v>90</v>
      </c>
      <c r="C327" s="1" t="s">
        <v>3131</v>
      </c>
      <c r="D327" s="1" t="s">
        <v>3127</v>
      </c>
      <c r="E327" s="1" t="s">
        <v>1403</v>
      </c>
      <c r="F327" s="1" t="s">
        <v>3132</v>
      </c>
      <c r="G327" s="1">
        <v>1</v>
      </c>
      <c r="H327" s="1" t="s">
        <v>1656</v>
      </c>
      <c r="I327" s="1" t="s">
        <v>1657</v>
      </c>
      <c r="J327" s="1" t="s">
        <v>1658</v>
      </c>
      <c r="K327" s="1" t="s">
        <v>1658</v>
      </c>
      <c r="L327" s="1" t="s">
        <v>1658</v>
      </c>
      <c r="M327" s="1" t="s">
        <v>1658</v>
      </c>
      <c r="N327" s="1" t="s">
        <v>1658</v>
      </c>
      <c r="O327" s="1" t="s">
        <v>1658</v>
      </c>
      <c r="P327" s="1">
        <v>1</v>
      </c>
      <c r="Q327" s="1" t="s">
        <v>1658</v>
      </c>
      <c r="R327" s="1">
        <v>0</v>
      </c>
      <c r="S327" s="1" t="s">
        <v>3133</v>
      </c>
      <c r="T327" s="6"/>
      <c r="U327" s="1" t="str">
        <f t="shared" si="5"/>
        <v>No</v>
      </c>
      <c r="W327" s="1" t="s">
        <v>3134</v>
      </c>
      <c r="X327" s="1" t="str">
        <f>IF(COUNTIF('MyWells Drilling Comp'!F:F,E327)=0,"Missing","Exist")</f>
        <v>Exist</v>
      </c>
    </row>
    <row r="328" hidden="1" spans="1:24">
      <c r="A328" s="1" t="s">
        <v>1652</v>
      </c>
      <c r="B328" s="1" t="s">
        <v>90</v>
      </c>
      <c r="C328" s="1" t="s">
        <v>3135</v>
      </c>
      <c r="D328" s="1" t="s">
        <v>3136</v>
      </c>
      <c r="E328" s="1" t="s">
        <v>1534</v>
      </c>
      <c r="F328" s="1" t="s">
        <v>3137</v>
      </c>
      <c r="G328" s="1">
        <v>1</v>
      </c>
      <c r="H328" s="1" t="s">
        <v>1656</v>
      </c>
      <c r="I328" s="1" t="s">
        <v>1657</v>
      </c>
      <c r="J328" s="1" t="s">
        <v>1658</v>
      </c>
      <c r="K328" s="1" t="s">
        <v>1658</v>
      </c>
      <c r="L328" s="1" t="s">
        <v>1658</v>
      </c>
      <c r="M328" s="1" t="s">
        <v>1658</v>
      </c>
      <c r="N328" s="1" t="s">
        <v>1658</v>
      </c>
      <c r="O328" s="1" t="s">
        <v>1658</v>
      </c>
      <c r="P328" s="1">
        <v>1</v>
      </c>
      <c r="Q328" s="1" t="s">
        <v>1658</v>
      </c>
      <c r="R328" s="1">
        <v>0</v>
      </c>
      <c r="S328" s="1" t="s">
        <v>3138</v>
      </c>
      <c r="T328" s="6" t="s">
        <v>3138</v>
      </c>
      <c r="U328" s="1" t="str">
        <f t="shared" si="5"/>
        <v>Yes</v>
      </c>
      <c r="W328" s="1" t="s">
        <v>3139</v>
      </c>
      <c r="X328" s="1" t="str">
        <f>IF(COUNTIF('MyWells Drilling Comp'!F:F,E328)=0,"Missing","Exist")</f>
        <v>Exist</v>
      </c>
    </row>
    <row r="329" hidden="1" spans="1:24">
      <c r="A329" s="1" t="s">
        <v>1652</v>
      </c>
      <c r="B329" s="1" t="s">
        <v>90</v>
      </c>
      <c r="C329" s="1" t="s">
        <v>3140</v>
      </c>
      <c r="D329" s="1" t="s">
        <v>3136</v>
      </c>
      <c r="E329" s="1" t="s">
        <v>1534</v>
      </c>
      <c r="F329" s="1" t="s">
        <v>3141</v>
      </c>
      <c r="G329" s="1">
        <v>1</v>
      </c>
      <c r="H329" s="1" t="s">
        <v>1663</v>
      </c>
      <c r="I329" s="1" t="s">
        <v>1657</v>
      </c>
      <c r="J329" s="1" t="s">
        <v>1658</v>
      </c>
      <c r="K329" s="1" t="s">
        <v>1658</v>
      </c>
      <c r="L329" s="1" t="s">
        <v>1658</v>
      </c>
      <c r="M329" s="1" t="s">
        <v>1658</v>
      </c>
      <c r="N329" s="1" t="s">
        <v>1658</v>
      </c>
      <c r="O329" s="1" t="s">
        <v>1658</v>
      </c>
      <c r="P329" s="1">
        <v>1</v>
      </c>
      <c r="Q329" s="1" t="s">
        <v>1658</v>
      </c>
      <c r="R329" s="1">
        <v>0</v>
      </c>
      <c r="S329" s="1" t="s">
        <v>3142</v>
      </c>
      <c r="T329" s="6" t="s">
        <v>3142</v>
      </c>
      <c r="U329" s="1" t="str">
        <f t="shared" si="5"/>
        <v>Yes</v>
      </c>
      <c r="W329" s="1" t="s">
        <v>3143</v>
      </c>
      <c r="X329" s="1" t="str">
        <f>IF(COUNTIF('MyWells Drilling Comp'!F:F,E329)=0,"Missing","Exist")</f>
        <v>Exist</v>
      </c>
    </row>
    <row r="330" hidden="1" spans="1:24">
      <c r="A330" s="1" t="s">
        <v>1652</v>
      </c>
      <c r="C330" s="1" t="s">
        <v>3144</v>
      </c>
      <c r="D330" s="1" t="s">
        <v>3145</v>
      </c>
      <c r="E330" s="9" t="s">
        <v>469</v>
      </c>
      <c r="F330" s="1" t="s">
        <v>3146</v>
      </c>
      <c r="G330" s="1">
        <v>1</v>
      </c>
      <c r="H330" s="1" t="s">
        <v>1656</v>
      </c>
      <c r="I330" s="1" t="s">
        <v>1657</v>
      </c>
      <c r="J330" s="1" t="s">
        <v>1658</v>
      </c>
      <c r="K330" s="1" t="s">
        <v>1658</v>
      </c>
      <c r="L330" s="1" t="s">
        <v>1658</v>
      </c>
      <c r="M330" s="1" t="s">
        <v>1658</v>
      </c>
      <c r="N330" s="1" t="s">
        <v>1658</v>
      </c>
      <c r="O330" s="1" t="s">
        <v>1658</v>
      </c>
      <c r="P330" s="1">
        <v>1</v>
      </c>
      <c r="Q330" s="1" t="s">
        <v>1658</v>
      </c>
      <c r="R330" s="1">
        <v>0</v>
      </c>
      <c r="S330" s="1" t="s">
        <v>1658</v>
      </c>
      <c r="T330" s="6"/>
      <c r="U330" s="1" t="str">
        <f t="shared" si="5"/>
        <v>No</v>
      </c>
      <c r="W330" s="1" t="s">
        <v>3147</v>
      </c>
      <c r="X330" s="1" t="str">
        <f>IF(COUNTIF('MyWells Drilling Comp'!F:F,E330)=0,"Missing","Exist")</f>
        <v>Exist</v>
      </c>
    </row>
    <row r="331" hidden="1" spans="1:24">
      <c r="A331" s="1" t="s">
        <v>1652</v>
      </c>
      <c r="B331" s="1" t="s">
        <v>90</v>
      </c>
      <c r="C331" s="7" t="s">
        <v>3148</v>
      </c>
      <c r="D331" s="1" t="s">
        <v>3145</v>
      </c>
      <c r="E331" s="1" t="s">
        <v>469</v>
      </c>
      <c r="F331" s="1" t="s">
        <v>3149</v>
      </c>
      <c r="G331" s="1">
        <v>1</v>
      </c>
      <c r="H331" s="1" t="s">
        <v>1663</v>
      </c>
      <c r="I331" s="1" t="s">
        <v>1657</v>
      </c>
      <c r="J331" s="1" t="s">
        <v>1658</v>
      </c>
      <c r="K331" s="1" t="s">
        <v>1658</v>
      </c>
      <c r="L331" s="1" t="s">
        <v>1658</v>
      </c>
      <c r="M331" s="1" t="s">
        <v>1658</v>
      </c>
      <c r="N331" s="1" t="s">
        <v>1658</v>
      </c>
      <c r="O331" s="1" t="s">
        <v>1658</v>
      </c>
      <c r="P331" s="1">
        <v>1</v>
      </c>
      <c r="Q331" s="1" t="s">
        <v>1658</v>
      </c>
      <c r="R331" s="1">
        <v>0</v>
      </c>
      <c r="S331" s="1" t="s">
        <v>3150</v>
      </c>
      <c r="T331" s="6" t="s">
        <v>3150</v>
      </c>
      <c r="U331" s="1" t="str">
        <f t="shared" si="5"/>
        <v>Yes</v>
      </c>
      <c r="W331" s="1" t="s">
        <v>3151</v>
      </c>
      <c r="X331" s="1" t="str">
        <f>IF(COUNTIF('MyWells Drilling Comp'!F:F,E331)=0,"Missing","Exist")</f>
        <v>Exist</v>
      </c>
    </row>
    <row r="332" hidden="1" spans="1:24">
      <c r="A332" s="1" t="s">
        <v>1652</v>
      </c>
      <c r="B332" s="1" t="s">
        <v>90</v>
      </c>
      <c r="C332" s="1" t="s">
        <v>3152</v>
      </c>
      <c r="D332" s="1" t="s">
        <v>3153</v>
      </c>
      <c r="E332" s="1" t="s">
        <v>1288</v>
      </c>
      <c r="F332" s="1" t="s">
        <v>3154</v>
      </c>
      <c r="G332" s="1">
        <v>1</v>
      </c>
      <c r="H332" s="1" t="s">
        <v>1656</v>
      </c>
      <c r="I332" s="1" t="s">
        <v>1657</v>
      </c>
      <c r="J332" s="1" t="s">
        <v>1658</v>
      </c>
      <c r="K332" s="1" t="s">
        <v>1658</v>
      </c>
      <c r="L332" s="1" t="s">
        <v>1658</v>
      </c>
      <c r="M332" s="1" t="s">
        <v>1658</v>
      </c>
      <c r="N332" s="1" t="s">
        <v>1658</v>
      </c>
      <c r="O332" s="1" t="s">
        <v>1658</v>
      </c>
      <c r="P332" s="1">
        <v>1</v>
      </c>
      <c r="Q332" s="1" t="s">
        <v>1658</v>
      </c>
      <c r="R332" s="1">
        <v>0</v>
      </c>
      <c r="S332" s="1" t="s">
        <v>3155</v>
      </c>
      <c r="T332" s="6"/>
      <c r="U332" s="1" t="str">
        <f t="shared" si="5"/>
        <v>No</v>
      </c>
      <c r="W332" s="1" t="s">
        <v>3156</v>
      </c>
      <c r="X332" s="1" t="str">
        <f>IF(COUNTIF('MyWells Drilling Comp'!F:F,E332)=0,"Missing","Exist")</f>
        <v>Exist</v>
      </c>
    </row>
    <row r="333" hidden="1" spans="1:24">
      <c r="A333" s="1" t="s">
        <v>1652</v>
      </c>
      <c r="B333" s="1" t="s">
        <v>90</v>
      </c>
      <c r="C333" s="1" t="s">
        <v>3157</v>
      </c>
      <c r="D333" s="1" t="s">
        <v>3153</v>
      </c>
      <c r="E333" s="1" t="s">
        <v>1288</v>
      </c>
      <c r="F333" s="1" t="s">
        <v>3158</v>
      </c>
      <c r="G333" s="1">
        <v>1</v>
      </c>
      <c r="H333" s="1" t="s">
        <v>1663</v>
      </c>
      <c r="I333" s="1" t="s">
        <v>1657</v>
      </c>
      <c r="J333" s="1" t="s">
        <v>1658</v>
      </c>
      <c r="K333" s="1" t="s">
        <v>1658</v>
      </c>
      <c r="L333" s="1" t="s">
        <v>1658</v>
      </c>
      <c r="M333" s="1" t="s">
        <v>1658</v>
      </c>
      <c r="N333" s="1" t="s">
        <v>1658</v>
      </c>
      <c r="O333" s="1" t="s">
        <v>1658</v>
      </c>
      <c r="P333" s="1">
        <v>1</v>
      </c>
      <c r="Q333" s="1" t="s">
        <v>1658</v>
      </c>
      <c r="R333" s="1">
        <v>0</v>
      </c>
      <c r="S333" s="1" t="s">
        <v>3159</v>
      </c>
      <c r="T333" s="6"/>
      <c r="U333" s="1" t="str">
        <f t="shared" si="5"/>
        <v>No</v>
      </c>
      <c r="W333" s="1" t="s">
        <v>3160</v>
      </c>
      <c r="X333" s="1" t="str">
        <f>IF(COUNTIF('MyWells Drilling Comp'!F:F,E333)=0,"Missing","Exist")</f>
        <v>Exist</v>
      </c>
    </row>
    <row r="334" hidden="1" spans="1:24">
      <c r="A334" s="1" t="s">
        <v>1652</v>
      </c>
      <c r="B334" s="1" t="s">
        <v>90</v>
      </c>
      <c r="C334" s="1" t="s">
        <v>3161</v>
      </c>
      <c r="D334" s="1" t="s">
        <v>3162</v>
      </c>
      <c r="E334" s="1" t="s">
        <v>1370</v>
      </c>
      <c r="F334" s="1" t="s">
        <v>3163</v>
      </c>
      <c r="G334" s="1">
        <v>1</v>
      </c>
      <c r="H334" s="1" t="s">
        <v>1663</v>
      </c>
      <c r="I334" s="1" t="s">
        <v>1657</v>
      </c>
      <c r="J334" s="1" t="s">
        <v>1658</v>
      </c>
      <c r="K334" s="1" t="s">
        <v>1658</v>
      </c>
      <c r="L334" s="1" t="s">
        <v>1658</v>
      </c>
      <c r="M334" s="1" t="s">
        <v>1658</v>
      </c>
      <c r="N334" s="1" t="s">
        <v>1658</v>
      </c>
      <c r="O334" s="1" t="s">
        <v>1658</v>
      </c>
      <c r="P334" s="1">
        <v>1</v>
      </c>
      <c r="Q334" s="1" t="s">
        <v>1658</v>
      </c>
      <c r="R334" s="1">
        <v>0</v>
      </c>
      <c r="S334" s="1" t="s">
        <v>3164</v>
      </c>
      <c r="T334" s="6" t="s">
        <v>3164</v>
      </c>
      <c r="U334" s="1" t="str">
        <f t="shared" si="5"/>
        <v>Yes</v>
      </c>
      <c r="W334" s="1" t="s">
        <v>3165</v>
      </c>
      <c r="X334" s="1" t="str">
        <f>IF(COUNTIF('MyWells Drilling Comp'!F:F,E334)=0,"Missing","Exist")</f>
        <v>Exist</v>
      </c>
    </row>
    <row r="335" hidden="1" spans="1:24">
      <c r="A335" s="1" t="s">
        <v>1652</v>
      </c>
      <c r="B335" s="1" t="s">
        <v>90</v>
      </c>
      <c r="C335" s="1" t="s">
        <v>3166</v>
      </c>
      <c r="D335" s="1" t="s">
        <v>3162</v>
      </c>
      <c r="E335" s="1" t="s">
        <v>1370</v>
      </c>
      <c r="F335" s="1" t="s">
        <v>3167</v>
      </c>
      <c r="G335" s="1">
        <v>1</v>
      </c>
      <c r="H335" s="1" t="s">
        <v>1656</v>
      </c>
      <c r="I335" s="1" t="s">
        <v>1657</v>
      </c>
      <c r="J335" s="1" t="s">
        <v>1658</v>
      </c>
      <c r="K335" s="1" t="s">
        <v>1658</v>
      </c>
      <c r="L335" s="1" t="s">
        <v>1658</v>
      </c>
      <c r="M335" s="1" t="s">
        <v>1658</v>
      </c>
      <c r="N335" s="1" t="s">
        <v>1658</v>
      </c>
      <c r="O335" s="1" t="s">
        <v>1658</v>
      </c>
      <c r="P335" s="1">
        <v>1</v>
      </c>
      <c r="Q335" s="1" t="s">
        <v>1658</v>
      </c>
      <c r="R335" s="1">
        <v>0</v>
      </c>
      <c r="S335" s="1" t="s">
        <v>3168</v>
      </c>
      <c r="T335" s="6" t="s">
        <v>3168</v>
      </c>
      <c r="U335" s="1" t="str">
        <f t="shared" si="5"/>
        <v>Yes</v>
      </c>
      <c r="W335" s="1" t="s">
        <v>3169</v>
      </c>
      <c r="X335" s="1" t="str">
        <f>IF(COUNTIF('MyWells Drilling Comp'!F:F,E335)=0,"Missing","Exist")</f>
        <v>Exist</v>
      </c>
    </row>
    <row r="336" hidden="1" spans="1:24">
      <c r="A336" s="1" t="s">
        <v>1652</v>
      </c>
      <c r="B336" s="1" t="s">
        <v>90</v>
      </c>
      <c r="C336" s="1" t="s">
        <v>3170</v>
      </c>
      <c r="D336" s="1" t="s">
        <v>3171</v>
      </c>
      <c r="E336" s="1" t="s">
        <v>1005</v>
      </c>
      <c r="F336" s="1" t="s">
        <v>3172</v>
      </c>
      <c r="G336" s="1">
        <v>1</v>
      </c>
      <c r="H336" s="1" t="s">
        <v>1656</v>
      </c>
      <c r="I336" s="1" t="s">
        <v>1657</v>
      </c>
      <c r="J336" s="1" t="s">
        <v>1658</v>
      </c>
      <c r="K336" s="1" t="s">
        <v>1658</v>
      </c>
      <c r="L336" s="1" t="s">
        <v>1658</v>
      </c>
      <c r="M336" s="1" t="s">
        <v>1658</v>
      </c>
      <c r="N336" s="1" t="s">
        <v>1658</v>
      </c>
      <c r="O336" s="1" t="s">
        <v>1658</v>
      </c>
      <c r="P336" s="1">
        <v>1</v>
      </c>
      <c r="Q336" s="1" t="s">
        <v>1658</v>
      </c>
      <c r="R336" s="1">
        <v>0</v>
      </c>
      <c r="S336" s="1" t="s">
        <v>3173</v>
      </c>
      <c r="T336" s="6" t="s">
        <v>3173</v>
      </c>
      <c r="U336" s="1" t="str">
        <f t="shared" si="5"/>
        <v>Yes</v>
      </c>
      <c r="W336" s="1" t="s">
        <v>3174</v>
      </c>
      <c r="X336" s="1" t="str">
        <f>IF(COUNTIF('MyWells Drilling Comp'!F:F,E336)=0,"Missing","Exist")</f>
        <v>Exist</v>
      </c>
    </row>
    <row r="337" hidden="1" spans="1:24">
      <c r="A337" s="1" t="s">
        <v>1652</v>
      </c>
      <c r="B337" s="1" t="s">
        <v>90</v>
      </c>
      <c r="C337" s="1" t="s">
        <v>3175</v>
      </c>
      <c r="D337" s="1" t="s">
        <v>3171</v>
      </c>
      <c r="E337" s="1" t="s">
        <v>1005</v>
      </c>
      <c r="F337" s="1" t="s">
        <v>3176</v>
      </c>
      <c r="G337" s="1">
        <v>1</v>
      </c>
      <c r="H337" s="1" t="s">
        <v>1663</v>
      </c>
      <c r="I337" s="1" t="s">
        <v>1657</v>
      </c>
      <c r="J337" s="1" t="s">
        <v>1658</v>
      </c>
      <c r="K337" s="1" t="s">
        <v>1658</v>
      </c>
      <c r="L337" s="1" t="s">
        <v>1658</v>
      </c>
      <c r="M337" s="1" t="s">
        <v>1658</v>
      </c>
      <c r="N337" s="1" t="s">
        <v>1658</v>
      </c>
      <c r="O337" s="1" t="s">
        <v>1658</v>
      </c>
      <c r="P337" s="1">
        <v>1</v>
      </c>
      <c r="Q337" s="1" t="s">
        <v>1658</v>
      </c>
      <c r="R337" s="1">
        <v>0</v>
      </c>
      <c r="S337" s="1" t="s">
        <v>3177</v>
      </c>
      <c r="T337" s="6" t="s">
        <v>3177</v>
      </c>
      <c r="U337" s="1" t="str">
        <f t="shared" si="5"/>
        <v>Yes</v>
      </c>
      <c r="W337" s="1" t="s">
        <v>3178</v>
      </c>
      <c r="X337" s="1" t="str">
        <f>IF(COUNTIF('MyWells Drilling Comp'!F:F,E337)=0,"Missing","Exist")</f>
        <v>Exist</v>
      </c>
    </row>
    <row r="338" hidden="1" spans="1:24">
      <c r="A338" s="1" t="s">
        <v>1652</v>
      </c>
      <c r="B338" s="1" t="s">
        <v>90</v>
      </c>
      <c r="C338" s="1" t="s">
        <v>3179</v>
      </c>
      <c r="D338" s="1" t="s">
        <v>3180</v>
      </c>
      <c r="E338" s="1" t="s">
        <v>1115</v>
      </c>
      <c r="F338" s="1" t="s">
        <v>3181</v>
      </c>
      <c r="G338" s="1">
        <v>1</v>
      </c>
      <c r="H338" s="1" t="s">
        <v>1663</v>
      </c>
      <c r="I338" s="1" t="s">
        <v>1657</v>
      </c>
      <c r="J338" s="1" t="s">
        <v>1658</v>
      </c>
      <c r="K338" s="1" t="s">
        <v>1658</v>
      </c>
      <c r="L338" s="1" t="s">
        <v>1658</v>
      </c>
      <c r="M338" s="1" t="s">
        <v>1658</v>
      </c>
      <c r="N338" s="1" t="s">
        <v>1658</v>
      </c>
      <c r="O338" s="1" t="s">
        <v>1658</v>
      </c>
      <c r="P338" s="1">
        <v>1</v>
      </c>
      <c r="Q338" s="1" t="s">
        <v>1658</v>
      </c>
      <c r="R338" s="1">
        <v>0</v>
      </c>
      <c r="S338" s="1" t="s">
        <v>3182</v>
      </c>
      <c r="T338" s="6" t="s">
        <v>3182</v>
      </c>
      <c r="U338" s="1" t="str">
        <f t="shared" si="5"/>
        <v>Yes</v>
      </c>
      <c r="W338" s="1" t="s">
        <v>3183</v>
      </c>
      <c r="X338" s="1" t="str">
        <f>IF(COUNTIF('MyWells Drilling Comp'!F:F,E338)=0,"Missing","Exist")</f>
        <v>Exist</v>
      </c>
    </row>
    <row r="339" hidden="1" spans="1:24">
      <c r="A339" s="1" t="s">
        <v>1652</v>
      </c>
      <c r="B339" s="1" t="s">
        <v>90</v>
      </c>
      <c r="C339" s="1" t="s">
        <v>3184</v>
      </c>
      <c r="D339" s="1" t="s">
        <v>3180</v>
      </c>
      <c r="E339" s="1" t="s">
        <v>1115</v>
      </c>
      <c r="F339" s="1" t="s">
        <v>3185</v>
      </c>
      <c r="G339" s="1">
        <v>1</v>
      </c>
      <c r="H339" s="1" t="s">
        <v>1656</v>
      </c>
      <c r="I339" s="1" t="s">
        <v>1657</v>
      </c>
      <c r="J339" s="1" t="s">
        <v>1658</v>
      </c>
      <c r="K339" s="1" t="s">
        <v>1658</v>
      </c>
      <c r="L339" s="1" t="s">
        <v>1658</v>
      </c>
      <c r="M339" s="1" t="s">
        <v>1658</v>
      </c>
      <c r="N339" s="1" t="s">
        <v>1658</v>
      </c>
      <c r="O339" s="1" t="s">
        <v>1658</v>
      </c>
      <c r="P339" s="1">
        <v>1</v>
      </c>
      <c r="Q339" s="1" t="s">
        <v>1658</v>
      </c>
      <c r="R339" s="1">
        <v>0</v>
      </c>
      <c r="S339" s="1" t="s">
        <v>3186</v>
      </c>
      <c r="T339" s="6" t="s">
        <v>3186</v>
      </c>
      <c r="U339" s="1" t="str">
        <f t="shared" si="5"/>
        <v>Yes</v>
      </c>
      <c r="W339" s="1" t="s">
        <v>3187</v>
      </c>
      <c r="X339" s="1" t="str">
        <f>IF(COUNTIF('MyWells Drilling Comp'!F:F,E339)=0,"Missing","Exist")</f>
        <v>Exist</v>
      </c>
    </row>
    <row r="340" hidden="1" spans="1:24">
      <c r="A340" s="1" t="s">
        <v>1652</v>
      </c>
      <c r="B340" s="1" t="s">
        <v>90</v>
      </c>
      <c r="C340" s="1" t="s">
        <v>3188</v>
      </c>
      <c r="D340" s="1" t="s">
        <v>3189</v>
      </c>
      <c r="E340" s="1" t="s">
        <v>945</v>
      </c>
      <c r="F340" s="1" t="s">
        <v>3190</v>
      </c>
      <c r="G340" s="1">
        <v>1</v>
      </c>
      <c r="H340" s="1" t="s">
        <v>1663</v>
      </c>
      <c r="I340" s="1" t="s">
        <v>1657</v>
      </c>
      <c r="J340" s="1" t="s">
        <v>1658</v>
      </c>
      <c r="K340" s="1" t="s">
        <v>1658</v>
      </c>
      <c r="L340" s="1" t="s">
        <v>1658</v>
      </c>
      <c r="M340" s="1" t="s">
        <v>1658</v>
      </c>
      <c r="N340" s="1" t="s">
        <v>1658</v>
      </c>
      <c r="O340" s="1" t="s">
        <v>1658</v>
      </c>
      <c r="P340" s="1">
        <v>1</v>
      </c>
      <c r="Q340" s="1" t="s">
        <v>1658</v>
      </c>
      <c r="R340" s="1">
        <v>0</v>
      </c>
      <c r="S340" s="1" t="s">
        <v>3191</v>
      </c>
      <c r="T340" s="6"/>
      <c r="U340" s="1" t="str">
        <f t="shared" si="5"/>
        <v>No</v>
      </c>
      <c r="W340" s="1" t="s">
        <v>3192</v>
      </c>
      <c r="X340" s="1" t="str">
        <f>IF(COUNTIF('MyWells Drilling Comp'!F:F,E340)=0,"Missing","Exist")</f>
        <v>Exist</v>
      </c>
    </row>
    <row r="341" hidden="1" spans="1:24">
      <c r="A341" s="1" t="s">
        <v>1652</v>
      </c>
      <c r="B341" s="1" t="s">
        <v>90</v>
      </c>
      <c r="C341" s="1" t="s">
        <v>3193</v>
      </c>
      <c r="D341" s="1" t="s">
        <v>3189</v>
      </c>
      <c r="E341" s="1" t="s">
        <v>945</v>
      </c>
      <c r="F341" s="1" t="s">
        <v>3194</v>
      </c>
      <c r="G341" s="1">
        <v>1</v>
      </c>
      <c r="H341" s="1" t="s">
        <v>1656</v>
      </c>
      <c r="I341" s="1" t="s">
        <v>1657</v>
      </c>
      <c r="J341" s="1" t="s">
        <v>1658</v>
      </c>
      <c r="K341" s="1" t="s">
        <v>1658</v>
      </c>
      <c r="L341" s="1" t="s">
        <v>1658</v>
      </c>
      <c r="M341" s="1" t="s">
        <v>1658</v>
      </c>
      <c r="N341" s="1" t="s">
        <v>1658</v>
      </c>
      <c r="O341" s="1" t="s">
        <v>1658</v>
      </c>
      <c r="P341" s="1">
        <v>1</v>
      </c>
      <c r="Q341" s="1" t="s">
        <v>1658</v>
      </c>
      <c r="R341" s="1">
        <v>0</v>
      </c>
      <c r="S341" s="1" t="s">
        <v>3195</v>
      </c>
      <c r="T341" s="6"/>
      <c r="U341" s="1" t="str">
        <f t="shared" si="5"/>
        <v>No</v>
      </c>
      <c r="W341" s="1" t="s">
        <v>3196</v>
      </c>
      <c r="X341" s="1" t="str">
        <f>IF(COUNTIF('MyWells Drilling Comp'!F:F,E341)=0,"Missing","Exist")</f>
        <v>Exist</v>
      </c>
    </row>
    <row r="342" hidden="1" spans="1:24">
      <c r="A342" s="1" t="s">
        <v>1652</v>
      </c>
      <c r="B342" s="1" t="s">
        <v>90</v>
      </c>
      <c r="C342" s="1" t="s">
        <v>3197</v>
      </c>
      <c r="D342" s="1" t="s">
        <v>3198</v>
      </c>
      <c r="E342" s="1" t="s">
        <v>1537</v>
      </c>
      <c r="F342" s="1" t="s">
        <v>3199</v>
      </c>
      <c r="G342" s="1">
        <v>1</v>
      </c>
      <c r="H342" s="1" t="s">
        <v>1663</v>
      </c>
      <c r="I342" s="1" t="s">
        <v>1657</v>
      </c>
      <c r="J342" s="1" t="s">
        <v>1658</v>
      </c>
      <c r="K342" s="1" t="s">
        <v>1658</v>
      </c>
      <c r="L342" s="1" t="s">
        <v>1658</v>
      </c>
      <c r="M342" s="1" t="s">
        <v>1658</v>
      </c>
      <c r="N342" s="1" t="s">
        <v>1658</v>
      </c>
      <c r="O342" s="1" t="s">
        <v>1658</v>
      </c>
      <c r="P342" s="1">
        <v>1</v>
      </c>
      <c r="Q342" s="1" t="s">
        <v>1658</v>
      </c>
      <c r="R342" s="1">
        <v>0</v>
      </c>
      <c r="S342" s="1" t="s">
        <v>3200</v>
      </c>
      <c r="T342" s="6" t="s">
        <v>3200</v>
      </c>
      <c r="U342" s="1" t="str">
        <f t="shared" si="5"/>
        <v>Yes</v>
      </c>
      <c r="W342" s="1" t="s">
        <v>3201</v>
      </c>
      <c r="X342" s="1" t="str">
        <f>IF(COUNTIF('MyWells Drilling Comp'!F:F,E342)=0,"Missing","Exist")</f>
        <v>Exist</v>
      </c>
    </row>
    <row r="343" hidden="1" spans="1:24">
      <c r="A343" s="1" t="s">
        <v>1652</v>
      </c>
      <c r="B343" s="1" t="s">
        <v>90</v>
      </c>
      <c r="C343" s="1" t="s">
        <v>3202</v>
      </c>
      <c r="D343" s="1" t="s">
        <v>3198</v>
      </c>
      <c r="E343" s="1" t="s">
        <v>1537</v>
      </c>
      <c r="F343" s="1" t="s">
        <v>3203</v>
      </c>
      <c r="G343" s="1">
        <v>1</v>
      </c>
      <c r="H343" s="1" t="s">
        <v>1656</v>
      </c>
      <c r="I343" s="1" t="s">
        <v>1657</v>
      </c>
      <c r="J343" s="1" t="s">
        <v>1658</v>
      </c>
      <c r="K343" s="1" t="s">
        <v>1658</v>
      </c>
      <c r="L343" s="1" t="s">
        <v>1658</v>
      </c>
      <c r="M343" s="1" t="s">
        <v>1658</v>
      </c>
      <c r="N343" s="1" t="s">
        <v>1658</v>
      </c>
      <c r="O343" s="1" t="s">
        <v>1658</v>
      </c>
      <c r="P343" s="1">
        <v>1</v>
      </c>
      <c r="Q343" s="1" t="s">
        <v>1658</v>
      </c>
      <c r="R343" s="1">
        <v>0</v>
      </c>
      <c r="S343" s="1" t="s">
        <v>3204</v>
      </c>
      <c r="T343" s="6" t="s">
        <v>3204</v>
      </c>
      <c r="U343" s="1" t="str">
        <f t="shared" si="5"/>
        <v>Yes</v>
      </c>
      <c r="W343" s="1" t="s">
        <v>3205</v>
      </c>
      <c r="X343" s="1" t="str">
        <f>IF(COUNTIF('MyWells Drilling Comp'!F:F,E343)=0,"Missing","Exist")</f>
        <v>Exist</v>
      </c>
    </row>
    <row r="344" hidden="1" spans="1:24">
      <c r="A344" s="1" t="s">
        <v>1652</v>
      </c>
      <c r="B344" s="1" t="s">
        <v>90</v>
      </c>
      <c r="C344" s="1" t="s">
        <v>3206</v>
      </c>
      <c r="D344" s="1" t="s">
        <v>3207</v>
      </c>
      <c r="E344" s="1" t="s">
        <v>911</v>
      </c>
      <c r="F344" s="1" t="s">
        <v>3208</v>
      </c>
      <c r="G344" s="1">
        <v>1</v>
      </c>
      <c r="H344" s="1" t="s">
        <v>1663</v>
      </c>
      <c r="I344" s="1" t="s">
        <v>1657</v>
      </c>
      <c r="J344" s="1" t="s">
        <v>1658</v>
      </c>
      <c r="K344" s="1" t="s">
        <v>1658</v>
      </c>
      <c r="L344" s="1" t="s">
        <v>1658</v>
      </c>
      <c r="M344" s="1" t="s">
        <v>1658</v>
      </c>
      <c r="N344" s="1" t="s">
        <v>1658</v>
      </c>
      <c r="O344" s="1" t="s">
        <v>1658</v>
      </c>
      <c r="P344" s="1">
        <v>1</v>
      </c>
      <c r="Q344" s="1" t="s">
        <v>1658</v>
      </c>
      <c r="R344" s="1">
        <v>0</v>
      </c>
      <c r="S344" s="1" t="s">
        <v>3209</v>
      </c>
      <c r="T344" s="6" t="s">
        <v>3209</v>
      </c>
      <c r="U344" s="1" t="str">
        <f t="shared" si="5"/>
        <v>Yes</v>
      </c>
      <c r="W344" s="1" t="s">
        <v>3210</v>
      </c>
      <c r="X344" s="1" t="str">
        <f>IF(COUNTIF('MyWells Drilling Comp'!F:F,E344)=0,"Missing","Exist")</f>
        <v>Exist</v>
      </c>
    </row>
    <row r="345" hidden="1" spans="1:24">
      <c r="A345" s="1" t="s">
        <v>1652</v>
      </c>
      <c r="B345" s="1" t="s">
        <v>90</v>
      </c>
      <c r="C345" s="1" t="s">
        <v>3211</v>
      </c>
      <c r="D345" s="1" t="s">
        <v>3207</v>
      </c>
      <c r="E345" s="1" t="s">
        <v>911</v>
      </c>
      <c r="F345" s="1" t="s">
        <v>3212</v>
      </c>
      <c r="G345" s="1">
        <v>1</v>
      </c>
      <c r="H345" s="1" t="s">
        <v>1656</v>
      </c>
      <c r="I345" s="1" t="s">
        <v>1657</v>
      </c>
      <c r="J345" s="1" t="s">
        <v>1658</v>
      </c>
      <c r="K345" s="1" t="s">
        <v>1658</v>
      </c>
      <c r="L345" s="1" t="s">
        <v>1658</v>
      </c>
      <c r="M345" s="1" t="s">
        <v>1658</v>
      </c>
      <c r="N345" s="1" t="s">
        <v>1658</v>
      </c>
      <c r="O345" s="1" t="s">
        <v>1658</v>
      </c>
      <c r="P345" s="1">
        <v>1</v>
      </c>
      <c r="Q345" s="1" t="s">
        <v>1658</v>
      </c>
      <c r="R345" s="1">
        <v>0</v>
      </c>
      <c r="S345" s="1" t="s">
        <v>3213</v>
      </c>
      <c r="T345" s="6" t="s">
        <v>3214</v>
      </c>
      <c r="U345" s="1" t="str">
        <f t="shared" si="5"/>
        <v>Yes</v>
      </c>
      <c r="W345" s="1" t="s">
        <v>3215</v>
      </c>
      <c r="X345" s="1" t="str">
        <f>IF(COUNTIF('MyWells Drilling Comp'!F:F,E345)=0,"Missing","Exist")</f>
        <v>Exist</v>
      </c>
    </row>
    <row r="346" hidden="1" spans="1:24">
      <c r="A346" s="1" t="s">
        <v>1652</v>
      </c>
      <c r="B346" s="1" t="s">
        <v>90</v>
      </c>
      <c r="C346" s="1" t="s">
        <v>3216</v>
      </c>
      <c r="D346" s="1" t="s">
        <v>3217</v>
      </c>
      <c r="E346" s="1" t="s">
        <v>1503</v>
      </c>
      <c r="F346" s="1" t="s">
        <v>3218</v>
      </c>
      <c r="G346" s="1">
        <v>1</v>
      </c>
      <c r="H346" s="1" t="s">
        <v>1663</v>
      </c>
      <c r="I346" s="1" t="s">
        <v>1657</v>
      </c>
      <c r="J346" s="1" t="s">
        <v>1658</v>
      </c>
      <c r="K346" s="1" t="s">
        <v>1658</v>
      </c>
      <c r="L346" s="1" t="s">
        <v>1658</v>
      </c>
      <c r="M346" s="1" t="s">
        <v>1658</v>
      </c>
      <c r="N346" s="1" t="s">
        <v>1658</v>
      </c>
      <c r="O346" s="1" t="s">
        <v>1658</v>
      </c>
      <c r="P346" s="1">
        <v>1</v>
      </c>
      <c r="Q346" s="1" t="s">
        <v>1658</v>
      </c>
      <c r="R346" s="1">
        <v>0</v>
      </c>
      <c r="S346" s="1" t="s">
        <v>3219</v>
      </c>
      <c r="T346" s="6" t="s">
        <v>3219</v>
      </c>
      <c r="U346" s="1" t="str">
        <f t="shared" si="5"/>
        <v>Yes</v>
      </c>
      <c r="W346" s="1" t="s">
        <v>3220</v>
      </c>
      <c r="X346" s="1" t="str">
        <f>IF(COUNTIF('MyWells Drilling Comp'!F:F,E346)=0,"Missing","Exist")</f>
        <v>Exist</v>
      </c>
    </row>
    <row r="347" hidden="1" spans="1:24">
      <c r="A347" s="1" t="s">
        <v>1652</v>
      </c>
      <c r="B347" s="1" t="s">
        <v>90</v>
      </c>
      <c r="C347" s="1" t="s">
        <v>3221</v>
      </c>
      <c r="D347" s="1" t="s">
        <v>3217</v>
      </c>
      <c r="E347" s="1" t="s">
        <v>1503</v>
      </c>
      <c r="F347" s="1" t="s">
        <v>3222</v>
      </c>
      <c r="G347" s="1">
        <v>1</v>
      </c>
      <c r="H347" s="1" t="s">
        <v>1656</v>
      </c>
      <c r="I347" s="1" t="s">
        <v>1657</v>
      </c>
      <c r="J347" s="1" t="s">
        <v>1658</v>
      </c>
      <c r="K347" s="1" t="s">
        <v>1658</v>
      </c>
      <c r="L347" s="1" t="s">
        <v>1658</v>
      </c>
      <c r="M347" s="1" t="s">
        <v>1658</v>
      </c>
      <c r="N347" s="1" t="s">
        <v>1658</v>
      </c>
      <c r="O347" s="1" t="s">
        <v>1658</v>
      </c>
      <c r="P347" s="1">
        <v>1</v>
      </c>
      <c r="Q347" s="1" t="s">
        <v>1658</v>
      </c>
      <c r="R347" s="1">
        <v>0</v>
      </c>
      <c r="S347" s="1" t="s">
        <v>3223</v>
      </c>
      <c r="T347" s="6" t="s">
        <v>3223</v>
      </c>
      <c r="U347" s="1" t="str">
        <f t="shared" si="5"/>
        <v>Yes</v>
      </c>
      <c r="W347" s="1" t="s">
        <v>3224</v>
      </c>
      <c r="X347" s="1" t="str">
        <f>IF(COUNTIF('MyWells Drilling Comp'!F:F,E347)=0,"Missing","Exist")</f>
        <v>Exist</v>
      </c>
    </row>
    <row r="348" hidden="1" spans="1:24">
      <c r="A348" s="1" t="s">
        <v>1652</v>
      </c>
      <c r="B348" s="1" t="s">
        <v>90</v>
      </c>
      <c r="C348" s="1" t="s">
        <v>3225</v>
      </c>
      <c r="D348" s="1" t="s">
        <v>3226</v>
      </c>
      <c r="E348" s="1" t="s">
        <v>1230</v>
      </c>
      <c r="F348" s="1" t="s">
        <v>3227</v>
      </c>
      <c r="G348" s="1">
        <v>1</v>
      </c>
      <c r="H348" s="1" t="s">
        <v>1663</v>
      </c>
      <c r="I348" s="1" t="s">
        <v>1657</v>
      </c>
      <c r="J348" s="1" t="s">
        <v>1658</v>
      </c>
      <c r="K348" s="1" t="s">
        <v>1658</v>
      </c>
      <c r="L348" s="1" t="s">
        <v>1658</v>
      </c>
      <c r="M348" s="1" t="s">
        <v>1658</v>
      </c>
      <c r="N348" s="1" t="s">
        <v>1658</v>
      </c>
      <c r="O348" s="1" t="s">
        <v>1658</v>
      </c>
      <c r="P348" s="1">
        <v>1</v>
      </c>
      <c r="Q348" s="1" t="s">
        <v>1658</v>
      </c>
      <c r="R348" s="1">
        <v>0</v>
      </c>
      <c r="S348" s="1" t="s">
        <v>3228</v>
      </c>
      <c r="T348" s="6"/>
      <c r="U348" s="1" t="str">
        <f t="shared" si="5"/>
        <v>No</v>
      </c>
      <c r="W348" s="1" t="s">
        <v>3229</v>
      </c>
      <c r="X348" s="1" t="str">
        <f>IF(COUNTIF('MyWells Drilling Comp'!F:F,E348)=0,"Missing","Exist")</f>
        <v>Exist</v>
      </c>
    </row>
    <row r="349" hidden="1" spans="1:24">
      <c r="A349" s="1" t="s">
        <v>1652</v>
      </c>
      <c r="B349" s="1" t="s">
        <v>90</v>
      </c>
      <c r="C349" s="1" t="s">
        <v>3230</v>
      </c>
      <c r="D349" s="1" t="s">
        <v>3226</v>
      </c>
      <c r="E349" s="1" t="s">
        <v>1230</v>
      </c>
      <c r="F349" s="1" t="s">
        <v>3231</v>
      </c>
      <c r="G349" s="1">
        <v>1</v>
      </c>
      <c r="H349" s="1" t="s">
        <v>1656</v>
      </c>
      <c r="I349" s="1" t="s">
        <v>1657</v>
      </c>
      <c r="J349" s="1" t="s">
        <v>1658</v>
      </c>
      <c r="K349" s="1" t="s">
        <v>1658</v>
      </c>
      <c r="L349" s="1" t="s">
        <v>1658</v>
      </c>
      <c r="M349" s="1" t="s">
        <v>1658</v>
      </c>
      <c r="N349" s="1" t="s">
        <v>1658</v>
      </c>
      <c r="O349" s="1" t="s">
        <v>1658</v>
      </c>
      <c r="P349" s="1">
        <v>1</v>
      </c>
      <c r="Q349" s="1" t="s">
        <v>1658</v>
      </c>
      <c r="R349" s="1">
        <v>0</v>
      </c>
      <c r="S349" s="1" t="s">
        <v>3232</v>
      </c>
      <c r="T349" s="6" t="s">
        <v>3232</v>
      </c>
      <c r="U349" s="1" t="str">
        <f t="shared" si="5"/>
        <v>Yes</v>
      </c>
      <c r="W349" s="1" t="s">
        <v>3233</v>
      </c>
      <c r="X349" s="1" t="str">
        <f>IF(COUNTIF('MyWells Drilling Comp'!F:F,E349)=0,"Missing","Exist")</f>
        <v>Exist</v>
      </c>
    </row>
    <row r="350" spans="1:24">
      <c r="A350" s="1" t="s">
        <v>1652</v>
      </c>
      <c r="B350" s="1" t="s">
        <v>90</v>
      </c>
      <c r="C350" s="1" t="s">
        <v>3234</v>
      </c>
      <c r="D350" s="1" t="s">
        <v>3235</v>
      </c>
      <c r="E350" s="1" t="s">
        <v>3236</v>
      </c>
      <c r="F350" s="1" t="s">
        <v>3237</v>
      </c>
      <c r="G350" s="1">
        <v>1</v>
      </c>
      <c r="H350" s="1" t="s">
        <v>1663</v>
      </c>
      <c r="I350" s="1" t="s">
        <v>1657</v>
      </c>
      <c r="J350" s="1" t="s">
        <v>1658</v>
      </c>
      <c r="K350" s="1" t="s">
        <v>1658</v>
      </c>
      <c r="L350" s="1" t="s">
        <v>1658</v>
      </c>
      <c r="M350" s="1" t="s">
        <v>1658</v>
      </c>
      <c r="N350" s="1" t="s">
        <v>1658</v>
      </c>
      <c r="O350" s="1" t="s">
        <v>1658</v>
      </c>
      <c r="P350" s="1">
        <v>1</v>
      </c>
      <c r="Q350" s="1" t="s">
        <v>1658</v>
      </c>
      <c r="R350" s="1">
        <v>0</v>
      </c>
      <c r="S350" s="1" t="s">
        <v>3238</v>
      </c>
      <c r="T350" s="6" t="s">
        <v>3238</v>
      </c>
      <c r="U350" s="1" t="str">
        <f t="shared" si="5"/>
        <v>Yes</v>
      </c>
      <c r="W350" s="1" t="s">
        <v>3239</v>
      </c>
      <c r="X350" s="1" t="str">
        <f>IF(COUNTIF('MyWells Drilling Comp'!F:F,E350)=0,"Missing","Exist")</f>
        <v>Missing</v>
      </c>
    </row>
    <row r="351" hidden="1" spans="1:24">
      <c r="A351" s="1" t="s">
        <v>1652</v>
      </c>
      <c r="B351" s="1" t="s">
        <v>90</v>
      </c>
      <c r="C351" s="7" t="s">
        <v>3240</v>
      </c>
      <c r="D351" s="1" t="s">
        <v>3235</v>
      </c>
      <c r="E351" s="1" t="s">
        <v>3236</v>
      </c>
      <c r="F351" s="1" t="s">
        <v>3241</v>
      </c>
      <c r="G351" s="1">
        <v>1</v>
      </c>
      <c r="H351" s="1" t="s">
        <v>1656</v>
      </c>
      <c r="I351" s="1" t="s">
        <v>1657</v>
      </c>
      <c r="J351" s="1" t="s">
        <v>1658</v>
      </c>
      <c r="K351" s="1" t="s">
        <v>1658</v>
      </c>
      <c r="L351" s="1" t="s">
        <v>1658</v>
      </c>
      <c r="M351" s="1" t="s">
        <v>1658</v>
      </c>
      <c r="N351" s="1" t="s">
        <v>1658</v>
      </c>
      <c r="O351" s="1" t="s">
        <v>1658</v>
      </c>
      <c r="P351" s="1">
        <v>1</v>
      </c>
      <c r="Q351" s="1" t="s">
        <v>1658</v>
      </c>
      <c r="R351" s="1">
        <v>0</v>
      </c>
      <c r="S351" s="1" t="s">
        <v>3242</v>
      </c>
      <c r="T351" s="6" t="s">
        <v>3242</v>
      </c>
      <c r="U351" s="1" t="str">
        <f t="shared" si="5"/>
        <v>Yes</v>
      </c>
      <c r="W351" s="1" t="s">
        <v>3243</v>
      </c>
      <c r="X351" s="1" t="str">
        <f>IF(COUNTIF('MyWells Drilling Comp'!F:F,E351)=0,"Missing","Exist")</f>
        <v>Missing</v>
      </c>
    </row>
    <row r="352" hidden="1" spans="1:24">
      <c r="A352" s="1" t="s">
        <v>1652</v>
      </c>
      <c r="B352" s="1" t="s">
        <v>90</v>
      </c>
      <c r="C352" s="1" t="s">
        <v>3244</v>
      </c>
      <c r="D352" s="1" t="s">
        <v>3245</v>
      </c>
      <c r="E352" s="1" t="s">
        <v>840</v>
      </c>
      <c r="F352" s="1" t="s">
        <v>3246</v>
      </c>
      <c r="G352" s="1">
        <v>1</v>
      </c>
      <c r="H352" s="1" t="s">
        <v>1663</v>
      </c>
      <c r="I352" s="1" t="s">
        <v>1657</v>
      </c>
      <c r="J352" s="1" t="s">
        <v>1658</v>
      </c>
      <c r="K352" s="1" t="s">
        <v>1658</v>
      </c>
      <c r="L352" s="1" t="s">
        <v>1658</v>
      </c>
      <c r="M352" s="1" t="s">
        <v>1658</v>
      </c>
      <c r="N352" s="1" t="s">
        <v>1658</v>
      </c>
      <c r="O352" s="1" t="s">
        <v>1658</v>
      </c>
      <c r="P352" s="1">
        <v>1</v>
      </c>
      <c r="Q352" s="1" t="s">
        <v>1658</v>
      </c>
      <c r="R352" s="1">
        <v>0</v>
      </c>
      <c r="S352" s="1" t="s">
        <v>3247</v>
      </c>
      <c r="T352" s="6" t="s">
        <v>3247</v>
      </c>
      <c r="U352" s="1" t="str">
        <f t="shared" si="5"/>
        <v>Yes</v>
      </c>
      <c r="W352" s="1" t="s">
        <v>3248</v>
      </c>
      <c r="X352" s="1" t="str">
        <f>IF(COUNTIF('MyWells Drilling Comp'!F:F,E352)=0,"Missing","Exist")</f>
        <v>Exist</v>
      </c>
    </row>
    <row r="353" hidden="1" spans="1:24">
      <c r="A353" s="1" t="s">
        <v>1652</v>
      </c>
      <c r="B353" s="1" t="s">
        <v>90</v>
      </c>
      <c r="C353" s="1" t="s">
        <v>3249</v>
      </c>
      <c r="D353" s="1" t="s">
        <v>3245</v>
      </c>
      <c r="E353" s="1" t="s">
        <v>840</v>
      </c>
      <c r="F353" s="1" t="s">
        <v>3250</v>
      </c>
      <c r="G353" s="1">
        <v>1</v>
      </c>
      <c r="H353" s="1" t="s">
        <v>1656</v>
      </c>
      <c r="I353" s="1" t="s">
        <v>1657</v>
      </c>
      <c r="J353" s="1" t="s">
        <v>1658</v>
      </c>
      <c r="K353" s="1" t="s">
        <v>1658</v>
      </c>
      <c r="L353" s="1" t="s">
        <v>1658</v>
      </c>
      <c r="M353" s="1" t="s">
        <v>1658</v>
      </c>
      <c r="N353" s="1" t="s">
        <v>1658</v>
      </c>
      <c r="O353" s="1" t="s">
        <v>1658</v>
      </c>
      <c r="P353" s="1">
        <v>1</v>
      </c>
      <c r="Q353" s="1" t="s">
        <v>1658</v>
      </c>
      <c r="R353" s="1">
        <v>0</v>
      </c>
      <c r="S353" s="1" t="s">
        <v>3251</v>
      </c>
      <c r="T353" s="6" t="s">
        <v>3251</v>
      </c>
      <c r="U353" s="1" t="str">
        <f t="shared" si="5"/>
        <v>Yes</v>
      </c>
      <c r="W353" s="1" t="s">
        <v>3252</v>
      </c>
      <c r="X353" s="1" t="str">
        <f>IF(COUNTIF('MyWells Drilling Comp'!F:F,E353)=0,"Missing","Exist")</f>
        <v>Exist</v>
      </c>
    </row>
    <row r="354" hidden="1" spans="1:24">
      <c r="A354" s="1" t="s">
        <v>1652</v>
      </c>
      <c r="B354" s="1" t="s">
        <v>90</v>
      </c>
      <c r="C354" s="1" t="s">
        <v>3253</v>
      </c>
      <c r="D354" s="1" t="s">
        <v>3254</v>
      </c>
      <c r="E354" s="1" t="s">
        <v>1577</v>
      </c>
      <c r="F354" s="1" t="s">
        <v>3255</v>
      </c>
      <c r="G354" s="1">
        <v>1</v>
      </c>
      <c r="H354" s="1" t="s">
        <v>1656</v>
      </c>
      <c r="I354" s="1" t="s">
        <v>1657</v>
      </c>
      <c r="J354" s="1" t="s">
        <v>1658</v>
      </c>
      <c r="K354" s="1" t="s">
        <v>1658</v>
      </c>
      <c r="L354" s="1" t="s">
        <v>1658</v>
      </c>
      <c r="M354" s="1" t="s">
        <v>1658</v>
      </c>
      <c r="N354" s="1" t="s">
        <v>1658</v>
      </c>
      <c r="O354" s="1" t="s">
        <v>1658</v>
      </c>
      <c r="P354" s="1">
        <v>1</v>
      </c>
      <c r="Q354" s="1" t="s">
        <v>1658</v>
      </c>
      <c r="R354" s="1">
        <v>0</v>
      </c>
      <c r="S354" s="1" t="s">
        <v>3256</v>
      </c>
      <c r="T354" s="6" t="s">
        <v>3256</v>
      </c>
      <c r="U354" s="1" t="str">
        <f t="shared" si="5"/>
        <v>Yes</v>
      </c>
      <c r="W354" s="1" t="s">
        <v>3257</v>
      </c>
      <c r="X354" s="1" t="str">
        <f>IF(COUNTIF('MyWells Drilling Comp'!F:F,E354)=0,"Missing","Exist")</f>
        <v>Exist</v>
      </c>
    </row>
    <row r="355" hidden="1" spans="1:24">
      <c r="A355" s="1" t="s">
        <v>1652</v>
      </c>
      <c r="B355" s="1" t="s">
        <v>90</v>
      </c>
      <c r="C355" s="1" t="s">
        <v>3258</v>
      </c>
      <c r="D355" s="1" t="s">
        <v>3254</v>
      </c>
      <c r="E355" s="1" t="s">
        <v>1577</v>
      </c>
      <c r="F355" s="1" t="s">
        <v>3259</v>
      </c>
      <c r="G355" s="1">
        <v>1</v>
      </c>
      <c r="H355" s="1" t="s">
        <v>1663</v>
      </c>
      <c r="I355" s="1" t="s">
        <v>1657</v>
      </c>
      <c r="J355" s="1" t="s">
        <v>1658</v>
      </c>
      <c r="K355" s="1" t="s">
        <v>1658</v>
      </c>
      <c r="L355" s="1" t="s">
        <v>1658</v>
      </c>
      <c r="M355" s="1" t="s">
        <v>1658</v>
      </c>
      <c r="N355" s="1" t="s">
        <v>1658</v>
      </c>
      <c r="O355" s="1" t="s">
        <v>1658</v>
      </c>
      <c r="P355" s="1">
        <v>1</v>
      </c>
      <c r="Q355" s="1" t="s">
        <v>1658</v>
      </c>
      <c r="R355" s="1">
        <v>0</v>
      </c>
      <c r="S355" s="1" t="s">
        <v>3260</v>
      </c>
      <c r="T355" s="6" t="s">
        <v>3260</v>
      </c>
      <c r="U355" s="1" t="str">
        <f t="shared" si="5"/>
        <v>Yes</v>
      </c>
      <c r="W355" s="1" t="s">
        <v>3261</v>
      </c>
      <c r="X355" s="1" t="str">
        <f>IF(COUNTIF('MyWells Drilling Comp'!F:F,E355)=0,"Missing","Exist")</f>
        <v>Exist</v>
      </c>
    </row>
    <row r="356" hidden="1" spans="1:24">
      <c r="A356" s="1" t="s">
        <v>1652</v>
      </c>
      <c r="B356" s="1" t="s">
        <v>90</v>
      </c>
      <c r="C356" s="1" t="s">
        <v>3262</v>
      </c>
      <c r="D356" s="1" t="s">
        <v>3263</v>
      </c>
      <c r="E356" s="1" t="s">
        <v>640</v>
      </c>
      <c r="F356" s="1" t="s">
        <v>3264</v>
      </c>
      <c r="G356" s="1">
        <v>1</v>
      </c>
      <c r="H356" s="1" t="s">
        <v>1663</v>
      </c>
      <c r="I356" s="1" t="s">
        <v>1657</v>
      </c>
      <c r="J356" s="1" t="s">
        <v>1658</v>
      </c>
      <c r="K356" s="1" t="s">
        <v>1658</v>
      </c>
      <c r="L356" s="1" t="s">
        <v>1658</v>
      </c>
      <c r="M356" s="1" t="s">
        <v>1658</v>
      </c>
      <c r="N356" s="1" t="s">
        <v>1658</v>
      </c>
      <c r="O356" s="1" t="s">
        <v>1658</v>
      </c>
      <c r="P356" s="1">
        <v>1</v>
      </c>
      <c r="Q356" s="1" t="s">
        <v>1658</v>
      </c>
      <c r="R356" s="1">
        <v>0</v>
      </c>
      <c r="S356" s="1" t="s">
        <v>3265</v>
      </c>
      <c r="T356" s="6" t="s">
        <v>3265</v>
      </c>
      <c r="U356" s="1" t="str">
        <f t="shared" si="5"/>
        <v>Yes</v>
      </c>
      <c r="W356" s="1" t="s">
        <v>3266</v>
      </c>
      <c r="X356" s="1" t="str">
        <f>IF(COUNTIF('MyWells Drilling Comp'!F:F,E356)=0,"Missing","Exist")</f>
        <v>Exist</v>
      </c>
    </row>
    <row r="357" hidden="1" spans="1:24">
      <c r="A357" s="1" t="s">
        <v>1652</v>
      </c>
      <c r="B357" s="1" t="s">
        <v>90</v>
      </c>
      <c r="C357" s="1" t="s">
        <v>3267</v>
      </c>
      <c r="D357" s="1" t="s">
        <v>3263</v>
      </c>
      <c r="E357" s="1" t="s">
        <v>640</v>
      </c>
      <c r="F357" s="1" t="s">
        <v>3268</v>
      </c>
      <c r="G357" s="1">
        <v>1</v>
      </c>
      <c r="H357" s="1" t="s">
        <v>1656</v>
      </c>
      <c r="I357" s="1" t="s">
        <v>1657</v>
      </c>
      <c r="J357" s="1" t="s">
        <v>1658</v>
      </c>
      <c r="K357" s="1" t="s">
        <v>1658</v>
      </c>
      <c r="L357" s="1" t="s">
        <v>1658</v>
      </c>
      <c r="M357" s="1" t="s">
        <v>1658</v>
      </c>
      <c r="N357" s="1" t="s">
        <v>1658</v>
      </c>
      <c r="O357" s="1" t="s">
        <v>1658</v>
      </c>
      <c r="P357" s="1">
        <v>1</v>
      </c>
      <c r="Q357" s="1" t="s">
        <v>1658</v>
      </c>
      <c r="R357" s="1">
        <v>0</v>
      </c>
      <c r="S357" s="1" t="s">
        <v>3269</v>
      </c>
      <c r="T357" s="6" t="s">
        <v>3269</v>
      </c>
      <c r="U357" s="1" t="str">
        <f t="shared" si="5"/>
        <v>Yes</v>
      </c>
      <c r="W357" s="1" t="s">
        <v>3270</v>
      </c>
      <c r="X357" s="1" t="str">
        <f>IF(COUNTIF('MyWells Drilling Comp'!F:F,E357)=0,"Missing","Exist")</f>
        <v>Exist</v>
      </c>
    </row>
    <row r="358" hidden="1" spans="1:24">
      <c r="A358" s="1" t="s">
        <v>1652</v>
      </c>
      <c r="B358" s="1" t="s">
        <v>90</v>
      </c>
      <c r="C358" s="1" t="s">
        <v>3271</v>
      </c>
      <c r="D358" s="1" t="s">
        <v>3272</v>
      </c>
      <c r="E358" s="1" t="s">
        <v>1365</v>
      </c>
      <c r="F358" s="1" t="s">
        <v>3273</v>
      </c>
      <c r="G358" s="1">
        <v>1</v>
      </c>
      <c r="H358" s="1" t="s">
        <v>1663</v>
      </c>
      <c r="I358" s="1" t="s">
        <v>1657</v>
      </c>
      <c r="J358" s="1" t="s">
        <v>1658</v>
      </c>
      <c r="K358" s="1" t="s">
        <v>1658</v>
      </c>
      <c r="L358" s="1" t="s">
        <v>1658</v>
      </c>
      <c r="M358" s="1" t="s">
        <v>1658</v>
      </c>
      <c r="N358" s="1" t="s">
        <v>1658</v>
      </c>
      <c r="O358" s="1" t="s">
        <v>1658</v>
      </c>
      <c r="P358" s="1">
        <v>1</v>
      </c>
      <c r="Q358" s="1" t="s">
        <v>1658</v>
      </c>
      <c r="R358" s="1">
        <v>0</v>
      </c>
      <c r="S358" s="1" t="s">
        <v>3274</v>
      </c>
      <c r="T358" s="6"/>
      <c r="U358" s="1" t="str">
        <f t="shared" si="5"/>
        <v>No</v>
      </c>
      <c r="W358" s="1" t="s">
        <v>3275</v>
      </c>
      <c r="X358" s="1" t="str">
        <f>IF(COUNTIF('MyWells Drilling Comp'!F:F,E358)=0,"Missing","Exist")</f>
        <v>Exist</v>
      </c>
    </row>
    <row r="359" hidden="1" spans="1:24">
      <c r="A359" s="1" t="s">
        <v>1652</v>
      </c>
      <c r="B359" s="1" t="s">
        <v>90</v>
      </c>
      <c r="C359" s="1" t="s">
        <v>3276</v>
      </c>
      <c r="D359" s="1" t="s">
        <v>3272</v>
      </c>
      <c r="E359" s="1" t="s">
        <v>1365</v>
      </c>
      <c r="F359" s="1" t="s">
        <v>3277</v>
      </c>
      <c r="G359" s="1">
        <v>1</v>
      </c>
      <c r="H359" s="1" t="s">
        <v>1656</v>
      </c>
      <c r="I359" s="1" t="s">
        <v>1657</v>
      </c>
      <c r="J359" s="1" t="s">
        <v>1658</v>
      </c>
      <c r="K359" s="1" t="s">
        <v>1658</v>
      </c>
      <c r="L359" s="1" t="s">
        <v>1658</v>
      </c>
      <c r="M359" s="1" t="s">
        <v>1658</v>
      </c>
      <c r="N359" s="1" t="s">
        <v>1658</v>
      </c>
      <c r="O359" s="1" t="s">
        <v>1658</v>
      </c>
      <c r="P359" s="1">
        <v>1</v>
      </c>
      <c r="Q359" s="1" t="s">
        <v>1658</v>
      </c>
      <c r="R359" s="1">
        <v>0</v>
      </c>
      <c r="S359" s="1" t="s">
        <v>3278</v>
      </c>
      <c r="T359" s="6"/>
      <c r="U359" s="1" t="str">
        <f t="shared" si="5"/>
        <v>No</v>
      </c>
      <c r="W359" s="1" t="s">
        <v>3279</v>
      </c>
      <c r="X359" s="1" t="str">
        <f>IF(COUNTIF('MyWells Drilling Comp'!F:F,E359)=0,"Missing","Exist")</f>
        <v>Exist</v>
      </c>
    </row>
    <row r="360" hidden="1" spans="1:24">
      <c r="A360" s="1" t="s">
        <v>1652</v>
      </c>
      <c r="B360" s="1" t="s">
        <v>90</v>
      </c>
      <c r="C360" s="1" t="s">
        <v>3280</v>
      </c>
      <c r="D360" s="1" t="s">
        <v>3281</v>
      </c>
      <c r="E360" s="2" t="s">
        <v>537</v>
      </c>
      <c r="F360" s="2" t="s">
        <v>3282</v>
      </c>
      <c r="G360" s="1">
        <v>1</v>
      </c>
      <c r="H360" s="1" t="s">
        <v>1656</v>
      </c>
      <c r="I360" s="1" t="s">
        <v>1657</v>
      </c>
      <c r="J360" s="1" t="s">
        <v>1658</v>
      </c>
      <c r="K360" s="1" t="s">
        <v>1658</v>
      </c>
      <c r="L360" s="1" t="s">
        <v>1658</v>
      </c>
      <c r="M360" s="1" t="s">
        <v>1658</v>
      </c>
      <c r="N360" s="1" t="s">
        <v>1658</v>
      </c>
      <c r="O360" s="1" t="s">
        <v>1658</v>
      </c>
      <c r="P360" s="1">
        <v>1</v>
      </c>
      <c r="Q360" s="1" t="s">
        <v>1658</v>
      </c>
      <c r="R360" s="1">
        <v>0</v>
      </c>
      <c r="S360" s="1" t="s">
        <v>2384</v>
      </c>
      <c r="T360" s="6" t="s">
        <v>2384</v>
      </c>
      <c r="U360" s="1" t="str">
        <f t="shared" si="5"/>
        <v>Yes</v>
      </c>
      <c r="W360" s="1" t="s">
        <v>3283</v>
      </c>
      <c r="X360" s="1" t="str">
        <f>IF(COUNTIF('MyWells Drilling Comp'!F:F,E360)=0,"Missing","Exist")</f>
        <v>Exist</v>
      </c>
    </row>
    <row r="361" hidden="1" spans="1:24">
      <c r="A361" s="1" t="s">
        <v>1652</v>
      </c>
      <c r="B361" s="1" t="s">
        <v>90</v>
      </c>
      <c r="C361" s="1" t="s">
        <v>3284</v>
      </c>
      <c r="D361" s="1" t="s">
        <v>3281</v>
      </c>
      <c r="E361" s="2" t="s">
        <v>537</v>
      </c>
      <c r="F361" s="2" t="s">
        <v>3285</v>
      </c>
      <c r="G361" s="1">
        <v>1</v>
      </c>
      <c r="H361" s="1" t="s">
        <v>1663</v>
      </c>
      <c r="I361" s="1" t="s">
        <v>1657</v>
      </c>
      <c r="J361" s="1" t="s">
        <v>1658</v>
      </c>
      <c r="K361" s="1" t="s">
        <v>1658</v>
      </c>
      <c r="L361" s="1" t="s">
        <v>1658</v>
      </c>
      <c r="M361" s="1" t="s">
        <v>1658</v>
      </c>
      <c r="N361" s="1" t="s">
        <v>1658</v>
      </c>
      <c r="O361" s="1" t="s">
        <v>1658</v>
      </c>
      <c r="P361" s="1">
        <v>1</v>
      </c>
      <c r="Q361" s="1" t="s">
        <v>1658</v>
      </c>
      <c r="R361" s="1">
        <v>0</v>
      </c>
      <c r="S361" s="1" t="s">
        <v>3286</v>
      </c>
      <c r="T361" s="6" t="s">
        <v>3286</v>
      </c>
      <c r="U361" s="1" t="str">
        <f t="shared" si="5"/>
        <v>Yes</v>
      </c>
      <c r="W361" s="1" t="s">
        <v>3287</v>
      </c>
      <c r="X361" s="1" t="str">
        <f>IF(COUNTIF('MyWells Drilling Comp'!F:F,E361)=0,"Missing","Exist")</f>
        <v>Exist</v>
      </c>
    </row>
    <row r="362" hidden="1" spans="1:24">
      <c r="A362" s="1" t="s">
        <v>1652</v>
      </c>
      <c r="B362" s="1" t="s">
        <v>90</v>
      </c>
      <c r="C362" s="1" t="s">
        <v>3288</v>
      </c>
      <c r="D362" s="1" t="s">
        <v>3289</v>
      </c>
      <c r="E362" s="1" t="s">
        <v>1207</v>
      </c>
      <c r="F362" s="1" t="s">
        <v>3290</v>
      </c>
      <c r="G362" s="1">
        <v>1</v>
      </c>
      <c r="H362" s="1" t="s">
        <v>1656</v>
      </c>
      <c r="I362" s="1" t="s">
        <v>1657</v>
      </c>
      <c r="J362" s="1" t="s">
        <v>1658</v>
      </c>
      <c r="K362" s="1" t="s">
        <v>1658</v>
      </c>
      <c r="L362" s="1" t="s">
        <v>1658</v>
      </c>
      <c r="M362" s="1" t="s">
        <v>1658</v>
      </c>
      <c r="N362" s="1" t="s">
        <v>1658</v>
      </c>
      <c r="O362" s="1" t="s">
        <v>1658</v>
      </c>
      <c r="P362" s="1">
        <v>1</v>
      </c>
      <c r="Q362" s="1" t="s">
        <v>1658</v>
      </c>
      <c r="R362" s="1">
        <v>0</v>
      </c>
      <c r="S362" s="1" t="s">
        <v>3291</v>
      </c>
      <c r="T362" s="6" t="s">
        <v>3291</v>
      </c>
      <c r="U362" s="1" t="str">
        <f t="shared" si="5"/>
        <v>Yes</v>
      </c>
      <c r="W362" s="1" t="s">
        <v>3292</v>
      </c>
      <c r="X362" s="1" t="str">
        <f>IF(COUNTIF('MyWells Drilling Comp'!F:F,E362)=0,"Missing","Exist")</f>
        <v>Exist</v>
      </c>
    </row>
    <row r="363" hidden="1" spans="1:24">
      <c r="A363" s="1" t="s">
        <v>1652</v>
      </c>
      <c r="B363" s="1" t="s">
        <v>90</v>
      </c>
      <c r="C363" s="1" t="s">
        <v>3293</v>
      </c>
      <c r="D363" s="1" t="s">
        <v>3289</v>
      </c>
      <c r="E363" s="1" t="s">
        <v>1207</v>
      </c>
      <c r="F363" s="1" t="s">
        <v>3294</v>
      </c>
      <c r="G363" s="1">
        <v>1</v>
      </c>
      <c r="H363" s="1" t="s">
        <v>1663</v>
      </c>
      <c r="I363" s="1" t="s">
        <v>1657</v>
      </c>
      <c r="J363" s="1" t="s">
        <v>1658</v>
      </c>
      <c r="K363" s="1" t="s">
        <v>1658</v>
      </c>
      <c r="L363" s="1" t="s">
        <v>1658</v>
      </c>
      <c r="M363" s="1" t="s">
        <v>1658</v>
      </c>
      <c r="N363" s="1" t="s">
        <v>1658</v>
      </c>
      <c r="O363" s="1" t="s">
        <v>1658</v>
      </c>
      <c r="P363" s="1">
        <v>1</v>
      </c>
      <c r="Q363" s="1" t="s">
        <v>1658</v>
      </c>
      <c r="R363" s="1">
        <v>0</v>
      </c>
      <c r="S363" s="1" t="s">
        <v>3295</v>
      </c>
      <c r="T363" s="6" t="s">
        <v>3295</v>
      </c>
      <c r="U363" s="1" t="str">
        <f t="shared" si="5"/>
        <v>Yes</v>
      </c>
      <c r="W363" s="1" t="s">
        <v>3296</v>
      </c>
      <c r="X363" s="1" t="str">
        <f>IF(COUNTIF('MyWells Drilling Comp'!F:F,E363)=0,"Missing","Exist")</f>
        <v>Exist</v>
      </c>
    </row>
    <row r="364" hidden="1" spans="1:24">
      <c r="A364" s="1" t="s">
        <v>1652</v>
      </c>
      <c r="B364" s="1" t="s">
        <v>90</v>
      </c>
      <c r="C364" s="1" t="s">
        <v>3297</v>
      </c>
      <c r="D364" s="1" t="s">
        <v>3298</v>
      </c>
      <c r="E364" s="1" t="s">
        <v>1554</v>
      </c>
      <c r="F364" s="1" t="s">
        <v>3299</v>
      </c>
      <c r="G364" s="1">
        <v>1</v>
      </c>
      <c r="H364" s="1" t="s">
        <v>1656</v>
      </c>
      <c r="I364" s="1" t="s">
        <v>1657</v>
      </c>
      <c r="J364" s="1" t="s">
        <v>1658</v>
      </c>
      <c r="K364" s="1" t="s">
        <v>1658</v>
      </c>
      <c r="L364" s="1" t="s">
        <v>1658</v>
      </c>
      <c r="M364" s="1" t="s">
        <v>1658</v>
      </c>
      <c r="N364" s="1" t="s">
        <v>1658</v>
      </c>
      <c r="O364" s="1" t="s">
        <v>1658</v>
      </c>
      <c r="P364" s="1">
        <v>1</v>
      </c>
      <c r="Q364" s="1" t="s">
        <v>1658</v>
      </c>
      <c r="R364" s="1">
        <v>0</v>
      </c>
      <c r="S364" s="1" t="s">
        <v>3300</v>
      </c>
      <c r="T364" s="6" t="s">
        <v>3300</v>
      </c>
      <c r="U364" s="1" t="str">
        <f t="shared" si="5"/>
        <v>Yes</v>
      </c>
      <c r="W364" s="1" t="s">
        <v>3301</v>
      </c>
      <c r="X364" s="1" t="str">
        <f>IF(COUNTIF('MyWells Drilling Comp'!F:F,E364)=0,"Missing","Exist")</f>
        <v>Exist</v>
      </c>
    </row>
    <row r="365" hidden="1" spans="1:24">
      <c r="A365" s="1" t="s">
        <v>1652</v>
      </c>
      <c r="B365" s="1" t="s">
        <v>90</v>
      </c>
      <c r="C365" s="1" t="s">
        <v>3302</v>
      </c>
      <c r="D365" s="1" t="s">
        <v>3298</v>
      </c>
      <c r="E365" s="1" t="s">
        <v>1554</v>
      </c>
      <c r="F365" s="1" t="s">
        <v>3303</v>
      </c>
      <c r="G365" s="1">
        <v>1</v>
      </c>
      <c r="H365" s="1" t="s">
        <v>1663</v>
      </c>
      <c r="I365" s="1" t="s">
        <v>1657</v>
      </c>
      <c r="J365" s="1" t="s">
        <v>1658</v>
      </c>
      <c r="K365" s="1" t="s">
        <v>1658</v>
      </c>
      <c r="L365" s="1" t="s">
        <v>1658</v>
      </c>
      <c r="M365" s="1" t="s">
        <v>1658</v>
      </c>
      <c r="N365" s="1" t="s">
        <v>1658</v>
      </c>
      <c r="O365" s="1" t="s">
        <v>1658</v>
      </c>
      <c r="P365" s="1">
        <v>1</v>
      </c>
      <c r="Q365" s="1" t="s">
        <v>1658</v>
      </c>
      <c r="R365" s="1">
        <v>0</v>
      </c>
      <c r="S365" s="1" t="s">
        <v>3304</v>
      </c>
      <c r="T365" s="6" t="s">
        <v>3304</v>
      </c>
      <c r="U365" s="1" t="str">
        <f t="shared" si="5"/>
        <v>Yes</v>
      </c>
      <c r="W365" s="1" t="s">
        <v>3305</v>
      </c>
      <c r="X365" s="1" t="str">
        <f>IF(COUNTIF('MyWells Drilling Comp'!F:F,E365)=0,"Missing","Exist")</f>
        <v>Exist</v>
      </c>
    </row>
    <row r="366" hidden="1" spans="1:24">
      <c r="A366" s="1" t="s">
        <v>1652</v>
      </c>
      <c r="B366" s="1" t="s">
        <v>90</v>
      </c>
      <c r="C366" s="1" t="s">
        <v>3306</v>
      </c>
      <c r="D366" s="1" t="s">
        <v>3307</v>
      </c>
      <c r="E366" s="1" t="s">
        <v>1322</v>
      </c>
      <c r="F366" s="1" t="s">
        <v>3308</v>
      </c>
      <c r="G366" s="1">
        <v>1</v>
      </c>
      <c r="H366" s="1" t="s">
        <v>1663</v>
      </c>
      <c r="I366" s="1" t="s">
        <v>1657</v>
      </c>
      <c r="J366" s="1" t="s">
        <v>1658</v>
      </c>
      <c r="K366" s="1" t="s">
        <v>1658</v>
      </c>
      <c r="L366" s="1" t="s">
        <v>1658</v>
      </c>
      <c r="M366" s="1" t="s">
        <v>1658</v>
      </c>
      <c r="N366" s="1" t="s">
        <v>1658</v>
      </c>
      <c r="O366" s="1" t="s">
        <v>1658</v>
      </c>
      <c r="P366" s="1">
        <v>1</v>
      </c>
      <c r="Q366" s="1" t="s">
        <v>1658</v>
      </c>
      <c r="R366" s="1">
        <v>0</v>
      </c>
      <c r="S366" s="1" t="s">
        <v>3309</v>
      </c>
      <c r="T366" s="6" t="s">
        <v>3309</v>
      </c>
      <c r="U366" s="1" t="str">
        <f t="shared" si="5"/>
        <v>Yes</v>
      </c>
      <c r="W366" s="1" t="s">
        <v>3310</v>
      </c>
      <c r="X366" s="1" t="str">
        <f>IF(COUNTIF('MyWells Drilling Comp'!F:F,E366)=0,"Missing","Exist")</f>
        <v>Exist</v>
      </c>
    </row>
    <row r="367" hidden="1" spans="1:24">
      <c r="A367" s="1" t="s">
        <v>1652</v>
      </c>
      <c r="B367" s="1" t="s">
        <v>90</v>
      </c>
      <c r="C367" s="1" t="s">
        <v>3311</v>
      </c>
      <c r="D367" s="1" t="s">
        <v>3307</v>
      </c>
      <c r="E367" s="1" t="s">
        <v>1322</v>
      </c>
      <c r="F367" s="1" t="s">
        <v>3312</v>
      </c>
      <c r="G367" s="1">
        <v>1</v>
      </c>
      <c r="H367" s="1" t="s">
        <v>1656</v>
      </c>
      <c r="I367" s="1" t="s">
        <v>1657</v>
      </c>
      <c r="J367" s="1" t="s">
        <v>1658</v>
      </c>
      <c r="K367" s="1" t="s">
        <v>1658</v>
      </c>
      <c r="L367" s="1" t="s">
        <v>1658</v>
      </c>
      <c r="M367" s="1" t="s">
        <v>1658</v>
      </c>
      <c r="N367" s="1" t="s">
        <v>1658</v>
      </c>
      <c r="O367" s="1" t="s">
        <v>1658</v>
      </c>
      <c r="P367" s="1">
        <v>1</v>
      </c>
      <c r="Q367" s="1" t="s">
        <v>1658</v>
      </c>
      <c r="R367" s="1">
        <v>0</v>
      </c>
      <c r="S367" s="1" t="s">
        <v>3313</v>
      </c>
      <c r="T367" s="6" t="s">
        <v>3313</v>
      </c>
      <c r="U367" s="1" t="str">
        <f t="shared" si="5"/>
        <v>Yes</v>
      </c>
      <c r="W367" s="1" t="s">
        <v>3314</v>
      </c>
      <c r="X367" s="1" t="str">
        <f>IF(COUNTIF('MyWells Drilling Comp'!F:F,E367)=0,"Missing","Exist")</f>
        <v>Exist</v>
      </c>
    </row>
    <row r="368" hidden="1" spans="1:24">
      <c r="A368" s="1" t="s">
        <v>1652</v>
      </c>
      <c r="B368" s="1" t="s">
        <v>90</v>
      </c>
      <c r="C368" s="1" t="s">
        <v>3315</v>
      </c>
      <c r="D368" s="1" t="s">
        <v>3316</v>
      </c>
      <c r="E368" s="1" t="s">
        <v>560</v>
      </c>
      <c r="F368" s="1" t="s">
        <v>3317</v>
      </c>
      <c r="G368" s="1">
        <v>1</v>
      </c>
      <c r="H368" s="1" t="s">
        <v>1663</v>
      </c>
      <c r="I368" s="1" t="s">
        <v>1657</v>
      </c>
      <c r="J368" s="1" t="s">
        <v>1658</v>
      </c>
      <c r="K368" s="1" t="s">
        <v>1658</v>
      </c>
      <c r="L368" s="1" t="s">
        <v>1658</v>
      </c>
      <c r="M368" s="1" t="s">
        <v>1658</v>
      </c>
      <c r="N368" s="1" t="s">
        <v>1658</v>
      </c>
      <c r="O368" s="1" t="s">
        <v>1658</v>
      </c>
      <c r="P368" s="1">
        <v>1</v>
      </c>
      <c r="Q368" s="1" t="s">
        <v>1658</v>
      </c>
      <c r="R368" s="1">
        <v>0</v>
      </c>
      <c r="S368" s="1" t="s">
        <v>3318</v>
      </c>
      <c r="T368" s="6" t="s">
        <v>3318</v>
      </c>
      <c r="U368" s="1" t="str">
        <f t="shared" si="5"/>
        <v>Yes</v>
      </c>
      <c r="W368" s="1" t="s">
        <v>3319</v>
      </c>
      <c r="X368" s="1" t="str">
        <f>IF(COUNTIF('MyWells Drilling Comp'!F:F,E368)=0,"Missing","Exist")</f>
        <v>Exist</v>
      </c>
    </row>
    <row r="369" hidden="1" spans="1:24">
      <c r="A369" s="1" t="s">
        <v>1652</v>
      </c>
      <c r="B369" s="1" t="s">
        <v>90</v>
      </c>
      <c r="C369" s="1" t="s">
        <v>3320</v>
      </c>
      <c r="D369" s="1" t="s">
        <v>3316</v>
      </c>
      <c r="E369" s="1" t="s">
        <v>560</v>
      </c>
      <c r="F369" s="1" t="s">
        <v>3321</v>
      </c>
      <c r="G369" s="1">
        <v>1</v>
      </c>
      <c r="H369" s="1" t="s">
        <v>1656</v>
      </c>
      <c r="I369" s="1" t="s">
        <v>1657</v>
      </c>
      <c r="J369" s="1" t="s">
        <v>1658</v>
      </c>
      <c r="K369" s="1" t="s">
        <v>1658</v>
      </c>
      <c r="L369" s="1" t="s">
        <v>1658</v>
      </c>
      <c r="M369" s="1" t="s">
        <v>1658</v>
      </c>
      <c r="N369" s="1" t="s">
        <v>1658</v>
      </c>
      <c r="O369" s="1" t="s">
        <v>1658</v>
      </c>
      <c r="P369" s="1">
        <v>1</v>
      </c>
      <c r="Q369" s="1" t="s">
        <v>1658</v>
      </c>
      <c r="R369" s="1">
        <v>0</v>
      </c>
      <c r="S369" s="1" t="s">
        <v>3322</v>
      </c>
      <c r="T369" s="6" t="s">
        <v>3322</v>
      </c>
      <c r="U369" s="1" t="str">
        <f t="shared" si="5"/>
        <v>Yes</v>
      </c>
      <c r="W369" s="1" t="s">
        <v>3323</v>
      </c>
      <c r="X369" s="1" t="str">
        <f>IF(COUNTIF('MyWells Drilling Comp'!F:F,E369)=0,"Missing","Exist")</f>
        <v>Exist</v>
      </c>
    </row>
    <row r="370" hidden="1" spans="1:24">
      <c r="A370" s="1" t="s">
        <v>1652</v>
      </c>
      <c r="B370" s="1" t="s">
        <v>90</v>
      </c>
      <c r="C370" s="1" t="s">
        <v>3324</v>
      </c>
      <c r="D370" s="1" t="s">
        <v>3325</v>
      </c>
      <c r="E370" s="1" t="s">
        <v>823</v>
      </c>
      <c r="F370" s="1" t="s">
        <v>3326</v>
      </c>
      <c r="G370" s="1">
        <v>1</v>
      </c>
      <c r="H370" s="1" t="s">
        <v>1663</v>
      </c>
      <c r="I370" s="1" t="s">
        <v>1657</v>
      </c>
      <c r="J370" s="1" t="s">
        <v>1658</v>
      </c>
      <c r="K370" s="1" t="s">
        <v>1658</v>
      </c>
      <c r="L370" s="1" t="s">
        <v>1658</v>
      </c>
      <c r="M370" s="1" t="s">
        <v>1658</v>
      </c>
      <c r="N370" s="1" t="s">
        <v>1658</v>
      </c>
      <c r="O370" s="1" t="s">
        <v>1658</v>
      </c>
      <c r="P370" s="1">
        <v>1</v>
      </c>
      <c r="Q370" s="1" t="s">
        <v>1658</v>
      </c>
      <c r="R370" s="1">
        <v>0</v>
      </c>
      <c r="S370" s="1" t="s">
        <v>3327</v>
      </c>
      <c r="T370" s="6" t="s">
        <v>3327</v>
      </c>
      <c r="U370" s="1" t="str">
        <f t="shared" si="5"/>
        <v>Yes</v>
      </c>
      <c r="W370" s="1" t="s">
        <v>3328</v>
      </c>
      <c r="X370" s="1" t="str">
        <f>IF(COUNTIF('MyWells Drilling Comp'!F:F,E370)=0,"Missing","Exist")</f>
        <v>Exist</v>
      </c>
    </row>
    <row r="371" hidden="1" spans="1:24">
      <c r="A371" s="1" t="s">
        <v>1652</v>
      </c>
      <c r="B371" s="1" t="s">
        <v>90</v>
      </c>
      <c r="C371" s="1" t="s">
        <v>3329</v>
      </c>
      <c r="D371" s="1" t="s">
        <v>3325</v>
      </c>
      <c r="E371" s="1" t="s">
        <v>823</v>
      </c>
      <c r="F371" s="1" t="s">
        <v>3330</v>
      </c>
      <c r="G371" s="1">
        <v>1</v>
      </c>
      <c r="H371" s="1" t="s">
        <v>1656</v>
      </c>
      <c r="I371" s="1" t="s">
        <v>1657</v>
      </c>
      <c r="J371" s="1" t="s">
        <v>1658</v>
      </c>
      <c r="K371" s="1" t="s">
        <v>1658</v>
      </c>
      <c r="L371" s="1" t="s">
        <v>1658</v>
      </c>
      <c r="M371" s="1" t="s">
        <v>1658</v>
      </c>
      <c r="N371" s="1" t="s">
        <v>1658</v>
      </c>
      <c r="O371" s="1" t="s">
        <v>1658</v>
      </c>
      <c r="P371" s="1">
        <v>1</v>
      </c>
      <c r="Q371" s="1" t="s">
        <v>1658</v>
      </c>
      <c r="R371" s="1">
        <v>0</v>
      </c>
      <c r="S371" s="1" t="s">
        <v>3331</v>
      </c>
      <c r="T371" s="6" t="s">
        <v>3331</v>
      </c>
      <c r="U371" s="1" t="str">
        <f t="shared" si="5"/>
        <v>Yes</v>
      </c>
      <c r="W371" s="1" t="s">
        <v>3332</v>
      </c>
      <c r="X371" s="1" t="str">
        <f>IF(COUNTIF('MyWells Drilling Comp'!F:F,E371)=0,"Missing","Exist")</f>
        <v>Exist</v>
      </c>
    </row>
    <row r="372" hidden="1" spans="1:24">
      <c r="A372" s="1" t="s">
        <v>1652</v>
      </c>
      <c r="B372" s="1" t="s">
        <v>90</v>
      </c>
      <c r="C372" s="1" t="s">
        <v>3333</v>
      </c>
      <c r="D372" s="1" t="s">
        <v>3334</v>
      </c>
      <c r="E372" s="1" t="s">
        <v>1579</v>
      </c>
      <c r="F372" s="1" t="s">
        <v>3335</v>
      </c>
      <c r="G372" s="1">
        <v>1</v>
      </c>
      <c r="H372" s="1" t="s">
        <v>1663</v>
      </c>
      <c r="I372" s="1" t="s">
        <v>1657</v>
      </c>
      <c r="J372" s="1" t="s">
        <v>1658</v>
      </c>
      <c r="K372" s="1" t="s">
        <v>1658</v>
      </c>
      <c r="L372" s="1" t="s">
        <v>1658</v>
      </c>
      <c r="M372" s="1" t="s">
        <v>1658</v>
      </c>
      <c r="N372" s="1" t="s">
        <v>1658</v>
      </c>
      <c r="O372" s="1" t="s">
        <v>1658</v>
      </c>
      <c r="P372" s="1">
        <v>1</v>
      </c>
      <c r="Q372" s="1" t="s">
        <v>1658</v>
      </c>
      <c r="R372" s="1">
        <v>0</v>
      </c>
      <c r="S372" s="1" t="s">
        <v>3336</v>
      </c>
      <c r="T372" s="6" t="s">
        <v>3336</v>
      </c>
      <c r="U372" s="1" t="str">
        <f t="shared" si="5"/>
        <v>Yes</v>
      </c>
      <c r="W372" s="1" t="s">
        <v>3337</v>
      </c>
      <c r="X372" s="1" t="str">
        <f>IF(COUNTIF('MyWells Drilling Comp'!F:F,E372)=0,"Missing","Exist")</f>
        <v>Exist</v>
      </c>
    </row>
    <row r="373" hidden="1" spans="1:24">
      <c r="A373" s="1" t="s">
        <v>1652</v>
      </c>
      <c r="B373" s="1" t="s">
        <v>90</v>
      </c>
      <c r="C373" s="1" t="s">
        <v>3338</v>
      </c>
      <c r="D373" s="1" t="s">
        <v>3334</v>
      </c>
      <c r="E373" s="1" t="s">
        <v>1579</v>
      </c>
      <c r="F373" s="1" t="s">
        <v>3339</v>
      </c>
      <c r="G373" s="1">
        <v>1</v>
      </c>
      <c r="H373" s="1" t="s">
        <v>1656</v>
      </c>
      <c r="I373" s="1" t="s">
        <v>1657</v>
      </c>
      <c r="J373" s="1" t="s">
        <v>1658</v>
      </c>
      <c r="K373" s="1" t="s">
        <v>1658</v>
      </c>
      <c r="L373" s="1" t="s">
        <v>1658</v>
      </c>
      <c r="M373" s="1" t="s">
        <v>1658</v>
      </c>
      <c r="N373" s="1" t="s">
        <v>1658</v>
      </c>
      <c r="O373" s="1" t="s">
        <v>1658</v>
      </c>
      <c r="P373" s="1">
        <v>1</v>
      </c>
      <c r="Q373" s="1" t="s">
        <v>1658</v>
      </c>
      <c r="R373" s="1">
        <v>0</v>
      </c>
      <c r="S373" s="1" t="s">
        <v>3340</v>
      </c>
      <c r="T373" s="6" t="s">
        <v>3340</v>
      </c>
      <c r="U373" s="1" t="str">
        <f t="shared" si="5"/>
        <v>Yes</v>
      </c>
      <c r="W373" s="1" t="s">
        <v>3341</v>
      </c>
      <c r="X373" s="1" t="str">
        <f>IF(COUNTIF('MyWells Drilling Comp'!F:F,E373)=0,"Missing","Exist")</f>
        <v>Exist</v>
      </c>
    </row>
    <row r="374" hidden="1" spans="1:24">
      <c r="A374" s="1" t="s">
        <v>1652</v>
      </c>
      <c r="B374" s="1" t="s">
        <v>90</v>
      </c>
      <c r="C374" s="1" t="s">
        <v>3342</v>
      </c>
      <c r="D374" s="1" t="s">
        <v>3343</v>
      </c>
      <c r="E374" s="1" t="s">
        <v>934</v>
      </c>
      <c r="F374" s="1" t="s">
        <v>3344</v>
      </c>
      <c r="G374" s="1">
        <v>1</v>
      </c>
      <c r="H374" s="1" t="s">
        <v>1663</v>
      </c>
      <c r="I374" s="1" t="s">
        <v>1657</v>
      </c>
      <c r="J374" s="1" t="s">
        <v>1658</v>
      </c>
      <c r="K374" s="1" t="s">
        <v>1658</v>
      </c>
      <c r="L374" s="1" t="s">
        <v>1658</v>
      </c>
      <c r="M374" s="1" t="s">
        <v>1658</v>
      </c>
      <c r="N374" s="1" t="s">
        <v>1658</v>
      </c>
      <c r="O374" s="1" t="s">
        <v>1658</v>
      </c>
      <c r="P374" s="1">
        <v>1</v>
      </c>
      <c r="Q374" s="1" t="s">
        <v>1658</v>
      </c>
      <c r="R374" s="1">
        <v>0</v>
      </c>
      <c r="S374" s="1" t="s">
        <v>3345</v>
      </c>
      <c r="T374" s="6" t="s">
        <v>3345</v>
      </c>
      <c r="U374" s="1" t="str">
        <f t="shared" si="5"/>
        <v>Yes</v>
      </c>
      <c r="W374" s="1" t="s">
        <v>3346</v>
      </c>
      <c r="X374" s="1" t="str">
        <f>IF(COUNTIF('MyWells Drilling Comp'!F:F,E374)=0,"Missing","Exist")</f>
        <v>Exist</v>
      </c>
    </row>
    <row r="375" hidden="1" spans="1:24">
      <c r="A375" s="1" t="s">
        <v>1652</v>
      </c>
      <c r="B375" s="1" t="s">
        <v>90</v>
      </c>
      <c r="C375" s="1" t="s">
        <v>3347</v>
      </c>
      <c r="D375" s="1" t="s">
        <v>3343</v>
      </c>
      <c r="E375" s="1" t="s">
        <v>934</v>
      </c>
      <c r="F375" s="1" t="s">
        <v>3348</v>
      </c>
      <c r="G375" s="1">
        <v>1</v>
      </c>
      <c r="H375" s="1" t="s">
        <v>1656</v>
      </c>
      <c r="I375" s="1" t="s">
        <v>1657</v>
      </c>
      <c r="J375" s="1" t="s">
        <v>1658</v>
      </c>
      <c r="K375" s="1" t="s">
        <v>1658</v>
      </c>
      <c r="L375" s="1" t="s">
        <v>1658</v>
      </c>
      <c r="M375" s="1" t="s">
        <v>1658</v>
      </c>
      <c r="N375" s="1" t="s">
        <v>1658</v>
      </c>
      <c r="O375" s="1" t="s">
        <v>1658</v>
      </c>
      <c r="P375" s="1">
        <v>1</v>
      </c>
      <c r="Q375" s="1" t="s">
        <v>1658</v>
      </c>
      <c r="R375" s="1">
        <v>0</v>
      </c>
      <c r="S375" s="1" t="s">
        <v>3349</v>
      </c>
      <c r="T375" s="6" t="s">
        <v>3349</v>
      </c>
      <c r="U375" s="1" t="str">
        <f t="shared" si="5"/>
        <v>Yes</v>
      </c>
      <c r="W375" s="1" t="s">
        <v>3350</v>
      </c>
      <c r="X375" s="1" t="str">
        <f>IF(COUNTIF('MyWells Drilling Comp'!F:F,E375)=0,"Missing","Exist")</f>
        <v>Exist</v>
      </c>
    </row>
    <row r="376" hidden="1" spans="1:24">
      <c r="A376" s="1" t="s">
        <v>1652</v>
      </c>
      <c r="B376" s="1" t="s">
        <v>90</v>
      </c>
      <c r="C376" s="1" t="s">
        <v>3351</v>
      </c>
      <c r="D376" s="1" t="s">
        <v>3352</v>
      </c>
      <c r="E376" s="1" t="s">
        <v>737</v>
      </c>
      <c r="F376" s="1" t="s">
        <v>3353</v>
      </c>
      <c r="G376" s="1">
        <v>1</v>
      </c>
      <c r="H376" s="1" t="s">
        <v>1656</v>
      </c>
      <c r="I376" s="1" t="s">
        <v>1657</v>
      </c>
      <c r="J376" s="1" t="s">
        <v>1658</v>
      </c>
      <c r="K376" s="1" t="s">
        <v>1658</v>
      </c>
      <c r="L376" s="1" t="s">
        <v>1658</v>
      </c>
      <c r="M376" s="1" t="s">
        <v>1658</v>
      </c>
      <c r="N376" s="1" t="s">
        <v>1658</v>
      </c>
      <c r="O376" s="1" t="s">
        <v>1658</v>
      </c>
      <c r="P376" s="1">
        <v>1</v>
      </c>
      <c r="Q376" s="1" t="s">
        <v>1658</v>
      </c>
      <c r="R376" s="1">
        <v>0</v>
      </c>
      <c r="S376" s="1" t="s">
        <v>3354</v>
      </c>
      <c r="T376" s="6" t="s">
        <v>3355</v>
      </c>
      <c r="U376" s="1" t="str">
        <f t="shared" si="5"/>
        <v>No</v>
      </c>
      <c r="W376" s="1" t="s">
        <v>3356</v>
      </c>
      <c r="X376" s="1" t="str">
        <f>IF(COUNTIF('MyWells Drilling Comp'!F:F,E376)=0,"Missing","Exist")</f>
        <v>Exist</v>
      </c>
    </row>
    <row r="377" hidden="1" spans="1:24">
      <c r="A377" s="1" t="s">
        <v>1652</v>
      </c>
      <c r="B377" s="1" t="s">
        <v>90</v>
      </c>
      <c r="C377" s="1" t="s">
        <v>3357</v>
      </c>
      <c r="D377" s="1" t="s">
        <v>3352</v>
      </c>
      <c r="E377" s="1" t="s">
        <v>737</v>
      </c>
      <c r="F377" s="1" t="s">
        <v>3358</v>
      </c>
      <c r="G377" s="1">
        <v>1</v>
      </c>
      <c r="H377" s="1" t="s">
        <v>1663</v>
      </c>
      <c r="I377" s="1" t="s">
        <v>1657</v>
      </c>
      <c r="J377" s="1" t="s">
        <v>1658</v>
      </c>
      <c r="K377" s="1" t="s">
        <v>1658</v>
      </c>
      <c r="L377" s="1" t="s">
        <v>1658</v>
      </c>
      <c r="M377" s="1" t="s">
        <v>1658</v>
      </c>
      <c r="N377" s="1" t="s">
        <v>1658</v>
      </c>
      <c r="O377" s="1" t="s">
        <v>1658</v>
      </c>
      <c r="P377" s="1">
        <v>1</v>
      </c>
      <c r="Q377" s="1" t="s">
        <v>1658</v>
      </c>
      <c r="R377" s="1">
        <v>0</v>
      </c>
      <c r="S377" s="1" t="s">
        <v>3359</v>
      </c>
      <c r="T377" s="6" t="s">
        <v>3359</v>
      </c>
      <c r="U377" s="1" t="str">
        <f t="shared" si="5"/>
        <v>Yes</v>
      </c>
      <c r="W377" s="1" t="s">
        <v>3360</v>
      </c>
      <c r="X377" s="1" t="str">
        <f>IF(COUNTIF('MyWells Drilling Comp'!F:F,E377)=0,"Missing","Exist")</f>
        <v>Exist</v>
      </c>
    </row>
    <row r="378" hidden="1" spans="1:24">
      <c r="A378" s="1" t="s">
        <v>1652</v>
      </c>
      <c r="B378" s="1" t="s">
        <v>90</v>
      </c>
      <c r="C378" s="1" t="s">
        <v>3361</v>
      </c>
      <c r="D378" s="1" t="s">
        <v>3362</v>
      </c>
      <c r="E378" s="1" t="s">
        <v>246</v>
      </c>
      <c r="F378" s="1" t="s">
        <v>3363</v>
      </c>
      <c r="G378" s="1">
        <v>1</v>
      </c>
      <c r="H378" s="1" t="s">
        <v>1656</v>
      </c>
      <c r="I378" s="1" t="s">
        <v>1657</v>
      </c>
      <c r="J378" s="1" t="s">
        <v>1658</v>
      </c>
      <c r="K378" s="1" t="s">
        <v>1658</v>
      </c>
      <c r="L378" s="1" t="s">
        <v>1658</v>
      </c>
      <c r="M378" s="1" t="s">
        <v>1658</v>
      </c>
      <c r="N378" s="1" t="s">
        <v>1658</v>
      </c>
      <c r="O378" s="1" t="s">
        <v>1658</v>
      </c>
      <c r="P378" s="1">
        <v>1</v>
      </c>
      <c r="Q378" s="1" t="s">
        <v>1658</v>
      </c>
      <c r="R378" s="1">
        <v>0</v>
      </c>
      <c r="S378" s="1" t="s">
        <v>3364</v>
      </c>
      <c r="T378" s="6"/>
      <c r="U378" s="1" t="str">
        <f t="shared" si="5"/>
        <v>No</v>
      </c>
      <c r="W378" s="1" t="s">
        <v>3365</v>
      </c>
      <c r="X378" s="1" t="str">
        <f>IF(COUNTIF('MyWells Drilling Comp'!F:F,E378)=0,"Missing","Exist")</f>
        <v>Exist</v>
      </c>
    </row>
    <row r="379" hidden="1" spans="1:24">
      <c r="A379" s="1" t="s">
        <v>1652</v>
      </c>
      <c r="B379" s="1" t="s">
        <v>90</v>
      </c>
      <c r="C379" s="1" t="s">
        <v>3366</v>
      </c>
      <c r="D379" s="1" t="s">
        <v>3362</v>
      </c>
      <c r="E379" s="1" t="s">
        <v>246</v>
      </c>
      <c r="F379" s="1" t="s">
        <v>3367</v>
      </c>
      <c r="G379" s="1">
        <v>1</v>
      </c>
      <c r="H379" s="1" t="s">
        <v>1663</v>
      </c>
      <c r="I379" s="1" t="s">
        <v>1657</v>
      </c>
      <c r="J379" s="1" t="s">
        <v>1658</v>
      </c>
      <c r="K379" s="1" t="s">
        <v>1658</v>
      </c>
      <c r="L379" s="1" t="s">
        <v>1658</v>
      </c>
      <c r="M379" s="1" t="s">
        <v>1658</v>
      </c>
      <c r="N379" s="1" t="s">
        <v>1658</v>
      </c>
      <c r="O379" s="1" t="s">
        <v>1658</v>
      </c>
      <c r="P379" s="1">
        <v>1</v>
      </c>
      <c r="Q379" s="1" t="s">
        <v>1658</v>
      </c>
      <c r="R379" s="1">
        <v>0</v>
      </c>
      <c r="S379" s="1" t="s">
        <v>3368</v>
      </c>
      <c r="T379" s="6" t="s">
        <v>3368</v>
      </c>
      <c r="U379" s="1" t="str">
        <f t="shared" si="5"/>
        <v>Yes</v>
      </c>
      <c r="W379" s="1" t="s">
        <v>3369</v>
      </c>
      <c r="X379" s="1" t="str">
        <f>IF(COUNTIF('MyWells Drilling Comp'!F:F,E379)=0,"Missing","Exist")</f>
        <v>Exist</v>
      </c>
    </row>
    <row r="380" hidden="1" spans="1:24">
      <c r="A380" s="1" t="s">
        <v>1652</v>
      </c>
      <c r="B380" s="1" t="s">
        <v>90</v>
      </c>
      <c r="C380" s="1" t="s">
        <v>3370</v>
      </c>
      <c r="D380" s="1" t="s">
        <v>3371</v>
      </c>
      <c r="E380" s="1" t="s">
        <v>1314</v>
      </c>
      <c r="F380" s="1" t="s">
        <v>3372</v>
      </c>
      <c r="G380" s="1">
        <v>1</v>
      </c>
      <c r="H380" s="1" t="s">
        <v>1656</v>
      </c>
      <c r="I380" s="1" t="s">
        <v>1657</v>
      </c>
      <c r="J380" s="1" t="s">
        <v>1658</v>
      </c>
      <c r="K380" s="1" t="s">
        <v>1658</v>
      </c>
      <c r="L380" s="1" t="s">
        <v>1658</v>
      </c>
      <c r="M380" s="1" t="s">
        <v>1658</v>
      </c>
      <c r="N380" s="1" t="s">
        <v>1658</v>
      </c>
      <c r="O380" s="1" t="s">
        <v>1658</v>
      </c>
      <c r="P380" s="1">
        <v>1</v>
      </c>
      <c r="Q380" s="1" t="s">
        <v>1658</v>
      </c>
      <c r="R380" s="1">
        <v>0</v>
      </c>
      <c r="S380" s="1" t="s">
        <v>3373</v>
      </c>
      <c r="T380" s="6" t="s">
        <v>3373</v>
      </c>
      <c r="U380" s="1" t="str">
        <f t="shared" si="5"/>
        <v>Yes</v>
      </c>
      <c r="W380" s="1" t="s">
        <v>3374</v>
      </c>
      <c r="X380" s="1" t="str">
        <f>IF(COUNTIF('MyWells Drilling Comp'!F:F,E380)=0,"Missing","Exist")</f>
        <v>Exist</v>
      </c>
    </row>
    <row r="381" hidden="1" spans="1:24">
      <c r="A381" s="1" t="s">
        <v>1652</v>
      </c>
      <c r="B381" s="1" t="s">
        <v>90</v>
      </c>
      <c r="C381" s="1" t="s">
        <v>3375</v>
      </c>
      <c r="D381" s="1" t="s">
        <v>3371</v>
      </c>
      <c r="E381" s="1" t="s">
        <v>1314</v>
      </c>
      <c r="F381" s="1" t="s">
        <v>3376</v>
      </c>
      <c r="G381" s="1">
        <v>1</v>
      </c>
      <c r="H381" s="1" t="s">
        <v>1663</v>
      </c>
      <c r="I381" s="1" t="s">
        <v>1657</v>
      </c>
      <c r="J381" s="1" t="s">
        <v>1658</v>
      </c>
      <c r="K381" s="1" t="s">
        <v>1658</v>
      </c>
      <c r="L381" s="1" t="s">
        <v>1658</v>
      </c>
      <c r="M381" s="1" t="s">
        <v>1658</v>
      </c>
      <c r="N381" s="1" t="s">
        <v>1658</v>
      </c>
      <c r="O381" s="1" t="s">
        <v>1658</v>
      </c>
      <c r="P381" s="1">
        <v>1</v>
      </c>
      <c r="Q381" s="1" t="s">
        <v>1658</v>
      </c>
      <c r="R381" s="1">
        <v>0</v>
      </c>
      <c r="S381" s="1" t="s">
        <v>3377</v>
      </c>
      <c r="T381" s="6" t="s">
        <v>3377</v>
      </c>
      <c r="U381" s="1" t="str">
        <f t="shared" si="5"/>
        <v>Yes</v>
      </c>
      <c r="W381" s="1" t="s">
        <v>3378</v>
      </c>
      <c r="X381" s="1" t="str">
        <f>IF(COUNTIF('MyWells Drilling Comp'!F:F,E381)=0,"Missing","Exist")</f>
        <v>Exist</v>
      </c>
    </row>
    <row r="382" hidden="1" spans="1:24">
      <c r="A382" s="1" t="s">
        <v>1652</v>
      </c>
      <c r="B382" s="1" t="s">
        <v>90</v>
      </c>
      <c r="C382" s="1" t="s">
        <v>3379</v>
      </c>
      <c r="D382" s="1" t="s">
        <v>3380</v>
      </c>
      <c r="E382" s="1" t="s">
        <v>112</v>
      </c>
      <c r="F382" s="1" t="s">
        <v>3381</v>
      </c>
      <c r="G382" s="1">
        <v>1</v>
      </c>
      <c r="H382" s="1" t="s">
        <v>1656</v>
      </c>
      <c r="I382" s="1" t="s">
        <v>1657</v>
      </c>
      <c r="J382" s="1" t="s">
        <v>1658</v>
      </c>
      <c r="K382" s="1" t="s">
        <v>1658</v>
      </c>
      <c r="L382" s="1" t="s">
        <v>1658</v>
      </c>
      <c r="M382" s="1" t="s">
        <v>1658</v>
      </c>
      <c r="N382" s="1" t="s">
        <v>1658</v>
      </c>
      <c r="O382" s="1" t="s">
        <v>1658</v>
      </c>
      <c r="P382" s="1">
        <v>1</v>
      </c>
      <c r="Q382" s="1" t="s">
        <v>1658</v>
      </c>
      <c r="R382" s="1">
        <v>0</v>
      </c>
      <c r="S382" s="1" t="s">
        <v>3382</v>
      </c>
      <c r="T382" s="6"/>
      <c r="U382" s="1" t="str">
        <f t="shared" si="5"/>
        <v>No</v>
      </c>
      <c r="W382" s="1" t="s">
        <v>3383</v>
      </c>
      <c r="X382" s="1" t="str">
        <f>IF(COUNTIF('MyWells Drilling Comp'!F:F,E382)=0,"Missing","Exist")</f>
        <v>Exist</v>
      </c>
    </row>
    <row r="383" hidden="1" spans="1:24">
      <c r="A383" s="1" t="s">
        <v>1652</v>
      </c>
      <c r="B383" s="1" t="s">
        <v>90</v>
      </c>
      <c r="C383" s="1" t="s">
        <v>3384</v>
      </c>
      <c r="D383" s="1" t="s">
        <v>3380</v>
      </c>
      <c r="E383" s="1" t="s">
        <v>112</v>
      </c>
      <c r="F383" s="1" t="s">
        <v>3385</v>
      </c>
      <c r="G383" s="1">
        <v>1</v>
      </c>
      <c r="H383" s="1" t="s">
        <v>1663</v>
      </c>
      <c r="I383" s="1" t="s">
        <v>1657</v>
      </c>
      <c r="J383" s="1" t="s">
        <v>1658</v>
      </c>
      <c r="K383" s="1" t="s">
        <v>1658</v>
      </c>
      <c r="L383" s="1" t="s">
        <v>1658</v>
      </c>
      <c r="M383" s="1" t="s">
        <v>1658</v>
      </c>
      <c r="N383" s="1" t="s">
        <v>1658</v>
      </c>
      <c r="O383" s="1" t="s">
        <v>1658</v>
      </c>
      <c r="P383" s="1">
        <v>1</v>
      </c>
      <c r="Q383" s="1" t="s">
        <v>1658</v>
      </c>
      <c r="R383" s="1">
        <v>0</v>
      </c>
      <c r="S383" s="1" t="s">
        <v>3386</v>
      </c>
      <c r="T383" s="6" t="s">
        <v>3386</v>
      </c>
      <c r="U383" s="1" t="str">
        <f t="shared" si="5"/>
        <v>Yes</v>
      </c>
      <c r="W383" s="1" t="s">
        <v>3387</v>
      </c>
      <c r="X383" s="1" t="str">
        <f>IF(COUNTIF('MyWells Drilling Comp'!F:F,E383)=0,"Missing","Exist")</f>
        <v>Exist</v>
      </c>
    </row>
    <row r="384" hidden="1" spans="1:24">
      <c r="A384" s="1" t="s">
        <v>3044</v>
      </c>
      <c r="B384" s="1" t="s">
        <v>90</v>
      </c>
      <c r="C384" s="1" t="s">
        <v>3388</v>
      </c>
      <c r="D384" s="7" t="s">
        <v>3389</v>
      </c>
      <c r="E384" s="2" t="s">
        <v>733</v>
      </c>
      <c r="F384" s="2" t="s">
        <v>3390</v>
      </c>
      <c r="G384" s="1">
        <v>1</v>
      </c>
      <c r="H384" s="1" t="s">
        <v>1663</v>
      </c>
      <c r="I384" s="1" t="s">
        <v>1657</v>
      </c>
      <c r="J384" s="1" t="s">
        <v>1658</v>
      </c>
      <c r="K384" s="1" t="s">
        <v>1658</v>
      </c>
      <c r="L384" s="1" t="s">
        <v>1658</v>
      </c>
      <c r="M384" s="1" t="s">
        <v>1658</v>
      </c>
      <c r="N384" s="1" t="s">
        <v>1658</v>
      </c>
      <c r="O384" s="1" t="s">
        <v>1658</v>
      </c>
      <c r="P384" s="1">
        <v>1</v>
      </c>
      <c r="Q384" s="1" t="s">
        <v>1658</v>
      </c>
      <c r="R384" s="1">
        <v>0</v>
      </c>
      <c r="S384" s="1" t="s">
        <v>3391</v>
      </c>
      <c r="T384" s="6"/>
      <c r="U384" s="1" t="str">
        <f t="shared" si="5"/>
        <v>No</v>
      </c>
      <c r="W384" s="1" t="s">
        <v>3392</v>
      </c>
      <c r="X384" s="1" t="str">
        <f>IF(COUNTIF('MyWells Drilling Comp'!F:F,E384)=0,"Missing","Exist")</f>
        <v>Exist</v>
      </c>
    </row>
    <row r="385" hidden="1" spans="1:24">
      <c r="A385" s="1" t="s">
        <v>3044</v>
      </c>
      <c r="B385" s="1" t="s">
        <v>90</v>
      </c>
      <c r="C385" s="1" t="s">
        <v>3393</v>
      </c>
      <c r="D385" s="7" t="s">
        <v>3389</v>
      </c>
      <c r="E385" s="2" t="s">
        <v>733</v>
      </c>
      <c r="F385" s="2" t="s">
        <v>3394</v>
      </c>
      <c r="G385" s="1">
        <v>1</v>
      </c>
      <c r="H385" s="1" t="s">
        <v>1656</v>
      </c>
      <c r="I385" s="1" t="s">
        <v>1657</v>
      </c>
      <c r="J385" s="1" t="s">
        <v>1658</v>
      </c>
      <c r="K385" s="1" t="s">
        <v>1658</v>
      </c>
      <c r="L385" s="1" t="s">
        <v>1658</v>
      </c>
      <c r="M385" s="1" t="s">
        <v>1658</v>
      </c>
      <c r="N385" s="1" t="s">
        <v>1658</v>
      </c>
      <c r="O385" s="1" t="s">
        <v>1658</v>
      </c>
      <c r="P385" s="1">
        <v>1</v>
      </c>
      <c r="Q385" s="1" t="s">
        <v>1658</v>
      </c>
      <c r="R385" s="1">
        <v>0</v>
      </c>
      <c r="S385" s="1" t="s">
        <v>1804</v>
      </c>
      <c r="T385" s="6"/>
      <c r="U385" s="1" t="str">
        <f t="shared" si="5"/>
        <v>No</v>
      </c>
      <c r="W385" s="1" t="s">
        <v>3395</v>
      </c>
      <c r="X385" s="1" t="str">
        <f>IF(COUNTIF('MyWells Drilling Comp'!F:F,E385)=0,"Missing","Exist")</f>
        <v>Exist</v>
      </c>
    </row>
    <row r="386" hidden="1" spans="1:24">
      <c r="A386" s="1" t="s">
        <v>1652</v>
      </c>
      <c r="B386" s="1" t="s">
        <v>90</v>
      </c>
      <c r="C386" s="1" t="s">
        <v>3396</v>
      </c>
      <c r="D386" s="1" t="s">
        <v>3397</v>
      </c>
      <c r="E386" s="1" t="s">
        <v>1231</v>
      </c>
      <c r="F386" s="1" t="s">
        <v>3398</v>
      </c>
      <c r="G386" s="1">
        <v>1</v>
      </c>
      <c r="H386" s="1" t="s">
        <v>1656</v>
      </c>
      <c r="I386" s="1" t="s">
        <v>1657</v>
      </c>
      <c r="J386" s="1" t="s">
        <v>1658</v>
      </c>
      <c r="K386" s="1" t="s">
        <v>1658</v>
      </c>
      <c r="L386" s="1" t="s">
        <v>1658</v>
      </c>
      <c r="M386" s="1" t="s">
        <v>1658</v>
      </c>
      <c r="N386" s="1" t="s">
        <v>1658</v>
      </c>
      <c r="O386" s="1" t="s">
        <v>1658</v>
      </c>
      <c r="P386" s="1">
        <v>1</v>
      </c>
      <c r="Q386" s="1" t="s">
        <v>1658</v>
      </c>
      <c r="R386" s="1">
        <v>0</v>
      </c>
      <c r="S386" s="1" t="s">
        <v>3399</v>
      </c>
      <c r="T386" s="6" t="s">
        <v>3399</v>
      </c>
      <c r="U386" s="1" t="str">
        <f t="shared" ref="U386:U449" si="6">IF(S386=T386,"Yes","No")</f>
        <v>Yes</v>
      </c>
      <c r="W386" s="1" t="s">
        <v>3400</v>
      </c>
      <c r="X386" s="1" t="str">
        <f>IF(COUNTIF('MyWells Drilling Comp'!F:F,E386)=0,"Missing","Exist")</f>
        <v>Exist</v>
      </c>
    </row>
    <row r="387" hidden="1" spans="1:24">
      <c r="A387" s="1" t="s">
        <v>1652</v>
      </c>
      <c r="B387" s="1" t="s">
        <v>90</v>
      </c>
      <c r="C387" s="1" t="s">
        <v>3401</v>
      </c>
      <c r="D387" s="1" t="s">
        <v>3397</v>
      </c>
      <c r="E387" s="1" t="s">
        <v>1231</v>
      </c>
      <c r="F387" s="1" t="s">
        <v>3402</v>
      </c>
      <c r="G387" s="1">
        <v>1</v>
      </c>
      <c r="H387" s="1" t="s">
        <v>1663</v>
      </c>
      <c r="I387" s="1" t="s">
        <v>1657</v>
      </c>
      <c r="J387" s="1" t="s">
        <v>1658</v>
      </c>
      <c r="K387" s="1" t="s">
        <v>1658</v>
      </c>
      <c r="L387" s="1" t="s">
        <v>1658</v>
      </c>
      <c r="M387" s="1" t="s">
        <v>1658</v>
      </c>
      <c r="N387" s="1" t="s">
        <v>1658</v>
      </c>
      <c r="O387" s="1" t="s">
        <v>1658</v>
      </c>
      <c r="P387" s="1">
        <v>1</v>
      </c>
      <c r="Q387" s="1" t="s">
        <v>1658</v>
      </c>
      <c r="R387" s="1">
        <v>0</v>
      </c>
      <c r="S387" s="1" t="s">
        <v>3403</v>
      </c>
      <c r="T387" s="6"/>
      <c r="U387" s="1" t="str">
        <f t="shared" si="6"/>
        <v>No</v>
      </c>
      <c r="W387" s="1" t="s">
        <v>3404</v>
      </c>
      <c r="X387" s="1" t="str">
        <f>IF(COUNTIF('MyWells Drilling Comp'!F:F,E387)=0,"Missing","Exist")</f>
        <v>Exist</v>
      </c>
    </row>
    <row r="388" hidden="1" spans="1:24">
      <c r="A388" s="1" t="s">
        <v>1652</v>
      </c>
      <c r="B388" s="1" t="s">
        <v>90</v>
      </c>
      <c r="C388" s="1" t="s">
        <v>3405</v>
      </c>
      <c r="D388" s="1" t="s">
        <v>3406</v>
      </c>
      <c r="E388" s="1" t="s">
        <v>899</v>
      </c>
      <c r="F388" s="1" t="s">
        <v>3407</v>
      </c>
      <c r="G388" s="1">
        <v>1</v>
      </c>
      <c r="H388" s="1" t="s">
        <v>1663</v>
      </c>
      <c r="I388" s="1" t="s">
        <v>1657</v>
      </c>
      <c r="J388" s="1" t="s">
        <v>1658</v>
      </c>
      <c r="K388" s="1" t="s">
        <v>1658</v>
      </c>
      <c r="L388" s="1" t="s">
        <v>1658</v>
      </c>
      <c r="M388" s="1" t="s">
        <v>1658</v>
      </c>
      <c r="N388" s="1" t="s">
        <v>1658</v>
      </c>
      <c r="O388" s="1" t="s">
        <v>1658</v>
      </c>
      <c r="P388" s="1">
        <v>1</v>
      </c>
      <c r="Q388" s="1" t="s">
        <v>1658</v>
      </c>
      <c r="R388" s="1">
        <v>0</v>
      </c>
      <c r="S388" s="1" t="s">
        <v>3408</v>
      </c>
      <c r="T388" s="6" t="s">
        <v>3408</v>
      </c>
      <c r="U388" s="1" t="str">
        <f t="shared" si="6"/>
        <v>Yes</v>
      </c>
      <c r="W388" s="1" t="s">
        <v>3409</v>
      </c>
      <c r="X388" s="1" t="str">
        <f>IF(COUNTIF('MyWells Drilling Comp'!F:F,E388)=0,"Missing","Exist")</f>
        <v>Exist</v>
      </c>
    </row>
    <row r="389" hidden="1" spans="1:24">
      <c r="A389" s="1" t="s">
        <v>1652</v>
      </c>
      <c r="B389" s="1" t="s">
        <v>90</v>
      </c>
      <c r="C389" s="1" t="s">
        <v>3410</v>
      </c>
      <c r="D389" s="1" t="s">
        <v>3406</v>
      </c>
      <c r="E389" s="1" t="s">
        <v>899</v>
      </c>
      <c r="F389" s="1" t="s">
        <v>3411</v>
      </c>
      <c r="G389" s="1">
        <v>1</v>
      </c>
      <c r="H389" s="1" t="s">
        <v>1656</v>
      </c>
      <c r="I389" s="1" t="s">
        <v>1657</v>
      </c>
      <c r="J389" s="1" t="s">
        <v>1658</v>
      </c>
      <c r="K389" s="1" t="s">
        <v>1658</v>
      </c>
      <c r="L389" s="1" t="s">
        <v>1658</v>
      </c>
      <c r="M389" s="1" t="s">
        <v>1658</v>
      </c>
      <c r="N389" s="1" t="s">
        <v>1658</v>
      </c>
      <c r="O389" s="1" t="s">
        <v>1658</v>
      </c>
      <c r="P389" s="1">
        <v>1</v>
      </c>
      <c r="Q389" s="1" t="s">
        <v>1658</v>
      </c>
      <c r="R389" s="1">
        <v>0</v>
      </c>
      <c r="S389" s="1" t="s">
        <v>3412</v>
      </c>
      <c r="T389" s="6" t="s">
        <v>3412</v>
      </c>
      <c r="U389" s="1" t="str">
        <f t="shared" si="6"/>
        <v>Yes</v>
      </c>
      <c r="W389" s="1" t="s">
        <v>3413</v>
      </c>
      <c r="X389" s="1" t="str">
        <f>IF(COUNTIF('MyWells Drilling Comp'!F:F,E389)=0,"Missing","Exist")</f>
        <v>Exist</v>
      </c>
    </row>
    <row r="390" hidden="1" spans="1:24">
      <c r="A390" s="1" t="s">
        <v>1652</v>
      </c>
      <c r="B390" s="1" t="s">
        <v>90</v>
      </c>
      <c r="C390" s="1" t="s">
        <v>3414</v>
      </c>
      <c r="D390" s="1" t="s">
        <v>3415</v>
      </c>
      <c r="E390" s="2" t="s">
        <v>1025</v>
      </c>
      <c r="F390" s="2" t="s">
        <v>3416</v>
      </c>
      <c r="G390" s="1">
        <v>1</v>
      </c>
      <c r="H390" s="1" t="s">
        <v>1663</v>
      </c>
      <c r="I390" s="1" t="s">
        <v>1657</v>
      </c>
      <c r="J390" s="1" t="s">
        <v>1658</v>
      </c>
      <c r="K390" s="1" t="s">
        <v>1658</v>
      </c>
      <c r="L390" s="1" t="s">
        <v>1658</v>
      </c>
      <c r="M390" s="1" t="s">
        <v>1658</v>
      </c>
      <c r="N390" s="1" t="s">
        <v>1658</v>
      </c>
      <c r="O390" s="1" t="s">
        <v>1658</v>
      </c>
      <c r="P390" s="1">
        <v>1</v>
      </c>
      <c r="Q390" s="1" t="s">
        <v>1658</v>
      </c>
      <c r="R390" s="1">
        <v>0</v>
      </c>
      <c r="S390" s="1" t="s">
        <v>3417</v>
      </c>
      <c r="T390" s="6" t="s">
        <v>3417</v>
      </c>
      <c r="U390" s="1" t="str">
        <f t="shared" si="6"/>
        <v>Yes</v>
      </c>
      <c r="W390" s="1" t="s">
        <v>3418</v>
      </c>
      <c r="X390" s="1" t="str">
        <f>IF(COUNTIF('MyWells Drilling Comp'!F:F,E390)=0,"Missing","Exist")</f>
        <v>Exist</v>
      </c>
    </row>
    <row r="391" hidden="1" spans="1:24">
      <c r="A391" s="1" t="s">
        <v>1652</v>
      </c>
      <c r="B391" s="1" t="s">
        <v>90</v>
      </c>
      <c r="C391" s="7" t="s">
        <v>3419</v>
      </c>
      <c r="D391" s="1" t="s">
        <v>3415</v>
      </c>
      <c r="E391" s="2" t="s">
        <v>1025</v>
      </c>
      <c r="F391" s="2" t="s">
        <v>3420</v>
      </c>
      <c r="G391" s="1">
        <v>1</v>
      </c>
      <c r="H391" s="1" t="s">
        <v>1656</v>
      </c>
      <c r="I391" s="1" t="s">
        <v>1657</v>
      </c>
      <c r="J391" s="1" t="s">
        <v>1658</v>
      </c>
      <c r="K391" s="1" t="s">
        <v>1658</v>
      </c>
      <c r="L391" s="1" t="s">
        <v>1658</v>
      </c>
      <c r="M391" s="1" t="s">
        <v>1658</v>
      </c>
      <c r="N391" s="1" t="s">
        <v>1658</v>
      </c>
      <c r="O391" s="1" t="s">
        <v>1658</v>
      </c>
      <c r="P391" s="1">
        <v>1</v>
      </c>
      <c r="Q391" s="1" t="s">
        <v>1658</v>
      </c>
      <c r="R391" s="1">
        <v>0</v>
      </c>
      <c r="S391" s="1" t="s">
        <v>3421</v>
      </c>
      <c r="T391" s="6" t="s">
        <v>3421</v>
      </c>
      <c r="U391" s="1" t="str">
        <f t="shared" si="6"/>
        <v>Yes</v>
      </c>
      <c r="W391" s="1" t="s">
        <v>3422</v>
      </c>
      <c r="X391" s="1" t="str">
        <f>IF(COUNTIF('MyWells Drilling Comp'!F:F,E391)=0,"Missing","Exist")</f>
        <v>Exist</v>
      </c>
    </row>
    <row r="392" hidden="1" spans="1:24">
      <c r="A392" s="1" t="s">
        <v>1652</v>
      </c>
      <c r="B392" s="1" t="s">
        <v>90</v>
      </c>
      <c r="C392" s="1" t="s">
        <v>3423</v>
      </c>
      <c r="D392" s="1" t="s">
        <v>3424</v>
      </c>
      <c r="E392" s="1" t="s">
        <v>992</v>
      </c>
      <c r="F392" s="1" t="s">
        <v>3425</v>
      </c>
      <c r="G392" s="1">
        <v>1</v>
      </c>
      <c r="H392" s="1" t="s">
        <v>1656</v>
      </c>
      <c r="I392" s="1" t="s">
        <v>1657</v>
      </c>
      <c r="J392" s="1" t="s">
        <v>1658</v>
      </c>
      <c r="K392" s="1" t="s">
        <v>1658</v>
      </c>
      <c r="L392" s="1" t="s">
        <v>1658</v>
      </c>
      <c r="M392" s="1" t="s">
        <v>1658</v>
      </c>
      <c r="N392" s="1" t="s">
        <v>1658</v>
      </c>
      <c r="O392" s="1" t="s">
        <v>1658</v>
      </c>
      <c r="P392" s="1">
        <v>1</v>
      </c>
      <c r="Q392" s="1" t="s">
        <v>1658</v>
      </c>
      <c r="R392" s="1">
        <v>0</v>
      </c>
      <c r="S392" s="1" t="s">
        <v>3426</v>
      </c>
      <c r="T392" s="6"/>
      <c r="U392" s="1" t="str">
        <f t="shared" si="6"/>
        <v>No</v>
      </c>
      <c r="W392" s="1" t="s">
        <v>3427</v>
      </c>
      <c r="X392" s="1" t="str">
        <f>IF(COUNTIF('MyWells Drilling Comp'!F:F,E392)=0,"Missing","Exist")</f>
        <v>Exist</v>
      </c>
    </row>
    <row r="393" hidden="1" spans="1:24">
      <c r="A393" s="1" t="s">
        <v>1652</v>
      </c>
      <c r="B393" s="1" t="s">
        <v>90</v>
      </c>
      <c r="C393" s="1" t="s">
        <v>3428</v>
      </c>
      <c r="D393" s="1" t="s">
        <v>3424</v>
      </c>
      <c r="E393" s="1" t="s">
        <v>992</v>
      </c>
      <c r="F393" s="1" t="s">
        <v>3429</v>
      </c>
      <c r="G393" s="1">
        <v>1</v>
      </c>
      <c r="H393" s="1" t="s">
        <v>1663</v>
      </c>
      <c r="I393" s="1" t="s">
        <v>1657</v>
      </c>
      <c r="J393" s="1" t="s">
        <v>1658</v>
      </c>
      <c r="K393" s="1" t="s">
        <v>1658</v>
      </c>
      <c r="L393" s="1" t="s">
        <v>1658</v>
      </c>
      <c r="M393" s="1" t="s">
        <v>1658</v>
      </c>
      <c r="N393" s="1" t="s">
        <v>1658</v>
      </c>
      <c r="O393" s="1" t="s">
        <v>1658</v>
      </c>
      <c r="P393" s="1">
        <v>1</v>
      </c>
      <c r="Q393" s="1" t="s">
        <v>1658</v>
      </c>
      <c r="R393" s="1">
        <v>0</v>
      </c>
      <c r="S393" s="1" t="s">
        <v>3430</v>
      </c>
      <c r="T393" s="6" t="s">
        <v>3430</v>
      </c>
      <c r="U393" s="1" t="str">
        <f t="shared" si="6"/>
        <v>Yes</v>
      </c>
      <c r="W393" s="1" t="s">
        <v>3431</v>
      </c>
      <c r="X393" s="1" t="str">
        <f>IF(COUNTIF('MyWells Drilling Comp'!F:F,E393)=0,"Missing","Exist")</f>
        <v>Exist</v>
      </c>
    </row>
    <row r="394" hidden="1" spans="1:24">
      <c r="A394" s="1" t="s">
        <v>1652</v>
      </c>
      <c r="B394" s="1" t="s">
        <v>90</v>
      </c>
      <c r="C394" s="1" t="s">
        <v>3432</v>
      </c>
      <c r="D394" s="1" t="s">
        <v>3433</v>
      </c>
      <c r="E394" s="1" t="s">
        <v>1140</v>
      </c>
      <c r="F394" s="1" t="s">
        <v>3434</v>
      </c>
      <c r="G394" s="1">
        <v>1</v>
      </c>
      <c r="H394" s="1" t="s">
        <v>1663</v>
      </c>
      <c r="I394" s="1" t="s">
        <v>1657</v>
      </c>
      <c r="J394" s="1" t="s">
        <v>1658</v>
      </c>
      <c r="K394" s="1" t="s">
        <v>1658</v>
      </c>
      <c r="L394" s="1" t="s">
        <v>1658</v>
      </c>
      <c r="M394" s="1" t="s">
        <v>1658</v>
      </c>
      <c r="N394" s="1" t="s">
        <v>1658</v>
      </c>
      <c r="O394" s="1" t="s">
        <v>1658</v>
      </c>
      <c r="P394" s="1">
        <v>1</v>
      </c>
      <c r="Q394" s="1" t="s">
        <v>1658</v>
      </c>
      <c r="R394" s="1">
        <v>0</v>
      </c>
      <c r="S394" s="6" t="s">
        <v>3435</v>
      </c>
      <c r="T394" s="6" t="s">
        <v>3435</v>
      </c>
      <c r="U394" s="1" t="str">
        <f t="shared" si="6"/>
        <v>Yes</v>
      </c>
      <c r="W394" s="1" t="s">
        <v>3436</v>
      </c>
      <c r="X394" s="1" t="str">
        <f>IF(COUNTIF('MyWells Drilling Comp'!F:F,E394)=0,"Missing","Exist")</f>
        <v>Exist</v>
      </c>
    </row>
    <row r="395" hidden="1" spans="1:24">
      <c r="A395" s="1" t="s">
        <v>1652</v>
      </c>
      <c r="B395" s="1" t="s">
        <v>90</v>
      </c>
      <c r="C395" s="1" t="s">
        <v>3437</v>
      </c>
      <c r="D395" s="1" t="s">
        <v>3433</v>
      </c>
      <c r="E395" s="1" t="s">
        <v>1140</v>
      </c>
      <c r="F395" s="1" t="s">
        <v>3438</v>
      </c>
      <c r="G395" s="1">
        <v>1</v>
      </c>
      <c r="H395" s="1" t="s">
        <v>1656</v>
      </c>
      <c r="I395" s="1" t="s">
        <v>1657</v>
      </c>
      <c r="J395" s="1" t="s">
        <v>1658</v>
      </c>
      <c r="K395" s="1" t="s">
        <v>1658</v>
      </c>
      <c r="L395" s="1" t="s">
        <v>1658</v>
      </c>
      <c r="M395" s="1" t="s">
        <v>1658</v>
      </c>
      <c r="N395" s="1" t="s">
        <v>1658</v>
      </c>
      <c r="O395" s="1" t="s">
        <v>1658</v>
      </c>
      <c r="P395" s="1">
        <v>1</v>
      </c>
      <c r="Q395" s="1" t="s">
        <v>1658</v>
      </c>
      <c r="R395" s="1">
        <v>0</v>
      </c>
      <c r="S395" s="1" t="s">
        <v>3439</v>
      </c>
      <c r="T395" s="6" t="s">
        <v>3439</v>
      </c>
      <c r="U395" s="1" t="str">
        <f t="shared" si="6"/>
        <v>Yes</v>
      </c>
      <c r="W395" s="1" t="s">
        <v>3440</v>
      </c>
      <c r="X395" s="1" t="str">
        <f>IF(COUNTIF('MyWells Drilling Comp'!F:F,E395)=0,"Missing","Exist")</f>
        <v>Exist</v>
      </c>
    </row>
    <row r="396" hidden="1" spans="1:24">
      <c r="A396" s="1" t="s">
        <v>1652</v>
      </c>
      <c r="B396" s="1" t="s">
        <v>90</v>
      </c>
      <c r="C396" s="1" t="s">
        <v>3441</v>
      </c>
      <c r="D396" s="1" t="s">
        <v>3442</v>
      </c>
      <c r="E396" s="1" t="s">
        <v>1589</v>
      </c>
      <c r="F396" s="1" t="s">
        <v>3443</v>
      </c>
      <c r="G396" s="1">
        <v>1</v>
      </c>
      <c r="H396" s="1" t="s">
        <v>1656</v>
      </c>
      <c r="I396" s="1" t="s">
        <v>1657</v>
      </c>
      <c r="J396" s="1" t="s">
        <v>1658</v>
      </c>
      <c r="K396" s="1" t="s">
        <v>1658</v>
      </c>
      <c r="L396" s="1" t="s">
        <v>1658</v>
      </c>
      <c r="M396" s="1" t="s">
        <v>1658</v>
      </c>
      <c r="N396" s="1" t="s">
        <v>1658</v>
      </c>
      <c r="O396" s="1" t="s">
        <v>1658</v>
      </c>
      <c r="P396" s="1">
        <v>1</v>
      </c>
      <c r="Q396" s="1" t="s">
        <v>1658</v>
      </c>
      <c r="R396" s="1">
        <v>0</v>
      </c>
      <c r="S396" s="1" t="s">
        <v>3444</v>
      </c>
      <c r="T396" s="6" t="s">
        <v>3444</v>
      </c>
      <c r="U396" s="1" t="str">
        <f t="shared" si="6"/>
        <v>Yes</v>
      </c>
      <c r="W396" s="1" t="s">
        <v>3445</v>
      </c>
      <c r="X396" s="1" t="str">
        <f>IF(COUNTIF('MyWells Drilling Comp'!F:F,E396)=0,"Missing","Exist")</f>
        <v>Exist</v>
      </c>
    </row>
    <row r="397" hidden="1" spans="1:24">
      <c r="A397" s="1" t="s">
        <v>1652</v>
      </c>
      <c r="B397" s="1" t="s">
        <v>90</v>
      </c>
      <c r="C397" s="1" t="s">
        <v>3446</v>
      </c>
      <c r="D397" s="1" t="s">
        <v>3442</v>
      </c>
      <c r="E397" s="1" t="s">
        <v>1589</v>
      </c>
      <c r="F397" s="1" t="s">
        <v>3447</v>
      </c>
      <c r="G397" s="1">
        <v>1</v>
      </c>
      <c r="H397" s="1" t="s">
        <v>1663</v>
      </c>
      <c r="I397" s="1" t="s">
        <v>1657</v>
      </c>
      <c r="J397" s="1" t="s">
        <v>1658</v>
      </c>
      <c r="K397" s="1" t="s">
        <v>1658</v>
      </c>
      <c r="L397" s="1" t="s">
        <v>1658</v>
      </c>
      <c r="M397" s="1" t="s">
        <v>1658</v>
      </c>
      <c r="N397" s="1" t="s">
        <v>1658</v>
      </c>
      <c r="O397" s="1" t="s">
        <v>1658</v>
      </c>
      <c r="P397" s="1">
        <v>1</v>
      </c>
      <c r="Q397" s="1" t="s">
        <v>1658</v>
      </c>
      <c r="R397" s="1">
        <v>0</v>
      </c>
      <c r="S397" s="1" t="s">
        <v>3448</v>
      </c>
      <c r="T397" s="6"/>
      <c r="U397" s="1" t="str">
        <f t="shared" si="6"/>
        <v>No</v>
      </c>
      <c r="W397" s="1" t="s">
        <v>3449</v>
      </c>
      <c r="X397" s="1" t="str">
        <f>IF(COUNTIF('MyWells Drilling Comp'!F:F,E397)=0,"Missing","Exist")</f>
        <v>Exist</v>
      </c>
    </row>
    <row r="398" hidden="1" spans="1:24">
      <c r="A398" s="1" t="s">
        <v>1652</v>
      </c>
      <c r="B398" s="1" t="s">
        <v>90</v>
      </c>
      <c r="C398" s="1" t="s">
        <v>3450</v>
      </c>
      <c r="D398" s="1" t="s">
        <v>3451</v>
      </c>
      <c r="E398" s="1" t="s">
        <v>981</v>
      </c>
      <c r="F398" s="1" t="s">
        <v>3452</v>
      </c>
      <c r="G398" s="1">
        <v>1</v>
      </c>
      <c r="H398" s="1" t="s">
        <v>1656</v>
      </c>
      <c r="I398" s="1" t="s">
        <v>1657</v>
      </c>
      <c r="J398" s="1" t="s">
        <v>1658</v>
      </c>
      <c r="K398" s="1" t="s">
        <v>1658</v>
      </c>
      <c r="L398" s="1" t="s">
        <v>1658</v>
      </c>
      <c r="M398" s="1" t="s">
        <v>1658</v>
      </c>
      <c r="N398" s="1" t="s">
        <v>1658</v>
      </c>
      <c r="O398" s="1" t="s">
        <v>1658</v>
      </c>
      <c r="P398" s="1">
        <v>1</v>
      </c>
      <c r="Q398" s="1" t="s">
        <v>1658</v>
      </c>
      <c r="R398" s="1">
        <v>0</v>
      </c>
      <c r="S398" s="1" t="s">
        <v>3453</v>
      </c>
      <c r="T398" s="6" t="s">
        <v>3453</v>
      </c>
      <c r="U398" s="1" t="str">
        <f t="shared" si="6"/>
        <v>Yes</v>
      </c>
      <c r="W398" s="1" t="s">
        <v>3454</v>
      </c>
      <c r="X398" s="1" t="str">
        <f>IF(COUNTIF('MyWells Drilling Comp'!F:F,E398)=0,"Missing","Exist")</f>
        <v>Exist</v>
      </c>
    </row>
    <row r="399" hidden="1" spans="1:24">
      <c r="A399" s="1" t="s">
        <v>1652</v>
      </c>
      <c r="B399" s="1" t="s">
        <v>90</v>
      </c>
      <c r="C399" s="1" t="s">
        <v>3455</v>
      </c>
      <c r="D399" s="1" t="s">
        <v>3451</v>
      </c>
      <c r="E399" s="1" t="s">
        <v>981</v>
      </c>
      <c r="F399" s="1" t="s">
        <v>3456</v>
      </c>
      <c r="G399" s="1">
        <v>1</v>
      </c>
      <c r="H399" s="1" t="s">
        <v>1663</v>
      </c>
      <c r="I399" s="1" t="s">
        <v>1657</v>
      </c>
      <c r="J399" s="1" t="s">
        <v>1658</v>
      </c>
      <c r="K399" s="1" t="s">
        <v>1658</v>
      </c>
      <c r="L399" s="1" t="s">
        <v>1658</v>
      </c>
      <c r="M399" s="1" t="s">
        <v>1658</v>
      </c>
      <c r="N399" s="1" t="s">
        <v>1658</v>
      </c>
      <c r="O399" s="1" t="s">
        <v>1658</v>
      </c>
      <c r="P399" s="1">
        <v>1</v>
      </c>
      <c r="Q399" s="1" t="s">
        <v>1658</v>
      </c>
      <c r="R399" s="1">
        <v>0</v>
      </c>
      <c r="S399" s="1" t="s">
        <v>3457</v>
      </c>
      <c r="T399" s="6" t="s">
        <v>3457</v>
      </c>
      <c r="U399" s="1" t="str">
        <f t="shared" si="6"/>
        <v>Yes</v>
      </c>
      <c r="W399" s="1" t="s">
        <v>3458</v>
      </c>
      <c r="X399" s="1" t="str">
        <f>IF(COUNTIF('MyWells Drilling Comp'!F:F,E399)=0,"Missing","Exist")</f>
        <v>Exist</v>
      </c>
    </row>
    <row r="400" hidden="1" spans="1:24">
      <c r="A400" s="1" t="s">
        <v>1652</v>
      </c>
      <c r="B400" s="1" t="s">
        <v>90</v>
      </c>
      <c r="C400" s="1" t="s">
        <v>3459</v>
      </c>
      <c r="D400" s="1" t="s">
        <v>3460</v>
      </c>
      <c r="E400" s="2" t="s">
        <v>978</v>
      </c>
      <c r="F400" s="2" t="s">
        <v>3461</v>
      </c>
      <c r="G400" s="1">
        <v>1</v>
      </c>
      <c r="H400" s="1" t="s">
        <v>1663</v>
      </c>
      <c r="I400" s="1" t="s">
        <v>1657</v>
      </c>
      <c r="J400" s="1" t="s">
        <v>1658</v>
      </c>
      <c r="K400" s="1" t="s">
        <v>1658</v>
      </c>
      <c r="L400" s="1" t="s">
        <v>1658</v>
      </c>
      <c r="M400" s="1" t="s">
        <v>1658</v>
      </c>
      <c r="N400" s="1" t="s">
        <v>1658</v>
      </c>
      <c r="O400" s="1" t="s">
        <v>1658</v>
      </c>
      <c r="P400" s="1">
        <v>1</v>
      </c>
      <c r="Q400" s="1" t="s">
        <v>1658</v>
      </c>
      <c r="R400" s="1">
        <v>0</v>
      </c>
      <c r="S400" s="1" t="s">
        <v>3462</v>
      </c>
      <c r="T400" s="6" t="s">
        <v>3462</v>
      </c>
      <c r="U400" s="1" t="str">
        <f t="shared" si="6"/>
        <v>Yes</v>
      </c>
      <c r="W400" s="1" t="s">
        <v>3463</v>
      </c>
      <c r="X400" s="1" t="str">
        <f>IF(COUNTIF('MyWells Drilling Comp'!F:F,E400)=0,"Missing","Exist")</f>
        <v>Exist</v>
      </c>
    </row>
    <row r="401" hidden="1" spans="1:24">
      <c r="A401" s="1" t="s">
        <v>1652</v>
      </c>
      <c r="B401" s="1" t="s">
        <v>90</v>
      </c>
      <c r="C401" s="1" t="s">
        <v>3464</v>
      </c>
      <c r="D401" s="1" t="s">
        <v>3460</v>
      </c>
      <c r="E401" s="2" t="s">
        <v>978</v>
      </c>
      <c r="F401" s="2" t="s">
        <v>3465</v>
      </c>
      <c r="G401" s="1">
        <v>1</v>
      </c>
      <c r="H401" s="1" t="s">
        <v>1656</v>
      </c>
      <c r="I401" s="1" t="s">
        <v>1657</v>
      </c>
      <c r="J401" s="1" t="s">
        <v>1658</v>
      </c>
      <c r="K401" s="1" t="s">
        <v>1658</v>
      </c>
      <c r="L401" s="1" t="s">
        <v>1658</v>
      </c>
      <c r="M401" s="1" t="s">
        <v>1658</v>
      </c>
      <c r="N401" s="1" t="s">
        <v>1658</v>
      </c>
      <c r="O401" s="1" t="s">
        <v>1658</v>
      </c>
      <c r="P401" s="1">
        <v>1</v>
      </c>
      <c r="Q401" s="1" t="s">
        <v>1658</v>
      </c>
      <c r="R401" s="1">
        <v>0</v>
      </c>
      <c r="S401" s="1" t="s">
        <v>3466</v>
      </c>
      <c r="T401" s="6" t="s">
        <v>3466</v>
      </c>
      <c r="U401" s="1" t="str">
        <f t="shared" si="6"/>
        <v>Yes</v>
      </c>
      <c r="W401" s="1" t="s">
        <v>3467</v>
      </c>
      <c r="X401" s="1" t="str">
        <f>IF(COUNTIF('MyWells Drilling Comp'!F:F,E401)=0,"Missing","Exist")</f>
        <v>Exist</v>
      </c>
    </row>
    <row r="402" hidden="1" spans="1:24">
      <c r="A402" s="1" t="s">
        <v>1652</v>
      </c>
      <c r="B402" s="1" t="s">
        <v>90</v>
      </c>
      <c r="C402" s="1" t="s">
        <v>3468</v>
      </c>
      <c r="D402" s="1" t="s">
        <v>3469</v>
      </c>
      <c r="E402" s="2" t="s">
        <v>747</v>
      </c>
      <c r="F402" s="2" t="s">
        <v>3470</v>
      </c>
      <c r="G402" s="1">
        <v>1</v>
      </c>
      <c r="H402" s="1" t="s">
        <v>1656</v>
      </c>
      <c r="I402" s="1" t="s">
        <v>1657</v>
      </c>
      <c r="J402" s="1" t="s">
        <v>1658</v>
      </c>
      <c r="K402" s="1" t="s">
        <v>1658</v>
      </c>
      <c r="L402" s="1" t="s">
        <v>1658</v>
      </c>
      <c r="M402" s="1" t="s">
        <v>1658</v>
      </c>
      <c r="N402" s="1" t="s">
        <v>1658</v>
      </c>
      <c r="O402" s="1" t="s">
        <v>1658</v>
      </c>
      <c r="P402" s="1">
        <v>1</v>
      </c>
      <c r="Q402" s="1" t="s">
        <v>1658</v>
      </c>
      <c r="R402" s="1">
        <v>0</v>
      </c>
      <c r="S402" s="1" t="s">
        <v>3471</v>
      </c>
      <c r="T402" s="6" t="s">
        <v>3471</v>
      </c>
      <c r="U402" s="1" t="str">
        <f t="shared" si="6"/>
        <v>Yes</v>
      </c>
      <c r="W402" s="1" t="s">
        <v>3472</v>
      </c>
      <c r="X402" s="1" t="str">
        <f>IF(COUNTIF('MyWells Drilling Comp'!F:F,E402)=0,"Missing","Exist")</f>
        <v>Exist</v>
      </c>
    </row>
    <row r="403" hidden="1" spans="1:24">
      <c r="A403" s="1" t="s">
        <v>1652</v>
      </c>
      <c r="B403" s="1" t="s">
        <v>90</v>
      </c>
      <c r="C403" s="1" t="s">
        <v>3473</v>
      </c>
      <c r="D403" s="1" t="s">
        <v>3469</v>
      </c>
      <c r="E403" s="2" t="s">
        <v>747</v>
      </c>
      <c r="F403" s="2" t="s">
        <v>3474</v>
      </c>
      <c r="G403" s="1">
        <v>1</v>
      </c>
      <c r="H403" s="1" t="s">
        <v>1663</v>
      </c>
      <c r="I403" s="1" t="s">
        <v>1657</v>
      </c>
      <c r="J403" s="1" t="s">
        <v>1658</v>
      </c>
      <c r="K403" s="1" t="s">
        <v>1658</v>
      </c>
      <c r="L403" s="1" t="s">
        <v>1658</v>
      </c>
      <c r="M403" s="1" t="s">
        <v>1658</v>
      </c>
      <c r="N403" s="1" t="s">
        <v>1658</v>
      </c>
      <c r="O403" s="1" t="s">
        <v>1658</v>
      </c>
      <c r="P403" s="1">
        <v>1</v>
      </c>
      <c r="Q403" s="1" t="s">
        <v>1658</v>
      </c>
      <c r="R403" s="1">
        <v>0</v>
      </c>
      <c r="S403" s="1" t="s">
        <v>3475</v>
      </c>
      <c r="T403" s="6" t="s">
        <v>3475</v>
      </c>
      <c r="U403" s="1" t="str">
        <f t="shared" si="6"/>
        <v>Yes</v>
      </c>
      <c r="W403" s="1" t="s">
        <v>3476</v>
      </c>
      <c r="X403" s="1" t="str">
        <f>IF(COUNTIF('MyWells Drilling Comp'!F:F,E403)=0,"Missing","Exist")</f>
        <v>Exist</v>
      </c>
    </row>
    <row r="404" hidden="1" spans="1:24">
      <c r="A404" s="1" t="s">
        <v>1652</v>
      </c>
      <c r="B404" s="1" t="s">
        <v>90</v>
      </c>
      <c r="C404" s="1" t="s">
        <v>3477</v>
      </c>
      <c r="D404" s="1" t="s">
        <v>3478</v>
      </c>
      <c r="E404" s="1" t="s">
        <v>892</v>
      </c>
      <c r="F404" s="1" t="s">
        <v>3479</v>
      </c>
      <c r="G404" s="1">
        <v>1</v>
      </c>
      <c r="H404" s="1" t="s">
        <v>1663</v>
      </c>
      <c r="I404" s="1" t="s">
        <v>1657</v>
      </c>
      <c r="J404" s="1" t="s">
        <v>1658</v>
      </c>
      <c r="K404" s="1" t="s">
        <v>1658</v>
      </c>
      <c r="L404" s="1" t="s">
        <v>1658</v>
      </c>
      <c r="M404" s="1" t="s">
        <v>1658</v>
      </c>
      <c r="N404" s="1" t="s">
        <v>1658</v>
      </c>
      <c r="O404" s="1" t="s">
        <v>1658</v>
      </c>
      <c r="P404" s="1">
        <v>1</v>
      </c>
      <c r="Q404" s="1" t="s">
        <v>1658</v>
      </c>
      <c r="R404" s="1">
        <v>0</v>
      </c>
      <c r="S404" s="1" t="s">
        <v>3480</v>
      </c>
      <c r="T404" s="6" t="s">
        <v>3480</v>
      </c>
      <c r="U404" s="1" t="str">
        <f t="shared" si="6"/>
        <v>Yes</v>
      </c>
      <c r="W404" s="1" t="s">
        <v>3481</v>
      </c>
      <c r="X404" s="1" t="str">
        <f>IF(COUNTIF('MyWells Drilling Comp'!F:F,E404)=0,"Missing","Exist")</f>
        <v>Exist</v>
      </c>
    </row>
    <row r="405" hidden="1" spans="1:24">
      <c r="A405" s="1" t="s">
        <v>1652</v>
      </c>
      <c r="B405" s="1" t="s">
        <v>90</v>
      </c>
      <c r="C405" s="1" t="s">
        <v>3482</v>
      </c>
      <c r="D405" s="1" t="s">
        <v>3478</v>
      </c>
      <c r="E405" s="1" t="s">
        <v>892</v>
      </c>
      <c r="F405" s="1" t="s">
        <v>3483</v>
      </c>
      <c r="G405" s="1">
        <v>1</v>
      </c>
      <c r="H405" s="1" t="s">
        <v>1656</v>
      </c>
      <c r="I405" s="1" t="s">
        <v>1657</v>
      </c>
      <c r="J405" s="1" t="s">
        <v>1658</v>
      </c>
      <c r="K405" s="1" t="s">
        <v>1658</v>
      </c>
      <c r="L405" s="1" t="s">
        <v>1658</v>
      </c>
      <c r="M405" s="1" t="s">
        <v>1658</v>
      </c>
      <c r="N405" s="1" t="s">
        <v>1658</v>
      </c>
      <c r="O405" s="1" t="s">
        <v>1658</v>
      </c>
      <c r="P405" s="1">
        <v>1</v>
      </c>
      <c r="Q405" s="1" t="s">
        <v>1658</v>
      </c>
      <c r="R405" s="1">
        <v>0</v>
      </c>
      <c r="S405" s="1" t="s">
        <v>3484</v>
      </c>
      <c r="T405" s="6"/>
      <c r="U405" s="1" t="str">
        <f t="shared" si="6"/>
        <v>No</v>
      </c>
      <c r="W405" s="1" t="s">
        <v>3485</v>
      </c>
      <c r="X405" s="1" t="str">
        <f>IF(COUNTIF('MyWells Drilling Comp'!F:F,E405)=0,"Missing","Exist")</f>
        <v>Exist</v>
      </c>
    </row>
    <row r="406" hidden="1" spans="1:24">
      <c r="A406" s="1" t="s">
        <v>1652</v>
      </c>
      <c r="B406" s="1" t="s">
        <v>90</v>
      </c>
      <c r="C406" s="1" t="s">
        <v>3486</v>
      </c>
      <c r="D406" s="1" t="s">
        <v>3487</v>
      </c>
      <c r="E406" s="1" t="s">
        <v>1545</v>
      </c>
      <c r="F406" s="1" t="s">
        <v>3488</v>
      </c>
      <c r="G406" s="1">
        <v>1</v>
      </c>
      <c r="H406" s="1" t="s">
        <v>1656</v>
      </c>
      <c r="I406" s="1" t="s">
        <v>1657</v>
      </c>
      <c r="J406" s="1" t="s">
        <v>1658</v>
      </c>
      <c r="K406" s="1" t="s">
        <v>1658</v>
      </c>
      <c r="L406" s="1" t="s">
        <v>1658</v>
      </c>
      <c r="M406" s="1" t="s">
        <v>1658</v>
      </c>
      <c r="N406" s="1" t="s">
        <v>1658</v>
      </c>
      <c r="O406" s="1" t="s">
        <v>1658</v>
      </c>
      <c r="P406" s="1">
        <v>1</v>
      </c>
      <c r="Q406" s="1" t="s">
        <v>1658</v>
      </c>
      <c r="R406" s="1">
        <v>0</v>
      </c>
      <c r="S406" s="1" t="s">
        <v>3489</v>
      </c>
      <c r="T406" s="6" t="s">
        <v>3489</v>
      </c>
      <c r="U406" s="1" t="str">
        <f t="shared" si="6"/>
        <v>Yes</v>
      </c>
      <c r="W406" s="1" t="s">
        <v>3490</v>
      </c>
      <c r="X406" s="1" t="str">
        <f>IF(COUNTIF('MyWells Drilling Comp'!F:F,E406)=0,"Missing","Exist")</f>
        <v>Exist</v>
      </c>
    </row>
    <row r="407" hidden="1" spans="1:24">
      <c r="A407" s="1" t="s">
        <v>1652</v>
      </c>
      <c r="B407" s="1" t="s">
        <v>90</v>
      </c>
      <c r="C407" s="1" t="s">
        <v>3491</v>
      </c>
      <c r="D407" s="1" t="s">
        <v>3487</v>
      </c>
      <c r="E407" s="1" t="s">
        <v>1545</v>
      </c>
      <c r="F407" s="1" t="s">
        <v>3492</v>
      </c>
      <c r="G407" s="1">
        <v>1</v>
      </c>
      <c r="H407" s="1" t="s">
        <v>1663</v>
      </c>
      <c r="I407" s="1" t="s">
        <v>1657</v>
      </c>
      <c r="J407" s="1" t="s">
        <v>1658</v>
      </c>
      <c r="K407" s="1" t="s">
        <v>1658</v>
      </c>
      <c r="L407" s="1" t="s">
        <v>1658</v>
      </c>
      <c r="M407" s="1" t="s">
        <v>1658</v>
      </c>
      <c r="N407" s="1" t="s">
        <v>1658</v>
      </c>
      <c r="O407" s="1" t="s">
        <v>1658</v>
      </c>
      <c r="P407" s="1">
        <v>1</v>
      </c>
      <c r="Q407" s="1" t="s">
        <v>1658</v>
      </c>
      <c r="R407" s="1">
        <v>0</v>
      </c>
      <c r="S407" s="1" t="s">
        <v>3493</v>
      </c>
      <c r="T407" s="6" t="s">
        <v>3493</v>
      </c>
      <c r="U407" s="1" t="str">
        <f t="shared" si="6"/>
        <v>Yes</v>
      </c>
      <c r="W407" s="1" t="s">
        <v>3494</v>
      </c>
      <c r="X407" s="1" t="str">
        <f>IF(COUNTIF('MyWells Drilling Comp'!F:F,E407)=0,"Missing","Exist")</f>
        <v>Exist</v>
      </c>
    </row>
    <row r="408" hidden="1" spans="1:24">
      <c r="A408" s="1" t="s">
        <v>1652</v>
      </c>
      <c r="B408" s="1" t="s">
        <v>90</v>
      </c>
      <c r="C408" s="1" t="s">
        <v>3495</v>
      </c>
      <c r="D408" s="1" t="s">
        <v>3496</v>
      </c>
      <c r="E408" s="1" t="s">
        <v>1519</v>
      </c>
      <c r="F408" s="1" t="s">
        <v>3497</v>
      </c>
      <c r="G408" s="1">
        <v>1</v>
      </c>
      <c r="H408" s="1" t="s">
        <v>1656</v>
      </c>
      <c r="I408" s="1" t="s">
        <v>1657</v>
      </c>
      <c r="J408" s="1" t="s">
        <v>1658</v>
      </c>
      <c r="K408" s="1" t="s">
        <v>1658</v>
      </c>
      <c r="L408" s="1" t="s">
        <v>1658</v>
      </c>
      <c r="M408" s="1" t="s">
        <v>1658</v>
      </c>
      <c r="N408" s="1" t="s">
        <v>1658</v>
      </c>
      <c r="O408" s="1" t="s">
        <v>1658</v>
      </c>
      <c r="P408" s="1">
        <v>1</v>
      </c>
      <c r="Q408" s="1" t="s">
        <v>1658</v>
      </c>
      <c r="R408" s="1">
        <v>0</v>
      </c>
      <c r="S408" s="1" t="s">
        <v>3498</v>
      </c>
      <c r="T408" s="6" t="s">
        <v>3498</v>
      </c>
      <c r="U408" s="1" t="str">
        <f t="shared" si="6"/>
        <v>Yes</v>
      </c>
      <c r="W408" s="1" t="s">
        <v>3499</v>
      </c>
      <c r="X408" s="1" t="str">
        <f>IF(COUNTIF('MyWells Drilling Comp'!F:F,E408)=0,"Missing","Exist")</f>
        <v>Exist</v>
      </c>
    </row>
    <row r="409" hidden="1" spans="1:24">
      <c r="A409" s="1" t="s">
        <v>1652</v>
      </c>
      <c r="B409" s="1" t="s">
        <v>90</v>
      </c>
      <c r="C409" s="1" t="s">
        <v>3500</v>
      </c>
      <c r="D409" s="1" t="s">
        <v>3496</v>
      </c>
      <c r="E409" s="1" t="s">
        <v>1519</v>
      </c>
      <c r="F409" s="1" t="s">
        <v>3501</v>
      </c>
      <c r="G409" s="1">
        <v>1</v>
      </c>
      <c r="H409" s="1" t="s">
        <v>1663</v>
      </c>
      <c r="I409" s="1" t="s">
        <v>1657</v>
      </c>
      <c r="J409" s="1" t="s">
        <v>1658</v>
      </c>
      <c r="K409" s="1" t="s">
        <v>1658</v>
      </c>
      <c r="L409" s="1" t="s">
        <v>1658</v>
      </c>
      <c r="M409" s="1" t="s">
        <v>1658</v>
      </c>
      <c r="N409" s="1" t="s">
        <v>1658</v>
      </c>
      <c r="O409" s="1" t="s">
        <v>1658</v>
      </c>
      <c r="P409" s="1">
        <v>1</v>
      </c>
      <c r="Q409" s="1" t="s">
        <v>1658</v>
      </c>
      <c r="R409" s="1">
        <v>0</v>
      </c>
      <c r="S409" s="1" t="s">
        <v>3502</v>
      </c>
      <c r="T409" s="6" t="s">
        <v>3502</v>
      </c>
      <c r="U409" s="1" t="str">
        <f t="shared" si="6"/>
        <v>Yes</v>
      </c>
      <c r="W409" s="1" t="s">
        <v>3503</v>
      </c>
      <c r="X409" s="1" t="str">
        <f>IF(COUNTIF('MyWells Drilling Comp'!F:F,E409)=0,"Missing","Exist")</f>
        <v>Exist</v>
      </c>
    </row>
    <row r="410" hidden="1" spans="1:24">
      <c r="A410" s="1" t="s">
        <v>1652</v>
      </c>
      <c r="B410" s="1" t="s">
        <v>90</v>
      </c>
      <c r="C410" s="1" t="s">
        <v>3504</v>
      </c>
      <c r="D410" s="1" t="s">
        <v>3505</v>
      </c>
      <c r="E410" s="2" t="s">
        <v>1030</v>
      </c>
      <c r="F410" s="2" t="s">
        <v>3506</v>
      </c>
      <c r="G410" s="1">
        <v>1</v>
      </c>
      <c r="H410" s="1" t="s">
        <v>1663</v>
      </c>
      <c r="I410" s="1" t="s">
        <v>1657</v>
      </c>
      <c r="J410" s="1" t="s">
        <v>1658</v>
      </c>
      <c r="K410" s="1" t="s">
        <v>1658</v>
      </c>
      <c r="L410" s="1" t="s">
        <v>1658</v>
      </c>
      <c r="M410" s="1" t="s">
        <v>1658</v>
      </c>
      <c r="N410" s="1" t="s">
        <v>1658</v>
      </c>
      <c r="O410" s="1" t="s">
        <v>1658</v>
      </c>
      <c r="P410" s="1">
        <v>1</v>
      </c>
      <c r="Q410" s="1" t="s">
        <v>1658</v>
      </c>
      <c r="R410" s="1">
        <v>0</v>
      </c>
      <c r="S410" s="1" t="s">
        <v>3507</v>
      </c>
      <c r="T410" s="6" t="s">
        <v>3507</v>
      </c>
      <c r="U410" s="1" t="str">
        <f t="shared" si="6"/>
        <v>Yes</v>
      </c>
      <c r="W410" s="1" t="s">
        <v>3508</v>
      </c>
      <c r="X410" s="1" t="str">
        <f>IF(COUNTIF('MyWells Drilling Comp'!F:F,E410)=0,"Missing","Exist")</f>
        <v>Exist</v>
      </c>
    </row>
    <row r="411" hidden="1" spans="1:24">
      <c r="A411" s="1" t="s">
        <v>1652</v>
      </c>
      <c r="B411" s="1" t="s">
        <v>90</v>
      </c>
      <c r="C411" s="1" t="s">
        <v>3509</v>
      </c>
      <c r="D411" s="1" t="s">
        <v>3505</v>
      </c>
      <c r="E411" s="2" t="s">
        <v>1030</v>
      </c>
      <c r="F411" s="2" t="s">
        <v>3510</v>
      </c>
      <c r="G411" s="1">
        <v>1</v>
      </c>
      <c r="H411" s="1" t="s">
        <v>1656</v>
      </c>
      <c r="I411" s="1" t="s">
        <v>1657</v>
      </c>
      <c r="J411" s="1" t="s">
        <v>1658</v>
      </c>
      <c r="K411" s="1" t="s">
        <v>1658</v>
      </c>
      <c r="L411" s="1" t="s">
        <v>1658</v>
      </c>
      <c r="M411" s="1" t="s">
        <v>1658</v>
      </c>
      <c r="N411" s="1" t="s">
        <v>1658</v>
      </c>
      <c r="O411" s="1" t="s">
        <v>1658</v>
      </c>
      <c r="P411" s="1">
        <v>1</v>
      </c>
      <c r="Q411" s="1" t="s">
        <v>1658</v>
      </c>
      <c r="R411" s="1">
        <v>0</v>
      </c>
      <c r="S411" s="1" t="s">
        <v>3511</v>
      </c>
      <c r="T411" s="6" t="s">
        <v>3511</v>
      </c>
      <c r="U411" s="1" t="str">
        <f t="shared" si="6"/>
        <v>Yes</v>
      </c>
      <c r="W411" s="1" t="s">
        <v>3512</v>
      </c>
      <c r="X411" s="1" t="str">
        <f>IF(COUNTIF('MyWells Drilling Comp'!F:F,E411)=0,"Missing","Exist")</f>
        <v>Exist</v>
      </c>
    </row>
    <row r="412" hidden="1" spans="1:24">
      <c r="A412" s="1" t="s">
        <v>1652</v>
      </c>
      <c r="B412" s="1" t="s">
        <v>90</v>
      </c>
      <c r="C412" s="1" t="s">
        <v>3513</v>
      </c>
      <c r="D412" s="1" t="s">
        <v>3514</v>
      </c>
      <c r="E412" s="1" t="s">
        <v>1281</v>
      </c>
      <c r="F412" s="1" t="s">
        <v>3515</v>
      </c>
      <c r="G412" s="1">
        <v>1</v>
      </c>
      <c r="H412" s="1" t="s">
        <v>1656</v>
      </c>
      <c r="I412" s="1" t="s">
        <v>1657</v>
      </c>
      <c r="J412" s="1" t="s">
        <v>1658</v>
      </c>
      <c r="K412" s="1" t="s">
        <v>1658</v>
      </c>
      <c r="L412" s="1" t="s">
        <v>1658</v>
      </c>
      <c r="M412" s="1" t="s">
        <v>1658</v>
      </c>
      <c r="N412" s="1" t="s">
        <v>1658</v>
      </c>
      <c r="O412" s="1" t="s">
        <v>1658</v>
      </c>
      <c r="P412" s="1">
        <v>1</v>
      </c>
      <c r="Q412" s="1" t="s">
        <v>1658</v>
      </c>
      <c r="R412" s="1">
        <v>0</v>
      </c>
      <c r="S412" s="1" t="s">
        <v>3516</v>
      </c>
      <c r="T412" s="6"/>
      <c r="U412" s="1" t="str">
        <f t="shared" si="6"/>
        <v>No</v>
      </c>
      <c r="W412" s="1" t="s">
        <v>3517</v>
      </c>
      <c r="X412" s="1" t="str">
        <f>IF(COUNTIF('MyWells Drilling Comp'!F:F,E412)=0,"Missing","Exist")</f>
        <v>Exist</v>
      </c>
    </row>
    <row r="413" hidden="1" spans="1:24">
      <c r="A413" s="1" t="s">
        <v>1652</v>
      </c>
      <c r="B413" s="1" t="s">
        <v>90</v>
      </c>
      <c r="C413" s="1" t="s">
        <v>3518</v>
      </c>
      <c r="D413" s="1" t="s">
        <v>3514</v>
      </c>
      <c r="E413" s="1" t="s">
        <v>1281</v>
      </c>
      <c r="F413" s="1" t="s">
        <v>3519</v>
      </c>
      <c r="G413" s="1">
        <v>1</v>
      </c>
      <c r="H413" s="1" t="s">
        <v>1663</v>
      </c>
      <c r="I413" s="1" t="s">
        <v>1657</v>
      </c>
      <c r="J413" s="1" t="s">
        <v>1658</v>
      </c>
      <c r="K413" s="1" t="s">
        <v>1658</v>
      </c>
      <c r="L413" s="1" t="s">
        <v>1658</v>
      </c>
      <c r="M413" s="1" t="s">
        <v>1658</v>
      </c>
      <c r="N413" s="1" t="s">
        <v>1658</v>
      </c>
      <c r="O413" s="1" t="s">
        <v>1658</v>
      </c>
      <c r="P413" s="1">
        <v>1</v>
      </c>
      <c r="Q413" s="1" t="s">
        <v>1658</v>
      </c>
      <c r="R413" s="1">
        <v>0</v>
      </c>
      <c r="S413" s="1" t="s">
        <v>3520</v>
      </c>
      <c r="T413" s="6" t="s">
        <v>3520</v>
      </c>
      <c r="U413" s="1" t="str">
        <f t="shared" si="6"/>
        <v>Yes</v>
      </c>
      <c r="W413" s="1" t="s">
        <v>3521</v>
      </c>
      <c r="X413" s="1" t="str">
        <f>IF(COUNTIF('MyWells Drilling Comp'!F:F,E413)=0,"Missing","Exist")</f>
        <v>Exist</v>
      </c>
    </row>
    <row r="414" hidden="1" spans="1:24">
      <c r="A414" s="1" t="s">
        <v>1652</v>
      </c>
      <c r="B414" s="1" t="s">
        <v>90</v>
      </c>
      <c r="C414" s="1" t="s">
        <v>3522</v>
      </c>
      <c r="D414" s="1" t="s">
        <v>3523</v>
      </c>
      <c r="E414" s="1" t="s">
        <v>1442</v>
      </c>
      <c r="F414" s="1" t="s">
        <v>3524</v>
      </c>
      <c r="G414" s="1">
        <v>1</v>
      </c>
      <c r="H414" s="1" t="s">
        <v>1663</v>
      </c>
      <c r="I414" s="1" t="s">
        <v>1657</v>
      </c>
      <c r="J414" s="1" t="s">
        <v>1658</v>
      </c>
      <c r="K414" s="1" t="s">
        <v>1658</v>
      </c>
      <c r="L414" s="1" t="s">
        <v>1658</v>
      </c>
      <c r="M414" s="1" t="s">
        <v>1658</v>
      </c>
      <c r="N414" s="1" t="s">
        <v>1658</v>
      </c>
      <c r="O414" s="1" t="s">
        <v>1658</v>
      </c>
      <c r="P414" s="1">
        <v>1</v>
      </c>
      <c r="Q414" s="1" t="s">
        <v>1658</v>
      </c>
      <c r="R414" s="1">
        <v>0</v>
      </c>
      <c r="S414" s="1" t="s">
        <v>3525</v>
      </c>
      <c r="T414" s="6" t="s">
        <v>3525</v>
      </c>
      <c r="U414" s="1" t="str">
        <f t="shared" si="6"/>
        <v>Yes</v>
      </c>
      <c r="W414" s="1" t="s">
        <v>3526</v>
      </c>
      <c r="X414" s="1" t="str">
        <f>IF(COUNTIF('MyWells Drilling Comp'!F:F,E414)=0,"Missing","Exist")</f>
        <v>Exist</v>
      </c>
    </row>
    <row r="415" hidden="1" spans="1:24">
      <c r="A415" s="1" t="s">
        <v>1652</v>
      </c>
      <c r="B415" s="1" t="s">
        <v>90</v>
      </c>
      <c r="C415" s="1" t="s">
        <v>3527</v>
      </c>
      <c r="D415" s="1" t="s">
        <v>3523</v>
      </c>
      <c r="E415" s="1" t="s">
        <v>1442</v>
      </c>
      <c r="F415" s="1" t="s">
        <v>3528</v>
      </c>
      <c r="G415" s="1">
        <v>1</v>
      </c>
      <c r="H415" s="1" t="s">
        <v>1656</v>
      </c>
      <c r="I415" s="1" t="s">
        <v>1657</v>
      </c>
      <c r="J415" s="1" t="s">
        <v>1658</v>
      </c>
      <c r="K415" s="1" t="s">
        <v>1658</v>
      </c>
      <c r="L415" s="1" t="s">
        <v>1658</v>
      </c>
      <c r="M415" s="1" t="s">
        <v>1658</v>
      </c>
      <c r="N415" s="1" t="s">
        <v>1658</v>
      </c>
      <c r="O415" s="1" t="s">
        <v>1658</v>
      </c>
      <c r="P415" s="1">
        <v>1</v>
      </c>
      <c r="Q415" s="1" t="s">
        <v>1658</v>
      </c>
      <c r="R415" s="1">
        <v>0</v>
      </c>
      <c r="S415" s="1" t="s">
        <v>3529</v>
      </c>
      <c r="T415" s="6" t="s">
        <v>3529</v>
      </c>
      <c r="U415" s="1" t="str">
        <f t="shared" si="6"/>
        <v>Yes</v>
      </c>
      <c r="W415" s="1" t="s">
        <v>3530</v>
      </c>
      <c r="X415" s="1" t="str">
        <f>IF(COUNTIF('MyWells Drilling Comp'!F:F,E415)=0,"Missing","Exist")</f>
        <v>Exist</v>
      </c>
    </row>
    <row r="416" hidden="1" spans="1:24">
      <c r="A416" s="1" t="s">
        <v>1652</v>
      </c>
      <c r="B416" s="1" t="s">
        <v>90</v>
      </c>
      <c r="C416" s="1" t="s">
        <v>3531</v>
      </c>
      <c r="D416" s="1" t="s">
        <v>3532</v>
      </c>
      <c r="E416" s="1" t="s">
        <v>602</v>
      </c>
      <c r="F416" s="1" t="s">
        <v>3533</v>
      </c>
      <c r="G416" s="1">
        <v>1</v>
      </c>
      <c r="H416" s="1" t="s">
        <v>1663</v>
      </c>
      <c r="I416" s="1" t="s">
        <v>1657</v>
      </c>
      <c r="J416" s="1" t="s">
        <v>1658</v>
      </c>
      <c r="K416" s="1" t="s">
        <v>1658</v>
      </c>
      <c r="L416" s="1" t="s">
        <v>1658</v>
      </c>
      <c r="M416" s="1" t="s">
        <v>1658</v>
      </c>
      <c r="N416" s="1" t="s">
        <v>1658</v>
      </c>
      <c r="O416" s="1" t="s">
        <v>1658</v>
      </c>
      <c r="P416" s="1">
        <v>1</v>
      </c>
      <c r="Q416" s="1" t="s">
        <v>1658</v>
      </c>
      <c r="R416" s="1">
        <v>0</v>
      </c>
      <c r="S416" s="1" t="s">
        <v>3534</v>
      </c>
      <c r="T416" s="6" t="s">
        <v>3534</v>
      </c>
      <c r="U416" s="1" t="str">
        <f t="shared" si="6"/>
        <v>Yes</v>
      </c>
      <c r="W416" s="1" t="s">
        <v>3535</v>
      </c>
      <c r="X416" s="1" t="str">
        <f>IF(COUNTIF('MyWells Drilling Comp'!F:F,E416)=0,"Missing","Exist")</f>
        <v>Exist</v>
      </c>
    </row>
    <row r="417" hidden="1" spans="1:24">
      <c r="A417" s="1" t="s">
        <v>1652</v>
      </c>
      <c r="B417" s="1" t="s">
        <v>90</v>
      </c>
      <c r="C417" s="1" t="s">
        <v>3536</v>
      </c>
      <c r="D417" s="1" t="s">
        <v>3532</v>
      </c>
      <c r="E417" s="1" t="s">
        <v>602</v>
      </c>
      <c r="F417" s="1" t="s">
        <v>3537</v>
      </c>
      <c r="G417" s="1">
        <v>1</v>
      </c>
      <c r="H417" s="1" t="s">
        <v>1656</v>
      </c>
      <c r="I417" s="1" t="s">
        <v>1657</v>
      </c>
      <c r="J417" s="1" t="s">
        <v>1658</v>
      </c>
      <c r="K417" s="1" t="s">
        <v>1658</v>
      </c>
      <c r="L417" s="1" t="s">
        <v>1658</v>
      </c>
      <c r="M417" s="1" t="s">
        <v>1658</v>
      </c>
      <c r="N417" s="1" t="s">
        <v>1658</v>
      </c>
      <c r="O417" s="1" t="s">
        <v>1658</v>
      </c>
      <c r="P417" s="1">
        <v>1</v>
      </c>
      <c r="Q417" s="1" t="s">
        <v>1658</v>
      </c>
      <c r="R417" s="1">
        <v>0</v>
      </c>
      <c r="S417" s="1" t="s">
        <v>3538</v>
      </c>
      <c r="T417" s="6" t="s">
        <v>3538</v>
      </c>
      <c r="U417" s="1" t="str">
        <f t="shared" si="6"/>
        <v>Yes</v>
      </c>
      <c r="W417" s="1" t="s">
        <v>3539</v>
      </c>
      <c r="X417" s="1" t="str">
        <f>IF(COUNTIF('MyWells Drilling Comp'!F:F,E417)=0,"Missing","Exist")</f>
        <v>Exist</v>
      </c>
    </row>
    <row r="418" hidden="1" spans="1:24">
      <c r="A418" s="1" t="s">
        <v>1652</v>
      </c>
      <c r="B418" s="1" t="s">
        <v>90</v>
      </c>
      <c r="C418" s="1" t="s">
        <v>3540</v>
      </c>
      <c r="D418" s="1" t="s">
        <v>3541</v>
      </c>
      <c r="E418" s="1" t="s">
        <v>134</v>
      </c>
      <c r="F418" s="1" t="s">
        <v>3542</v>
      </c>
      <c r="G418" s="1">
        <v>1</v>
      </c>
      <c r="H418" s="1" t="s">
        <v>1663</v>
      </c>
      <c r="I418" s="1" t="s">
        <v>1657</v>
      </c>
      <c r="J418" s="1" t="s">
        <v>1658</v>
      </c>
      <c r="K418" s="1" t="s">
        <v>1658</v>
      </c>
      <c r="L418" s="1" t="s">
        <v>1658</v>
      </c>
      <c r="M418" s="1" t="s">
        <v>1658</v>
      </c>
      <c r="N418" s="1" t="s">
        <v>1658</v>
      </c>
      <c r="O418" s="1" t="s">
        <v>1658</v>
      </c>
      <c r="P418" s="1">
        <v>1</v>
      </c>
      <c r="Q418" s="1" t="s">
        <v>1658</v>
      </c>
      <c r="R418" s="1">
        <v>0</v>
      </c>
      <c r="S418" s="1" t="s">
        <v>3543</v>
      </c>
      <c r="T418" s="6"/>
      <c r="U418" s="1" t="str">
        <f t="shared" si="6"/>
        <v>No</v>
      </c>
      <c r="W418" s="1" t="s">
        <v>3544</v>
      </c>
      <c r="X418" s="1" t="str">
        <f>IF(COUNTIF('MyWells Drilling Comp'!F:F,E418)=0,"Missing","Exist")</f>
        <v>Exist</v>
      </c>
    </row>
    <row r="419" hidden="1" spans="1:24">
      <c r="A419" s="1" t="s">
        <v>1652</v>
      </c>
      <c r="B419" s="1" t="s">
        <v>90</v>
      </c>
      <c r="C419" s="1" t="s">
        <v>3545</v>
      </c>
      <c r="D419" s="1" t="s">
        <v>3541</v>
      </c>
      <c r="E419" s="1" t="s">
        <v>134</v>
      </c>
      <c r="F419" s="1" t="s">
        <v>3546</v>
      </c>
      <c r="G419" s="1">
        <v>1</v>
      </c>
      <c r="H419" s="1" t="s">
        <v>1656</v>
      </c>
      <c r="I419" s="1" t="s">
        <v>1657</v>
      </c>
      <c r="J419" s="1" t="s">
        <v>1658</v>
      </c>
      <c r="K419" s="1" t="s">
        <v>1658</v>
      </c>
      <c r="L419" s="1" t="s">
        <v>1658</v>
      </c>
      <c r="M419" s="1" t="s">
        <v>1658</v>
      </c>
      <c r="N419" s="1" t="s">
        <v>1658</v>
      </c>
      <c r="O419" s="1" t="s">
        <v>1658</v>
      </c>
      <c r="P419" s="1">
        <v>1</v>
      </c>
      <c r="Q419" s="1" t="s">
        <v>1658</v>
      </c>
      <c r="R419" s="1">
        <v>0</v>
      </c>
      <c r="S419" s="1" t="s">
        <v>3547</v>
      </c>
      <c r="T419" s="6"/>
      <c r="U419" s="1" t="str">
        <f t="shared" si="6"/>
        <v>No</v>
      </c>
      <c r="W419" s="1" t="s">
        <v>3548</v>
      </c>
      <c r="X419" s="1" t="str">
        <f>IF(COUNTIF('MyWells Drilling Comp'!F:F,E419)=0,"Missing","Exist")</f>
        <v>Exist</v>
      </c>
    </row>
    <row r="420" hidden="1" spans="1:24">
      <c r="A420" s="1" t="s">
        <v>1652</v>
      </c>
      <c r="B420" s="1" t="s">
        <v>90</v>
      </c>
      <c r="C420" s="1" t="s">
        <v>3549</v>
      </c>
      <c r="D420" s="1" t="s">
        <v>3550</v>
      </c>
      <c r="E420" s="1" t="s">
        <v>716</v>
      </c>
      <c r="F420" s="1" t="s">
        <v>3551</v>
      </c>
      <c r="G420" s="1">
        <v>1</v>
      </c>
      <c r="H420" s="1" t="s">
        <v>1656</v>
      </c>
      <c r="I420" s="1" t="s">
        <v>1657</v>
      </c>
      <c r="J420" s="1" t="s">
        <v>1658</v>
      </c>
      <c r="K420" s="1" t="s">
        <v>1658</v>
      </c>
      <c r="L420" s="1" t="s">
        <v>1658</v>
      </c>
      <c r="M420" s="1" t="s">
        <v>1658</v>
      </c>
      <c r="N420" s="1" t="s">
        <v>1658</v>
      </c>
      <c r="O420" s="1" t="s">
        <v>1658</v>
      </c>
      <c r="P420" s="1">
        <v>1</v>
      </c>
      <c r="Q420" s="1" t="s">
        <v>1658</v>
      </c>
      <c r="R420" s="1">
        <v>0</v>
      </c>
      <c r="S420" s="1" t="s">
        <v>3552</v>
      </c>
      <c r="T420" s="6"/>
      <c r="U420" s="1" t="str">
        <f t="shared" si="6"/>
        <v>No</v>
      </c>
      <c r="W420" s="1" t="s">
        <v>3553</v>
      </c>
      <c r="X420" s="1" t="str">
        <f>IF(COUNTIF('MyWells Drilling Comp'!F:F,E420)=0,"Missing","Exist")</f>
        <v>Exist</v>
      </c>
    </row>
    <row r="421" hidden="1" spans="1:24">
      <c r="A421" s="1" t="s">
        <v>1652</v>
      </c>
      <c r="B421" s="1" t="s">
        <v>90</v>
      </c>
      <c r="C421" s="1" t="s">
        <v>3554</v>
      </c>
      <c r="D421" s="1" t="s">
        <v>3550</v>
      </c>
      <c r="E421" s="1" t="s">
        <v>716</v>
      </c>
      <c r="F421" s="1" t="s">
        <v>3555</v>
      </c>
      <c r="G421" s="1">
        <v>1</v>
      </c>
      <c r="H421" s="1" t="s">
        <v>1663</v>
      </c>
      <c r="I421" s="1" t="s">
        <v>1657</v>
      </c>
      <c r="J421" s="1" t="s">
        <v>1658</v>
      </c>
      <c r="K421" s="1" t="s">
        <v>1658</v>
      </c>
      <c r="L421" s="1" t="s">
        <v>1658</v>
      </c>
      <c r="M421" s="1" t="s">
        <v>1658</v>
      </c>
      <c r="N421" s="1" t="s">
        <v>1658</v>
      </c>
      <c r="O421" s="1" t="s">
        <v>1658</v>
      </c>
      <c r="P421" s="1">
        <v>1</v>
      </c>
      <c r="Q421" s="1" t="s">
        <v>1658</v>
      </c>
      <c r="R421" s="1">
        <v>0</v>
      </c>
      <c r="S421" s="1" t="s">
        <v>3556</v>
      </c>
      <c r="T421" s="6"/>
      <c r="U421" s="1" t="str">
        <f t="shared" si="6"/>
        <v>No</v>
      </c>
      <c r="W421" s="1" t="s">
        <v>3557</v>
      </c>
      <c r="X421" s="1" t="str">
        <f>IF(COUNTIF('MyWells Drilling Comp'!F:F,E421)=0,"Missing","Exist")</f>
        <v>Exist</v>
      </c>
    </row>
    <row r="422" hidden="1" spans="1:24">
      <c r="A422" s="1" t="s">
        <v>1652</v>
      </c>
      <c r="C422" s="1" t="s">
        <v>3558</v>
      </c>
      <c r="D422" s="1" t="s">
        <v>3559</v>
      </c>
      <c r="E422" s="9" t="s">
        <v>623</v>
      </c>
      <c r="F422" s="1" t="s">
        <v>3560</v>
      </c>
      <c r="G422" s="1">
        <v>1</v>
      </c>
      <c r="H422" s="1" t="s">
        <v>1663</v>
      </c>
      <c r="I422" s="1" t="s">
        <v>1657</v>
      </c>
      <c r="J422" s="1" t="s">
        <v>1658</v>
      </c>
      <c r="K422" s="1" t="s">
        <v>1658</v>
      </c>
      <c r="L422" s="1" t="s">
        <v>1658</v>
      </c>
      <c r="M422" s="1" t="s">
        <v>1658</v>
      </c>
      <c r="N422" s="1" t="s">
        <v>1658</v>
      </c>
      <c r="O422" s="1" t="s">
        <v>1658</v>
      </c>
      <c r="P422" s="1">
        <v>1</v>
      </c>
      <c r="Q422" s="1" t="s">
        <v>1658</v>
      </c>
      <c r="R422" s="1">
        <v>0</v>
      </c>
      <c r="S422" s="1" t="s">
        <v>1658</v>
      </c>
      <c r="T422" s="6"/>
      <c r="U422" s="1" t="str">
        <f t="shared" si="6"/>
        <v>No</v>
      </c>
      <c r="W422" s="1" t="s">
        <v>3561</v>
      </c>
      <c r="X422" s="1" t="str">
        <f>IF(COUNTIF('MyWells Drilling Comp'!F:F,E422)=0,"Missing","Exist")</f>
        <v>Exist</v>
      </c>
    </row>
    <row r="423" hidden="1" spans="1:24">
      <c r="A423" s="1" t="s">
        <v>1652</v>
      </c>
      <c r="B423" s="1" t="s">
        <v>90</v>
      </c>
      <c r="C423" s="1" t="s">
        <v>3562</v>
      </c>
      <c r="D423" s="1" t="s">
        <v>3559</v>
      </c>
      <c r="E423" s="1" t="s">
        <v>623</v>
      </c>
      <c r="F423" s="1" t="s">
        <v>3563</v>
      </c>
      <c r="G423" s="1">
        <v>1</v>
      </c>
      <c r="H423" s="1" t="s">
        <v>1656</v>
      </c>
      <c r="I423" s="1" t="s">
        <v>1657</v>
      </c>
      <c r="J423" s="1" t="s">
        <v>1658</v>
      </c>
      <c r="K423" s="1" t="s">
        <v>1658</v>
      </c>
      <c r="L423" s="1" t="s">
        <v>1658</v>
      </c>
      <c r="M423" s="1" t="s">
        <v>1658</v>
      </c>
      <c r="N423" s="1" t="s">
        <v>1658</v>
      </c>
      <c r="O423" s="1" t="s">
        <v>1658</v>
      </c>
      <c r="P423" s="1">
        <v>1</v>
      </c>
      <c r="Q423" s="1" t="s">
        <v>1658</v>
      </c>
      <c r="R423" s="1">
        <v>0</v>
      </c>
      <c r="S423" s="1" t="s">
        <v>1963</v>
      </c>
      <c r="T423" s="6"/>
      <c r="U423" s="1" t="str">
        <f t="shared" si="6"/>
        <v>No</v>
      </c>
      <c r="W423" s="1" t="s">
        <v>3564</v>
      </c>
      <c r="X423" s="1" t="str">
        <f>IF(COUNTIF('MyWells Drilling Comp'!F:F,E423)=0,"Missing","Exist")</f>
        <v>Exist</v>
      </c>
    </row>
    <row r="424" hidden="1" spans="1:24">
      <c r="A424" s="1" t="s">
        <v>1652</v>
      </c>
      <c r="B424" s="1" t="s">
        <v>90</v>
      </c>
      <c r="C424" s="1" t="s">
        <v>3565</v>
      </c>
      <c r="D424" s="1" t="s">
        <v>3566</v>
      </c>
      <c r="E424" s="1" t="s">
        <v>513</v>
      </c>
      <c r="F424" s="1" t="s">
        <v>3567</v>
      </c>
      <c r="G424" s="1">
        <v>1</v>
      </c>
      <c r="H424" s="1" t="s">
        <v>1663</v>
      </c>
      <c r="I424" s="1" t="s">
        <v>1657</v>
      </c>
      <c r="J424" s="1" t="s">
        <v>1658</v>
      </c>
      <c r="K424" s="1" t="s">
        <v>1658</v>
      </c>
      <c r="L424" s="1" t="s">
        <v>1658</v>
      </c>
      <c r="M424" s="1" t="s">
        <v>1658</v>
      </c>
      <c r="N424" s="1" t="s">
        <v>1658</v>
      </c>
      <c r="O424" s="1" t="s">
        <v>1658</v>
      </c>
      <c r="P424" s="1">
        <v>1</v>
      </c>
      <c r="Q424" s="1" t="s">
        <v>1658</v>
      </c>
      <c r="R424" s="1">
        <v>0</v>
      </c>
      <c r="S424" s="1" t="s">
        <v>3568</v>
      </c>
      <c r="T424" s="6" t="s">
        <v>3568</v>
      </c>
      <c r="U424" s="1" t="str">
        <f t="shared" si="6"/>
        <v>Yes</v>
      </c>
      <c r="W424" s="1" t="s">
        <v>3569</v>
      </c>
      <c r="X424" s="1" t="str">
        <f>IF(COUNTIF('MyWells Drilling Comp'!F:F,E424)=0,"Missing","Exist")</f>
        <v>Exist</v>
      </c>
    </row>
    <row r="425" hidden="1" spans="1:24">
      <c r="A425" s="1" t="s">
        <v>1652</v>
      </c>
      <c r="B425" s="1" t="s">
        <v>90</v>
      </c>
      <c r="C425" s="1" t="s">
        <v>3570</v>
      </c>
      <c r="D425" s="1" t="s">
        <v>3566</v>
      </c>
      <c r="E425" s="1" t="s">
        <v>513</v>
      </c>
      <c r="F425" s="1" t="s">
        <v>3571</v>
      </c>
      <c r="G425" s="1">
        <v>1</v>
      </c>
      <c r="H425" s="1" t="s">
        <v>1656</v>
      </c>
      <c r="I425" s="1" t="s">
        <v>1657</v>
      </c>
      <c r="J425" s="1" t="s">
        <v>1658</v>
      </c>
      <c r="K425" s="1" t="s">
        <v>1658</v>
      </c>
      <c r="L425" s="1" t="s">
        <v>1658</v>
      </c>
      <c r="M425" s="1" t="s">
        <v>1658</v>
      </c>
      <c r="N425" s="1" t="s">
        <v>1658</v>
      </c>
      <c r="O425" s="1" t="s">
        <v>1658</v>
      </c>
      <c r="P425" s="1">
        <v>1</v>
      </c>
      <c r="Q425" s="1" t="s">
        <v>1658</v>
      </c>
      <c r="R425" s="1">
        <v>0</v>
      </c>
      <c r="S425" s="1" t="s">
        <v>3572</v>
      </c>
      <c r="T425" s="6" t="s">
        <v>3572</v>
      </c>
      <c r="U425" s="1" t="str">
        <f t="shared" si="6"/>
        <v>Yes</v>
      </c>
      <c r="W425" s="1" t="s">
        <v>3573</v>
      </c>
      <c r="X425" s="1" t="str">
        <f>IF(COUNTIF('MyWells Drilling Comp'!F:F,E425)=0,"Missing","Exist")</f>
        <v>Exist</v>
      </c>
    </row>
    <row r="426" hidden="1" spans="1:24">
      <c r="A426" s="1" t="s">
        <v>1652</v>
      </c>
      <c r="B426" s="1" t="s">
        <v>90</v>
      </c>
      <c r="C426" s="1" t="s">
        <v>3574</v>
      </c>
      <c r="D426" s="1" t="s">
        <v>3575</v>
      </c>
      <c r="E426" s="1" t="s">
        <v>897</v>
      </c>
      <c r="F426" s="1" t="s">
        <v>3576</v>
      </c>
      <c r="G426" s="1">
        <v>1</v>
      </c>
      <c r="H426" s="1" t="s">
        <v>1663</v>
      </c>
      <c r="I426" s="1" t="s">
        <v>1657</v>
      </c>
      <c r="J426" s="1" t="s">
        <v>1658</v>
      </c>
      <c r="K426" s="1" t="s">
        <v>1658</v>
      </c>
      <c r="L426" s="1" t="s">
        <v>1658</v>
      </c>
      <c r="M426" s="1" t="s">
        <v>1658</v>
      </c>
      <c r="N426" s="1" t="s">
        <v>1658</v>
      </c>
      <c r="O426" s="1" t="s">
        <v>1658</v>
      </c>
      <c r="P426" s="1">
        <v>1</v>
      </c>
      <c r="Q426" s="1" t="s">
        <v>1658</v>
      </c>
      <c r="R426" s="1">
        <v>0</v>
      </c>
      <c r="S426" s="1" t="s">
        <v>3577</v>
      </c>
      <c r="T426" s="6"/>
      <c r="U426" s="1" t="str">
        <f t="shared" si="6"/>
        <v>No</v>
      </c>
      <c r="W426" s="1" t="s">
        <v>3578</v>
      </c>
      <c r="X426" s="1" t="str">
        <f>IF(COUNTIF('MyWells Drilling Comp'!F:F,E426)=0,"Missing","Exist")</f>
        <v>Exist</v>
      </c>
    </row>
    <row r="427" hidden="1" spans="1:24">
      <c r="A427" s="1" t="s">
        <v>1652</v>
      </c>
      <c r="B427" s="1" t="s">
        <v>90</v>
      </c>
      <c r="C427" s="1" t="s">
        <v>3579</v>
      </c>
      <c r="D427" s="1" t="s">
        <v>3575</v>
      </c>
      <c r="E427" s="1" t="s">
        <v>897</v>
      </c>
      <c r="F427" s="1" t="s">
        <v>3580</v>
      </c>
      <c r="G427" s="1">
        <v>1</v>
      </c>
      <c r="H427" s="1" t="s">
        <v>1656</v>
      </c>
      <c r="I427" s="1" t="s">
        <v>1657</v>
      </c>
      <c r="J427" s="1" t="s">
        <v>1658</v>
      </c>
      <c r="K427" s="1" t="s">
        <v>1658</v>
      </c>
      <c r="L427" s="1" t="s">
        <v>1658</v>
      </c>
      <c r="M427" s="1" t="s">
        <v>1658</v>
      </c>
      <c r="N427" s="1" t="s">
        <v>1658</v>
      </c>
      <c r="O427" s="1" t="s">
        <v>1658</v>
      </c>
      <c r="P427" s="1">
        <v>1</v>
      </c>
      <c r="Q427" s="1" t="s">
        <v>1658</v>
      </c>
      <c r="R427" s="1">
        <v>0</v>
      </c>
      <c r="S427" s="1" t="s">
        <v>3581</v>
      </c>
      <c r="T427" s="6" t="s">
        <v>3581</v>
      </c>
      <c r="U427" s="1" t="str">
        <f t="shared" si="6"/>
        <v>Yes</v>
      </c>
      <c r="W427" s="1" t="s">
        <v>3582</v>
      </c>
      <c r="X427" s="1" t="str">
        <f>IF(COUNTIF('MyWells Drilling Comp'!F:F,E427)=0,"Missing","Exist")</f>
        <v>Exist</v>
      </c>
    </row>
    <row r="428" hidden="1" spans="1:24">
      <c r="A428" s="1" t="s">
        <v>1652</v>
      </c>
      <c r="B428" s="1" t="s">
        <v>90</v>
      </c>
      <c r="C428" s="1" t="s">
        <v>3583</v>
      </c>
      <c r="D428" s="1" t="s">
        <v>3584</v>
      </c>
      <c r="E428" s="1" t="s">
        <v>552</v>
      </c>
      <c r="F428" s="1" t="s">
        <v>3585</v>
      </c>
      <c r="G428" s="1">
        <v>1</v>
      </c>
      <c r="H428" s="1" t="s">
        <v>1656</v>
      </c>
      <c r="I428" s="1" t="s">
        <v>1657</v>
      </c>
      <c r="J428" s="1" t="s">
        <v>1658</v>
      </c>
      <c r="K428" s="1" t="s">
        <v>1658</v>
      </c>
      <c r="L428" s="1" t="s">
        <v>1658</v>
      </c>
      <c r="M428" s="1" t="s">
        <v>1658</v>
      </c>
      <c r="N428" s="1" t="s">
        <v>1658</v>
      </c>
      <c r="O428" s="1" t="s">
        <v>1658</v>
      </c>
      <c r="P428" s="1">
        <v>1</v>
      </c>
      <c r="Q428" s="1" t="s">
        <v>1658</v>
      </c>
      <c r="R428" s="1">
        <v>0</v>
      </c>
      <c r="S428" s="1" t="s">
        <v>3586</v>
      </c>
      <c r="T428" s="6" t="s">
        <v>3586</v>
      </c>
      <c r="U428" s="1" t="str">
        <f t="shared" si="6"/>
        <v>Yes</v>
      </c>
      <c r="W428" s="1" t="s">
        <v>3587</v>
      </c>
      <c r="X428" s="1" t="str">
        <f>IF(COUNTIF('MyWells Drilling Comp'!F:F,E428)=0,"Missing","Exist")</f>
        <v>Exist</v>
      </c>
    </row>
    <row r="429" hidden="1" spans="1:24">
      <c r="A429" s="1" t="s">
        <v>1652</v>
      </c>
      <c r="B429" s="1" t="s">
        <v>90</v>
      </c>
      <c r="C429" s="1" t="s">
        <v>3588</v>
      </c>
      <c r="D429" s="1" t="s">
        <v>3584</v>
      </c>
      <c r="E429" s="1" t="s">
        <v>552</v>
      </c>
      <c r="F429" s="1" t="s">
        <v>3589</v>
      </c>
      <c r="G429" s="1">
        <v>1</v>
      </c>
      <c r="H429" s="1" t="s">
        <v>1663</v>
      </c>
      <c r="I429" s="1" t="s">
        <v>1657</v>
      </c>
      <c r="J429" s="1" t="s">
        <v>1658</v>
      </c>
      <c r="K429" s="1" t="s">
        <v>1658</v>
      </c>
      <c r="L429" s="1" t="s">
        <v>1658</v>
      </c>
      <c r="M429" s="1" t="s">
        <v>1658</v>
      </c>
      <c r="N429" s="1" t="s">
        <v>1658</v>
      </c>
      <c r="O429" s="1" t="s">
        <v>1658</v>
      </c>
      <c r="P429" s="1">
        <v>1</v>
      </c>
      <c r="Q429" s="1" t="s">
        <v>1658</v>
      </c>
      <c r="R429" s="1">
        <v>0</v>
      </c>
      <c r="S429" s="1" t="s">
        <v>3590</v>
      </c>
      <c r="T429" s="6" t="s">
        <v>3590</v>
      </c>
      <c r="U429" s="1" t="str">
        <f t="shared" si="6"/>
        <v>Yes</v>
      </c>
      <c r="W429" s="1" t="s">
        <v>3591</v>
      </c>
      <c r="X429" s="1" t="str">
        <f>IF(COUNTIF('MyWells Drilling Comp'!F:F,E429)=0,"Missing","Exist")</f>
        <v>Exist</v>
      </c>
    </row>
    <row r="430" hidden="1" spans="1:24">
      <c r="A430" s="1" t="s">
        <v>1652</v>
      </c>
      <c r="B430" s="1" t="s">
        <v>90</v>
      </c>
      <c r="C430" s="1" t="s">
        <v>3592</v>
      </c>
      <c r="D430" s="1" t="s">
        <v>3593</v>
      </c>
      <c r="E430" s="1" t="s">
        <v>758</v>
      </c>
      <c r="F430" s="1" t="s">
        <v>3594</v>
      </c>
      <c r="G430" s="1">
        <v>1</v>
      </c>
      <c r="H430" s="1" t="s">
        <v>1663</v>
      </c>
      <c r="I430" s="1" t="s">
        <v>1657</v>
      </c>
      <c r="J430" s="1" t="s">
        <v>1658</v>
      </c>
      <c r="K430" s="1" t="s">
        <v>1658</v>
      </c>
      <c r="L430" s="1" t="s">
        <v>1658</v>
      </c>
      <c r="M430" s="1" t="s">
        <v>1658</v>
      </c>
      <c r="N430" s="1" t="s">
        <v>1658</v>
      </c>
      <c r="O430" s="1" t="s">
        <v>1658</v>
      </c>
      <c r="P430" s="1">
        <v>1</v>
      </c>
      <c r="Q430" s="1" t="s">
        <v>1658</v>
      </c>
      <c r="R430" s="1">
        <v>0</v>
      </c>
      <c r="S430" s="1" t="s">
        <v>3595</v>
      </c>
      <c r="T430" s="6"/>
      <c r="U430" s="1" t="str">
        <f t="shared" si="6"/>
        <v>No</v>
      </c>
      <c r="W430" s="1" t="s">
        <v>3596</v>
      </c>
      <c r="X430" s="1" t="str">
        <f>IF(COUNTIF('MyWells Drilling Comp'!F:F,E430)=0,"Missing","Exist")</f>
        <v>Exist</v>
      </c>
    </row>
    <row r="431" hidden="1" spans="1:24">
      <c r="A431" s="1" t="s">
        <v>1652</v>
      </c>
      <c r="B431" s="1" t="s">
        <v>90</v>
      </c>
      <c r="C431" s="1" t="s">
        <v>3597</v>
      </c>
      <c r="D431" s="1" t="s">
        <v>3593</v>
      </c>
      <c r="E431" s="1" t="s">
        <v>758</v>
      </c>
      <c r="F431" s="1" t="s">
        <v>3598</v>
      </c>
      <c r="G431" s="1">
        <v>1</v>
      </c>
      <c r="H431" s="1" t="s">
        <v>1656</v>
      </c>
      <c r="I431" s="1" t="s">
        <v>1657</v>
      </c>
      <c r="J431" s="1" t="s">
        <v>1658</v>
      </c>
      <c r="K431" s="1" t="s">
        <v>1658</v>
      </c>
      <c r="L431" s="1" t="s">
        <v>1658</v>
      </c>
      <c r="M431" s="1" t="s">
        <v>1658</v>
      </c>
      <c r="N431" s="1" t="s">
        <v>1658</v>
      </c>
      <c r="O431" s="1" t="s">
        <v>1658</v>
      </c>
      <c r="P431" s="1">
        <v>1</v>
      </c>
      <c r="Q431" s="1" t="s">
        <v>1658</v>
      </c>
      <c r="R431" s="1">
        <v>0</v>
      </c>
      <c r="S431" s="1" t="s">
        <v>3599</v>
      </c>
      <c r="T431" s="6"/>
      <c r="U431" s="1" t="str">
        <f t="shared" si="6"/>
        <v>No</v>
      </c>
      <c r="W431" s="1" t="s">
        <v>3600</v>
      </c>
      <c r="X431" s="1" t="str">
        <f>IF(COUNTIF('MyWells Drilling Comp'!F:F,E431)=0,"Missing","Exist")</f>
        <v>Exist</v>
      </c>
    </row>
    <row r="432" hidden="1" spans="1:24">
      <c r="A432" s="1" t="s">
        <v>1652</v>
      </c>
      <c r="B432" s="1" t="s">
        <v>90</v>
      </c>
      <c r="C432" s="1" t="s">
        <v>3601</v>
      </c>
      <c r="D432" s="1" t="s">
        <v>3602</v>
      </c>
      <c r="E432" s="1" t="s">
        <v>598</v>
      </c>
      <c r="F432" s="1" t="s">
        <v>3603</v>
      </c>
      <c r="G432" s="1">
        <v>1</v>
      </c>
      <c r="H432" s="1" t="s">
        <v>1656</v>
      </c>
      <c r="I432" s="1" t="s">
        <v>1657</v>
      </c>
      <c r="J432" s="1" t="s">
        <v>1658</v>
      </c>
      <c r="K432" s="1" t="s">
        <v>1658</v>
      </c>
      <c r="L432" s="1" t="s">
        <v>1658</v>
      </c>
      <c r="M432" s="1" t="s">
        <v>1658</v>
      </c>
      <c r="N432" s="1" t="s">
        <v>1658</v>
      </c>
      <c r="O432" s="1" t="s">
        <v>1658</v>
      </c>
      <c r="P432" s="1">
        <v>1</v>
      </c>
      <c r="Q432" s="1" t="s">
        <v>1658</v>
      </c>
      <c r="R432" s="1">
        <v>0</v>
      </c>
      <c r="S432" s="1" t="s">
        <v>3604</v>
      </c>
      <c r="T432" s="6"/>
      <c r="U432" s="1" t="str">
        <f t="shared" si="6"/>
        <v>No</v>
      </c>
      <c r="W432" s="1" t="s">
        <v>3605</v>
      </c>
      <c r="X432" s="1" t="str">
        <f>IF(COUNTIF('MyWells Drilling Comp'!F:F,E432)=0,"Missing","Exist")</f>
        <v>Exist</v>
      </c>
    </row>
    <row r="433" hidden="1" spans="1:24">
      <c r="A433" s="1" t="s">
        <v>1652</v>
      </c>
      <c r="B433" s="1" t="s">
        <v>90</v>
      </c>
      <c r="C433" s="1" t="s">
        <v>3606</v>
      </c>
      <c r="D433" s="1" t="s">
        <v>3602</v>
      </c>
      <c r="E433" s="1" t="s">
        <v>598</v>
      </c>
      <c r="F433" s="1" t="s">
        <v>3607</v>
      </c>
      <c r="G433" s="1">
        <v>1</v>
      </c>
      <c r="H433" s="1" t="s">
        <v>1663</v>
      </c>
      <c r="I433" s="1" t="s">
        <v>1657</v>
      </c>
      <c r="J433" s="1" t="s">
        <v>1658</v>
      </c>
      <c r="K433" s="1" t="s">
        <v>1658</v>
      </c>
      <c r="L433" s="1" t="s">
        <v>1658</v>
      </c>
      <c r="M433" s="1" t="s">
        <v>1658</v>
      </c>
      <c r="N433" s="1" t="s">
        <v>1658</v>
      </c>
      <c r="O433" s="1" t="s">
        <v>1658</v>
      </c>
      <c r="P433" s="1">
        <v>1</v>
      </c>
      <c r="Q433" s="1" t="s">
        <v>1658</v>
      </c>
      <c r="R433" s="1">
        <v>0</v>
      </c>
      <c r="S433" s="1" t="s">
        <v>3608</v>
      </c>
      <c r="T433" s="6" t="s">
        <v>3608</v>
      </c>
      <c r="U433" s="1" t="str">
        <f t="shared" si="6"/>
        <v>Yes</v>
      </c>
      <c r="W433" s="1" t="s">
        <v>3609</v>
      </c>
      <c r="X433" s="1" t="str">
        <f>IF(COUNTIF('MyWells Drilling Comp'!F:F,E433)=0,"Missing","Exist")</f>
        <v>Exist</v>
      </c>
    </row>
    <row r="434" hidden="1" spans="1:24">
      <c r="A434" s="1" t="s">
        <v>1652</v>
      </c>
      <c r="B434" s="1" t="s">
        <v>90</v>
      </c>
      <c r="C434" s="1" t="s">
        <v>3610</v>
      </c>
      <c r="D434" s="1" t="s">
        <v>3611</v>
      </c>
      <c r="E434" s="1" t="s">
        <v>1505</v>
      </c>
      <c r="F434" s="1" t="s">
        <v>3612</v>
      </c>
      <c r="G434" s="1">
        <v>1</v>
      </c>
      <c r="H434" s="1" t="s">
        <v>1656</v>
      </c>
      <c r="I434" s="1" t="s">
        <v>1657</v>
      </c>
      <c r="J434" s="1" t="s">
        <v>1658</v>
      </c>
      <c r="K434" s="1" t="s">
        <v>1658</v>
      </c>
      <c r="L434" s="1" t="s">
        <v>1658</v>
      </c>
      <c r="M434" s="1" t="s">
        <v>1658</v>
      </c>
      <c r="N434" s="1" t="s">
        <v>1658</v>
      </c>
      <c r="O434" s="1" t="s">
        <v>1658</v>
      </c>
      <c r="P434" s="1">
        <v>1</v>
      </c>
      <c r="Q434" s="1" t="s">
        <v>1658</v>
      </c>
      <c r="R434" s="1">
        <v>0</v>
      </c>
      <c r="S434" s="1" t="s">
        <v>3613</v>
      </c>
      <c r="T434" s="6" t="s">
        <v>3613</v>
      </c>
      <c r="U434" s="1" t="str">
        <f t="shared" si="6"/>
        <v>Yes</v>
      </c>
      <c r="W434" s="1" t="s">
        <v>3614</v>
      </c>
      <c r="X434" s="1" t="str">
        <f>IF(COUNTIF('MyWells Drilling Comp'!F:F,E434)=0,"Missing","Exist")</f>
        <v>Exist</v>
      </c>
    </row>
    <row r="435" hidden="1" spans="1:24">
      <c r="A435" s="1" t="s">
        <v>1652</v>
      </c>
      <c r="B435" s="1" t="s">
        <v>90</v>
      </c>
      <c r="C435" s="1" t="s">
        <v>3615</v>
      </c>
      <c r="D435" s="1" t="s">
        <v>3611</v>
      </c>
      <c r="E435" s="1" t="s">
        <v>1505</v>
      </c>
      <c r="F435" s="1" t="s">
        <v>3616</v>
      </c>
      <c r="G435" s="1">
        <v>1</v>
      </c>
      <c r="H435" s="1" t="s">
        <v>1663</v>
      </c>
      <c r="I435" s="1" t="s">
        <v>1657</v>
      </c>
      <c r="J435" s="1" t="s">
        <v>1658</v>
      </c>
      <c r="K435" s="1" t="s">
        <v>1658</v>
      </c>
      <c r="L435" s="1" t="s">
        <v>1658</v>
      </c>
      <c r="M435" s="1" t="s">
        <v>1658</v>
      </c>
      <c r="N435" s="1" t="s">
        <v>1658</v>
      </c>
      <c r="O435" s="1" t="s">
        <v>1658</v>
      </c>
      <c r="P435" s="1">
        <v>1</v>
      </c>
      <c r="Q435" s="1" t="s">
        <v>1658</v>
      </c>
      <c r="R435" s="1">
        <v>0</v>
      </c>
      <c r="S435" s="1" t="s">
        <v>3617</v>
      </c>
      <c r="T435" s="6" t="s">
        <v>3617</v>
      </c>
      <c r="U435" s="1" t="str">
        <f t="shared" si="6"/>
        <v>Yes</v>
      </c>
      <c r="W435" s="1" t="s">
        <v>3618</v>
      </c>
      <c r="X435" s="1" t="str">
        <f>IF(COUNTIF('MyWells Drilling Comp'!F:F,E435)=0,"Missing","Exist")</f>
        <v>Exist</v>
      </c>
    </row>
    <row r="436" hidden="1" spans="1:24">
      <c r="A436" s="1" t="s">
        <v>1652</v>
      </c>
      <c r="B436" s="1" t="s">
        <v>90</v>
      </c>
      <c r="C436" s="1" t="s">
        <v>3619</v>
      </c>
      <c r="D436" s="1" t="s">
        <v>3620</v>
      </c>
      <c r="E436" s="1" t="s">
        <v>1378</v>
      </c>
      <c r="F436" s="1" t="s">
        <v>3621</v>
      </c>
      <c r="G436" s="1">
        <v>1</v>
      </c>
      <c r="H436" s="1" t="s">
        <v>1656</v>
      </c>
      <c r="I436" s="1" t="s">
        <v>1657</v>
      </c>
      <c r="J436" s="1" t="s">
        <v>1658</v>
      </c>
      <c r="K436" s="1" t="s">
        <v>1658</v>
      </c>
      <c r="L436" s="1" t="s">
        <v>1658</v>
      </c>
      <c r="M436" s="1" t="s">
        <v>1658</v>
      </c>
      <c r="N436" s="1" t="s">
        <v>1658</v>
      </c>
      <c r="O436" s="1" t="s">
        <v>1658</v>
      </c>
      <c r="P436" s="1">
        <v>1</v>
      </c>
      <c r="Q436" s="1" t="s">
        <v>1658</v>
      </c>
      <c r="R436" s="1">
        <v>0</v>
      </c>
      <c r="S436" s="1" t="s">
        <v>3622</v>
      </c>
      <c r="T436" s="6" t="s">
        <v>3622</v>
      </c>
      <c r="U436" s="1" t="str">
        <f t="shared" si="6"/>
        <v>Yes</v>
      </c>
      <c r="W436" s="1" t="s">
        <v>3623</v>
      </c>
      <c r="X436" s="1" t="str">
        <f>IF(COUNTIF('MyWells Drilling Comp'!F:F,E436)=0,"Missing","Exist")</f>
        <v>Exist</v>
      </c>
    </row>
    <row r="437" hidden="1" spans="1:24">
      <c r="A437" s="1" t="s">
        <v>1652</v>
      </c>
      <c r="B437" s="1" t="s">
        <v>90</v>
      </c>
      <c r="C437" s="1" t="s">
        <v>3624</v>
      </c>
      <c r="D437" s="1" t="s">
        <v>3620</v>
      </c>
      <c r="E437" s="1" t="s">
        <v>1378</v>
      </c>
      <c r="F437" s="1" t="s">
        <v>3625</v>
      </c>
      <c r="G437" s="1">
        <v>1</v>
      </c>
      <c r="H437" s="1" t="s">
        <v>1663</v>
      </c>
      <c r="I437" s="1" t="s">
        <v>1657</v>
      </c>
      <c r="J437" s="1" t="s">
        <v>1658</v>
      </c>
      <c r="K437" s="1" t="s">
        <v>1658</v>
      </c>
      <c r="L437" s="1" t="s">
        <v>1658</v>
      </c>
      <c r="M437" s="1" t="s">
        <v>1658</v>
      </c>
      <c r="N437" s="1" t="s">
        <v>1658</v>
      </c>
      <c r="O437" s="1" t="s">
        <v>1658</v>
      </c>
      <c r="P437" s="1">
        <v>1</v>
      </c>
      <c r="Q437" s="1" t="s">
        <v>1658</v>
      </c>
      <c r="R437" s="1">
        <v>0</v>
      </c>
      <c r="S437" s="1" t="s">
        <v>3626</v>
      </c>
      <c r="T437" s="6" t="s">
        <v>3626</v>
      </c>
      <c r="U437" s="1" t="str">
        <f t="shared" si="6"/>
        <v>Yes</v>
      </c>
      <c r="W437" s="1" t="s">
        <v>3627</v>
      </c>
      <c r="X437" s="1" t="str">
        <f>IF(COUNTIF('MyWells Drilling Comp'!F:F,E437)=0,"Missing","Exist")</f>
        <v>Exist</v>
      </c>
    </row>
    <row r="438" hidden="1" spans="1:24">
      <c r="A438" s="1" t="s">
        <v>1652</v>
      </c>
      <c r="B438" s="1" t="s">
        <v>90</v>
      </c>
      <c r="C438" s="1" t="s">
        <v>3628</v>
      </c>
      <c r="D438" s="1" t="s">
        <v>3629</v>
      </c>
      <c r="E438" s="1" t="s">
        <v>1429</v>
      </c>
      <c r="F438" s="1" t="s">
        <v>3630</v>
      </c>
      <c r="G438" s="1">
        <v>1</v>
      </c>
      <c r="H438" s="1" t="s">
        <v>1663</v>
      </c>
      <c r="I438" s="1" t="s">
        <v>1657</v>
      </c>
      <c r="J438" s="1" t="s">
        <v>1658</v>
      </c>
      <c r="K438" s="1" t="s">
        <v>1658</v>
      </c>
      <c r="L438" s="1" t="s">
        <v>1658</v>
      </c>
      <c r="M438" s="1" t="s">
        <v>1658</v>
      </c>
      <c r="N438" s="1" t="s">
        <v>1658</v>
      </c>
      <c r="O438" s="1" t="s">
        <v>1658</v>
      </c>
      <c r="P438" s="1">
        <v>1</v>
      </c>
      <c r="Q438" s="1" t="s">
        <v>1658</v>
      </c>
      <c r="R438" s="1">
        <v>0</v>
      </c>
      <c r="S438" s="1" t="s">
        <v>3631</v>
      </c>
      <c r="T438" s="6" t="s">
        <v>3631</v>
      </c>
      <c r="U438" s="1" t="str">
        <f t="shared" si="6"/>
        <v>Yes</v>
      </c>
      <c r="W438" s="1" t="s">
        <v>3632</v>
      </c>
      <c r="X438" s="1" t="str">
        <f>IF(COUNTIF('MyWells Drilling Comp'!F:F,E438)=0,"Missing","Exist")</f>
        <v>Exist</v>
      </c>
    </row>
    <row r="439" hidden="1" spans="1:24">
      <c r="A439" s="1" t="s">
        <v>1652</v>
      </c>
      <c r="B439" s="1" t="s">
        <v>90</v>
      </c>
      <c r="C439" s="1" t="s">
        <v>3633</v>
      </c>
      <c r="D439" s="1" t="s">
        <v>3629</v>
      </c>
      <c r="E439" s="1" t="s">
        <v>1429</v>
      </c>
      <c r="F439" s="1" t="s">
        <v>3634</v>
      </c>
      <c r="G439" s="1">
        <v>1</v>
      </c>
      <c r="H439" s="1" t="s">
        <v>1656</v>
      </c>
      <c r="I439" s="1" t="s">
        <v>1657</v>
      </c>
      <c r="J439" s="1" t="s">
        <v>1658</v>
      </c>
      <c r="K439" s="1" t="s">
        <v>1658</v>
      </c>
      <c r="L439" s="1" t="s">
        <v>1658</v>
      </c>
      <c r="M439" s="1" t="s">
        <v>1658</v>
      </c>
      <c r="N439" s="1" t="s">
        <v>1658</v>
      </c>
      <c r="O439" s="1" t="s">
        <v>1658</v>
      </c>
      <c r="P439" s="1">
        <v>1</v>
      </c>
      <c r="Q439" s="1" t="s">
        <v>1658</v>
      </c>
      <c r="R439" s="1">
        <v>0</v>
      </c>
      <c r="S439" s="1" t="s">
        <v>3635</v>
      </c>
      <c r="T439" s="6" t="s">
        <v>3635</v>
      </c>
      <c r="U439" s="1" t="str">
        <f t="shared" si="6"/>
        <v>Yes</v>
      </c>
      <c r="W439" s="1" t="s">
        <v>3636</v>
      </c>
      <c r="X439" s="1" t="str">
        <f>IF(COUNTIF('MyWells Drilling Comp'!F:F,E439)=0,"Missing","Exist")</f>
        <v>Exist</v>
      </c>
    </row>
    <row r="440" hidden="1" spans="1:24">
      <c r="A440" s="1" t="s">
        <v>1652</v>
      </c>
      <c r="B440" s="1" t="s">
        <v>90</v>
      </c>
      <c r="C440" s="1" t="s">
        <v>3637</v>
      </c>
      <c r="D440" s="1" t="s">
        <v>3638</v>
      </c>
      <c r="E440" s="1" t="s">
        <v>1500</v>
      </c>
      <c r="F440" s="1" t="s">
        <v>3639</v>
      </c>
      <c r="G440" s="1">
        <v>1</v>
      </c>
      <c r="H440" s="1" t="s">
        <v>1656</v>
      </c>
      <c r="I440" s="1" t="s">
        <v>1657</v>
      </c>
      <c r="J440" s="1" t="s">
        <v>1658</v>
      </c>
      <c r="K440" s="1" t="s">
        <v>1658</v>
      </c>
      <c r="L440" s="1" t="s">
        <v>1658</v>
      </c>
      <c r="M440" s="1" t="s">
        <v>1658</v>
      </c>
      <c r="N440" s="1" t="s">
        <v>1658</v>
      </c>
      <c r="O440" s="1" t="s">
        <v>1658</v>
      </c>
      <c r="P440" s="1">
        <v>1</v>
      </c>
      <c r="Q440" s="1" t="s">
        <v>1658</v>
      </c>
      <c r="R440" s="1">
        <v>0</v>
      </c>
      <c r="S440" s="1" t="s">
        <v>3640</v>
      </c>
      <c r="T440" s="6" t="s">
        <v>3640</v>
      </c>
      <c r="U440" s="1" t="str">
        <f t="shared" si="6"/>
        <v>Yes</v>
      </c>
      <c r="W440" s="1" t="s">
        <v>3641</v>
      </c>
      <c r="X440" s="1" t="str">
        <f>IF(COUNTIF('MyWells Drilling Comp'!F:F,E440)=0,"Missing","Exist")</f>
        <v>Exist</v>
      </c>
    </row>
    <row r="441" hidden="1" spans="1:24">
      <c r="A441" s="1" t="s">
        <v>1652</v>
      </c>
      <c r="B441" s="1" t="s">
        <v>90</v>
      </c>
      <c r="C441" s="1" t="s">
        <v>3642</v>
      </c>
      <c r="D441" s="1" t="s">
        <v>3638</v>
      </c>
      <c r="E441" s="1" t="s">
        <v>1500</v>
      </c>
      <c r="F441" s="1" t="s">
        <v>3643</v>
      </c>
      <c r="G441" s="1">
        <v>1</v>
      </c>
      <c r="H441" s="1" t="s">
        <v>1663</v>
      </c>
      <c r="I441" s="1" t="s">
        <v>1657</v>
      </c>
      <c r="J441" s="1" t="s">
        <v>1658</v>
      </c>
      <c r="K441" s="1" t="s">
        <v>1658</v>
      </c>
      <c r="L441" s="1" t="s">
        <v>1658</v>
      </c>
      <c r="M441" s="1" t="s">
        <v>1658</v>
      </c>
      <c r="N441" s="1" t="s">
        <v>1658</v>
      </c>
      <c r="O441" s="1" t="s">
        <v>1658</v>
      </c>
      <c r="P441" s="1">
        <v>1</v>
      </c>
      <c r="Q441" s="1" t="s">
        <v>1658</v>
      </c>
      <c r="R441" s="1">
        <v>0</v>
      </c>
      <c r="S441" s="1" t="s">
        <v>3644</v>
      </c>
      <c r="T441" s="6" t="s">
        <v>3645</v>
      </c>
      <c r="U441" s="1" t="str">
        <f t="shared" si="6"/>
        <v>No</v>
      </c>
      <c r="W441" s="1" t="s">
        <v>3646</v>
      </c>
      <c r="X441" s="1" t="str">
        <f>IF(COUNTIF('MyWells Drilling Comp'!F:F,E441)=0,"Missing","Exist")</f>
        <v>Exist</v>
      </c>
    </row>
    <row r="442" hidden="1" spans="1:24">
      <c r="A442" s="1" t="s">
        <v>1652</v>
      </c>
      <c r="B442" s="1" t="s">
        <v>90</v>
      </c>
      <c r="C442" s="1" t="s">
        <v>3647</v>
      </c>
      <c r="D442" s="1" t="s">
        <v>3648</v>
      </c>
      <c r="E442" s="1" t="s">
        <v>828</v>
      </c>
      <c r="F442" s="1" t="s">
        <v>3649</v>
      </c>
      <c r="G442" s="1">
        <v>1</v>
      </c>
      <c r="H442" s="1" t="s">
        <v>1656</v>
      </c>
      <c r="I442" s="1" t="s">
        <v>1657</v>
      </c>
      <c r="J442" s="1" t="s">
        <v>1658</v>
      </c>
      <c r="K442" s="1" t="s">
        <v>1658</v>
      </c>
      <c r="L442" s="1" t="s">
        <v>1658</v>
      </c>
      <c r="M442" s="1" t="s">
        <v>1658</v>
      </c>
      <c r="N442" s="1" t="s">
        <v>1658</v>
      </c>
      <c r="O442" s="1" t="s">
        <v>1658</v>
      </c>
      <c r="P442" s="1">
        <v>1</v>
      </c>
      <c r="Q442" s="1" t="s">
        <v>1658</v>
      </c>
      <c r="R442" s="1">
        <v>0</v>
      </c>
      <c r="S442" s="1" t="s">
        <v>3650</v>
      </c>
      <c r="T442" s="6"/>
      <c r="U442" s="1" t="str">
        <f t="shared" si="6"/>
        <v>No</v>
      </c>
      <c r="W442" s="1" t="s">
        <v>3651</v>
      </c>
      <c r="X442" s="1" t="str">
        <f>IF(COUNTIF('MyWells Drilling Comp'!F:F,E442)=0,"Missing","Exist")</f>
        <v>Exist</v>
      </c>
    </row>
    <row r="443" hidden="1" spans="1:24">
      <c r="A443" s="1" t="s">
        <v>1652</v>
      </c>
      <c r="B443" s="1" t="s">
        <v>90</v>
      </c>
      <c r="C443" s="1" t="s">
        <v>3652</v>
      </c>
      <c r="D443" s="1" t="s">
        <v>3648</v>
      </c>
      <c r="E443" s="1" t="s">
        <v>828</v>
      </c>
      <c r="F443" s="1" t="s">
        <v>3653</v>
      </c>
      <c r="G443" s="1">
        <v>1</v>
      </c>
      <c r="H443" s="1" t="s">
        <v>1663</v>
      </c>
      <c r="I443" s="1" t="s">
        <v>1657</v>
      </c>
      <c r="J443" s="1" t="s">
        <v>1658</v>
      </c>
      <c r="K443" s="1" t="s">
        <v>1658</v>
      </c>
      <c r="L443" s="1" t="s">
        <v>1658</v>
      </c>
      <c r="M443" s="1" t="s">
        <v>1658</v>
      </c>
      <c r="N443" s="1" t="s">
        <v>1658</v>
      </c>
      <c r="O443" s="1" t="s">
        <v>1658</v>
      </c>
      <c r="P443" s="1">
        <v>1</v>
      </c>
      <c r="Q443" s="1" t="s">
        <v>1658</v>
      </c>
      <c r="R443" s="1">
        <v>0</v>
      </c>
      <c r="S443" s="1" t="s">
        <v>3654</v>
      </c>
      <c r="T443" s="6" t="s">
        <v>3654</v>
      </c>
      <c r="U443" s="1" t="str">
        <f t="shared" si="6"/>
        <v>Yes</v>
      </c>
      <c r="W443" s="1" t="s">
        <v>3655</v>
      </c>
      <c r="X443" s="1" t="str">
        <f>IF(COUNTIF('MyWells Drilling Comp'!F:F,E443)=0,"Missing","Exist")</f>
        <v>Exist</v>
      </c>
    </row>
    <row r="444" hidden="1" spans="1:24">
      <c r="A444" s="1" t="s">
        <v>1652</v>
      </c>
      <c r="B444" s="1" t="s">
        <v>90</v>
      </c>
      <c r="C444" s="1" t="s">
        <v>3656</v>
      </c>
      <c r="D444" s="1" t="s">
        <v>3657</v>
      </c>
      <c r="E444" s="1" t="s">
        <v>871</v>
      </c>
      <c r="F444" s="1" t="s">
        <v>3658</v>
      </c>
      <c r="G444" s="1">
        <v>1</v>
      </c>
      <c r="H444" s="1" t="s">
        <v>1656</v>
      </c>
      <c r="I444" s="1" t="s">
        <v>1657</v>
      </c>
      <c r="J444" s="1" t="s">
        <v>1658</v>
      </c>
      <c r="K444" s="1" t="s">
        <v>1658</v>
      </c>
      <c r="L444" s="1" t="s">
        <v>1658</v>
      </c>
      <c r="M444" s="1" t="s">
        <v>1658</v>
      </c>
      <c r="N444" s="1" t="s">
        <v>1658</v>
      </c>
      <c r="O444" s="1" t="s">
        <v>1658</v>
      </c>
      <c r="P444" s="1">
        <v>1</v>
      </c>
      <c r="Q444" s="1" t="s">
        <v>1658</v>
      </c>
      <c r="R444" s="1">
        <v>0</v>
      </c>
      <c r="S444" s="1" t="s">
        <v>3659</v>
      </c>
      <c r="T444" s="6"/>
      <c r="U444" s="1" t="str">
        <f t="shared" si="6"/>
        <v>No</v>
      </c>
      <c r="W444" s="1" t="s">
        <v>3660</v>
      </c>
      <c r="X444" s="1" t="str">
        <f>IF(COUNTIF('MyWells Drilling Comp'!F:F,E444)=0,"Missing","Exist")</f>
        <v>Exist</v>
      </c>
    </row>
    <row r="445" hidden="1" spans="1:24">
      <c r="A445" s="1" t="s">
        <v>1652</v>
      </c>
      <c r="B445" s="1" t="s">
        <v>90</v>
      </c>
      <c r="C445" s="1" t="s">
        <v>3661</v>
      </c>
      <c r="D445" s="1" t="s">
        <v>3657</v>
      </c>
      <c r="E445" s="1" t="s">
        <v>871</v>
      </c>
      <c r="F445" s="1" t="s">
        <v>3662</v>
      </c>
      <c r="G445" s="1">
        <v>1</v>
      </c>
      <c r="H445" s="1" t="s">
        <v>1663</v>
      </c>
      <c r="I445" s="1" t="s">
        <v>1657</v>
      </c>
      <c r="J445" s="1" t="s">
        <v>1658</v>
      </c>
      <c r="K445" s="1" t="s">
        <v>1658</v>
      </c>
      <c r="L445" s="1" t="s">
        <v>1658</v>
      </c>
      <c r="M445" s="1" t="s">
        <v>1658</v>
      </c>
      <c r="N445" s="1" t="s">
        <v>1658</v>
      </c>
      <c r="O445" s="1" t="s">
        <v>1658</v>
      </c>
      <c r="P445" s="1">
        <v>1</v>
      </c>
      <c r="Q445" s="1" t="s">
        <v>1658</v>
      </c>
      <c r="R445" s="1">
        <v>0</v>
      </c>
      <c r="S445" s="1" t="s">
        <v>3663</v>
      </c>
      <c r="T445" s="6"/>
      <c r="U445" s="1" t="str">
        <f t="shared" si="6"/>
        <v>No</v>
      </c>
      <c r="W445" s="1" t="s">
        <v>3664</v>
      </c>
      <c r="X445" s="1" t="str">
        <f>IF(COUNTIF('MyWells Drilling Comp'!F:F,E445)=0,"Missing","Exist")</f>
        <v>Exist</v>
      </c>
    </row>
    <row r="446" hidden="1" spans="1:24">
      <c r="A446" s="1" t="s">
        <v>1652</v>
      </c>
      <c r="B446" s="1" t="s">
        <v>90</v>
      </c>
      <c r="C446" s="1" t="s">
        <v>3665</v>
      </c>
      <c r="D446" s="1" t="s">
        <v>3666</v>
      </c>
      <c r="E446" s="2" t="s">
        <v>719</v>
      </c>
      <c r="F446" s="2" t="s">
        <v>3667</v>
      </c>
      <c r="G446" s="1">
        <v>1</v>
      </c>
      <c r="H446" s="1" t="s">
        <v>1656</v>
      </c>
      <c r="I446" s="1" t="s">
        <v>1657</v>
      </c>
      <c r="J446" s="1" t="s">
        <v>1658</v>
      </c>
      <c r="K446" s="1" t="s">
        <v>1658</v>
      </c>
      <c r="L446" s="1" t="s">
        <v>1658</v>
      </c>
      <c r="M446" s="1" t="s">
        <v>1658</v>
      </c>
      <c r="N446" s="1" t="s">
        <v>1658</v>
      </c>
      <c r="O446" s="1" t="s">
        <v>1658</v>
      </c>
      <c r="P446" s="1">
        <v>1</v>
      </c>
      <c r="Q446" s="1" t="s">
        <v>1658</v>
      </c>
      <c r="R446" s="1">
        <v>0</v>
      </c>
      <c r="S446" s="1" t="s">
        <v>3668</v>
      </c>
      <c r="T446" s="6" t="s">
        <v>3668</v>
      </c>
      <c r="U446" s="1" t="str">
        <f t="shared" si="6"/>
        <v>Yes</v>
      </c>
      <c r="W446" s="1" t="s">
        <v>3669</v>
      </c>
      <c r="X446" s="1" t="str">
        <f>IF(COUNTIF('MyWells Drilling Comp'!F:F,E446)=0,"Missing","Exist")</f>
        <v>Exist</v>
      </c>
    </row>
    <row r="447" hidden="1" spans="1:24">
      <c r="A447" s="1" t="s">
        <v>1652</v>
      </c>
      <c r="B447" s="1" t="s">
        <v>90</v>
      </c>
      <c r="C447" s="1" t="s">
        <v>3670</v>
      </c>
      <c r="D447" s="1" t="s">
        <v>3666</v>
      </c>
      <c r="E447" s="2" t="s">
        <v>719</v>
      </c>
      <c r="F447" s="2" t="s">
        <v>3671</v>
      </c>
      <c r="G447" s="1">
        <v>1</v>
      </c>
      <c r="H447" s="1" t="s">
        <v>1663</v>
      </c>
      <c r="I447" s="1" t="s">
        <v>1657</v>
      </c>
      <c r="J447" s="1" t="s">
        <v>1658</v>
      </c>
      <c r="K447" s="1" t="s">
        <v>1658</v>
      </c>
      <c r="L447" s="1" t="s">
        <v>1658</v>
      </c>
      <c r="M447" s="1" t="s">
        <v>1658</v>
      </c>
      <c r="N447" s="1" t="s">
        <v>1658</v>
      </c>
      <c r="O447" s="1" t="s">
        <v>1658</v>
      </c>
      <c r="P447" s="1">
        <v>1</v>
      </c>
      <c r="Q447" s="1" t="s">
        <v>1658</v>
      </c>
      <c r="R447" s="1">
        <v>0</v>
      </c>
      <c r="S447" s="1" t="s">
        <v>3672</v>
      </c>
      <c r="T447" s="6" t="s">
        <v>3672</v>
      </c>
      <c r="U447" s="1" t="str">
        <f t="shared" si="6"/>
        <v>Yes</v>
      </c>
      <c r="W447" s="1" t="s">
        <v>3673</v>
      </c>
      <c r="X447" s="1" t="str">
        <f>IF(COUNTIF('MyWells Drilling Comp'!F:F,E447)=0,"Missing","Exist")</f>
        <v>Exist</v>
      </c>
    </row>
    <row r="448" hidden="1" spans="1:24">
      <c r="A448" s="1" t="s">
        <v>1652</v>
      </c>
      <c r="B448" s="1" t="s">
        <v>90</v>
      </c>
      <c r="C448" s="1" t="s">
        <v>3674</v>
      </c>
      <c r="D448" s="1" t="s">
        <v>3675</v>
      </c>
      <c r="E448" s="1" t="s">
        <v>694</v>
      </c>
      <c r="F448" s="1" t="s">
        <v>3676</v>
      </c>
      <c r="G448" s="1">
        <v>1</v>
      </c>
      <c r="H448" s="1" t="s">
        <v>1663</v>
      </c>
      <c r="I448" s="1" t="s">
        <v>1657</v>
      </c>
      <c r="J448" s="1" t="s">
        <v>1658</v>
      </c>
      <c r="K448" s="1" t="s">
        <v>1658</v>
      </c>
      <c r="L448" s="1" t="s">
        <v>1658</v>
      </c>
      <c r="M448" s="1" t="s">
        <v>1658</v>
      </c>
      <c r="N448" s="1" t="s">
        <v>1658</v>
      </c>
      <c r="O448" s="1" t="s">
        <v>1658</v>
      </c>
      <c r="P448" s="1">
        <v>1</v>
      </c>
      <c r="Q448" s="1" t="s">
        <v>1658</v>
      </c>
      <c r="R448" s="1">
        <v>0</v>
      </c>
      <c r="S448" s="1" t="s">
        <v>3677</v>
      </c>
      <c r="T448" s="10" t="s">
        <v>3677</v>
      </c>
      <c r="U448" s="1" t="str">
        <f t="shared" si="6"/>
        <v>Yes</v>
      </c>
      <c r="W448" s="1" t="s">
        <v>3678</v>
      </c>
      <c r="X448" s="1" t="str">
        <f>IF(COUNTIF('MyWells Drilling Comp'!F:F,E448)=0,"Missing","Exist")</f>
        <v>Exist</v>
      </c>
    </row>
    <row r="449" hidden="1" spans="1:24">
      <c r="A449" s="1" t="s">
        <v>1652</v>
      </c>
      <c r="B449" s="1" t="s">
        <v>90</v>
      </c>
      <c r="C449" s="1" t="s">
        <v>3679</v>
      </c>
      <c r="D449" s="1" t="s">
        <v>3675</v>
      </c>
      <c r="E449" s="1" t="s">
        <v>694</v>
      </c>
      <c r="F449" s="1" t="s">
        <v>3680</v>
      </c>
      <c r="G449" s="1">
        <v>1</v>
      </c>
      <c r="H449" s="1" t="s">
        <v>1656</v>
      </c>
      <c r="I449" s="1" t="s">
        <v>1657</v>
      </c>
      <c r="J449" s="1" t="s">
        <v>1658</v>
      </c>
      <c r="K449" s="1" t="s">
        <v>1658</v>
      </c>
      <c r="L449" s="1" t="s">
        <v>1658</v>
      </c>
      <c r="M449" s="1" t="s">
        <v>1658</v>
      </c>
      <c r="N449" s="1" t="s">
        <v>1658</v>
      </c>
      <c r="O449" s="1" t="s">
        <v>1658</v>
      </c>
      <c r="P449" s="1">
        <v>1</v>
      </c>
      <c r="Q449" s="1" t="s">
        <v>1658</v>
      </c>
      <c r="R449" s="1">
        <v>0</v>
      </c>
      <c r="S449" s="1" t="s">
        <v>3681</v>
      </c>
      <c r="T449" s="10" t="s">
        <v>3681</v>
      </c>
      <c r="U449" s="1" t="str">
        <f t="shared" si="6"/>
        <v>Yes</v>
      </c>
      <c r="W449" s="1" t="s">
        <v>3682</v>
      </c>
      <c r="X449" s="1" t="str">
        <f>IF(COUNTIF('MyWells Drilling Comp'!F:F,E449)=0,"Missing","Exist")</f>
        <v>Exist</v>
      </c>
    </row>
    <row r="450" hidden="1" spans="1:24">
      <c r="A450" s="1" t="s">
        <v>1652</v>
      </c>
      <c r="B450" s="1" t="s">
        <v>90</v>
      </c>
      <c r="C450" s="1" t="s">
        <v>3683</v>
      </c>
      <c r="D450" s="1" t="s">
        <v>3684</v>
      </c>
      <c r="E450" s="1" t="s">
        <v>1158</v>
      </c>
      <c r="F450" s="1" t="s">
        <v>3685</v>
      </c>
      <c r="G450" s="1">
        <v>1</v>
      </c>
      <c r="H450" s="1" t="s">
        <v>1656</v>
      </c>
      <c r="I450" s="1" t="s">
        <v>1657</v>
      </c>
      <c r="J450" s="1" t="s">
        <v>1658</v>
      </c>
      <c r="K450" s="1" t="s">
        <v>1658</v>
      </c>
      <c r="L450" s="1" t="s">
        <v>1658</v>
      </c>
      <c r="M450" s="1" t="s">
        <v>1658</v>
      </c>
      <c r="N450" s="1" t="s">
        <v>1658</v>
      </c>
      <c r="O450" s="1" t="s">
        <v>1658</v>
      </c>
      <c r="P450" s="1">
        <v>1</v>
      </c>
      <c r="Q450" s="1" t="s">
        <v>1658</v>
      </c>
      <c r="R450" s="1">
        <v>0</v>
      </c>
      <c r="S450" s="1" t="s">
        <v>3686</v>
      </c>
      <c r="T450" s="6" t="s">
        <v>3686</v>
      </c>
      <c r="U450" s="1" t="str">
        <f t="shared" ref="U450:U513" si="7">IF(S450=T450,"Yes","No")</f>
        <v>Yes</v>
      </c>
      <c r="W450" s="1" t="s">
        <v>3687</v>
      </c>
      <c r="X450" s="1" t="str">
        <f>IF(COUNTIF('MyWells Drilling Comp'!F:F,E450)=0,"Missing","Exist")</f>
        <v>Exist</v>
      </c>
    </row>
    <row r="451" hidden="1" spans="1:24">
      <c r="A451" s="1" t="s">
        <v>1652</v>
      </c>
      <c r="B451" s="1" t="s">
        <v>90</v>
      </c>
      <c r="C451" s="1" t="s">
        <v>3688</v>
      </c>
      <c r="D451" s="1" t="s">
        <v>3684</v>
      </c>
      <c r="E451" s="1" t="s">
        <v>1158</v>
      </c>
      <c r="F451" s="1" t="s">
        <v>3689</v>
      </c>
      <c r="G451" s="1">
        <v>1</v>
      </c>
      <c r="H451" s="1" t="s">
        <v>1663</v>
      </c>
      <c r="I451" s="1" t="s">
        <v>1657</v>
      </c>
      <c r="J451" s="1" t="s">
        <v>1658</v>
      </c>
      <c r="K451" s="1" t="s">
        <v>1658</v>
      </c>
      <c r="L451" s="1" t="s">
        <v>1658</v>
      </c>
      <c r="M451" s="1" t="s">
        <v>1658</v>
      </c>
      <c r="N451" s="1" t="s">
        <v>1658</v>
      </c>
      <c r="O451" s="1" t="s">
        <v>1658</v>
      </c>
      <c r="P451" s="1">
        <v>1</v>
      </c>
      <c r="Q451" s="1" t="s">
        <v>1658</v>
      </c>
      <c r="R451" s="1">
        <v>0</v>
      </c>
      <c r="S451" s="1" t="s">
        <v>3690</v>
      </c>
      <c r="T451" s="6" t="s">
        <v>3690</v>
      </c>
      <c r="U451" s="1" t="str">
        <f t="shared" si="7"/>
        <v>Yes</v>
      </c>
      <c r="W451" s="1" t="s">
        <v>3691</v>
      </c>
      <c r="X451" s="1" t="str">
        <f>IF(COUNTIF('MyWells Drilling Comp'!F:F,E451)=0,"Missing","Exist")</f>
        <v>Exist</v>
      </c>
    </row>
    <row r="452" hidden="1" spans="1:24">
      <c r="A452" s="1" t="s">
        <v>1652</v>
      </c>
      <c r="B452" s="1" t="s">
        <v>90</v>
      </c>
      <c r="C452" s="1" t="s">
        <v>3692</v>
      </c>
      <c r="D452" s="1" t="s">
        <v>3693</v>
      </c>
      <c r="E452" s="1" t="s">
        <v>691</v>
      </c>
      <c r="F452" s="1" t="s">
        <v>3694</v>
      </c>
      <c r="G452" s="1">
        <v>1</v>
      </c>
      <c r="H452" s="1" t="s">
        <v>1663</v>
      </c>
      <c r="I452" s="1" t="s">
        <v>1657</v>
      </c>
      <c r="J452" s="1" t="s">
        <v>1658</v>
      </c>
      <c r="K452" s="1" t="s">
        <v>1658</v>
      </c>
      <c r="L452" s="1" t="s">
        <v>1658</v>
      </c>
      <c r="M452" s="1" t="s">
        <v>1658</v>
      </c>
      <c r="N452" s="1" t="s">
        <v>1658</v>
      </c>
      <c r="O452" s="1" t="s">
        <v>1658</v>
      </c>
      <c r="P452" s="1">
        <v>1</v>
      </c>
      <c r="Q452" s="1" t="s">
        <v>1658</v>
      </c>
      <c r="R452" s="1">
        <v>0</v>
      </c>
      <c r="S452" s="1" t="s">
        <v>3695</v>
      </c>
      <c r="T452" s="6" t="s">
        <v>3695</v>
      </c>
      <c r="U452" s="1" t="str">
        <f t="shared" si="7"/>
        <v>Yes</v>
      </c>
      <c r="W452" s="1" t="s">
        <v>3696</v>
      </c>
      <c r="X452" s="1" t="str">
        <f>IF(COUNTIF('MyWells Drilling Comp'!F:F,E452)=0,"Missing","Exist")</f>
        <v>Exist</v>
      </c>
    </row>
    <row r="453" hidden="1" spans="1:24">
      <c r="A453" s="1" t="s">
        <v>1652</v>
      </c>
      <c r="B453" s="1" t="s">
        <v>90</v>
      </c>
      <c r="C453" s="1" t="s">
        <v>3697</v>
      </c>
      <c r="D453" s="1" t="s">
        <v>3693</v>
      </c>
      <c r="E453" s="1" t="s">
        <v>691</v>
      </c>
      <c r="F453" s="1" t="s">
        <v>3698</v>
      </c>
      <c r="G453" s="1">
        <v>1</v>
      </c>
      <c r="H453" s="1" t="s">
        <v>1656</v>
      </c>
      <c r="I453" s="1" t="s">
        <v>1657</v>
      </c>
      <c r="J453" s="1" t="s">
        <v>1658</v>
      </c>
      <c r="K453" s="1" t="s">
        <v>1658</v>
      </c>
      <c r="L453" s="1" t="s">
        <v>1658</v>
      </c>
      <c r="M453" s="1" t="s">
        <v>1658</v>
      </c>
      <c r="N453" s="1" t="s">
        <v>1658</v>
      </c>
      <c r="O453" s="1" t="s">
        <v>1658</v>
      </c>
      <c r="P453" s="1">
        <v>1</v>
      </c>
      <c r="Q453" s="1" t="s">
        <v>1658</v>
      </c>
      <c r="R453" s="1">
        <v>0</v>
      </c>
      <c r="S453" s="1" t="s">
        <v>3699</v>
      </c>
      <c r="T453" s="6" t="s">
        <v>3699</v>
      </c>
      <c r="U453" s="1" t="str">
        <f t="shared" si="7"/>
        <v>Yes</v>
      </c>
      <c r="W453" s="1" t="s">
        <v>3700</v>
      </c>
      <c r="X453" s="1" t="str">
        <f>IF(COUNTIF('MyWells Drilling Comp'!F:F,E453)=0,"Missing","Exist")</f>
        <v>Exist</v>
      </c>
    </row>
    <row r="454" hidden="1" spans="1:24">
      <c r="A454" s="1" t="s">
        <v>1652</v>
      </c>
      <c r="B454" s="1" t="s">
        <v>90</v>
      </c>
      <c r="C454" s="1" t="s">
        <v>3701</v>
      </c>
      <c r="D454" s="1" t="s">
        <v>3702</v>
      </c>
      <c r="E454" s="1" t="s">
        <v>681</v>
      </c>
      <c r="F454" s="1" t="s">
        <v>3703</v>
      </c>
      <c r="G454" s="1">
        <v>1</v>
      </c>
      <c r="H454" s="1" t="s">
        <v>1656</v>
      </c>
      <c r="I454" s="1" t="s">
        <v>1657</v>
      </c>
      <c r="J454" s="1" t="s">
        <v>1658</v>
      </c>
      <c r="K454" s="1" t="s">
        <v>1658</v>
      </c>
      <c r="L454" s="1" t="s">
        <v>1658</v>
      </c>
      <c r="M454" s="1" t="s">
        <v>1658</v>
      </c>
      <c r="N454" s="1" t="s">
        <v>1658</v>
      </c>
      <c r="O454" s="1" t="s">
        <v>1658</v>
      </c>
      <c r="P454" s="1">
        <v>1</v>
      </c>
      <c r="Q454" s="1" t="s">
        <v>1658</v>
      </c>
      <c r="R454" s="1">
        <v>0</v>
      </c>
      <c r="S454" s="1" t="s">
        <v>3704</v>
      </c>
      <c r="T454" s="6" t="s">
        <v>3704</v>
      </c>
      <c r="U454" s="1" t="str">
        <f t="shared" si="7"/>
        <v>Yes</v>
      </c>
      <c r="W454" s="1" t="s">
        <v>3705</v>
      </c>
      <c r="X454" s="1" t="str">
        <f>IF(COUNTIF('MyWells Drilling Comp'!F:F,E454)=0,"Missing","Exist")</f>
        <v>Exist</v>
      </c>
    </row>
    <row r="455" hidden="1" spans="1:24">
      <c r="A455" s="1" t="s">
        <v>1652</v>
      </c>
      <c r="B455" s="1" t="s">
        <v>90</v>
      </c>
      <c r="C455" s="1" t="s">
        <v>3706</v>
      </c>
      <c r="D455" s="1" t="s">
        <v>3702</v>
      </c>
      <c r="E455" s="1" t="s">
        <v>681</v>
      </c>
      <c r="F455" s="1" t="s">
        <v>3707</v>
      </c>
      <c r="G455" s="1">
        <v>1</v>
      </c>
      <c r="H455" s="1" t="s">
        <v>1663</v>
      </c>
      <c r="I455" s="1" t="s">
        <v>1657</v>
      </c>
      <c r="J455" s="1" t="s">
        <v>1658</v>
      </c>
      <c r="K455" s="1" t="s">
        <v>1658</v>
      </c>
      <c r="L455" s="1" t="s">
        <v>1658</v>
      </c>
      <c r="M455" s="1" t="s">
        <v>1658</v>
      </c>
      <c r="N455" s="1" t="s">
        <v>1658</v>
      </c>
      <c r="O455" s="1" t="s">
        <v>1658</v>
      </c>
      <c r="P455" s="1">
        <v>1</v>
      </c>
      <c r="Q455" s="1" t="s">
        <v>1658</v>
      </c>
      <c r="R455" s="1">
        <v>0</v>
      </c>
      <c r="S455" s="1" t="s">
        <v>3708</v>
      </c>
      <c r="T455" s="6" t="s">
        <v>3708</v>
      </c>
      <c r="U455" s="1" t="str">
        <f t="shared" si="7"/>
        <v>Yes</v>
      </c>
      <c r="W455" s="1" t="s">
        <v>3709</v>
      </c>
      <c r="X455" s="1" t="str">
        <f>IF(COUNTIF('MyWells Drilling Comp'!F:F,E455)=0,"Missing","Exist")</f>
        <v>Exist</v>
      </c>
    </row>
    <row r="456" hidden="1" spans="1:24">
      <c r="A456" s="1" t="s">
        <v>1652</v>
      </c>
      <c r="B456" s="1" t="s">
        <v>90</v>
      </c>
      <c r="C456" s="1" t="s">
        <v>3710</v>
      </c>
      <c r="D456" s="1" t="s">
        <v>3711</v>
      </c>
      <c r="E456" s="1" t="s">
        <v>1563</v>
      </c>
      <c r="F456" s="1" t="s">
        <v>3712</v>
      </c>
      <c r="G456" s="1">
        <v>1</v>
      </c>
      <c r="H456" s="1" t="s">
        <v>1656</v>
      </c>
      <c r="I456" s="1" t="s">
        <v>1657</v>
      </c>
      <c r="J456" s="1" t="s">
        <v>1658</v>
      </c>
      <c r="K456" s="1" t="s">
        <v>1658</v>
      </c>
      <c r="L456" s="1" t="s">
        <v>1658</v>
      </c>
      <c r="M456" s="1" t="s">
        <v>1658</v>
      </c>
      <c r="N456" s="1" t="s">
        <v>1658</v>
      </c>
      <c r="O456" s="1" t="s">
        <v>1658</v>
      </c>
      <c r="P456" s="1">
        <v>1</v>
      </c>
      <c r="Q456" s="1" t="s">
        <v>1658</v>
      </c>
      <c r="R456" s="1">
        <v>0</v>
      </c>
      <c r="S456" s="1" t="s">
        <v>3713</v>
      </c>
      <c r="T456" s="6" t="s">
        <v>3713</v>
      </c>
      <c r="U456" s="1" t="str">
        <f t="shared" si="7"/>
        <v>Yes</v>
      </c>
      <c r="W456" s="1" t="s">
        <v>3714</v>
      </c>
      <c r="X456" s="1" t="str">
        <f>IF(COUNTIF('MyWells Drilling Comp'!F:F,E456)=0,"Missing","Exist")</f>
        <v>Exist</v>
      </c>
    </row>
    <row r="457" hidden="1" spans="1:24">
      <c r="A457" s="1" t="s">
        <v>1652</v>
      </c>
      <c r="B457" s="1" t="s">
        <v>90</v>
      </c>
      <c r="C457" s="1" t="s">
        <v>3715</v>
      </c>
      <c r="D457" s="1" t="s">
        <v>3711</v>
      </c>
      <c r="E457" s="1" t="s">
        <v>1563</v>
      </c>
      <c r="F457" s="1" t="s">
        <v>3716</v>
      </c>
      <c r="G457" s="1">
        <v>1</v>
      </c>
      <c r="H457" s="1" t="s">
        <v>1663</v>
      </c>
      <c r="I457" s="1" t="s">
        <v>1657</v>
      </c>
      <c r="J457" s="1" t="s">
        <v>1658</v>
      </c>
      <c r="K457" s="1" t="s">
        <v>1658</v>
      </c>
      <c r="L457" s="1" t="s">
        <v>1658</v>
      </c>
      <c r="M457" s="1" t="s">
        <v>1658</v>
      </c>
      <c r="N457" s="1" t="s">
        <v>1658</v>
      </c>
      <c r="O457" s="1" t="s">
        <v>1658</v>
      </c>
      <c r="P457" s="1">
        <v>1</v>
      </c>
      <c r="Q457" s="1" t="s">
        <v>1658</v>
      </c>
      <c r="R457" s="1">
        <v>0</v>
      </c>
      <c r="S457" s="1" t="s">
        <v>3717</v>
      </c>
      <c r="T457" s="6" t="s">
        <v>3717</v>
      </c>
      <c r="U457" s="1" t="str">
        <f t="shared" si="7"/>
        <v>Yes</v>
      </c>
      <c r="W457" s="1" t="s">
        <v>3718</v>
      </c>
      <c r="X457" s="1" t="str">
        <f>IF(COUNTIF('MyWells Drilling Comp'!F:F,E457)=0,"Missing","Exist")</f>
        <v>Exist</v>
      </c>
    </row>
    <row r="458" hidden="1" spans="1:24">
      <c r="A458" s="1" t="s">
        <v>1652</v>
      </c>
      <c r="B458" s="1" t="s">
        <v>90</v>
      </c>
      <c r="C458" s="1" t="s">
        <v>3719</v>
      </c>
      <c r="D458" s="1" t="s">
        <v>3720</v>
      </c>
      <c r="E458" s="1" t="s">
        <v>1384</v>
      </c>
      <c r="F458" s="1" t="s">
        <v>3721</v>
      </c>
      <c r="G458" s="1">
        <v>1</v>
      </c>
      <c r="H458" s="1" t="s">
        <v>1656</v>
      </c>
      <c r="I458" s="1" t="s">
        <v>1657</v>
      </c>
      <c r="J458" s="1" t="s">
        <v>1658</v>
      </c>
      <c r="K458" s="1" t="s">
        <v>1658</v>
      </c>
      <c r="L458" s="1" t="s">
        <v>1658</v>
      </c>
      <c r="M458" s="1" t="s">
        <v>1658</v>
      </c>
      <c r="N458" s="1" t="s">
        <v>1658</v>
      </c>
      <c r="O458" s="1" t="s">
        <v>1658</v>
      </c>
      <c r="P458" s="1">
        <v>1</v>
      </c>
      <c r="Q458" s="1" t="s">
        <v>1658</v>
      </c>
      <c r="R458" s="1">
        <v>0</v>
      </c>
      <c r="S458" s="1" t="s">
        <v>2557</v>
      </c>
      <c r="T458" s="6"/>
      <c r="U458" s="1" t="str">
        <f t="shared" si="7"/>
        <v>No</v>
      </c>
      <c r="W458" s="1" t="s">
        <v>3722</v>
      </c>
      <c r="X458" s="1" t="str">
        <f>IF(COUNTIF('MyWells Drilling Comp'!F:F,E458)=0,"Missing","Exist")</f>
        <v>Exist</v>
      </c>
    </row>
    <row r="459" hidden="1" spans="1:24">
      <c r="A459" s="1" t="s">
        <v>1652</v>
      </c>
      <c r="B459" s="1" t="s">
        <v>90</v>
      </c>
      <c r="C459" s="1" t="s">
        <v>3723</v>
      </c>
      <c r="D459" s="1" t="s">
        <v>3720</v>
      </c>
      <c r="E459" s="1" t="s">
        <v>1384</v>
      </c>
      <c r="F459" s="1" t="s">
        <v>3724</v>
      </c>
      <c r="G459" s="1">
        <v>1</v>
      </c>
      <c r="H459" s="1" t="s">
        <v>1663</v>
      </c>
      <c r="I459" s="1" t="s">
        <v>1657</v>
      </c>
      <c r="J459" s="1" t="s">
        <v>1658</v>
      </c>
      <c r="K459" s="1" t="s">
        <v>1658</v>
      </c>
      <c r="L459" s="1" t="s">
        <v>1658</v>
      </c>
      <c r="M459" s="1" t="s">
        <v>1658</v>
      </c>
      <c r="N459" s="1" t="s">
        <v>1658</v>
      </c>
      <c r="O459" s="1" t="s">
        <v>1658</v>
      </c>
      <c r="P459" s="1">
        <v>1</v>
      </c>
      <c r="Q459" s="1" t="s">
        <v>1658</v>
      </c>
      <c r="R459" s="1">
        <v>0</v>
      </c>
      <c r="S459" s="1" t="s">
        <v>3725</v>
      </c>
      <c r="T459" s="6" t="s">
        <v>3725</v>
      </c>
      <c r="U459" s="1" t="str">
        <f t="shared" si="7"/>
        <v>Yes</v>
      </c>
      <c r="W459" s="1" t="s">
        <v>3726</v>
      </c>
      <c r="X459" s="1" t="str">
        <f>IF(COUNTIF('MyWells Drilling Comp'!F:F,E459)=0,"Missing","Exist")</f>
        <v>Exist</v>
      </c>
    </row>
    <row r="460" hidden="1" spans="1:24">
      <c r="A460" s="1" t="s">
        <v>1652</v>
      </c>
      <c r="B460" s="1" t="s">
        <v>90</v>
      </c>
      <c r="C460" s="1" t="s">
        <v>3727</v>
      </c>
      <c r="D460" s="1" t="s">
        <v>3728</v>
      </c>
      <c r="E460" s="1" t="s">
        <v>492</v>
      </c>
      <c r="F460" s="1" t="s">
        <v>3729</v>
      </c>
      <c r="G460" s="1">
        <v>1</v>
      </c>
      <c r="H460" s="1" t="s">
        <v>1663</v>
      </c>
      <c r="I460" s="1" t="s">
        <v>1657</v>
      </c>
      <c r="J460" s="1" t="s">
        <v>1658</v>
      </c>
      <c r="K460" s="1" t="s">
        <v>1658</v>
      </c>
      <c r="L460" s="1" t="s">
        <v>1658</v>
      </c>
      <c r="M460" s="1" t="s">
        <v>1658</v>
      </c>
      <c r="N460" s="1" t="s">
        <v>1658</v>
      </c>
      <c r="O460" s="1" t="s">
        <v>1658</v>
      </c>
      <c r="P460" s="1">
        <v>1</v>
      </c>
      <c r="Q460" s="1" t="s">
        <v>1658</v>
      </c>
      <c r="R460" s="1">
        <v>0</v>
      </c>
      <c r="S460" s="1" t="s">
        <v>3730</v>
      </c>
      <c r="T460" s="6" t="s">
        <v>3730</v>
      </c>
      <c r="U460" s="1" t="str">
        <f t="shared" si="7"/>
        <v>Yes</v>
      </c>
      <c r="W460" s="1" t="s">
        <v>3731</v>
      </c>
      <c r="X460" s="1" t="str">
        <f>IF(COUNTIF('MyWells Drilling Comp'!F:F,E460)=0,"Missing","Exist")</f>
        <v>Exist</v>
      </c>
    </row>
    <row r="461" hidden="1" spans="1:24">
      <c r="A461" s="1" t="s">
        <v>1652</v>
      </c>
      <c r="B461" s="1" t="s">
        <v>90</v>
      </c>
      <c r="C461" s="1" t="s">
        <v>3732</v>
      </c>
      <c r="D461" s="1" t="s">
        <v>3728</v>
      </c>
      <c r="E461" s="1" t="s">
        <v>492</v>
      </c>
      <c r="F461" s="7" t="s">
        <v>3733</v>
      </c>
      <c r="G461" s="1">
        <v>1</v>
      </c>
      <c r="H461" s="1" t="s">
        <v>1656</v>
      </c>
      <c r="I461" s="1" t="s">
        <v>1657</v>
      </c>
      <c r="J461" s="1" t="s">
        <v>1658</v>
      </c>
      <c r="K461" s="1" t="s">
        <v>1658</v>
      </c>
      <c r="L461" s="1" t="s">
        <v>1658</v>
      </c>
      <c r="M461" s="1" t="s">
        <v>1658</v>
      </c>
      <c r="N461" s="1" t="s">
        <v>1658</v>
      </c>
      <c r="O461" s="1" t="s">
        <v>1658</v>
      </c>
      <c r="P461" s="1">
        <v>1</v>
      </c>
      <c r="Q461" s="1" t="s">
        <v>1658</v>
      </c>
      <c r="R461" s="1">
        <v>0</v>
      </c>
      <c r="S461" s="1" t="s">
        <v>3734</v>
      </c>
      <c r="T461" s="6" t="s">
        <v>3734</v>
      </c>
      <c r="U461" s="1" t="str">
        <f t="shared" si="7"/>
        <v>Yes</v>
      </c>
      <c r="W461" s="1" t="s">
        <v>3735</v>
      </c>
      <c r="X461" s="1" t="str">
        <f>IF(COUNTIF('MyWells Drilling Comp'!F:F,E461)=0,"Missing","Exist")</f>
        <v>Exist</v>
      </c>
    </row>
    <row r="462" hidden="1" spans="1:24">
      <c r="A462" s="1" t="s">
        <v>1652</v>
      </c>
      <c r="B462" s="1" t="s">
        <v>90</v>
      </c>
      <c r="C462" s="1" t="s">
        <v>3736</v>
      </c>
      <c r="D462" s="1" t="s">
        <v>3737</v>
      </c>
      <c r="E462" s="2" t="s">
        <v>261</v>
      </c>
      <c r="F462" s="2" t="s">
        <v>3738</v>
      </c>
      <c r="G462" s="1">
        <v>1</v>
      </c>
      <c r="H462" s="1" t="s">
        <v>1663</v>
      </c>
      <c r="I462" s="1" t="s">
        <v>1657</v>
      </c>
      <c r="J462" s="1" t="s">
        <v>1658</v>
      </c>
      <c r="K462" s="1" t="s">
        <v>1658</v>
      </c>
      <c r="L462" s="1" t="s">
        <v>1658</v>
      </c>
      <c r="M462" s="1" t="s">
        <v>1658</v>
      </c>
      <c r="N462" s="1" t="s">
        <v>1658</v>
      </c>
      <c r="O462" s="1" t="s">
        <v>1658</v>
      </c>
      <c r="P462" s="1">
        <v>1</v>
      </c>
      <c r="Q462" s="1" t="s">
        <v>1658</v>
      </c>
      <c r="R462" s="1">
        <v>0</v>
      </c>
      <c r="S462" s="1" t="s">
        <v>3739</v>
      </c>
      <c r="T462" s="6" t="s">
        <v>3739</v>
      </c>
      <c r="U462" s="1" t="str">
        <f t="shared" si="7"/>
        <v>Yes</v>
      </c>
      <c r="W462" s="1" t="s">
        <v>3740</v>
      </c>
      <c r="X462" s="1" t="str">
        <f>IF(COUNTIF('MyWells Drilling Comp'!F:F,E462)=0,"Missing","Exist")</f>
        <v>Exist</v>
      </c>
    </row>
    <row r="463" hidden="1" spans="1:24">
      <c r="A463" s="1" t="s">
        <v>1652</v>
      </c>
      <c r="B463" s="1" t="s">
        <v>90</v>
      </c>
      <c r="C463" s="1" t="s">
        <v>3741</v>
      </c>
      <c r="D463" s="1" t="s">
        <v>3737</v>
      </c>
      <c r="E463" s="2" t="s">
        <v>261</v>
      </c>
      <c r="F463" s="2" t="s">
        <v>3742</v>
      </c>
      <c r="G463" s="1">
        <v>1</v>
      </c>
      <c r="H463" s="1" t="s">
        <v>1656</v>
      </c>
      <c r="I463" s="1" t="s">
        <v>1657</v>
      </c>
      <c r="J463" s="1" t="s">
        <v>1658</v>
      </c>
      <c r="K463" s="1" t="s">
        <v>1658</v>
      </c>
      <c r="L463" s="1" t="s">
        <v>1658</v>
      </c>
      <c r="M463" s="1" t="s">
        <v>1658</v>
      </c>
      <c r="N463" s="1" t="s">
        <v>1658</v>
      </c>
      <c r="O463" s="1" t="s">
        <v>1658</v>
      </c>
      <c r="P463" s="1">
        <v>1</v>
      </c>
      <c r="Q463" s="1" t="s">
        <v>1658</v>
      </c>
      <c r="R463" s="1">
        <v>0</v>
      </c>
      <c r="S463" s="1" t="s">
        <v>3743</v>
      </c>
      <c r="T463" s="6" t="s">
        <v>3743</v>
      </c>
      <c r="U463" s="1" t="str">
        <f t="shared" si="7"/>
        <v>Yes</v>
      </c>
      <c r="W463" s="1" t="s">
        <v>3744</v>
      </c>
      <c r="X463" s="1" t="str">
        <f>IF(COUNTIF('MyWells Drilling Comp'!F:F,E463)=0,"Missing","Exist")</f>
        <v>Exist</v>
      </c>
    </row>
    <row r="464" hidden="1" spans="1:24">
      <c r="A464" s="1" t="s">
        <v>1652</v>
      </c>
      <c r="B464" s="1" t="s">
        <v>90</v>
      </c>
      <c r="C464" s="1" t="s">
        <v>3745</v>
      </c>
      <c r="D464" s="1" t="s">
        <v>3746</v>
      </c>
      <c r="E464" s="1" t="s">
        <v>1444</v>
      </c>
      <c r="F464" s="1" t="s">
        <v>3747</v>
      </c>
      <c r="G464" s="1">
        <v>1</v>
      </c>
      <c r="H464" s="1" t="s">
        <v>1663</v>
      </c>
      <c r="I464" s="1" t="s">
        <v>1657</v>
      </c>
      <c r="J464" s="1" t="s">
        <v>1658</v>
      </c>
      <c r="K464" s="1" t="s">
        <v>1658</v>
      </c>
      <c r="L464" s="1" t="s">
        <v>1658</v>
      </c>
      <c r="M464" s="1" t="s">
        <v>1658</v>
      </c>
      <c r="N464" s="1" t="s">
        <v>1658</v>
      </c>
      <c r="O464" s="1" t="s">
        <v>1658</v>
      </c>
      <c r="P464" s="1">
        <v>1</v>
      </c>
      <c r="Q464" s="1" t="s">
        <v>1658</v>
      </c>
      <c r="R464" s="1">
        <v>0</v>
      </c>
      <c r="S464" s="1" t="s">
        <v>3748</v>
      </c>
      <c r="T464" s="6" t="s">
        <v>3748</v>
      </c>
      <c r="U464" s="1" t="str">
        <f t="shared" si="7"/>
        <v>Yes</v>
      </c>
      <c r="W464" s="1" t="s">
        <v>3749</v>
      </c>
      <c r="X464" s="1" t="str">
        <f>IF(COUNTIF('MyWells Drilling Comp'!F:F,E464)=0,"Missing","Exist")</f>
        <v>Exist</v>
      </c>
    </row>
    <row r="465" hidden="1" spans="1:24">
      <c r="A465" s="1" t="s">
        <v>1652</v>
      </c>
      <c r="B465" s="1" t="s">
        <v>90</v>
      </c>
      <c r="C465" s="1" t="s">
        <v>3750</v>
      </c>
      <c r="D465" s="1" t="s">
        <v>3746</v>
      </c>
      <c r="E465" s="1" t="s">
        <v>1444</v>
      </c>
      <c r="F465" s="1" t="s">
        <v>3751</v>
      </c>
      <c r="G465" s="1">
        <v>1</v>
      </c>
      <c r="H465" s="1" t="s">
        <v>1656</v>
      </c>
      <c r="I465" s="1" t="s">
        <v>1657</v>
      </c>
      <c r="J465" s="1" t="s">
        <v>1658</v>
      </c>
      <c r="K465" s="1" t="s">
        <v>1658</v>
      </c>
      <c r="L465" s="1" t="s">
        <v>1658</v>
      </c>
      <c r="M465" s="1" t="s">
        <v>1658</v>
      </c>
      <c r="N465" s="1" t="s">
        <v>1658</v>
      </c>
      <c r="O465" s="1" t="s">
        <v>1658</v>
      </c>
      <c r="P465" s="1">
        <v>1</v>
      </c>
      <c r="Q465" s="1" t="s">
        <v>1658</v>
      </c>
      <c r="R465" s="1">
        <v>0</v>
      </c>
      <c r="S465" s="1" t="s">
        <v>2948</v>
      </c>
      <c r="T465" s="6"/>
      <c r="U465" s="1" t="str">
        <f t="shared" si="7"/>
        <v>No</v>
      </c>
      <c r="W465" s="1" t="s">
        <v>3752</v>
      </c>
      <c r="X465" s="1" t="str">
        <f>IF(COUNTIF('MyWells Drilling Comp'!F:F,E465)=0,"Missing","Exist")</f>
        <v>Exist</v>
      </c>
    </row>
    <row r="466" hidden="1" spans="1:24">
      <c r="A466" s="1" t="s">
        <v>1652</v>
      </c>
      <c r="B466" s="1" t="s">
        <v>90</v>
      </c>
      <c r="C466" s="1" t="s">
        <v>3753</v>
      </c>
      <c r="D466" s="1" t="s">
        <v>3754</v>
      </c>
      <c r="E466" s="2" t="s">
        <v>1266</v>
      </c>
      <c r="F466" s="2" t="s">
        <v>3755</v>
      </c>
      <c r="G466" s="1">
        <v>1</v>
      </c>
      <c r="H466" s="1" t="s">
        <v>1656</v>
      </c>
      <c r="I466" s="1" t="s">
        <v>1657</v>
      </c>
      <c r="J466" s="1" t="s">
        <v>1658</v>
      </c>
      <c r="K466" s="1" t="s">
        <v>1658</v>
      </c>
      <c r="L466" s="1" t="s">
        <v>1658</v>
      </c>
      <c r="M466" s="1" t="s">
        <v>1658</v>
      </c>
      <c r="N466" s="1" t="s">
        <v>1658</v>
      </c>
      <c r="O466" s="1" t="s">
        <v>1658</v>
      </c>
      <c r="P466" s="1">
        <v>1</v>
      </c>
      <c r="Q466" s="1" t="s">
        <v>1658</v>
      </c>
      <c r="R466" s="1">
        <v>0</v>
      </c>
      <c r="S466" s="1" t="s">
        <v>3756</v>
      </c>
      <c r="T466" s="6" t="s">
        <v>3756</v>
      </c>
      <c r="U466" s="1" t="str">
        <f t="shared" si="7"/>
        <v>Yes</v>
      </c>
      <c r="W466" s="1" t="s">
        <v>3757</v>
      </c>
      <c r="X466" s="1" t="str">
        <f>IF(COUNTIF('MyWells Drilling Comp'!F:F,E466)=0,"Missing","Exist")</f>
        <v>Exist</v>
      </c>
    </row>
    <row r="467" hidden="1" spans="1:24">
      <c r="A467" s="1" t="s">
        <v>1652</v>
      </c>
      <c r="B467" s="1" t="s">
        <v>90</v>
      </c>
      <c r="C467" s="1" t="s">
        <v>3758</v>
      </c>
      <c r="D467" s="1" t="s">
        <v>3754</v>
      </c>
      <c r="E467" s="2" t="s">
        <v>1266</v>
      </c>
      <c r="F467" s="2" t="s">
        <v>3759</v>
      </c>
      <c r="G467" s="1">
        <v>1</v>
      </c>
      <c r="H467" s="1" t="s">
        <v>1663</v>
      </c>
      <c r="I467" s="1" t="s">
        <v>1657</v>
      </c>
      <c r="J467" s="1" t="s">
        <v>1658</v>
      </c>
      <c r="K467" s="1" t="s">
        <v>1658</v>
      </c>
      <c r="L467" s="1" t="s">
        <v>1658</v>
      </c>
      <c r="M467" s="1" t="s">
        <v>1658</v>
      </c>
      <c r="N467" s="1" t="s">
        <v>1658</v>
      </c>
      <c r="O467" s="1" t="s">
        <v>1658</v>
      </c>
      <c r="P467" s="1">
        <v>1</v>
      </c>
      <c r="Q467" s="1" t="s">
        <v>1658</v>
      </c>
      <c r="R467" s="1">
        <v>0</v>
      </c>
      <c r="S467" s="1" t="s">
        <v>3760</v>
      </c>
      <c r="T467" s="6" t="s">
        <v>3760</v>
      </c>
      <c r="U467" s="1" t="str">
        <f t="shared" si="7"/>
        <v>Yes</v>
      </c>
      <c r="W467" s="1" t="s">
        <v>3761</v>
      </c>
      <c r="X467" s="1" t="str">
        <f>IF(COUNTIF('MyWells Drilling Comp'!F:F,E467)=0,"Missing","Exist")</f>
        <v>Exist</v>
      </c>
    </row>
    <row r="468" hidden="1" spans="1:24">
      <c r="A468" s="1" t="s">
        <v>1652</v>
      </c>
      <c r="B468" s="1" t="s">
        <v>90</v>
      </c>
      <c r="C468" s="1" t="s">
        <v>3762</v>
      </c>
      <c r="D468" s="1" t="s">
        <v>3763</v>
      </c>
      <c r="E468" s="1" t="s">
        <v>1219</v>
      </c>
      <c r="F468" s="1" t="s">
        <v>3764</v>
      </c>
      <c r="G468" s="1">
        <v>1</v>
      </c>
      <c r="H468" s="1" t="s">
        <v>1663</v>
      </c>
      <c r="I468" s="1" t="s">
        <v>1657</v>
      </c>
      <c r="J468" s="1" t="s">
        <v>1658</v>
      </c>
      <c r="K468" s="1" t="s">
        <v>1658</v>
      </c>
      <c r="L468" s="1" t="s">
        <v>1658</v>
      </c>
      <c r="M468" s="1" t="s">
        <v>1658</v>
      </c>
      <c r="N468" s="1" t="s">
        <v>1658</v>
      </c>
      <c r="O468" s="1" t="s">
        <v>1658</v>
      </c>
      <c r="P468" s="1">
        <v>1</v>
      </c>
      <c r="Q468" s="1" t="s">
        <v>1658</v>
      </c>
      <c r="R468" s="1">
        <v>0</v>
      </c>
      <c r="S468" s="1" t="s">
        <v>3765</v>
      </c>
      <c r="T468" s="6"/>
      <c r="U468" s="1" t="str">
        <f t="shared" si="7"/>
        <v>No</v>
      </c>
      <c r="W468" s="1" t="s">
        <v>3766</v>
      </c>
      <c r="X468" s="1" t="str">
        <f>IF(COUNTIF('MyWells Drilling Comp'!F:F,E468)=0,"Missing","Exist")</f>
        <v>Exist</v>
      </c>
    </row>
    <row r="469" hidden="1" spans="1:24">
      <c r="A469" s="1" t="s">
        <v>1652</v>
      </c>
      <c r="B469" s="1" t="s">
        <v>90</v>
      </c>
      <c r="C469" s="1" t="s">
        <v>3767</v>
      </c>
      <c r="D469" s="1" t="s">
        <v>3763</v>
      </c>
      <c r="E469" s="1" t="s">
        <v>1219</v>
      </c>
      <c r="F469" s="1" t="s">
        <v>3768</v>
      </c>
      <c r="G469" s="1">
        <v>1</v>
      </c>
      <c r="H469" s="1" t="s">
        <v>1656</v>
      </c>
      <c r="I469" s="1" t="s">
        <v>1657</v>
      </c>
      <c r="J469" s="1" t="s">
        <v>1658</v>
      </c>
      <c r="K469" s="1" t="s">
        <v>1658</v>
      </c>
      <c r="L469" s="1" t="s">
        <v>1658</v>
      </c>
      <c r="M469" s="1" t="s">
        <v>1658</v>
      </c>
      <c r="N469" s="1" t="s">
        <v>1658</v>
      </c>
      <c r="O469" s="1" t="s">
        <v>1658</v>
      </c>
      <c r="P469" s="1">
        <v>1</v>
      </c>
      <c r="Q469" s="1" t="s">
        <v>1658</v>
      </c>
      <c r="R469" s="1">
        <v>0</v>
      </c>
      <c r="S469" s="1" t="s">
        <v>3769</v>
      </c>
      <c r="T469" s="6"/>
      <c r="U469" s="1" t="str">
        <f t="shared" si="7"/>
        <v>No</v>
      </c>
      <c r="W469" s="1" t="s">
        <v>3770</v>
      </c>
      <c r="X469" s="1" t="str">
        <f>IF(COUNTIF('MyWells Drilling Comp'!F:F,E469)=0,"Missing","Exist")</f>
        <v>Exist</v>
      </c>
    </row>
    <row r="470" hidden="1" spans="1:24">
      <c r="A470" s="1" t="s">
        <v>1652</v>
      </c>
      <c r="B470" s="1" t="s">
        <v>90</v>
      </c>
      <c r="C470" s="1" t="s">
        <v>3771</v>
      </c>
      <c r="D470" s="1" t="s">
        <v>3772</v>
      </c>
      <c r="E470" s="1" t="s">
        <v>796</v>
      </c>
      <c r="F470" s="1" t="s">
        <v>3773</v>
      </c>
      <c r="G470" s="1">
        <v>1</v>
      </c>
      <c r="H470" s="1" t="s">
        <v>1663</v>
      </c>
      <c r="I470" s="1" t="s">
        <v>1657</v>
      </c>
      <c r="J470" s="1" t="s">
        <v>1658</v>
      </c>
      <c r="K470" s="1" t="s">
        <v>1658</v>
      </c>
      <c r="L470" s="1" t="s">
        <v>1658</v>
      </c>
      <c r="M470" s="1" t="s">
        <v>1658</v>
      </c>
      <c r="N470" s="1" t="s">
        <v>1658</v>
      </c>
      <c r="O470" s="1" t="s">
        <v>1658</v>
      </c>
      <c r="P470" s="1">
        <v>1</v>
      </c>
      <c r="Q470" s="1" t="s">
        <v>1658</v>
      </c>
      <c r="R470" s="1">
        <v>0</v>
      </c>
      <c r="S470" s="1" t="s">
        <v>3774</v>
      </c>
      <c r="T470" s="6" t="s">
        <v>3774</v>
      </c>
      <c r="U470" s="1" t="str">
        <f t="shared" si="7"/>
        <v>Yes</v>
      </c>
      <c r="W470" s="1" t="s">
        <v>3775</v>
      </c>
      <c r="X470" s="1" t="str">
        <f>IF(COUNTIF('MyWells Drilling Comp'!F:F,E470)=0,"Missing","Exist")</f>
        <v>Exist</v>
      </c>
    </row>
    <row r="471" hidden="1" spans="1:24">
      <c r="A471" s="1" t="s">
        <v>1652</v>
      </c>
      <c r="B471" s="1" t="s">
        <v>90</v>
      </c>
      <c r="C471" s="1" t="s">
        <v>3776</v>
      </c>
      <c r="D471" s="1" t="s">
        <v>3772</v>
      </c>
      <c r="E471" s="1" t="s">
        <v>796</v>
      </c>
      <c r="F471" s="1" t="s">
        <v>3777</v>
      </c>
      <c r="G471" s="1">
        <v>1</v>
      </c>
      <c r="H471" s="1" t="s">
        <v>1656</v>
      </c>
      <c r="I471" s="1" t="s">
        <v>1657</v>
      </c>
      <c r="J471" s="1" t="s">
        <v>1658</v>
      </c>
      <c r="K471" s="1" t="s">
        <v>1658</v>
      </c>
      <c r="L471" s="1" t="s">
        <v>1658</v>
      </c>
      <c r="M471" s="1" t="s">
        <v>1658</v>
      </c>
      <c r="N471" s="1" t="s">
        <v>1658</v>
      </c>
      <c r="O471" s="1" t="s">
        <v>1658</v>
      </c>
      <c r="P471" s="1">
        <v>1</v>
      </c>
      <c r="Q471" s="1" t="s">
        <v>1658</v>
      </c>
      <c r="R471" s="1">
        <v>0</v>
      </c>
      <c r="S471" s="1" t="s">
        <v>3778</v>
      </c>
      <c r="T471" s="6" t="s">
        <v>3778</v>
      </c>
      <c r="U471" s="1" t="str">
        <f t="shared" si="7"/>
        <v>Yes</v>
      </c>
      <c r="W471" s="1" t="s">
        <v>3779</v>
      </c>
      <c r="X471" s="1" t="str">
        <f>IF(COUNTIF('MyWells Drilling Comp'!F:F,E471)=0,"Missing","Exist")</f>
        <v>Exist</v>
      </c>
    </row>
    <row r="472" hidden="1" spans="1:24">
      <c r="A472" s="1" t="s">
        <v>1652</v>
      </c>
      <c r="B472" s="1" t="s">
        <v>90</v>
      </c>
      <c r="C472" s="1" t="s">
        <v>3780</v>
      </c>
      <c r="D472" s="1" t="s">
        <v>3781</v>
      </c>
      <c r="E472" s="1" t="s">
        <v>3782</v>
      </c>
      <c r="F472" s="1" t="s">
        <v>3783</v>
      </c>
      <c r="G472" s="1">
        <v>1</v>
      </c>
      <c r="H472" s="1" t="s">
        <v>1656</v>
      </c>
      <c r="I472" s="1" t="s">
        <v>1657</v>
      </c>
      <c r="J472" s="1" t="s">
        <v>1658</v>
      </c>
      <c r="K472" s="1" t="s">
        <v>1658</v>
      </c>
      <c r="L472" s="1" t="s">
        <v>1658</v>
      </c>
      <c r="M472" s="1" t="s">
        <v>1658</v>
      </c>
      <c r="N472" s="1" t="s">
        <v>1658</v>
      </c>
      <c r="O472" s="1" t="s">
        <v>1658</v>
      </c>
      <c r="P472" s="1">
        <v>1</v>
      </c>
      <c r="Q472" s="1" t="s">
        <v>1658</v>
      </c>
      <c r="R472" s="1">
        <v>0</v>
      </c>
      <c r="S472" s="1" t="s">
        <v>3784</v>
      </c>
      <c r="T472" s="6" t="s">
        <v>3784</v>
      </c>
      <c r="U472" s="1" t="str">
        <f t="shared" si="7"/>
        <v>Yes</v>
      </c>
      <c r="W472" s="1" t="s">
        <v>3785</v>
      </c>
      <c r="X472" s="1" t="str">
        <f>IF(COUNTIF('MyWells Drilling Comp'!F:F,E472)=0,"Missing","Exist")</f>
        <v>Missing</v>
      </c>
    </row>
    <row r="473" spans="1:24">
      <c r="A473" s="1" t="s">
        <v>1652</v>
      </c>
      <c r="B473" s="1" t="s">
        <v>90</v>
      </c>
      <c r="C473" s="1" t="s">
        <v>3786</v>
      </c>
      <c r="D473" s="1" t="s">
        <v>3781</v>
      </c>
      <c r="E473" s="1" t="s">
        <v>3782</v>
      </c>
      <c r="F473" s="1" t="s">
        <v>3787</v>
      </c>
      <c r="G473" s="1">
        <v>1</v>
      </c>
      <c r="H473" s="1" t="s">
        <v>1663</v>
      </c>
      <c r="I473" s="1" t="s">
        <v>1657</v>
      </c>
      <c r="J473" s="1" t="s">
        <v>1658</v>
      </c>
      <c r="K473" s="1" t="s">
        <v>1658</v>
      </c>
      <c r="L473" s="1" t="s">
        <v>1658</v>
      </c>
      <c r="M473" s="1" t="s">
        <v>1658</v>
      </c>
      <c r="N473" s="1" t="s">
        <v>1658</v>
      </c>
      <c r="O473" s="1" t="s">
        <v>1658</v>
      </c>
      <c r="P473" s="1">
        <v>1</v>
      </c>
      <c r="Q473" s="1" t="s">
        <v>1658</v>
      </c>
      <c r="R473" s="1">
        <v>0</v>
      </c>
      <c r="S473" s="1" t="s">
        <v>3788</v>
      </c>
      <c r="T473" s="6" t="s">
        <v>3788</v>
      </c>
      <c r="U473" s="1" t="str">
        <f t="shared" si="7"/>
        <v>Yes</v>
      </c>
      <c r="W473" s="1" t="s">
        <v>3789</v>
      </c>
      <c r="X473" s="1" t="str">
        <f>IF(COUNTIF('MyWells Drilling Comp'!F:F,E473)=0,"Missing","Exist")</f>
        <v>Missing</v>
      </c>
    </row>
    <row r="474" hidden="1" spans="1:24">
      <c r="A474" s="1" t="s">
        <v>1652</v>
      </c>
      <c r="B474" s="1" t="s">
        <v>90</v>
      </c>
      <c r="C474" s="1" t="s">
        <v>3790</v>
      </c>
      <c r="D474" s="1" t="s">
        <v>3791</v>
      </c>
      <c r="E474" s="1" t="s">
        <v>1389</v>
      </c>
      <c r="F474" s="1" t="s">
        <v>3792</v>
      </c>
      <c r="G474" s="1">
        <v>1</v>
      </c>
      <c r="H474" s="1" t="s">
        <v>1656</v>
      </c>
      <c r="I474" s="1" t="s">
        <v>1657</v>
      </c>
      <c r="J474" s="1" t="s">
        <v>1658</v>
      </c>
      <c r="K474" s="1" t="s">
        <v>1658</v>
      </c>
      <c r="L474" s="1" t="s">
        <v>1658</v>
      </c>
      <c r="M474" s="1" t="s">
        <v>1658</v>
      </c>
      <c r="N474" s="1" t="s">
        <v>1658</v>
      </c>
      <c r="O474" s="1" t="s">
        <v>1658</v>
      </c>
      <c r="P474" s="1">
        <v>1</v>
      </c>
      <c r="Q474" s="1" t="s">
        <v>1658</v>
      </c>
      <c r="R474" s="1">
        <v>0</v>
      </c>
      <c r="S474" s="1" t="s">
        <v>3793</v>
      </c>
      <c r="T474" s="6" t="s">
        <v>3793</v>
      </c>
      <c r="U474" s="1" t="str">
        <f t="shared" si="7"/>
        <v>Yes</v>
      </c>
      <c r="W474" s="1" t="s">
        <v>3794</v>
      </c>
      <c r="X474" s="1" t="str">
        <f>IF(COUNTIF('MyWells Drilling Comp'!F:F,E474)=0,"Missing","Exist")</f>
        <v>Exist</v>
      </c>
    </row>
    <row r="475" hidden="1" spans="1:24">
      <c r="A475" s="1" t="s">
        <v>1652</v>
      </c>
      <c r="B475" s="1" t="s">
        <v>90</v>
      </c>
      <c r="C475" s="1" t="s">
        <v>3795</v>
      </c>
      <c r="D475" s="1" t="s">
        <v>3791</v>
      </c>
      <c r="E475" s="1" t="s">
        <v>1389</v>
      </c>
      <c r="F475" s="1" t="s">
        <v>3796</v>
      </c>
      <c r="G475" s="1">
        <v>1</v>
      </c>
      <c r="H475" s="1" t="s">
        <v>1663</v>
      </c>
      <c r="I475" s="1" t="s">
        <v>1657</v>
      </c>
      <c r="J475" s="1" t="s">
        <v>1658</v>
      </c>
      <c r="K475" s="1" t="s">
        <v>1658</v>
      </c>
      <c r="L475" s="1" t="s">
        <v>1658</v>
      </c>
      <c r="M475" s="1" t="s">
        <v>1658</v>
      </c>
      <c r="N475" s="1" t="s">
        <v>1658</v>
      </c>
      <c r="O475" s="1" t="s">
        <v>1658</v>
      </c>
      <c r="P475" s="1">
        <v>1</v>
      </c>
      <c r="Q475" s="1" t="s">
        <v>1658</v>
      </c>
      <c r="R475" s="1">
        <v>0</v>
      </c>
      <c r="S475" s="1" t="s">
        <v>3797</v>
      </c>
      <c r="T475" s="6" t="s">
        <v>3797</v>
      </c>
      <c r="U475" s="1" t="str">
        <f t="shared" si="7"/>
        <v>Yes</v>
      </c>
      <c r="W475" s="1" t="s">
        <v>3798</v>
      </c>
      <c r="X475" s="1" t="str">
        <f>IF(COUNTIF('MyWells Drilling Comp'!F:F,E475)=0,"Missing","Exist")</f>
        <v>Exist</v>
      </c>
    </row>
    <row r="476" hidden="1" spans="1:24">
      <c r="A476" s="1" t="s">
        <v>1652</v>
      </c>
      <c r="B476" s="1" t="s">
        <v>90</v>
      </c>
      <c r="C476" s="1" t="s">
        <v>3799</v>
      </c>
      <c r="D476" s="1" t="s">
        <v>3800</v>
      </c>
      <c r="E476" s="2" t="s">
        <v>1088</v>
      </c>
      <c r="F476" s="2" t="s">
        <v>3801</v>
      </c>
      <c r="G476" s="1">
        <v>1</v>
      </c>
      <c r="H476" s="1" t="s">
        <v>1663</v>
      </c>
      <c r="I476" s="1" t="s">
        <v>1657</v>
      </c>
      <c r="J476" s="1" t="s">
        <v>1658</v>
      </c>
      <c r="K476" s="1" t="s">
        <v>1658</v>
      </c>
      <c r="L476" s="1" t="s">
        <v>1658</v>
      </c>
      <c r="M476" s="1" t="s">
        <v>1658</v>
      </c>
      <c r="N476" s="1" t="s">
        <v>1658</v>
      </c>
      <c r="O476" s="1" t="s">
        <v>1658</v>
      </c>
      <c r="P476" s="1">
        <v>1</v>
      </c>
      <c r="Q476" s="1" t="s">
        <v>1658</v>
      </c>
      <c r="R476" s="1">
        <v>0</v>
      </c>
      <c r="S476" s="1" t="s">
        <v>3802</v>
      </c>
      <c r="T476" s="6" t="s">
        <v>3802</v>
      </c>
      <c r="U476" s="1" t="str">
        <f t="shared" si="7"/>
        <v>Yes</v>
      </c>
      <c r="W476" s="1" t="s">
        <v>3803</v>
      </c>
      <c r="X476" s="1" t="str">
        <f>IF(COUNTIF('MyWells Drilling Comp'!F:F,E476)=0,"Missing","Exist")</f>
        <v>Exist</v>
      </c>
    </row>
    <row r="477" hidden="1" spans="1:24">
      <c r="A477" s="1" t="s">
        <v>1652</v>
      </c>
      <c r="B477" s="1" t="s">
        <v>90</v>
      </c>
      <c r="C477" s="1" t="s">
        <v>3804</v>
      </c>
      <c r="D477" s="1" t="s">
        <v>3800</v>
      </c>
      <c r="E477" s="2" t="s">
        <v>1088</v>
      </c>
      <c r="F477" s="2" t="s">
        <v>3805</v>
      </c>
      <c r="G477" s="1">
        <v>1</v>
      </c>
      <c r="H477" s="1" t="s">
        <v>1656</v>
      </c>
      <c r="I477" s="1" t="s">
        <v>1657</v>
      </c>
      <c r="J477" s="1" t="s">
        <v>1658</v>
      </c>
      <c r="K477" s="1" t="s">
        <v>1658</v>
      </c>
      <c r="L477" s="1" t="s">
        <v>1658</v>
      </c>
      <c r="M477" s="1" t="s">
        <v>1658</v>
      </c>
      <c r="N477" s="1" t="s">
        <v>1658</v>
      </c>
      <c r="O477" s="1" t="s">
        <v>1658</v>
      </c>
      <c r="P477" s="1">
        <v>1</v>
      </c>
      <c r="Q477" s="1" t="s">
        <v>1658</v>
      </c>
      <c r="R477" s="1">
        <v>0</v>
      </c>
      <c r="S477" s="1" t="s">
        <v>3806</v>
      </c>
      <c r="T477" s="6"/>
      <c r="U477" s="1" t="str">
        <f t="shared" si="7"/>
        <v>No</v>
      </c>
      <c r="W477" s="1" t="s">
        <v>3807</v>
      </c>
      <c r="X477" s="1" t="str">
        <f>IF(COUNTIF('MyWells Drilling Comp'!F:F,E477)=0,"Missing","Exist")</f>
        <v>Exist</v>
      </c>
    </row>
    <row r="478" hidden="1" spans="1:24">
      <c r="A478" s="1" t="s">
        <v>1652</v>
      </c>
      <c r="B478" s="1" t="s">
        <v>90</v>
      </c>
      <c r="C478" s="1" t="s">
        <v>3808</v>
      </c>
      <c r="D478" s="1" t="s">
        <v>3809</v>
      </c>
      <c r="E478" s="2" t="s">
        <v>1087</v>
      </c>
      <c r="F478" s="2" t="s">
        <v>3810</v>
      </c>
      <c r="G478" s="1">
        <v>1</v>
      </c>
      <c r="H478" s="1" t="s">
        <v>1656</v>
      </c>
      <c r="I478" s="1" t="s">
        <v>1657</v>
      </c>
      <c r="J478" s="1" t="s">
        <v>1658</v>
      </c>
      <c r="K478" s="1" t="s">
        <v>1658</v>
      </c>
      <c r="L478" s="1" t="s">
        <v>1658</v>
      </c>
      <c r="M478" s="1" t="s">
        <v>1658</v>
      </c>
      <c r="N478" s="1" t="s">
        <v>1658</v>
      </c>
      <c r="O478" s="1" t="s">
        <v>1658</v>
      </c>
      <c r="P478" s="1">
        <v>1</v>
      </c>
      <c r="Q478" s="1" t="s">
        <v>1658</v>
      </c>
      <c r="R478" s="1">
        <v>0</v>
      </c>
      <c r="S478" s="1" t="s">
        <v>3811</v>
      </c>
      <c r="T478" s="6" t="s">
        <v>3811</v>
      </c>
      <c r="U478" s="1" t="str">
        <f t="shared" si="7"/>
        <v>Yes</v>
      </c>
      <c r="W478" s="1" t="s">
        <v>3812</v>
      </c>
      <c r="X478" s="1" t="str">
        <f>IF(COUNTIF('MyWells Drilling Comp'!F:F,E478)=0,"Missing","Exist")</f>
        <v>Exist</v>
      </c>
    </row>
    <row r="479" hidden="1" spans="1:24">
      <c r="A479" s="1" t="s">
        <v>1652</v>
      </c>
      <c r="B479" s="1" t="s">
        <v>90</v>
      </c>
      <c r="C479" s="1" t="s">
        <v>3813</v>
      </c>
      <c r="D479" s="1" t="s">
        <v>3809</v>
      </c>
      <c r="E479" s="2" t="s">
        <v>1087</v>
      </c>
      <c r="F479" s="2" t="s">
        <v>3814</v>
      </c>
      <c r="G479" s="1">
        <v>1</v>
      </c>
      <c r="H479" s="1" t="s">
        <v>1663</v>
      </c>
      <c r="I479" s="1" t="s">
        <v>1657</v>
      </c>
      <c r="J479" s="1" t="s">
        <v>1658</v>
      </c>
      <c r="K479" s="1" t="s">
        <v>1658</v>
      </c>
      <c r="L479" s="1" t="s">
        <v>1658</v>
      </c>
      <c r="M479" s="1" t="s">
        <v>1658</v>
      </c>
      <c r="N479" s="1" t="s">
        <v>1658</v>
      </c>
      <c r="O479" s="1" t="s">
        <v>1658</v>
      </c>
      <c r="P479" s="1">
        <v>1</v>
      </c>
      <c r="Q479" s="1" t="s">
        <v>1658</v>
      </c>
      <c r="R479" s="1">
        <v>0</v>
      </c>
      <c r="S479" s="1" t="s">
        <v>3815</v>
      </c>
      <c r="T479" s="6" t="s">
        <v>3815</v>
      </c>
      <c r="U479" s="1" t="str">
        <f t="shared" si="7"/>
        <v>Yes</v>
      </c>
      <c r="W479" s="1" t="s">
        <v>3816</v>
      </c>
      <c r="X479" s="1" t="str">
        <f>IF(COUNTIF('MyWells Drilling Comp'!F:F,E479)=0,"Missing","Exist")</f>
        <v>Exist</v>
      </c>
    </row>
    <row r="480" hidden="1" spans="1:24">
      <c r="A480" s="1" t="s">
        <v>1652</v>
      </c>
      <c r="B480" s="1" t="s">
        <v>90</v>
      </c>
      <c r="C480" s="1" t="s">
        <v>3817</v>
      </c>
      <c r="D480" s="1" t="s">
        <v>3818</v>
      </c>
      <c r="E480" s="2" t="s">
        <v>1513</v>
      </c>
      <c r="F480" s="2" t="s">
        <v>3819</v>
      </c>
      <c r="G480" s="1">
        <v>1</v>
      </c>
      <c r="H480" s="1" t="s">
        <v>1663</v>
      </c>
      <c r="I480" s="1" t="s">
        <v>1657</v>
      </c>
      <c r="J480" s="1" t="s">
        <v>1658</v>
      </c>
      <c r="K480" s="1" t="s">
        <v>1658</v>
      </c>
      <c r="L480" s="1" t="s">
        <v>1658</v>
      </c>
      <c r="M480" s="1" t="s">
        <v>1658</v>
      </c>
      <c r="N480" s="1" t="s">
        <v>1658</v>
      </c>
      <c r="O480" s="1" t="s">
        <v>1658</v>
      </c>
      <c r="P480" s="1">
        <v>1</v>
      </c>
      <c r="Q480" s="1" t="s">
        <v>1658</v>
      </c>
      <c r="R480" s="1">
        <v>0</v>
      </c>
      <c r="S480" s="1" t="s">
        <v>3820</v>
      </c>
      <c r="T480" s="6" t="s">
        <v>3820</v>
      </c>
      <c r="U480" s="1" t="str">
        <f t="shared" si="7"/>
        <v>Yes</v>
      </c>
      <c r="W480" s="1" t="s">
        <v>3821</v>
      </c>
      <c r="X480" s="1" t="str">
        <f>IF(COUNTIF('MyWells Drilling Comp'!F:F,E480)=0,"Missing","Exist")</f>
        <v>Exist</v>
      </c>
    </row>
    <row r="481" hidden="1" spans="1:24">
      <c r="A481" s="1" t="s">
        <v>1652</v>
      </c>
      <c r="B481" s="1" t="s">
        <v>90</v>
      </c>
      <c r="C481" s="1" t="s">
        <v>3822</v>
      </c>
      <c r="D481" s="1" t="s">
        <v>3818</v>
      </c>
      <c r="E481" s="2" t="s">
        <v>1513</v>
      </c>
      <c r="F481" s="2" t="s">
        <v>3823</v>
      </c>
      <c r="G481" s="1">
        <v>1</v>
      </c>
      <c r="H481" s="1" t="s">
        <v>1656</v>
      </c>
      <c r="I481" s="1" t="s">
        <v>1657</v>
      </c>
      <c r="J481" s="1" t="s">
        <v>1658</v>
      </c>
      <c r="K481" s="1" t="s">
        <v>1658</v>
      </c>
      <c r="L481" s="1" t="s">
        <v>1658</v>
      </c>
      <c r="M481" s="1" t="s">
        <v>1658</v>
      </c>
      <c r="N481" s="1" t="s">
        <v>1658</v>
      </c>
      <c r="O481" s="1" t="s">
        <v>1658</v>
      </c>
      <c r="P481" s="1">
        <v>1</v>
      </c>
      <c r="Q481" s="1" t="s">
        <v>1658</v>
      </c>
      <c r="R481" s="1">
        <v>0</v>
      </c>
      <c r="S481" s="1" t="s">
        <v>3824</v>
      </c>
      <c r="T481" s="6"/>
      <c r="U481" s="1" t="str">
        <f t="shared" si="7"/>
        <v>No</v>
      </c>
      <c r="W481" s="1" t="s">
        <v>3825</v>
      </c>
      <c r="X481" s="1" t="str">
        <f>IF(COUNTIF('MyWells Drilling Comp'!F:F,E481)=0,"Missing","Exist")</f>
        <v>Exist</v>
      </c>
    </row>
    <row r="482" hidden="1" spans="1:24">
      <c r="A482" s="1" t="s">
        <v>1652</v>
      </c>
      <c r="B482" s="1" t="s">
        <v>90</v>
      </c>
      <c r="C482" s="1" t="s">
        <v>3826</v>
      </c>
      <c r="D482" s="1" t="s">
        <v>3827</v>
      </c>
      <c r="E482" s="2" t="s">
        <v>105</v>
      </c>
      <c r="F482" s="2" t="s">
        <v>3828</v>
      </c>
      <c r="G482" s="1">
        <v>1</v>
      </c>
      <c r="H482" s="1" t="s">
        <v>1663</v>
      </c>
      <c r="I482" s="1" t="s">
        <v>1657</v>
      </c>
      <c r="J482" s="1" t="s">
        <v>1658</v>
      </c>
      <c r="K482" s="1" t="s">
        <v>1658</v>
      </c>
      <c r="L482" s="1" t="s">
        <v>1658</v>
      </c>
      <c r="M482" s="1" t="s">
        <v>1658</v>
      </c>
      <c r="N482" s="1" t="s">
        <v>1658</v>
      </c>
      <c r="O482" s="1" t="s">
        <v>1658</v>
      </c>
      <c r="P482" s="1">
        <v>1</v>
      </c>
      <c r="Q482" s="1" t="s">
        <v>1658</v>
      </c>
      <c r="R482" s="1">
        <v>0</v>
      </c>
      <c r="S482" s="6" t="s">
        <v>3829</v>
      </c>
      <c r="T482" s="6" t="s">
        <v>3829</v>
      </c>
      <c r="U482" s="1" t="str">
        <f t="shared" si="7"/>
        <v>Yes</v>
      </c>
      <c r="W482" s="1" t="s">
        <v>3830</v>
      </c>
      <c r="X482" s="1" t="str">
        <f>IF(COUNTIF('MyWells Drilling Comp'!F:F,E482)=0,"Missing","Exist")</f>
        <v>Exist</v>
      </c>
    </row>
    <row r="483" hidden="1" spans="1:24">
      <c r="A483" s="1" t="s">
        <v>1652</v>
      </c>
      <c r="B483" s="1" t="s">
        <v>90</v>
      </c>
      <c r="C483" s="1" t="s">
        <v>3831</v>
      </c>
      <c r="D483" s="1" t="s">
        <v>3827</v>
      </c>
      <c r="E483" s="2" t="s">
        <v>105</v>
      </c>
      <c r="F483" s="2" t="s">
        <v>3832</v>
      </c>
      <c r="G483" s="1">
        <v>1</v>
      </c>
      <c r="H483" s="1" t="s">
        <v>1656</v>
      </c>
      <c r="I483" s="1" t="s">
        <v>1657</v>
      </c>
      <c r="J483" s="1" t="s">
        <v>1658</v>
      </c>
      <c r="K483" s="1" t="s">
        <v>1658</v>
      </c>
      <c r="L483" s="1" t="s">
        <v>1658</v>
      </c>
      <c r="M483" s="1" t="s">
        <v>1658</v>
      </c>
      <c r="N483" s="1" t="s">
        <v>1658</v>
      </c>
      <c r="O483" s="1" t="s">
        <v>1658</v>
      </c>
      <c r="P483" s="1">
        <v>1</v>
      </c>
      <c r="Q483" s="1" t="s">
        <v>1658</v>
      </c>
      <c r="R483" s="1">
        <v>0</v>
      </c>
      <c r="S483" s="6" t="s">
        <v>3833</v>
      </c>
      <c r="T483" s="6" t="s">
        <v>3833</v>
      </c>
      <c r="U483" s="1" t="str">
        <f t="shared" si="7"/>
        <v>Yes</v>
      </c>
      <c r="W483" s="1" t="s">
        <v>3834</v>
      </c>
      <c r="X483" s="1" t="str">
        <f>IF(COUNTIF('MyWells Drilling Comp'!F:F,E483)=0,"Missing","Exist")</f>
        <v>Exist</v>
      </c>
    </row>
    <row r="484" hidden="1" spans="1:24">
      <c r="A484" s="1" t="s">
        <v>1652</v>
      </c>
      <c r="B484" s="1" t="s">
        <v>90</v>
      </c>
      <c r="C484" s="1" t="s">
        <v>3835</v>
      </c>
      <c r="D484" s="1" t="s">
        <v>3836</v>
      </c>
      <c r="E484" s="2" t="s">
        <v>1164</v>
      </c>
      <c r="F484" s="2" t="s">
        <v>3837</v>
      </c>
      <c r="G484" s="1">
        <v>1</v>
      </c>
      <c r="H484" s="1" t="s">
        <v>1656</v>
      </c>
      <c r="I484" s="1" t="s">
        <v>1657</v>
      </c>
      <c r="J484" s="1" t="s">
        <v>1658</v>
      </c>
      <c r="K484" s="1" t="s">
        <v>1658</v>
      </c>
      <c r="L484" s="1" t="s">
        <v>1658</v>
      </c>
      <c r="M484" s="1" t="s">
        <v>1658</v>
      </c>
      <c r="N484" s="1" t="s">
        <v>1658</v>
      </c>
      <c r="O484" s="1" t="s">
        <v>1658</v>
      </c>
      <c r="P484" s="1">
        <v>1</v>
      </c>
      <c r="Q484" s="1" t="s">
        <v>1658</v>
      </c>
      <c r="R484" s="1">
        <v>0</v>
      </c>
      <c r="S484" s="6" t="s">
        <v>3838</v>
      </c>
      <c r="T484" s="6" t="s">
        <v>3838</v>
      </c>
      <c r="U484" s="1" t="str">
        <f t="shared" si="7"/>
        <v>Yes</v>
      </c>
      <c r="W484" s="1" t="s">
        <v>3839</v>
      </c>
      <c r="X484" s="1" t="str">
        <f>IF(COUNTIF('MyWells Drilling Comp'!F:F,E484)=0,"Missing","Exist")</f>
        <v>Exist</v>
      </c>
    </row>
    <row r="485" hidden="1" spans="1:24">
      <c r="A485" s="1" t="s">
        <v>1652</v>
      </c>
      <c r="B485" s="1" t="s">
        <v>90</v>
      </c>
      <c r="C485" s="1" t="s">
        <v>3840</v>
      </c>
      <c r="D485" s="1" t="s">
        <v>3836</v>
      </c>
      <c r="E485" s="2" t="s">
        <v>1164</v>
      </c>
      <c r="F485" s="2" t="s">
        <v>3841</v>
      </c>
      <c r="G485" s="1">
        <v>1</v>
      </c>
      <c r="H485" s="1" t="s">
        <v>1663</v>
      </c>
      <c r="I485" s="1" t="s">
        <v>1657</v>
      </c>
      <c r="J485" s="1" t="s">
        <v>1658</v>
      </c>
      <c r="K485" s="1" t="s">
        <v>1658</v>
      </c>
      <c r="L485" s="1" t="s">
        <v>1658</v>
      </c>
      <c r="M485" s="1" t="s">
        <v>1658</v>
      </c>
      <c r="N485" s="1" t="s">
        <v>1658</v>
      </c>
      <c r="O485" s="1" t="s">
        <v>1658</v>
      </c>
      <c r="P485" s="1">
        <v>1</v>
      </c>
      <c r="Q485" s="1" t="s">
        <v>1658</v>
      </c>
      <c r="R485" s="1">
        <v>0</v>
      </c>
      <c r="S485" s="1" t="s">
        <v>3842</v>
      </c>
      <c r="T485" s="6" t="s">
        <v>3842</v>
      </c>
      <c r="U485" s="1" t="str">
        <f t="shared" si="7"/>
        <v>Yes</v>
      </c>
      <c r="W485" s="1" t="s">
        <v>3843</v>
      </c>
      <c r="X485" s="1" t="str">
        <f>IF(COUNTIF('MyWells Drilling Comp'!F:F,E485)=0,"Missing","Exist")</f>
        <v>Exist</v>
      </c>
    </row>
    <row r="486" hidden="1" spans="1:24">
      <c r="A486" s="1" t="s">
        <v>1652</v>
      </c>
      <c r="B486" s="1" t="s">
        <v>90</v>
      </c>
      <c r="C486" s="1" t="s">
        <v>3844</v>
      </c>
      <c r="D486" s="1" t="s">
        <v>3845</v>
      </c>
      <c r="E486" s="2" t="s">
        <v>1623</v>
      </c>
      <c r="F486" s="2" t="s">
        <v>3846</v>
      </c>
      <c r="G486" s="1">
        <v>1</v>
      </c>
      <c r="H486" s="1" t="s">
        <v>1663</v>
      </c>
      <c r="I486" s="1" t="s">
        <v>1657</v>
      </c>
      <c r="J486" s="1" t="s">
        <v>1658</v>
      </c>
      <c r="K486" s="1" t="s">
        <v>1658</v>
      </c>
      <c r="L486" s="1" t="s">
        <v>1658</v>
      </c>
      <c r="M486" s="1" t="s">
        <v>1658</v>
      </c>
      <c r="N486" s="1" t="s">
        <v>1658</v>
      </c>
      <c r="O486" s="1" t="s">
        <v>1658</v>
      </c>
      <c r="P486" s="1">
        <v>1</v>
      </c>
      <c r="Q486" s="1" t="s">
        <v>1658</v>
      </c>
      <c r="R486" s="1">
        <v>0</v>
      </c>
      <c r="S486" s="1" t="s">
        <v>3847</v>
      </c>
      <c r="T486" s="6"/>
      <c r="U486" s="1" t="str">
        <f t="shared" si="7"/>
        <v>No</v>
      </c>
      <c r="W486" s="1" t="s">
        <v>3848</v>
      </c>
      <c r="X486" s="1" t="str">
        <f>IF(COUNTIF('MyWells Drilling Comp'!F:F,E486)=0,"Missing","Exist")</f>
        <v>Exist</v>
      </c>
    </row>
    <row r="487" hidden="1" spans="1:24">
      <c r="A487" s="1" t="s">
        <v>1652</v>
      </c>
      <c r="B487" s="1" t="s">
        <v>90</v>
      </c>
      <c r="C487" s="1" t="s">
        <v>3849</v>
      </c>
      <c r="D487" s="1" t="s">
        <v>3845</v>
      </c>
      <c r="E487" s="2" t="s">
        <v>1623</v>
      </c>
      <c r="F487" s="2" t="s">
        <v>3850</v>
      </c>
      <c r="G487" s="1">
        <v>1</v>
      </c>
      <c r="H487" s="1" t="s">
        <v>1656</v>
      </c>
      <c r="I487" s="1" t="s">
        <v>1657</v>
      </c>
      <c r="J487" s="1" t="s">
        <v>1658</v>
      </c>
      <c r="K487" s="1" t="s">
        <v>1658</v>
      </c>
      <c r="L487" s="1" t="s">
        <v>1658</v>
      </c>
      <c r="M487" s="1" t="s">
        <v>1658</v>
      </c>
      <c r="N487" s="1" t="s">
        <v>1658</v>
      </c>
      <c r="O487" s="1" t="s">
        <v>1658</v>
      </c>
      <c r="P487" s="1">
        <v>1</v>
      </c>
      <c r="Q487" s="1" t="s">
        <v>1658</v>
      </c>
      <c r="R487" s="1">
        <v>0</v>
      </c>
      <c r="S487" s="6" t="s">
        <v>3851</v>
      </c>
      <c r="T487" s="6" t="s">
        <v>3851</v>
      </c>
      <c r="U487" s="1" t="str">
        <f t="shared" si="7"/>
        <v>Yes</v>
      </c>
      <c r="W487" s="1" t="s">
        <v>3852</v>
      </c>
      <c r="X487" s="1" t="str">
        <f>IF(COUNTIF('MyWells Drilling Comp'!F:F,E487)=0,"Missing","Exist")</f>
        <v>Exist</v>
      </c>
    </row>
    <row r="488" hidden="1" spans="1:24">
      <c r="A488" s="1" t="s">
        <v>1652</v>
      </c>
      <c r="B488" s="1" t="s">
        <v>90</v>
      </c>
      <c r="C488" s="1" t="s">
        <v>3853</v>
      </c>
      <c r="D488" s="1" t="s">
        <v>3854</v>
      </c>
      <c r="E488" s="2" t="s">
        <v>1124</v>
      </c>
      <c r="F488" s="2" t="s">
        <v>3855</v>
      </c>
      <c r="G488" s="1">
        <v>1</v>
      </c>
      <c r="H488" s="1" t="s">
        <v>1656</v>
      </c>
      <c r="I488" s="1" t="s">
        <v>1657</v>
      </c>
      <c r="J488" s="1" t="s">
        <v>1658</v>
      </c>
      <c r="K488" s="1" t="s">
        <v>1658</v>
      </c>
      <c r="L488" s="1" t="s">
        <v>1658</v>
      </c>
      <c r="M488" s="1" t="s">
        <v>1658</v>
      </c>
      <c r="N488" s="1" t="s">
        <v>1658</v>
      </c>
      <c r="O488" s="1" t="s">
        <v>1658</v>
      </c>
      <c r="P488" s="1">
        <v>1</v>
      </c>
      <c r="Q488" s="1" t="s">
        <v>1658</v>
      </c>
      <c r="R488" s="1">
        <v>0</v>
      </c>
      <c r="S488" s="1" t="s">
        <v>3856</v>
      </c>
      <c r="T488" s="6" t="s">
        <v>3856</v>
      </c>
      <c r="U488" s="1" t="str">
        <f t="shared" si="7"/>
        <v>Yes</v>
      </c>
      <c r="W488" s="1" t="s">
        <v>3857</v>
      </c>
      <c r="X488" s="1" t="str">
        <f>IF(COUNTIF('MyWells Drilling Comp'!F:F,E488)=0,"Missing","Exist")</f>
        <v>Exist</v>
      </c>
    </row>
    <row r="489" hidden="1" spans="1:24">
      <c r="A489" s="1" t="s">
        <v>1652</v>
      </c>
      <c r="B489" s="1" t="s">
        <v>90</v>
      </c>
      <c r="C489" s="1" t="s">
        <v>3858</v>
      </c>
      <c r="D489" s="1" t="s">
        <v>3854</v>
      </c>
      <c r="E489" s="2" t="s">
        <v>1124</v>
      </c>
      <c r="F489" s="2" t="s">
        <v>3859</v>
      </c>
      <c r="G489" s="1">
        <v>1</v>
      </c>
      <c r="H489" s="1" t="s">
        <v>1663</v>
      </c>
      <c r="I489" s="1" t="s">
        <v>1657</v>
      </c>
      <c r="J489" s="1" t="s">
        <v>1658</v>
      </c>
      <c r="K489" s="1" t="s">
        <v>1658</v>
      </c>
      <c r="L489" s="1" t="s">
        <v>1658</v>
      </c>
      <c r="M489" s="1" t="s">
        <v>1658</v>
      </c>
      <c r="N489" s="1" t="s">
        <v>1658</v>
      </c>
      <c r="O489" s="1" t="s">
        <v>1658</v>
      </c>
      <c r="P489" s="1">
        <v>1</v>
      </c>
      <c r="Q489" s="1" t="s">
        <v>1658</v>
      </c>
      <c r="R489" s="1">
        <v>0</v>
      </c>
      <c r="S489" s="1" t="s">
        <v>3860</v>
      </c>
      <c r="T489" s="6" t="s">
        <v>3860</v>
      </c>
      <c r="U489" s="1" t="str">
        <f t="shared" si="7"/>
        <v>Yes</v>
      </c>
      <c r="W489" s="1" t="s">
        <v>3861</v>
      </c>
      <c r="X489" s="1" t="str">
        <f>IF(COUNTIF('MyWells Drilling Comp'!F:F,E489)=0,"Missing","Exist")</f>
        <v>Exist</v>
      </c>
    </row>
    <row r="490" hidden="1" spans="1:24">
      <c r="A490" s="1" t="s">
        <v>1652</v>
      </c>
      <c r="B490" s="1" t="s">
        <v>90</v>
      </c>
      <c r="C490" s="1" t="s">
        <v>3862</v>
      </c>
      <c r="D490" s="1" t="s">
        <v>3863</v>
      </c>
      <c r="E490" s="2" t="s">
        <v>3864</v>
      </c>
      <c r="F490" s="2" t="s">
        <v>3865</v>
      </c>
      <c r="G490" s="1">
        <v>1</v>
      </c>
      <c r="H490" s="1" t="s">
        <v>1656</v>
      </c>
      <c r="I490" s="1" t="s">
        <v>1657</v>
      </c>
      <c r="J490" s="1" t="s">
        <v>1658</v>
      </c>
      <c r="K490" s="1" t="s">
        <v>1658</v>
      </c>
      <c r="L490" s="1" t="s">
        <v>1658</v>
      </c>
      <c r="M490" s="1" t="s">
        <v>1658</v>
      </c>
      <c r="N490" s="1" t="s">
        <v>1658</v>
      </c>
      <c r="O490" s="1" t="s">
        <v>1658</v>
      </c>
      <c r="P490" s="1">
        <v>1</v>
      </c>
      <c r="Q490" s="1" t="s">
        <v>1658</v>
      </c>
      <c r="R490" s="1">
        <v>0</v>
      </c>
      <c r="S490" s="1" t="s">
        <v>3866</v>
      </c>
      <c r="T490" s="6" t="s">
        <v>3866</v>
      </c>
      <c r="U490" s="1" t="str">
        <f t="shared" si="7"/>
        <v>Yes</v>
      </c>
      <c r="W490" s="1" t="s">
        <v>3867</v>
      </c>
      <c r="X490" s="11" t="s">
        <v>3868</v>
      </c>
    </row>
    <row r="491" hidden="1" spans="1:24">
      <c r="A491" s="1" t="s">
        <v>1652</v>
      </c>
      <c r="B491" s="1" t="s">
        <v>90</v>
      </c>
      <c r="C491" s="1" t="s">
        <v>3869</v>
      </c>
      <c r="D491" s="1" t="s">
        <v>3863</v>
      </c>
      <c r="E491" s="1" t="s">
        <v>3864</v>
      </c>
      <c r="F491" s="1" t="s">
        <v>3870</v>
      </c>
      <c r="G491" s="1">
        <v>1</v>
      </c>
      <c r="H491" s="1" t="s">
        <v>1663</v>
      </c>
      <c r="I491" s="1" t="s">
        <v>1657</v>
      </c>
      <c r="J491" s="1" t="s">
        <v>1658</v>
      </c>
      <c r="K491" s="1" t="s">
        <v>1658</v>
      </c>
      <c r="L491" s="1" t="s">
        <v>1658</v>
      </c>
      <c r="M491" s="1" t="s">
        <v>1658</v>
      </c>
      <c r="N491" s="1" t="s">
        <v>1658</v>
      </c>
      <c r="O491" s="1" t="s">
        <v>1658</v>
      </c>
      <c r="P491" s="1">
        <v>1</v>
      </c>
      <c r="Q491" s="1" t="s">
        <v>1658</v>
      </c>
      <c r="R491" s="1">
        <v>0</v>
      </c>
      <c r="S491" s="1" t="s">
        <v>3871</v>
      </c>
      <c r="T491" s="6"/>
      <c r="U491" s="1" t="str">
        <f t="shared" si="7"/>
        <v>No</v>
      </c>
      <c r="W491" s="1" t="s">
        <v>3872</v>
      </c>
      <c r="X491" s="11" t="s">
        <v>3868</v>
      </c>
    </row>
    <row r="492" hidden="1" spans="1:24">
      <c r="A492" s="1" t="s">
        <v>1652</v>
      </c>
      <c r="B492" s="1" t="s">
        <v>90</v>
      </c>
      <c r="C492" s="1" t="s">
        <v>3873</v>
      </c>
      <c r="D492" s="1" t="s">
        <v>3874</v>
      </c>
      <c r="E492" s="2" t="s">
        <v>1146</v>
      </c>
      <c r="F492" s="2" t="s">
        <v>3875</v>
      </c>
      <c r="G492" s="1">
        <v>1</v>
      </c>
      <c r="H492" s="1" t="s">
        <v>1663</v>
      </c>
      <c r="I492" s="1" t="s">
        <v>1657</v>
      </c>
      <c r="J492" s="1" t="s">
        <v>1658</v>
      </c>
      <c r="K492" s="1" t="s">
        <v>1658</v>
      </c>
      <c r="L492" s="1" t="s">
        <v>1658</v>
      </c>
      <c r="M492" s="1" t="s">
        <v>1658</v>
      </c>
      <c r="N492" s="1" t="s">
        <v>1658</v>
      </c>
      <c r="O492" s="1" t="s">
        <v>1658</v>
      </c>
      <c r="P492" s="1">
        <v>1</v>
      </c>
      <c r="Q492" s="1" t="s">
        <v>1658</v>
      </c>
      <c r="R492" s="1">
        <v>0</v>
      </c>
      <c r="S492" s="1" t="s">
        <v>3876</v>
      </c>
      <c r="T492" s="6" t="s">
        <v>3876</v>
      </c>
      <c r="U492" s="1" t="str">
        <f t="shared" si="7"/>
        <v>Yes</v>
      </c>
      <c r="W492" s="1" t="s">
        <v>3877</v>
      </c>
      <c r="X492" s="1" t="str">
        <f>IF(COUNTIF('MyWells Drilling Comp'!F:F,E492)=0,"Missing","Exist")</f>
        <v>Exist</v>
      </c>
    </row>
    <row r="493" hidden="1" spans="1:24">
      <c r="A493" s="1" t="s">
        <v>1652</v>
      </c>
      <c r="B493" s="1" t="s">
        <v>90</v>
      </c>
      <c r="C493" s="1" t="s">
        <v>3878</v>
      </c>
      <c r="D493" s="1" t="s">
        <v>3874</v>
      </c>
      <c r="E493" s="2" t="s">
        <v>1146</v>
      </c>
      <c r="F493" s="2" t="s">
        <v>3879</v>
      </c>
      <c r="G493" s="1">
        <v>1</v>
      </c>
      <c r="H493" s="1" t="s">
        <v>1656</v>
      </c>
      <c r="I493" s="1" t="s">
        <v>1657</v>
      </c>
      <c r="J493" s="1" t="s">
        <v>1658</v>
      </c>
      <c r="K493" s="1" t="s">
        <v>1658</v>
      </c>
      <c r="L493" s="1" t="s">
        <v>1658</v>
      </c>
      <c r="M493" s="1" t="s">
        <v>1658</v>
      </c>
      <c r="N493" s="1" t="s">
        <v>1658</v>
      </c>
      <c r="O493" s="1" t="s">
        <v>1658</v>
      </c>
      <c r="P493" s="1">
        <v>1</v>
      </c>
      <c r="Q493" s="1" t="s">
        <v>1658</v>
      </c>
      <c r="R493" s="1">
        <v>0</v>
      </c>
      <c r="S493" s="1" t="s">
        <v>3880</v>
      </c>
      <c r="T493" s="6" t="s">
        <v>3880</v>
      </c>
      <c r="U493" s="1" t="str">
        <f t="shared" si="7"/>
        <v>Yes</v>
      </c>
      <c r="W493" s="1" t="s">
        <v>3881</v>
      </c>
      <c r="X493" s="1" t="str">
        <f>IF(COUNTIF('MyWells Drilling Comp'!F:F,E493)=0,"Missing","Exist")</f>
        <v>Exist</v>
      </c>
    </row>
    <row r="494" hidden="1" spans="1:24">
      <c r="A494" s="1" t="s">
        <v>1652</v>
      </c>
      <c r="B494" s="1" t="s">
        <v>90</v>
      </c>
      <c r="C494" s="1" t="s">
        <v>3882</v>
      </c>
      <c r="D494" s="1" t="s">
        <v>3883</v>
      </c>
      <c r="E494" s="2" t="s">
        <v>520</v>
      </c>
      <c r="F494" s="2" t="s">
        <v>3884</v>
      </c>
      <c r="G494" s="1">
        <v>1</v>
      </c>
      <c r="H494" s="1" t="s">
        <v>1656</v>
      </c>
      <c r="I494" s="1" t="s">
        <v>1657</v>
      </c>
      <c r="J494" s="1" t="s">
        <v>1658</v>
      </c>
      <c r="K494" s="1" t="s">
        <v>1658</v>
      </c>
      <c r="L494" s="1" t="s">
        <v>1658</v>
      </c>
      <c r="M494" s="1" t="s">
        <v>1658</v>
      </c>
      <c r="N494" s="1" t="s">
        <v>1658</v>
      </c>
      <c r="O494" s="1" t="s">
        <v>1658</v>
      </c>
      <c r="P494" s="1">
        <v>1</v>
      </c>
      <c r="Q494" s="1" t="s">
        <v>1658</v>
      </c>
      <c r="R494" s="1">
        <v>0</v>
      </c>
      <c r="S494" s="1" t="s">
        <v>3885</v>
      </c>
      <c r="T494" s="6" t="s">
        <v>3885</v>
      </c>
      <c r="U494" s="1" t="str">
        <f t="shared" si="7"/>
        <v>Yes</v>
      </c>
      <c r="W494" s="1" t="s">
        <v>3886</v>
      </c>
      <c r="X494" s="1" t="str">
        <f>IF(COUNTIF('MyWells Drilling Comp'!F:F,E494)=0,"Missing","Exist")</f>
        <v>Exist</v>
      </c>
    </row>
    <row r="495" hidden="1" spans="1:24">
      <c r="A495" s="1" t="s">
        <v>1652</v>
      </c>
      <c r="B495" s="1" t="s">
        <v>90</v>
      </c>
      <c r="C495" s="1" t="s">
        <v>3887</v>
      </c>
      <c r="D495" s="1" t="s">
        <v>3883</v>
      </c>
      <c r="E495" s="2" t="s">
        <v>520</v>
      </c>
      <c r="F495" s="2" t="s">
        <v>3888</v>
      </c>
      <c r="G495" s="1">
        <v>1</v>
      </c>
      <c r="H495" s="1" t="s">
        <v>1663</v>
      </c>
      <c r="I495" s="1" t="s">
        <v>1657</v>
      </c>
      <c r="J495" s="1" t="s">
        <v>1658</v>
      </c>
      <c r="K495" s="1" t="s">
        <v>1658</v>
      </c>
      <c r="L495" s="1" t="s">
        <v>1658</v>
      </c>
      <c r="M495" s="1" t="s">
        <v>1658</v>
      </c>
      <c r="N495" s="1" t="s">
        <v>1658</v>
      </c>
      <c r="O495" s="1" t="s">
        <v>1658</v>
      </c>
      <c r="P495" s="1">
        <v>1</v>
      </c>
      <c r="Q495" s="1" t="s">
        <v>1658</v>
      </c>
      <c r="R495" s="1">
        <v>0</v>
      </c>
      <c r="S495" s="1" t="s">
        <v>3889</v>
      </c>
      <c r="T495" s="6" t="s">
        <v>3889</v>
      </c>
      <c r="U495" s="1" t="str">
        <f t="shared" si="7"/>
        <v>Yes</v>
      </c>
      <c r="W495" s="1" t="s">
        <v>3890</v>
      </c>
      <c r="X495" s="1" t="str">
        <f>IF(COUNTIF('MyWells Drilling Comp'!F:F,E495)=0,"Missing","Exist")</f>
        <v>Exist</v>
      </c>
    </row>
    <row r="496" hidden="1" spans="1:24">
      <c r="A496" s="1" t="s">
        <v>1652</v>
      </c>
      <c r="B496" s="1" t="s">
        <v>90</v>
      </c>
      <c r="C496" s="1" t="s">
        <v>3891</v>
      </c>
      <c r="D496" s="1" t="s">
        <v>3892</v>
      </c>
      <c r="E496" s="2" t="s">
        <v>702</v>
      </c>
      <c r="F496" s="2" t="s">
        <v>3893</v>
      </c>
      <c r="G496" s="1">
        <v>1</v>
      </c>
      <c r="H496" s="1" t="s">
        <v>1656</v>
      </c>
      <c r="I496" s="1" t="s">
        <v>1657</v>
      </c>
      <c r="J496" s="1" t="s">
        <v>1658</v>
      </c>
      <c r="K496" s="1" t="s">
        <v>1658</v>
      </c>
      <c r="L496" s="1" t="s">
        <v>1658</v>
      </c>
      <c r="M496" s="1" t="s">
        <v>1658</v>
      </c>
      <c r="N496" s="1" t="s">
        <v>1658</v>
      </c>
      <c r="O496" s="1" t="s">
        <v>1658</v>
      </c>
      <c r="P496" s="1">
        <v>1</v>
      </c>
      <c r="Q496" s="1" t="s">
        <v>1658</v>
      </c>
      <c r="R496" s="1">
        <v>0</v>
      </c>
      <c r="S496" s="1" t="s">
        <v>3894</v>
      </c>
      <c r="T496" s="6" t="s">
        <v>3894</v>
      </c>
      <c r="U496" s="1" t="str">
        <f t="shared" si="7"/>
        <v>Yes</v>
      </c>
      <c r="W496" s="1" t="s">
        <v>3895</v>
      </c>
      <c r="X496" s="1" t="str">
        <f>IF(COUNTIF('MyWells Drilling Comp'!F:F,E496)=0,"Missing","Exist")</f>
        <v>Exist</v>
      </c>
    </row>
    <row r="497" hidden="1" spans="1:24">
      <c r="A497" s="1" t="s">
        <v>1652</v>
      </c>
      <c r="B497" s="1" t="s">
        <v>90</v>
      </c>
      <c r="C497" s="1" t="s">
        <v>3896</v>
      </c>
      <c r="D497" s="1" t="s">
        <v>3892</v>
      </c>
      <c r="E497" s="2" t="s">
        <v>702</v>
      </c>
      <c r="F497" s="2" t="s">
        <v>3897</v>
      </c>
      <c r="G497" s="1">
        <v>1</v>
      </c>
      <c r="H497" s="1" t="s">
        <v>1663</v>
      </c>
      <c r="I497" s="1" t="s">
        <v>1657</v>
      </c>
      <c r="J497" s="1" t="s">
        <v>1658</v>
      </c>
      <c r="K497" s="1" t="s">
        <v>1658</v>
      </c>
      <c r="L497" s="1" t="s">
        <v>1658</v>
      </c>
      <c r="M497" s="1" t="s">
        <v>1658</v>
      </c>
      <c r="N497" s="1" t="s">
        <v>1658</v>
      </c>
      <c r="O497" s="1" t="s">
        <v>1658</v>
      </c>
      <c r="P497" s="1">
        <v>1</v>
      </c>
      <c r="Q497" s="1" t="s">
        <v>1658</v>
      </c>
      <c r="R497" s="1">
        <v>0</v>
      </c>
      <c r="S497" s="1" t="s">
        <v>3898</v>
      </c>
      <c r="T497" s="6" t="s">
        <v>3898</v>
      </c>
      <c r="U497" s="1" t="str">
        <f t="shared" si="7"/>
        <v>Yes</v>
      </c>
      <c r="W497" s="1" t="s">
        <v>3899</v>
      </c>
      <c r="X497" s="1" t="str">
        <f>IF(COUNTIF('MyWells Drilling Comp'!F:F,E497)=0,"Missing","Exist")</f>
        <v>Exist</v>
      </c>
    </row>
    <row r="498" hidden="1" spans="1:24">
      <c r="A498" s="1" t="s">
        <v>1652</v>
      </c>
      <c r="B498" s="1" t="s">
        <v>90</v>
      </c>
      <c r="C498" s="1" t="s">
        <v>3900</v>
      </c>
      <c r="D498" s="1" t="s">
        <v>3901</v>
      </c>
      <c r="E498" s="2" t="s">
        <v>1522</v>
      </c>
      <c r="F498" s="2" t="s">
        <v>3902</v>
      </c>
      <c r="G498" s="1">
        <v>1</v>
      </c>
      <c r="H498" s="1" t="s">
        <v>1656</v>
      </c>
      <c r="I498" s="1" t="s">
        <v>1657</v>
      </c>
      <c r="J498" s="1" t="s">
        <v>1658</v>
      </c>
      <c r="K498" s="1" t="s">
        <v>1658</v>
      </c>
      <c r="L498" s="1" t="s">
        <v>1658</v>
      </c>
      <c r="M498" s="1" t="s">
        <v>1658</v>
      </c>
      <c r="N498" s="1" t="s">
        <v>1658</v>
      </c>
      <c r="O498" s="1" t="s">
        <v>1658</v>
      </c>
      <c r="P498" s="1">
        <v>1</v>
      </c>
      <c r="Q498" s="1" t="s">
        <v>1658</v>
      </c>
      <c r="R498" s="1">
        <v>0</v>
      </c>
      <c r="S498" s="1" t="s">
        <v>3903</v>
      </c>
      <c r="T498" s="6" t="s">
        <v>3903</v>
      </c>
      <c r="U498" s="1" t="str">
        <f t="shared" si="7"/>
        <v>Yes</v>
      </c>
      <c r="W498" s="1" t="s">
        <v>3904</v>
      </c>
      <c r="X498" s="1" t="str">
        <f>IF(COUNTIF('MyWells Drilling Comp'!F:F,E498)=0,"Missing","Exist")</f>
        <v>Exist</v>
      </c>
    </row>
    <row r="499" hidden="1" spans="1:24">
      <c r="A499" s="1" t="s">
        <v>1652</v>
      </c>
      <c r="B499" s="1" t="s">
        <v>90</v>
      </c>
      <c r="C499" s="1" t="s">
        <v>3905</v>
      </c>
      <c r="D499" s="1" t="s">
        <v>3901</v>
      </c>
      <c r="E499" s="2" t="s">
        <v>1522</v>
      </c>
      <c r="F499" s="2" t="s">
        <v>3906</v>
      </c>
      <c r="G499" s="1">
        <v>1</v>
      </c>
      <c r="H499" s="1" t="s">
        <v>1663</v>
      </c>
      <c r="I499" s="1" t="s">
        <v>1657</v>
      </c>
      <c r="J499" s="1" t="s">
        <v>1658</v>
      </c>
      <c r="K499" s="1" t="s">
        <v>1658</v>
      </c>
      <c r="L499" s="1" t="s">
        <v>1658</v>
      </c>
      <c r="M499" s="1" t="s">
        <v>1658</v>
      </c>
      <c r="N499" s="1" t="s">
        <v>1658</v>
      </c>
      <c r="O499" s="1" t="s">
        <v>1658</v>
      </c>
      <c r="P499" s="1">
        <v>1</v>
      </c>
      <c r="Q499" s="1" t="s">
        <v>1658</v>
      </c>
      <c r="R499" s="1">
        <v>0</v>
      </c>
      <c r="S499" s="1" t="s">
        <v>3907</v>
      </c>
      <c r="T499" s="6" t="s">
        <v>3907</v>
      </c>
      <c r="U499" s="1" t="str">
        <f t="shared" si="7"/>
        <v>Yes</v>
      </c>
      <c r="W499" s="1" t="s">
        <v>3908</v>
      </c>
      <c r="X499" s="1" t="str">
        <f>IF(COUNTIF('MyWells Drilling Comp'!F:F,E499)=0,"Missing","Exist")</f>
        <v>Exist</v>
      </c>
    </row>
    <row r="500" hidden="1" spans="1:24">
      <c r="A500" s="1" t="s">
        <v>1652</v>
      </c>
      <c r="B500" s="1" t="s">
        <v>90</v>
      </c>
      <c r="C500" s="1" t="s">
        <v>3909</v>
      </c>
      <c r="D500" s="1" t="s">
        <v>3910</v>
      </c>
      <c r="E500" s="2" t="s">
        <v>1034</v>
      </c>
      <c r="F500" s="2" t="s">
        <v>3911</v>
      </c>
      <c r="G500" s="1">
        <v>1</v>
      </c>
      <c r="H500" s="1" t="s">
        <v>1656</v>
      </c>
      <c r="I500" s="1" t="s">
        <v>1657</v>
      </c>
      <c r="J500" s="1" t="s">
        <v>1658</v>
      </c>
      <c r="K500" s="1" t="s">
        <v>1658</v>
      </c>
      <c r="L500" s="1" t="s">
        <v>1658</v>
      </c>
      <c r="M500" s="1" t="s">
        <v>1658</v>
      </c>
      <c r="N500" s="1" t="s">
        <v>1658</v>
      </c>
      <c r="O500" s="1" t="s">
        <v>1658</v>
      </c>
      <c r="P500" s="1">
        <v>1</v>
      </c>
      <c r="Q500" s="1" t="s">
        <v>1658</v>
      </c>
      <c r="R500" s="1">
        <v>0</v>
      </c>
      <c r="S500" s="1" t="s">
        <v>3912</v>
      </c>
      <c r="T500" s="6" t="s">
        <v>3912</v>
      </c>
      <c r="U500" s="1" t="str">
        <f t="shared" si="7"/>
        <v>Yes</v>
      </c>
      <c r="W500" s="1" t="s">
        <v>3913</v>
      </c>
      <c r="X500" s="1" t="str">
        <f>IF(COUNTIF('MyWells Drilling Comp'!F:F,E500)=0,"Missing","Exist")</f>
        <v>Exist</v>
      </c>
    </row>
    <row r="501" hidden="1" spans="1:24">
      <c r="A501" s="1" t="s">
        <v>1652</v>
      </c>
      <c r="B501" s="1" t="s">
        <v>90</v>
      </c>
      <c r="C501" s="1" t="s">
        <v>3914</v>
      </c>
      <c r="D501" s="1" t="s">
        <v>3910</v>
      </c>
      <c r="E501" s="2" t="s">
        <v>1034</v>
      </c>
      <c r="F501" s="2" t="s">
        <v>3915</v>
      </c>
      <c r="G501" s="1">
        <v>1</v>
      </c>
      <c r="H501" s="1" t="s">
        <v>1663</v>
      </c>
      <c r="I501" s="1" t="s">
        <v>1657</v>
      </c>
      <c r="J501" s="1" t="s">
        <v>1658</v>
      </c>
      <c r="K501" s="1" t="s">
        <v>1658</v>
      </c>
      <c r="L501" s="1" t="s">
        <v>1658</v>
      </c>
      <c r="M501" s="1" t="s">
        <v>1658</v>
      </c>
      <c r="N501" s="1" t="s">
        <v>1658</v>
      </c>
      <c r="O501" s="1" t="s">
        <v>1658</v>
      </c>
      <c r="P501" s="1">
        <v>1</v>
      </c>
      <c r="Q501" s="1" t="s">
        <v>1658</v>
      </c>
      <c r="R501" s="1">
        <v>0</v>
      </c>
      <c r="S501" s="1" t="s">
        <v>3916</v>
      </c>
      <c r="T501" s="6"/>
      <c r="U501" s="1" t="str">
        <f t="shared" si="7"/>
        <v>No</v>
      </c>
      <c r="W501" s="1" t="s">
        <v>3917</v>
      </c>
      <c r="X501" s="1" t="str">
        <f>IF(COUNTIF('MyWells Drilling Comp'!F:F,E501)=0,"Missing","Exist")</f>
        <v>Exist</v>
      </c>
    </row>
    <row r="502" hidden="1" spans="1:24">
      <c r="A502" s="1" t="s">
        <v>1652</v>
      </c>
      <c r="B502" s="1" t="s">
        <v>90</v>
      </c>
      <c r="C502" s="1" t="s">
        <v>3918</v>
      </c>
      <c r="D502" s="1" t="s">
        <v>3919</v>
      </c>
      <c r="E502" s="2" t="s">
        <v>1215</v>
      </c>
      <c r="F502" s="2" t="s">
        <v>3920</v>
      </c>
      <c r="G502" s="1">
        <v>1</v>
      </c>
      <c r="H502" s="1" t="s">
        <v>1663</v>
      </c>
      <c r="I502" s="1" t="s">
        <v>1657</v>
      </c>
      <c r="J502" s="1" t="s">
        <v>1658</v>
      </c>
      <c r="K502" s="1" t="s">
        <v>1658</v>
      </c>
      <c r="L502" s="1" t="s">
        <v>1658</v>
      </c>
      <c r="M502" s="1" t="s">
        <v>1658</v>
      </c>
      <c r="N502" s="1" t="s">
        <v>1658</v>
      </c>
      <c r="O502" s="1" t="s">
        <v>1658</v>
      </c>
      <c r="P502" s="1">
        <v>1</v>
      </c>
      <c r="Q502" s="1" t="s">
        <v>1658</v>
      </c>
      <c r="R502" s="1">
        <v>0</v>
      </c>
      <c r="S502" s="1" t="s">
        <v>3921</v>
      </c>
      <c r="T502" s="6" t="s">
        <v>3921</v>
      </c>
      <c r="U502" s="1" t="str">
        <f t="shared" si="7"/>
        <v>Yes</v>
      </c>
      <c r="W502" s="1" t="s">
        <v>3922</v>
      </c>
      <c r="X502" s="1" t="str">
        <f>IF(COUNTIF('MyWells Drilling Comp'!F:F,E502)=0,"Missing","Exist")</f>
        <v>Exist</v>
      </c>
    </row>
    <row r="503" hidden="1" spans="1:24">
      <c r="A503" s="1" t="s">
        <v>1652</v>
      </c>
      <c r="B503" s="1" t="s">
        <v>90</v>
      </c>
      <c r="C503" s="1" t="s">
        <v>3923</v>
      </c>
      <c r="D503" s="1" t="s">
        <v>3919</v>
      </c>
      <c r="E503" s="2" t="s">
        <v>1215</v>
      </c>
      <c r="F503" s="2" t="s">
        <v>3924</v>
      </c>
      <c r="G503" s="1">
        <v>1</v>
      </c>
      <c r="H503" s="1" t="s">
        <v>1656</v>
      </c>
      <c r="I503" s="1" t="s">
        <v>1657</v>
      </c>
      <c r="J503" s="1" t="s">
        <v>1658</v>
      </c>
      <c r="K503" s="1" t="s">
        <v>1658</v>
      </c>
      <c r="L503" s="1" t="s">
        <v>1658</v>
      </c>
      <c r="M503" s="1" t="s">
        <v>1658</v>
      </c>
      <c r="N503" s="1" t="s">
        <v>1658</v>
      </c>
      <c r="O503" s="1" t="s">
        <v>1658</v>
      </c>
      <c r="P503" s="1">
        <v>1</v>
      </c>
      <c r="Q503" s="1" t="s">
        <v>1658</v>
      </c>
      <c r="R503" s="1">
        <v>0</v>
      </c>
      <c r="S503" s="1" t="s">
        <v>3925</v>
      </c>
      <c r="T503" s="6" t="s">
        <v>3925</v>
      </c>
      <c r="U503" s="1" t="str">
        <f t="shared" si="7"/>
        <v>Yes</v>
      </c>
      <c r="W503" s="1" t="s">
        <v>3926</v>
      </c>
      <c r="X503" s="1" t="str">
        <f>IF(COUNTIF('MyWells Drilling Comp'!F:F,E503)=0,"Missing","Exist")</f>
        <v>Exist</v>
      </c>
    </row>
    <row r="504" hidden="1" spans="1:24">
      <c r="A504" s="1" t="s">
        <v>1652</v>
      </c>
      <c r="B504" s="1" t="s">
        <v>90</v>
      </c>
      <c r="C504" s="1" t="s">
        <v>3927</v>
      </c>
      <c r="D504" s="1" t="s">
        <v>3928</v>
      </c>
      <c r="E504" s="2" t="s">
        <v>1123</v>
      </c>
      <c r="F504" s="2" t="s">
        <v>3929</v>
      </c>
      <c r="G504" s="1">
        <v>1</v>
      </c>
      <c r="H504" s="1" t="s">
        <v>1656</v>
      </c>
      <c r="I504" s="1" t="s">
        <v>1657</v>
      </c>
      <c r="J504" s="1" t="s">
        <v>1658</v>
      </c>
      <c r="K504" s="1" t="s">
        <v>1658</v>
      </c>
      <c r="L504" s="1" t="s">
        <v>1658</v>
      </c>
      <c r="M504" s="1" t="s">
        <v>1658</v>
      </c>
      <c r="N504" s="1" t="s">
        <v>1658</v>
      </c>
      <c r="O504" s="1" t="s">
        <v>1658</v>
      </c>
      <c r="P504" s="1">
        <v>1</v>
      </c>
      <c r="Q504" s="1" t="s">
        <v>1658</v>
      </c>
      <c r="R504" s="1">
        <v>0</v>
      </c>
      <c r="S504" s="1" t="s">
        <v>3930</v>
      </c>
      <c r="T504" s="6" t="s">
        <v>3931</v>
      </c>
      <c r="U504" s="1" t="str">
        <f t="shared" si="7"/>
        <v>Yes</v>
      </c>
      <c r="W504" s="1" t="s">
        <v>3932</v>
      </c>
      <c r="X504" s="1" t="str">
        <f>IF(COUNTIF('MyWells Drilling Comp'!F:F,E504)=0,"Missing","Exist")</f>
        <v>Exist</v>
      </c>
    </row>
    <row r="505" hidden="1" spans="1:24">
      <c r="A505" s="1" t="s">
        <v>1652</v>
      </c>
      <c r="B505" s="1" t="s">
        <v>90</v>
      </c>
      <c r="C505" s="1" t="s">
        <v>3933</v>
      </c>
      <c r="D505" s="1" t="s">
        <v>3928</v>
      </c>
      <c r="E505" s="2" t="s">
        <v>1123</v>
      </c>
      <c r="F505" s="2" t="s">
        <v>3934</v>
      </c>
      <c r="G505" s="1">
        <v>1</v>
      </c>
      <c r="H505" s="1" t="s">
        <v>1663</v>
      </c>
      <c r="I505" s="1" t="s">
        <v>1657</v>
      </c>
      <c r="J505" s="1" t="s">
        <v>1658</v>
      </c>
      <c r="K505" s="1" t="s">
        <v>1658</v>
      </c>
      <c r="L505" s="1" t="s">
        <v>1658</v>
      </c>
      <c r="M505" s="1" t="s">
        <v>1658</v>
      </c>
      <c r="N505" s="1" t="s">
        <v>1658</v>
      </c>
      <c r="O505" s="1" t="s">
        <v>1658</v>
      </c>
      <c r="P505" s="1">
        <v>1</v>
      </c>
      <c r="Q505" s="1" t="s">
        <v>1658</v>
      </c>
      <c r="R505" s="1">
        <v>0</v>
      </c>
      <c r="S505" s="1" t="s">
        <v>3935</v>
      </c>
      <c r="T505" s="6" t="s">
        <v>3935</v>
      </c>
      <c r="U505" s="1" t="str">
        <f t="shared" si="7"/>
        <v>Yes</v>
      </c>
      <c r="W505" s="1" t="s">
        <v>3936</v>
      </c>
      <c r="X505" s="1" t="str">
        <f>IF(COUNTIF('MyWells Drilling Comp'!F:F,E505)=0,"Missing","Exist")</f>
        <v>Exist</v>
      </c>
    </row>
    <row r="506" hidden="1" spans="1:24">
      <c r="A506" s="1" t="s">
        <v>1652</v>
      </c>
      <c r="B506" s="1" t="s">
        <v>90</v>
      </c>
      <c r="C506" s="1" t="s">
        <v>3937</v>
      </c>
      <c r="D506" s="1" t="s">
        <v>3938</v>
      </c>
      <c r="E506" s="2" t="s">
        <v>995</v>
      </c>
      <c r="F506" s="2" t="s">
        <v>3939</v>
      </c>
      <c r="G506" s="1">
        <v>1</v>
      </c>
      <c r="H506" s="1" t="s">
        <v>1663</v>
      </c>
      <c r="I506" s="1" t="s">
        <v>1657</v>
      </c>
      <c r="J506" s="1" t="s">
        <v>1658</v>
      </c>
      <c r="K506" s="1" t="s">
        <v>1658</v>
      </c>
      <c r="L506" s="1" t="s">
        <v>1658</v>
      </c>
      <c r="M506" s="1" t="s">
        <v>1658</v>
      </c>
      <c r="N506" s="1" t="s">
        <v>1658</v>
      </c>
      <c r="O506" s="1" t="s">
        <v>1658</v>
      </c>
      <c r="P506" s="1">
        <v>1</v>
      </c>
      <c r="Q506" s="1" t="s">
        <v>1658</v>
      </c>
      <c r="R506" s="1">
        <v>0</v>
      </c>
      <c r="S506" s="1" t="s">
        <v>3940</v>
      </c>
      <c r="T506" s="6" t="s">
        <v>3940</v>
      </c>
      <c r="U506" s="1" t="str">
        <f t="shared" si="7"/>
        <v>Yes</v>
      </c>
      <c r="W506" s="1" t="s">
        <v>3941</v>
      </c>
      <c r="X506" s="1" t="str">
        <f>IF(COUNTIF('MyWells Drilling Comp'!F:F,E506)=0,"Missing","Exist")</f>
        <v>Exist</v>
      </c>
    </row>
    <row r="507" hidden="1" spans="1:24">
      <c r="A507" s="1" t="s">
        <v>1652</v>
      </c>
      <c r="B507" s="1" t="s">
        <v>90</v>
      </c>
      <c r="C507" s="1" t="s">
        <v>3942</v>
      </c>
      <c r="D507" s="1" t="s">
        <v>3938</v>
      </c>
      <c r="E507" s="2" t="s">
        <v>995</v>
      </c>
      <c r="F507" s="2" t="s">
        <v>3943</v>
      </c>
      <c r="G507" s="1">
        <v>1</v>
      </c>
      <c r="H507" s="1" t="s">
        <v>1656</v>
      </c>
      <c r="I507" s="1" t="s">
        <v>1657</v>
      </c>
      <c r="J507" s="1" t="s">
        <v>1658</v>
      </c>
      <c r="K507" s="1" t="s">
        <v>1658</v>
      </c>
      <c r="L507" s="1" t="s">
        <v>1658</v>
      </c>
      <c r="M507" s="1" t="s">
        <v>1658</v>
      </c>
      <c r="N507" s="1" t="s">
        <v>1658</v>
      </c>
      <c r="O507" s="1" t="s">
        <v>1658</v>
      </c>
      <c r="P507" s="1">
        <v>1</v>
      </c>
      <c r="Q507" s="1" t="s">
        <v>1658</v>
      </c>
      <c r="R507" s="1">
        <v>0</v>
      </c>
      <c r="S507" s="1" t="s">
        <v>3944</v>
      </c>
      <c r="T507" s="6"/>
      <c r="U507" s="1" t="str">
        <f t="shared" si="7"/>
        <v>No</v>
      </c>
      <c r="W507" s="1" t="s">
        <v>3945</v>
      </c>
      <c r="X507" s="1" t="str">
        <f>IF(COUNTIF('MyWells Drilling Comp'!F:F,E507)=0,"Missing","Exist")</f>
        <v>Exist</v>
      </c>
    </row>
    <row r="508" hidden="1" spans="1:24">
      <c r="A508" s="1" t="s">
        <v>1652</v>
      </c>
      <c r="B508" s="1" t="s">
        <v>90</v>
      </c>
      <c r="C508" s="1" t="s">
        <v>3946</v>
      </c>
      <c r="D508" s="1" t="s">
        <v>3947</v>
      </c>
      <c r="E508" s="2" t="s">
        <v>890</v>
      </c>
      <c r="F508" s="2" t="s">
        <v>3948</v>
      </c>
      <c r="G508" s="1">
        <v>1</v>
      </c>
      <c r="H508" s="1" t="s">
        <v>1663</v>
      </c>
      <c r="I508" s="1" t="s">
        <v>1657</v>
      </c>
      <c r="J508" s="1" t="s">
        <v>1658</v>
      </c>
      <c r="K508" s="1" t="s">
        <v>1658</v>
      </c>
      <c r="L508" s="1" t="s">
        <v>1658</v>
      </c>
      <c r="M508" s="1" t="s">
        <v>1658</v>
      </c>
      <c r="N508" s="1" t="s">
        <v>1658</v>
      </c>
      <c r="O508" s="1" t="s">
        <v>1658</v>
      </c>
      <c r="P508" s="1">
        <v>1</v>
      </c>
      <c r="Q508" s="1" t="s">
        <v>1658</v>
      </c>
      <c r="R508" s="1">
        <v>0</v>
      </c>
      <c r="S508" s="1" t="s">
        <v>3949</v>
      </c>
      <c r="T508" s="6"/>
      <c r="U508" s="1" t="str">
        <f t="shared" si="7"/>
        <v>No</v>
      </c>
      <c r="W508" s="1" t="s">
        <v>3950</v>
      </c>
      <c r="X508" s="1" t="str">
        <f>IF(COUNTIF('MyWells Drilling Comp'!F:F,E508)=0,"Missing","Exist")</f>
        <v>Exist</v>
      </c>
    </row>
    <row r="509" hidden="1" spans="1:24">
      <c r="A509" s="1" t="s">
        <v>1652</v>
      </c>
      <c r="B509" s="1" t="s">
        <v>90</v>
      </c>
      <c r="C509" s="1" t="s">
        <v>3951</v>
      </c>
      <c r="D509" s="1" t="s">
        <v>3947</v>
      </c>
      <c r="E509" s="2" t="s">
        <v>890</v>
      </c>
      <c r="F509" s="2" t="s">
        <v>3952</v>
      </c>
      <c r="G509" s="1">
        <v>1</v>
      </c>
      <c r="H509" s="1" t="s">
        <v>1656</v>
      </c>
      <c r="I509" s="1" t="s">
        <v>1657</v>
      </c>
      <c r="J509" s="1" t="s">
        <v>1658</v>
      </c>
      <c r="K509" s="1" t="s">
        <v>1658</v>
      </c>
      <c r="L509" s="1" t="s">
        <v>1658</v>
      </c>
      <c r="M509" s="1" t="s">
        <v>1658</v>
      </c>
      <c r="N509" s="1" t="s">
        <v>1658</v>
      </c>
      <c r="O509" s="1" t="s">
        <v>1658</v>
      </c>
      <c r="P509" s="1">
        <v>1</v>
      </c>
      <c r="Q509" s="1" t="s">
        <v>1658</v>
      </c>
      <c r="R509" s="1">
        <v>0</v>
      </c>
      <c r="S509" s="1" t="s">
        <v>3953</v>
      </c>
      <c r="T509" s="6" t="s">
        <v>3953</v>
      </c>
      <c r="U509" s="1" t="str">
        <f t="shared" si="7"/>
        <v>Yes</v>
      </c>
      <c r="W509" s="1" t="s">
        <v>3954</v>
      </c>
      <c r="X509" s="1" t="str">
        <f>IF(COUNTIF('MyWells Drilling Comp'!F:F,E509)=0,"Missing","Exist")</f>
        <v>Exist</v>
      </c>
    </row>
    <row r="510" hidden="1" spans="1:24">
      <c r="A510" s="1" t="s">
        <v>1652</v>
      </c>
      <c r="B510" s="1" t="s">
        <v>90</v>
      </c>
      <c r="C510" s="1" t="s">
        <v>3955</v>
      </c>
      <c r="D510" s="1" t="s">
        <v>3956</v>
      </c>
      <c r="E510" s="2" t="s">
        <v>489</v>
      </c>
      <c r="F510" s="2" t="s">
        <v>3957</v>
      </c>
      <c r="G510" s="1">
        <v>1</v>
      </c>
      <c r="H510" s="1" t="s">
        <v>1656</v>
      </c>
      <c r="I510" s="1" t="s">
        <v>1657</v>
      </c>
      <c r="J510" s="1" t="s">
        <v>1658</v>
      </c>
      <c r="K510" s="1" t="s">
        <v>1658</v>
      </c>
      <c r="L510" s="1" t="s">
        <v>1658</v>
      </c>
      <c r="M510" s="1" t="s">
        <v>1658</v>
      </c>
      <c r="N510" s="1" t="s">
        <v>1658</v>
      </c>
      <c r="O510" s="1" t="s">
        <v>1658</v>
      </c>
      <c r="P510" s="1">
        <v>1</v>
      </c>
      <c r="Q510" s="1" t="s">
        <v>1658</v>
      </c>
      <c r="R510" s="1">
        <v>0</v>
      </c>
      <c r="S510" s="1" t="s">
        <v>3958</v>
      </c>
      <c r="T510" s="6" t="s">
        <v>3958</v>
      </c>
      <c r="U510" s="1" t="str">
        <f t="shared" si="7"/>
        <v>Yes</v>
      </c>
      <c r="W510" s="1" t="s">
        <v>3959</v>
      </c>
      <c r="X510" s="1" t="str">
        <f>IF(COUNTIF('MyWells Drilling Comp'!F:F,E510)=0,"Missing","Exist")</f>
        <v>Exist</v>
      </c>
    </row>
    <row r="511" hidden="1" spans="1:24">
      <c r="A511" s="1" t="s">
        <v>1652</v>
      </c>
      <c r="B511" s="1" t="s">
        <v>90</v>
      </c>
      <c r="C511" s="1" t="s">
        <v>3960</v>
      </c>
      <c r="D511" s="1" t="s">
        <v>3956</v>
      </c>
      <c r="E511" s="2" t="s">
        <v>489</v>
      </c>
      <c r="F511" s="2" t="s">
        <v>3961</v>
      </c>
      <c r="G511" s="1">
        <v>1</v>
      </c>
      <c r="H511" s="1" t="s">
        <v>1663</v>
      </c>
      <c r="I511" s="1" t="s">
        <v>1657</v>
      </c>
      <c r="J511" s="1" t="s">
        <v>1658</v>
      </c>
      <c r="K511" s="1" t="s">
        <v>1658</v>
      </c>
      <c r="L511" s="1" t="s">
        <v>1658</v>
      </c>
      <c r="M511" s="1" t="s">
        <v>1658</v>
      </c>
      <c r="N511" s="1" t="s">
        <v>1658</v>
      </c>
      <c r="O511" s="1" t="s">
        <v>1658</v>
      </c>
      <c r="P511" s="1">
        <v>1</v>
      </c>
      <c r="Q511" s="1" t="s">
        <v>1658</v>
      </c>
      <c r="R511" s="1">
        <v>0</v>
      </c>
      <c r="S511" s="1" t="s">
        <v>3962</v>
      </c>
      <c r="T511" s="6" t="s">
        <v>3962</v>
      </c>
      <c r="U511" s="1" t="str">
        <f t="shared" si="7"/>
        <v>Yes</v>
      </c>
      <c r="W511" s="1" t="s">
        <v>3963</v>
      </c>
      <c r="X511" s="1" t="str">
        <f>IF(COUNTIF('MyWells Drilling Comp'!F:F,E511)=0,"Missing","Exist")</f>
        <v>Exist</v>
      </c>
    </row>
    <row r="512" hidden="1" spans="1:24">
      <c r="A512" s="1" t="s">
        <v>1652</v>
      </c>
      <c r="B512" s="1" t="s">
        <v>90</v>
      </c>
      <c r="C512" s="7" t="s">
        <v>3964</v>
      </c>
      <c r="D512" s="7" t="s">
        <v>3965</v>
      </c>
      <c r="E512" s="2" t="s">
        <v>1446</v>
      </c>
      <c r="F512" s="2" t="s">
        <v>3966</v>
      </c>
      <c r="G512" s="1">
        <v>1</v>
      </c>
      <c r="H512" s="1" t="s">
        <v>1656</v>
      </c>
      <c r="I512" s="1" t="s">
        <v>1657</v>
      </c>
      <c r="J512" s="1" t="s">
        <v>1658</v>
      </c>
      <c r="K512" s="1" t="s">
        <v>1658</v>
      </c>
      <c r="L512" s="1" t="s">
        <v>1658</v>
      </c>
      <c r="M512" s="1" t="s">
        <v>1658</v>
      </c>
      <c r="N512" s="1" t="s">
        <v>1658</v>
      </c>
      <c r="O512" s="1" t="s">
        <v>1658</v>
      </c>
      <c r="P512" s="1">
        <v>1</v>
      </c>
      <c r="Q512" s="1" t="s">
        <v>1658</v>
      </c>
      <c r="R512" s="1">
        <v>0</v>
      </c>
      <c r="S512" s="1" t="s">
        <v>2948</v>
      </c>
      <c r="T512" s="6"/>
      <c r="U512" s="1" t="str">
        <f t="shared" si="7"/>
        <v>No</v>
      </c>
      <c r="W512" s="1" t="s">
        <v>3967</v>
      </c>
      <c r="X512" s="1" t="str">
        <f>IF(COUNTIF('MyWells Drilling Comp'!F:F,E512)=0,"Missing","Exist")</f>
        <v>Exist</v>
      </c>
    </row>
    <row r="513" hidden="1" spans="1:24">
      <c r="A513" s="1" t="s">
        <v>1652</v>
      </c>
      <c r="B513" s="1" t="s">
        <v>90</v>
      </c>
      <c r="C513" s="1" t="s">
        <v>3968</v>
      </c>
      <c r="D513" s="7" t="s">
        <v>3965</v>
      </c>
      <c r="E513" s="2" t="s">
        <v>1446</v>
      </c>
      <c r="F513" s="2" t="s">
        <v>3969</v>
      </c>
      <c r="G513" s="1">
        <v>1</v>
      </c>
      <c r="H513" s="1" t="s">
        <v>1663</v>
      </c>
      <c r="I513" s="1" t="s">
        <v>1657</v>
      </c>
      <c r="J513" s="1" t="s">
        <v>1658</v>
      </c>
      <c r="K513" s="1" t="s">
        <v>1658</v>
      </c>
      <c r="L513" s="1" t="s">
        <v>1658</v>
      </c>
      <c r="M513" s="1" t="s">
        <v>1658</v>
      </c>
      <c r="N513" s="1" t="s">
        <v>1658</v>
      </c>
      <c r="O513" s="1" t="s">
        <v>1658</v>
      </c>
      <c r="P513" s="1">
        <v>1</v>
      </c>
      <c r="Q513" s="1" t="s">
        <v>1658</v>
      </c>
      <c r="R513" s="1">
        <v>0</v>
      </c>
      <c r="S513" s="1" t="s">
        <v>3970</v>
      </c>
      <c r="T513" s="6" t="s">
        <v>3970</v>
      </c>
      <c r="U513" s="1" t="str">
        <f t="shared" si="7"/>
        <v>Yes</v>
      </c>
      <c r="W513" s="1" t="s">
        <v>3971</v>
      </c>
      <c r="X513" s="1" t="str">
        <f>IF(COUNTIF('MyWells Drilling Comp'!F:F,E513)=0,"Missing","Exist")</f>
        <v>Exist</v>
      </c>
    </row>
    <row r="514" hidden="1" spans="1:24">
      <c r="A514" s="1" t="s">
        <v>1652</v>
      </c>
      <c r="B514" s="1" t="s">
        <v>90</v>
      </c>
      <c r="C514" s="1" t="s">
        <v>3972</v>
      </c>
      <c r="D514" s="1" t="s">
        <v>3973</v>
      </c>
      <c r="E514" s="2" t="s">
        <v>1284</v>
      </c>
      <c r="F514" s="2" t="s">
        <v>3974</v>
      </c>
      <c r="G514" s="1">
        <v>1</v>
      </c>
      <c r="H514" s="1" t="s">
        <v>1656</v>
      </c>
      <c r="I514" s="1" t="s">
        <v>1657</v>
      </c>
      <c r="J514" s="1" t="s">
        <v>1658</v>
      </c>
      <c r="K514" s="1" t="s">
        <v>1658</v>
      </c>
      <c r="L514" s="1" t="s">
        <v>1658</v>
      </c>
      <c r="M514" s="1" t="s">
        <v>1658</v>
      </c>
      <c r="N514" s="1" t="s">
        <v>1658</v>
      </c>
      <c r="O514" s="1" t="s">
        <v>1658</v>
      </c>
      <c r="P514" s="1">
        <v>1</v>
      </c>
      <c r="Q514" s="1" t="s">
        <v>1658</v>
      </c>
      <c r="R514" s="1">
        <v>0</v>
      </c>
      <c r="S514" s="1" t="s">
        <v>3975</v>
      </c>
      <c r="T514" s="6" t="s">
        <v>3975</v>
      </c>
      <c r="U514" s="1" t="str">
        <f t="shared" ref="U514:U577" si="8">IF(S514=T514,"Yes","No")</f>
        <v>Yes</v>
      </c>
      <c r="W514" s="1" t="s">
        <v>3976</v>
      </c>
      <c r="X514" s="1" t="str">
        <f>IF(COUNTIF('MyWells Drilling Comp'!F:F,E514)=0,"Missing","Exist")</f>
        <v>Exist</v>
      </c>
    </row>
    <row r="515" hidden="1" spans="1:24">
      <c r="A515" s="1" t="s">
        <v>1652</v>
      </c>
      <c r="B515" s="1" t="s">
        <v>90</v>
      </c>
      <c r="C515" s="1" t="s">
        <v>3977</v>
      </c>
      <c r="D515" s="1" t="s">
        <v>3973</v>
      </c>
      <c r="E515" s="2" t="s">
        <v>1284</v>
      </c>
      <c r="F515" s="2" t="s">
        <v>3978</v>
      </c>
      <c r="G515" s="1">
        <v>1</v>
      </c>
      <c r="H515" s="1" t="s">
        <v>1663</v>
      </c>
      <c r="I515" s="1" t="s">
        <v>1657</v>
      </c>
      <c r="J515" s="1" t="s">
        <v>1658</v>
      </c>
      <c r="K515" s="1" t="s">
        <v>1658</v>
      </c>
      <c r="L515" s="1" t="s">
        <v>1658</v>
      </c>
      <c r="M515" s="1" t="s">
        <v>1658</v>
      </c>
      <c r="N515" s="1" t="s">
        <v>1658</v>
      </c>
      <c r="O515" s="1" t="s">
        <v>1658</v>
      </c>
      <c r="P515" s="1">
        <v>1</v>
      </c>
      <c r="Q515" s="1" t="s">
        <v>1658</v>
      </c>
      <c r="R515" s="1">
        <v>0</v>
      </c>
      <c r="S515" s="1" t="s">
        <v>3979</v>
      </c>
      <c r="T515" s="6" t="s">
        <v>3979</v>
      </c>
      <c r="U515" s="1" t="str">
        <f t="shared" si="8"/>
        <v>Yes</v>
      </c>
      <c r="W515" s="1" t="s">
        <v>3980</v>
      </c>
      <c r="X515" s="1" t="str">
        <f>IF(COUNTIF('MyWells Drilling Comp'!F:F,E515)=0,"Missing","Exist")</f>
        <v>Exist</v>
      </c>
    </row>
    <row r="516" hidden="1" spans="1:24">
      <c r="A516" s="1" t="s">
        <v>1652</v>
      </c>
      <c r="B516" s="1" t="s">
        <v>90</v>
      </c>
      <c r="C516" s="1" t="s">
        <v>3981</v>
      </c>
      <c r="D516" s="1" t="s">
        <v>3982</v>
      </c>
      <c r="E516" s="2" t="s">
        <v>1098</v>
      </c>
      <c r="F516" s="2" t="s">
        <v>3983</v>
      </c>
      <c r="G516" s="1">
        <v>1</v>
      </c>
      <c r="H516" s="1" t="s">
        <v>1656</v>
      </c>
      <c r="I516" s="1" t="s">
        <v>1657</v>
      </c>
      <c r="J516" s="1" t="s">
        <v>1658</v>
      </c>
      <c r="K516" s="1" t="s">
        <v>1658</v>
      </c>
      <c r="L516" s="1" t="s">
        <v>1658</v>
      </c>
      <c r="M516" s="1" t="s">
        <v>1658</v>
      </c>
      <c r="N516" s="1" t="s">
        <v>1658</v>
      </c>
      <c r="O516" s="1" t="s">
        <v>1658</v>
      </c>
      <c r="P516" s="1">
        <v>1</v>
      </c>
      <c r="Q516" s="1" t="s">
        <v>1658</v>
      </c>
      <c r="R516" s="1">
        <v>0</v>
      </c>
      <c r="S516" s="1" t="s">
        <v>3984</v>
      </c>
      <c r="T516" s="6" t="s">
        <v>3984</v>
      </c>
      <c r="U516" s="1" t="str">
        <f t="shared" si="8"/>
        <v>Yes</v>
      </c>
      <c r="W516" s="1" t="s">
        <v>3985</v>
      </c>
      <c r="X516" s="1" t="str">
        <f>IF(COUNTIF('MyWells Drilling Comp'!F:F,E516)=0,"Missing","Exist")</f>
        <v>Exist</v>
      </c>
    </row>
    <row r="517" hidden="1" spans="1:24">
      <c r="A517" s="1" t="s">
        <v>1652</v>
      </c>
      <c r="B517" s="1" t="s">
        <v>90</v>
      </c>
      <c r="C517" s="1" t="s">
        <v>3986</v>
      </c>
      <c r="D517" s="1" t="s">
        <v>3982</v>
      </c>
      <c r="E517" s="2" t="s">
        <v>1098</v>
      </c>
      <c r="F517" s="2" t="s">
        <v>3987</v>
      </c>
      <c r="G517" s="1">
        <v>1</v>
      </c>
      <c r="H517" s="1" t="s">
        <v>1663</v>
      </c>
      <c r="I517" s="1" t="s">
        <v>1657</v>
      </c>
      <c r="J517" s="1" t="s">
        <v>1658</v>
      </c>
      <c r="K517" s="1" t="s">
        <v>1658</v>
      </c>
      <c r="L517" s="1" t="s">
        <v>1658</v>
      </c>
      <c r="M517" s="1" t="s">
        <v>1658</v>
      </c>
      <c r="N517" s="1" t="s">
        <v>1658</v>
      </c>
      <c r="O517" s="1" t="s">
        <v>1658</v>
      </c>
      <c r="P517" s="1">
        <v>1</v>
      </c>
      <c r="Q517" s="1" t="s">
        <v>1658</v>
      </c>
      <c r="R517" s="1">
        <v>0</v>
      </c>
      <c r="S517" s="1" t="s">
        <v>3988</v>
      </c>
      <c r="T517" s="6" t="s">
        <v>3988</v>
      </c>
      <c r="U517" s="1" t="str">
        <f t="shared" si="8"/>
        <v>Yes</v>
      </c>
      <c r="W517" s="1" t="s">
        <v>3989</v>
      </c>
      <c r="X517" s="1" t="str">
        <f>IF(COUNTIF('MyWells Drilling Comp'!F:F,E517)=0,"Missing","Exist")</f>
        <v>Exist</v>
      </c>
    </row>
    <row r="518" hidden="1" spans="1:24">
      <c r="A518" s="1" t="s">
        <v>1652</v>
      </c>
      <c r="B518" s="1" t="s">
        <v>90</v>
      </c>
      <c r="C518" s="1" t="s">
        <v>3990</v>
      </c>
      <c r="D518" s="1" t="s">
        <v>3991</v>
      </c>
      <c r="E518" s="2" t="s">
        <v>1093</v>
      </c>
      <c r="F518" s="2" t="s">
        <v>3992</v>
      </c>
      <c r="G518" s="1">
        <v>1</v>
      </c>
      <c r="H518" s="1" t="s">
        <v>1656</v>
      </c>
      <c r="I518" s="1" t="s">
        <v>1657</v>
      </c>
      <c r="J518" s="1" t="s">
        <v>1658</v>
      </c>
      <c r="K518" s="1" t="s">
        <v>1658</v>
      </c>
      <c r="L518" s="1" t="s">
        <v>1658</v>
      </c>
      <c r="M518" s="1" t="s">
        <v>1658</v>
      </c>
      <c r="N518" s="1" t="s">
        <v>1658</v>
      </c>
      <c r="O518" s="1" t="s">
        <v>1658</v>
      </c>
      <c r="P518" s="1">
        <v>1</v>
      </c>
      <c r="Q518" s="1" t="s">
        <v>1658</v>
      </c>
      <c r="R518" s="1">
        <v>0</v>
      </c>
      <c r="S518" s="1" t="s">
        <v>3993</v>
      </c>
      <c r="T518" s="6"/>
      <c r="U518" s="1" t="str">
        <f t="shared" si="8"/>
        <v>No</v>
      </c>
      <c r="W518" s="1" t="s">
        <v>3994</v>
      </c>
      <c r="X518" s="1" t="str">
        <f>IF(COUNTIF('MyWells Drilling Comp'!F:F,E518)=0,"Missing","Exist")</f>
        <v>Exist</v>
      </c>
    </row>
    <row r="519" hidden="1" spans="1:24">
      <c r="A519" s="1" t="s">
        <v>1652</v>
      </c>
      <c r="B519" s="1" t="s">
        <v>90</v>
      </c>
      <c r="C519" s="1" t="s">
        <v>3995</v>
      </c>
      <c r="D519" s="1" t="s">
        <v>3991</v>
      </c>
      <c r="E519" s="2" t="s">
        <v>1093</v>
      </c>
      <c r="F519" s="2" t="s">
        <v>3996</v>
      </c>
      <c r="G519" s="1">
        <v>1</v>
      </c>
      <c r="H519" s="1" t="s">
        <v>1663</v>
      </c>
      <c r="I519" s="1" t="s">
        <v>1657</v>
      </c>
      <c r="J519" s="1" t="s">
        <v>1658</v>
      </c>
      <c r="K519" s="1" t="s">
        <v>1658</v>
      </c>
      <c r="L519" s="1" t="s">
        <v>1658</v>
      </c>
      <c r="M519" s="1" t="s">
        <v>1658</v>
      </c>
      <c r="N519" s="1" t="s">
        <v>1658</v>
      </c>
      <c r="O519" s="1" t="s">
        <v>1658</v>
      </c>
      <c r="P519" s="1">
        <v>1</v>
      </c>
      <c r="Q519" s="1" t="s">
        <v>1658</v>
      </c>
      <c r="R519" s="1">
        <v>0</v>
      </c>
      <c r="S519" s="1" t="s">
        <v>3997</v>
      </c>
      <c r="T519" s="6" t="s">
        <v>3997</v>
      </c>
      <c r="U519" s="1" t="str">
        <f t="shared" si="8"/>
        <v>Yes</v>
      </c>
      <c r="W519" s="1" t="s">
        <v>3998</v>
      </c>
      <c r="X519" s="1" t="str">
        <f>IF(COUNTIF('MyWells Drilling Comp'!F:F,E519)=0,"Missing","Exist")</f>
        <v>Exist</v>
      </c>
    </row>
    <row r="520" hidden="1" spans="1:24">
      <c r="A520" s="1" t="s">
        <v>1652</v>
      </c>
      <c r="B520" s="1" t="s">
        <v>90</v>
      </c>
      <c r="C520" s="1" t="s">
        <v>3999</v>
      </c>
      <c r="D520" s="1" t="s">
        <v>4000</v>
      </c>
      <c r="E520" s="2" t="s">
        <v>1507</v>
      </c>
      <c r="F520" s="2" t="s">
        <v>4001</v>
      </c>
      <c r="G520" s="1">
        <v>1</v>
      </c>
      <c r="H520" s="1" t="s">
        <v>1663</v>
      </c>
      <c r="I520" s="1" t="s">
        <v>1657</v>
      </c>
      <c r="J520" s="1" t="s">
        <v>1658</v>
      </c>
      <c r="K520" s="1" t="s">
        <v>1658</v>
      </c>
      <c r="L520" s="1" t="s">
        <v>1658</v>
      </c>
      <c r="M520" s="1" t="s">
        <v>1658</v>
      </c>
      <c r="N520" s="1" t="s">
        <v>1658</v>
      </c>
      <c r="O520" s="1" t="s">
        <v>1658</v>
      </c>
      <c r="P520" s="1">
        <v>1</v>
      </c>
      <c r="Q520" s="1" t="s">
        <v>1658</v>
      </c>
      <c r="R520" s="1">
        <v>0</v>
      </c>
      <c r="S520" s="1" t="s">
        <v>4002</v>
      </c>
      <c r="T520" s="6" t="s">
        <v>4002</v>
      </c>
      <c r="U520" s="1" t="str">
        <f t="shared" si="8"/>
        <v>Yes</v>
      </c>
      <c r="W520" s="1" t="s">
        <v>4003</v>
      </c>
      <c r="X520" s="1" t="str">
        <f>IF(COUNTIF('MyWells Drilling Comp'!F:F,E520)=0,"Missing","Exist")</f>
        <v>Exist</v>
      </c>
    </row>
    <row r="521" hidden="1" spans="1:24">
      <c r="A521" s="1" t="s">
        <v>1652</v>
      </c>
      <c r="B521" s="1" t="s">
        <v>90</v>
      </c>
      <c r="C521" s="1" t="s">
        <v>4004</v>
      </c>
      <c r="D521" s="1" t="s">
        <v>4000</v>
      </c>
      <c r="E521" s="2" t="s">
        <v>1507</v>
      </c>
      <c r="F521" s="2" t="s">
        <v>4005</v>
      </c>
      <c r="G521" s="1">
        <v>1</v>
      </c>
      <c r="H521" s="1" t="s">
        <v>1656</v>
      </c>
      <c r="I521" s="1" t="s">
        <v>1657</v>
      </c>
      <c r="J521" s="1" t="s">
        <v>1658</v>
      </c>
      <c r="K521" s="1" t="s">
        <v>1658</v>
      </c>
      <c r="L521" s="1" t="s">
        <v>1658</v>
      </c>
      <c r="M521" s="1" t="s">
        <v>1658</v>
      </c>
      <c r="N521" s="1" t="s">
        <v>1658</v>
      </c>
      <c r="O521" s="1" t="s">
        <v>1658</v>
      </c>
      <c r="P521" s="1">
        <v>1</v>
      </c>
      <c r="Q521" s="1" t="s">
        <v>1658</v>
      </c>
      <c r="R521" s="1">
        <v>0</v>
      </c>
      <c r="S521" s="1" t="s">
        <v>4006</v>
      </c>
      <c r="T521" s="6" t="s">
        <v>4006</v>
      </c>
      <c r="U521" s="1" t="str">
        <f t="shared" si="8"/>
        <v>Yes</v>
      </c>
      <c r="W521" s="1" t="s">
        <v>4007</v>
      </c>
      <c r="X521" s="1" t="str">
        <f>IF(COUNTIF('MyWells Drilling Comp'!F:F,E521)=0,"Missing","Exist")</f>
        <v>Exist</v>
      </c>
    </row>
    <row r="522" hidden="1" spans="1:24">
      <c r="A522" s="1" t="s">
        <v>1652</v>
      </c>
      <c r="B522" s="1" t="s">
        <v>90</v>
      </c>
      <c r="C522" s="1" t="s">
        <v>4008</v>
      </c>
      <c r="D522" s="1" t="s">
        <v>4009</v>
      </c>
      <c r="E522" s="2" t="s">
        <v>1014</v>
      </c>
      <c r="F522" s="2" t="s">
        <v>4010</v>
      </c>
      <c r="G522" s="1">
        <v>1</v>
      </c>
      <c r="H522" s="1" t="s">
        <v>1656</v>
      </c>
      <c r="I522" s="1" t="s">
        <v>1657</v>
      </c>
      <c r="J522" s="1" t="s">
        <v>1658</v>
      </c>
      <c r="K522" s="1" t="s">
        <v>1658</v>
      </c>
      <c r="L522" s="1" t="s">
        <v>1658</v>
      </c>
      <c r="M522" s="1" t="s">
        <v>1658</v>
      </c>
      <c r="N522" s="1" t="s">
        <v>1658</v>
      </c>
      <c r="O522" s="1" t="s">
        <v>1658</v>
      </c>
      <c r="P522" s="1">
        <v>1</v>
      </c>
      <c r="Q522" s="1" t="s">
        <v>1658</v>
      </c>
      <c r="R522" s="1">
        <v>0</v>
      </c>
      <c r="S522" s="1" t="s">
        <v>4011</v>
      </c>
      <c r="T522" s="6" t="s">
        <v>4011</v>
      </c>
      <c r="U522" s="1" t="str">
        <f t="shared" si="8"/>
        <v>Yes</v>
      </c>
      <c r="W522" s="1" t="s">
        <v>4012</v>
      </c>
      <c r="X522" s="1" t="str">
        <f>IF(COUNTIF('MyWells Drilling Comp'!F:F,E522)=0,"Missing","Exist")</f>
        <v>Exist</v>
      </c>
    </row>
    <row r="523" hidden="1" spans="1:24">
      <c r="A523" s="1" t="s">
        <v>1652</v>
      </c>
      <c r="B523" s="1" t="s">
        <v>90</v>
      </c>
      <c r="C523" s="1" t="s">
        <v>4013</v>
      </c>
      <c r="D523" s="1" t="s">
        <v>4009</v>
      </c>
      <c r="E523" s="2" t="s">
        <v>1014</v>
      </c>
      <c r="F523" s="2" t="s">
        <v>4014</v>
      </c>
      <c r="G523" s="1">
        <v>1</v>
      </c>
      <c r="H523" s="1" t="s">
        <v>1663</v>
      </c>
      <c r="I523" s="1" t="s">
        <v>1657</v>
      </c>
      <c r="J523" s="1" t="s">
        <v>1658</v>
      </c>
      <c r="K523" s="1" t="s">
        <v>1658</v>
      </c>
      <c r="L523" s="1" t="s">
        <v>1658</v>
      </c>
      <c r="M523" s="1" t="s">
        <v>1658</v>
      </c>
      <c r="N523" s="1" t="s">
        <v>1658</v>
      </c>
      <c r="O523" s="1" t="s">
        <v>1658</v>
      </c>
      <c r="P523" s="1">
        <v>1</v>
      </c>
      <c r="Q523" s="1" t="s">
        <v>1658</v>
      </c>
      <c r="R523" s="1">
        <v>0</v>
      </c>
      <c r="S523" s="1" t="s">
        <v>4015</v>
      </c>
      <c r="T523" s="6" t="s">
        <v>4015</v>
      </c>
      <c r="U523" s="1" t="str">
        <f t="shared" si="8"/>
        <v>Yes</v>
      </c>
      <c r="W523" s="1" t="s">
        <v>4016</v>
      </c>
      <c r="X523" s="1" t="str">
        <f>IF(COUNTIF('MyWells Drilling Comp'!F:F,E523)=0,"Missing","Exist")</f>
        <v>Exist</v>
      </c>
    </row>
    <row r="524" hidden="1" spans="1:24">
      <c r="A524" s="1" t="s">
        <v>1652</v>
      </c>
      <c r="B524" s="1" t="s">
        <v>90</v>
      </c>
      <c r="C524" s="1" t="s">
        <v>4017</v>
      </c>
      <c r="D524" s="1" t="s">
        <v>4018</v>
      </c>
      <c r="E524" s="2" t="s">
        <v>913</v>
      </c>
      <c r="F524" s="2" t="s">
        <v>4019</v>
      </c>
      <c r="G524" s="1">
        <v>1</v>
      </c>
      <c r="H524" s="1" t="s">
        <v>1663</v>
      </c>
      <c r="I524" s="1" t="s">
        <v>1657</v>
      </c>
      <c r="J524" s="1" t="s">
        <v>1658</v>
      </c>
      <c r="K524" s="1" t="s">
        <v>1658</v>
      </c>
      <c r="L524" s="1" t="s">
        <v>1658</v>
      </c>
      <c r="M524" s="1" t="s">
        <v>1658</v>
      </c>
      <c r="N524" s="1" t="s">
        <v>1658</v>
      </c>
      <c r="O524" s="1" t="s">
        <v>1658</v>
      </c>
      <c r="P524" s="1">
        <v>1</v>
      </c>
      <c r="Q524" s="1" t="s">
        <v>1658</v>
      </c>
      <c r="R524" s="1">
        <v>0</v>
      </c>
      <c r="S524" s="1" t="s">
        <v>4020</v>
      </c>
      <c r="T524" s="6" t="s">
        <v>4020</v>
      </c>
      <c r="U524" s="1" t="str">
        <f t="shared" si="8"/>
        <v>Yes</v>
      </c>
      <c r="W524" s="1" t="s">
        <v>4021</v>
      </c>
      <c r="X524" s="1" t="str">
        <f>IF(COUNTIF('MyWells Drilling Comp'!F:F,E524)=0,"Missing","Exist")</f>
        <v>Exist</v>
      </c>
    </row>
    <row r="525" hidden="1" spans="1:24">
      <c r="A525" s="1" t="s">
        <v>1652</v>
      </c>
      <c r="B525" s="1" t="s">
        <v>90</v>
      </c>
      <c r="C525" s="1" t="s">
        <v>4022</v>
      </c>
      <c r="D525" s="1" t="s">
        <v>4018</v>
      </c>
      <c r="E525" s="2" t="s">
        <v>913</v>
      </c>
      <c r="F525" s="2" t="s">
        <v>4023</v>
      </c>
      <c r="G525" s="1">
        <v>1</v>
      </c>
      <c r="H525" s="1" t="s">
        <v>1656</v>
      </c>
      <c r="I525" s="1" t="s">
        <v>1657</v>
      </c>
      <c r="J525" s="1" t="s">
        <v>1658</v>
      </c>
      <c r="K525" s="1" t="s">
        <v>1658</v>
      </c>
      <c r="L525" s="1" t="s">
        <v>1658</v>
      </c>
      <c r="M525" s="1" t="s">
        <v>1658</v>
      </c>
      <c r="N525" s="1" t="s">
        <v>1658</v>
      </c>
      <c r="O525" s="1" t="s">
        <v>1658</v>
      </c>
      <c r="P525" s="1">
        <v>1</v>
      </c>
      <c r="Q525" s="1" t="s">
        <v>1658</v>
      </c>
      <c r="R525" s="1">
        <v>0</v>
      </c>
      <c r="S525" s="1" t="s">
        <v>4024</v>
      </c>
      <c r="T525" s="6" t="s">
        <v>4024</v>
      </c>
      <c r="U525" s="1" t="str">
        <f t="shared" si="8"/>
        <v>Yes</v>
      </c>
      <c r="W525" s="1" t="s">
        <v>4025</v>
      </c>
      <c r="X525" s="1" t="str">
        <f>IF(COUNTIF('MyWells Drilling Comp'!F:F,E525)=0,"Missing","Exist")</f>
        <v>Exist</v>
      </c>
    </row>
    <row r="526" hidden="1" spans="1:24">
      <c r="A526" s="1" t="s">
        <v>1652</v>
      </c>
      <c r="B526" s="1" t="s">
        <v>90</v>
      </c>
      <c r="C526" s="1" t="s">
        <v>4026</v>
      </c>
      <c r="D526" s="1" t="s">
        <v>4027</v>
      </c>
      <c r="E526" s="2" t="s">
        <v>1056</v>
      </c>
      <c r="F526" s="2" t="s">
        <v>4028</v>
      </c>
      <c r="G526" s="1">
        <v>1</v>
      </c>
      <c r="H526" s="1" t="s">
        <v>1656</v>
      </c>
      <c r="I526" s="1" t="s">
        <v>1657</v>
      </c>
      <c r="J526" s="1" t="s">
        <v>1658</v>
      </c>
      <c r="K526" s="1" t="s">
        <v>1658</v>
      </c>
      <c r="L526" s="1" t="s">
        <v>1658</v>
      </c>
      <c r="M526" s="1" t="s">
        <v>1658</v>
      </c>
      <c r="N526" s="1" t="s">
        <v>1658</v>
      </c>
      <c r="O526" s="1" t="s">
        <v>1658</v>
      </c>
      <c r="P526" s="1">
        <v>1</v>
      </c>
      <c r="Q526" s="1" t="s">
        <v>1658</v>
      </c>
      <c r="R526" s="1">
        <v>0</v>
      </c>
      <c r="S526" s="1" t="s">
        <v>4029</v>
      </c>
      <c r="T526" s="6"/>
      <c r="U526" s="1" t="str">
        <f t="shared" si="8"/>
        <v>No</v>
      </c>
      <c r="W526" s="1" t="s">
        <v>4030</v>
      </c>
      <c r="X526" s="1" t="str">
        <f>IF(COUNTIF('MyWells Drilling Comp'!F:F,E526)=0,"Missing","Exist")</f>
        <v>Exist</v>
      </c>
    </row>
    <row r="527" hidden="1" spans="1:24">
      <c r="A527" s="1" t="s">
        <v>1652</v>
      </c>
      <c r="B527" s="1" t="s">
        <v>90</v>
      </c>
      <c r="C527" s="1" t="s">
        <v>4031</v>
      </c>
      <c r="D527" s="1" t="s">
        <v>4027</v>
      </c>
      <c r="E527" s="2" t="s">
        <v>1056</v>
      </c>
      <c r="F527" s="2" t="s">
        <v>4032</v>
      </c>
      <c r="G527" s="1">
        <v>1</v>
      </c>
      <c r="H527" s="1" t="s">
        <v>1663</v>
      </c>
      <c r="I527" s="1" t="s">
        <v>1657</v>
      </c>
      <c r="J527" s="1" t="s">
        <v>1658</v>
      </c>
      <c r="K527" s="1" t="s">
        <v>1658</v>
      </c>
      <c r="L527" s="1" t="s">
        <v>1658</v>
      </c>
      <c r="M527" s="1" t="s">
        <v>1658</v>
      </c>
      <c r="N527" s="1" t="s">
        <v>1658</v>
      </c>
      <c r="O527" s="1" t="s">
        <v>1658</v>
      </c>
      <c r="P527" s="1">
        <v>1</v>
      </c>
      <c r="Q527" s="1" t="s">
        <v>1658</v>
      </c>
      <c r="R527" s="1">
        <v>0</v>
      </c>
      <c r="S527" s="1" t="s">
        <v>4033</v>
      </c>
      <c r="T527" s="6"/>
      <c r="U527" s="1" t="str">
        <f t="shared" si="8"/>
        <v>No</v>
      </c>
      <c r="W527" s="1" t="s">
        <v>4034</v>
      </c>
      <c r="X527" s="1" t="str">
        <f>IF(COUNTIF('MyWells Drilling Comp'!F:F,E527)=0,"Missing","Exist")</f>
        <v>Exist</v>
      </c>
    </row>
    <row r="528" hidden="1" spans="1:24">
      <c r="A528" s="1" t="s">
        <v>1652</v>
      </c>
      <c r="B528" s="1" t="s">
        <v>90</v>
      </c>
      <c r="C528" s="1" t="s">
        <v>4035</v>
      </c>
      <c r="D528" s="1" t="s">
        <v>4036</v>
      </c>
      <c r="E528" s="2" t="s">
        <v>1028</v>
      </c>
      <c r="F528" s="2" t="s">
        <v>4037</v>
      </c>
      <c r="G528" s="1">
        <v>1</v>
      </c>
      <c r="H528" s="1" t="s">
        <v>1656</v>
      </c>
      <c r="I528" s="1" t="s">
        <v>1657</v>
      </c>
      <c r="J528" s="1" t="s">
        <v>1658</v>
      </c>
      <c r="K528" s="1" t="s">
        <v>1658</v>
      </c>
      <c r="L528" s="1" t="s">
        <v>1658</v>
      </c>
      <c r="M528" s="1" t="s">
        <v>1658</v>
      </c>
      <c r="N528" s="1" t="s">
        <v>1658</v>
      </c>
      <c r="O528" s="1" t="s">
        <v>1658</v>
      </c>
      <c r="P528" s="1">
        <v>1</v>
      </c>
      <c r="Q528" s="1" t="s">
        <v>1658</v>
      </c>
      <c r="R528" s="1">
        <v>0</v>
      </c>
      <c r="S528" s="1" t="s">
        <v>4038</v>
      </c>
      <c r="T528" s="6" t="s">
        <v>4038</v>
      </c>
      <c r="U528" s="1" t="str">
        <f t="shared" si="8"/>
        <v>Yes</v>
      </c>
      <c r="W528" s="1" t="s">
        <v>4039</v>
      </c>
      <c r="X528" s="1" t="str">
        <f>IF(COUNTIF('MyWells Drilling Comp'!F:F,E528)=0,"Missing","Exist")</f>
        <v>Exist</v>
      </c>
    </row>
    <row r="529" hidden="1" spans="1:24">
      <c r="A529" s="1" t="s">
        <v>1652</v>
      </c>
      <c r="B529" s="1" t="s">
        <v>90</v>
      </c>
      <c r="C529" s="1" t="s">
        <v>4040</v>
      </c>
      <c r="D529" s="1" t="s">
        <v>4036</v>
      </c>
      <c r="E529" s="2" t="s">
        <v>1028</v>
      </c>
      <c r="F529" s="2" t="s">
        <v>4041</v>
      </c>
      <c r="G529" s="1">
        <v>1</v>
      </c>
      <c r="H529" s="1" t="s">
        <v>1663</v>
      </c>
      <c r="I529" s="1" t="s">
        <v>1657</v>
      </c>
      <c r="J529" s="1" t="s">
        <v>1658</v>
      </c>
      <c r="K529" s="1" t="s">
        <v>1658</v>
      </c>
      <c r="L529" s="1" t="s">
        <v>1658</v>
      </c>
      <c r="M529" s="1" t="s">
        <v>1658</v>
      </c>
      <c r="N529" s="1" t="s">
        <v>1658</v>
      </c>
      <c r="O529" s="1" t="s">
        <v>1658</v>
      </c>
      <c r="P529" s="1">
        <v>1</v>
      </c>
      <c r="Q529" s="1" t="s">
        <v>1658</v>
      </c>
      <c r="R529" s="1">
        <v>0</v>
      </c>
      <c r="S529" s="1" t="s">
        <v>4042</v>
      </c>
      <c r="T529" s="6" t="s">
        <v>4042</v>
      </c>
      <c r="U529" s="1" t="str">
        <f t="shared" si="8"/>
        <v>Yes</v>
      </c>
      <c r="W529" s="1" t="s">
        <v>4043</v>
      </c>
      <c r="X529" s="1" t="str">
        <f>IF(COUNTIF('MyWells Drilling Comp'!F:F,E529)=0,"Missing","Exist")</f>
        <v>Exist</v>
      </c>
    </row>
    <row r="530" hidden="1" spans="1:24">
      <c r="A530" s="1" t="s">
        <v>1652</v>
      </c>
      <c r="B530" s="1" t="s">
        <v>90</v>
      </c>
      <c r="C530" s="1" t="s">
        <v>4044</v>
      </c>
      <c r="D530" s="1" t="s">
        <v>4045</v>
      </c>
      <c r="E530" s="2" t="s">
        <v>171</v>
      </c>
      <c r="F530" s="2" t="s">
        <v>4046</v>
      </c>
      <c r="G530" s="1">
        <v>1</v>
      </c>
      <c r="H530" s="1" t="s">
        <v>1663</v>
      </c>
      <c r="I530" s="1" t="s">
        <v>1657</v>
      </c>
      <c r="J530" s="1" t="s">
        <v>1658</v>
      </c>
      <c r="K530" s="1" t="s">
        <v>1658</v>
      </c>
      <c r="L530" s="1" t="s">
        <v>1658</v>
      </c>
      <c r="M530" s="1" t="s">
        <v>1658</v>
      </c>
      <c r="N530" s="1" t="s">
        <v>1658</v>
      </c>
      <c r="O530" s="1" t="s">
        <v>1658</v>
      </c>
      <c r="P530" s="1">
        <v>1</v>
      </c>
      <c r="Q530" s="1" t="s">
        <v>1658</v>
      </c>
      <c r="R530" s="1">
        <v>0</v>
      </c>
      <c r="S530" s="1" t="s">
        <v>4047</v>
      </c>
      <c r="T530" s="6" t="s">
        <v>4047</v>
      </c>
      <c r="U530" s="1" t="str">
        <f t="shared" si="8"/>
        <v>Yes</v>
      </c>
      <c r="W530" s="1" t="s">
        <v>4048</v>
      </c>
      <c r="X530" s="1" t="str">
        <f>IF(COUNTIF('MyWells Drilling Comp'!F:F,E530)=0,"Missing","Exist")</f>
        <v>Exist</v>
      </c>
    </row>
    <row r="531" hidden="1" spans="1:24">
      <c r="A531" s="1" t="s">
        <v>1652</v>
      </c>
      <c r="B531" s="1" t="s">
        <v>90</v>
      </c>
      <c r="C531" s="1" t="s">
        <v>4049</v>
      </c>
      <c r="D531" s="1" t="s">
        <v>4045</v>
      </c>
      <c r="E531" s="2" t="s">
        <v>171</v>
      </c>
      <c r="F531" s="2" t="s">
        <v>4050</v>
      </c>
      <c r="G531" s="1">
        <v>1</v>
      </c>
      <c r="H531" s="1" t="s">
        <v>1656</v>
      </c>
      <c r="I531" s="1" t="s">
        <v>1657</v>
      </c>
      <c r="J531" s="1" t="s">
        <v>1658</v>
      </c>
      <c r="K531" s="1" t="s">
        <v>1658</v>
      </c>
      <c r="L531" s="1" t="s">
        <v>1658</v>
      </c>
      <c r="M531" s="1" t="s">
        <v>1658</v>
      </c>
      <c r="N531" s="1" t="s">
        <v>1658</v>
      </c>
      <c r="O531" s="1" t="s">
        <v>1658</v>
      </c>
      <c r="P531" s="1">
        <v>1</v>
      </c>
      <c r="Q531" s="1" t="s">
        <v>1658</v>
      </c>
      <c r="R531" s="1">
        <v>0</v>
      </c>
      <c r="S531" s="1" t="s">
        <v>4051</v>
      </c>
      <c r="T531" s="6" t="s">
        <v>4051</v>
      </c>
      <c r="U531" s="1" t="str">
        <f t="shared" si="8"/>
        <v>Yes</v>
      </c>
      <c r="W531" s="1" t="s">
        <v>4052</v>
      </c>
      <c r="X531" s="1" t="str">
        <f>IF(COUNTIF('MyWells Drilling Comp'!F:F,E531)=0,"Missing","Exist")</f>
        <v>Exist</v>
      </c>
    </row>
    <row r="532" hidden="1" spans="1:24">
      <c r="A532" s="1" t="s">
        <v>1652</v>
      </c>
      <c r="B532" s="1" t="s">
        <v>90</v>
      </c>
      <c r="C532" s="1" t="s">
        <v>4053</v>
      </c>
      <c r="D532" s="1" t="s">
        <v>4054</v>
      </c>
      <c r="E532" s="2" t="s">
        <v>971</v>
      </c>
      <c r="F532" s="2" t="s">
        <v>4055</v>
      </c>
      <c r="G532" s="1">
        <v>1</v>
      </c>
      <c r="H532" s="1" t="s">
        <v>1656</v>
      </c>
      <c r="I532" s="1" t="s">
        <v>1657</v>
      </c>
      <c r="J532" s="1" t="s">
        <v>1658</v>
      </c>
      <c r="K532" s="1" t="s">
        <v>1658</v>
      </c>
      <c r="L532" s="1" t="s">
        <v>1658</v>
      </c>
      <c r="M532" s="1" t="s">
        <v>1658</v>
      </c>
      <c r="N532" s="1" t="s">
        <v>1658</v>
      </c>
      <c r="O532" s="1" t="s">
        <v>1658</v>
      </c>
      <c r="P532" s="1">
        <v>1</v>
      </c>
      <c r="Q532" s="1" t="s">
        <v>1658</v>
      </c>
      <c r="R532" s="1">
        <v>0</v>
      </c>
      <c r="S532" s="1" t="s">
        <v>4056</v>
      </c>
      <c r="T532" s="6" t="s">
        <v>4056</v>
      </c>
      <c r="U532" s="1" t="str">
        <f t="shared" si="8"/>
        <v>Yes</v>
      </c>
      <c r="W532" s="1" t="s">
        <v>4057</v>
      </c>
      <c r="X532" s="1" t="str">
        <f>IF(COUNTIF('MyWells Drilling Comp'!F:F,E532)=0,"Missing","Exist")</f>
        <v>Exist</v>
      </c>
    </row>
    <row r="533" hidden="1" spans="1:24">
      <c r="A533" s="1" t="s">
        <v>1652</v>
      </c>
      <c r="B533" s="1" t="s">
        <v>90</v>
      </c>
      <c r="C533" s="1" t="s">
        <v>4058</v>
      </c>
      <c r="D533" s="1" t="s">
        <v>4054</v>
      </c>
      <c r="E533" s="2" t="s">
        <v>971</v>
      </c>
      <c r="F533" s="2" t="s">
        <v>4059</v>
      </c>
      <c r="G533" s="1">
        <v>1</v>
      </c>
      <c r="H533" s="1" t="s">
        <v>1663</v>
      </c>
      <c r="I533" s="1" t="s">
        <v>1657</v>
      </c>
      <c r="J533" s="1" t="s">
        <v>1658</v>
      </c>
      <c r="K533" s="1" t="s">
        <v>1658</v>
      </c>
      <c r="L533" s="1" t="s">
        <v>1658</v>
      </c>
      <c r="M533" s="1" t="s">
        <v>1658</v>
      </c>
      <c r="N533" s="1" t="s">
        <v>1658</v>
      </c>
      <c r="O533" s="1" t="s">
        <v>1658</v>
      </c>
      <c r="P533" s="1">
        <v>1</v>
      </c>
      <c r="Q533" s="1" t="s">
        <v>1658</v>
      </c>
      <c r="R533" s="1">
        <v>0</v>
      </c>
      <c r="S533" s="1" t="s">
        <v>4060</v>
      </c>
      <c r="T533" s="6" t="s">
        <v>4060</v>
      </c>
      <c r="U533" s="1" t="str">
        <f t="shared" si="8"/>
        <v>Yes</v>
      </c>
      <c r="W533" s="1" t="s">
        <v>4061</v>
      </c>
      <c r="X533" s="1" t="str">
        <f>IF(COUNTIF('MyWells Drilling Comp'!F:F,E533)=0,"Missing","Exist")</f>
        <v>Exist</v>
      </c>
    </row>
    <row r="534" hidden="1" spans="1:24">
      <c r="A534" s="1" t="s">
        <v>1652</v>
      </c>
      <c r="B534" s="1" t="s">
        <v>90</v>
      </c>
      <c r="C534" s="1" t="s">
        <v>4062</v>
      </c>
      <c r="D534" s="1" t="s">
        <v>4063</v>
      </c>
      <c r="E534" s="2" t="s">
        <v>1050</v>
      </c>
      <c r="F534" s="2" t="s">
        <v>4064</v>
      </c>
      <c r="G534" s="1">
        <v>1</v>
      </c>
      <c r="H534" s="1" t="s">
        <v>1656</v>
      </c>
      <c r="I534" s="1" t="s">
        <v>1657</v>
      </c>
      <c r="J534" s="1" t="s">
        <v>1658</v>
      </c>
      <c r="K534" s="1" t="s">
        <v>1658</v>
      </c>
      <c r="L534" s="1" t="s">
        <v>1658</v>
      </c>
      <c r="M534" s="1" t="s">
        <v>1658</v>
      </c>
      <c r="N534" s="1" t="s">
        <v>1658</v>
      </c>
      <c r="O534" s="1" t="s">
        <v>1658</v>
      </c>
      <c r="P534" s="1">
        <v>1</v>
      </c>
      <c r="Q534" s="1" t="s">
        <v>1658</v>
      </c>
      <c r="R534" s="1">
        <v>0</v>
      </c>
      <c r="S534" s="1" t="s">
        <v>4065</v>
      </c>
      <c r="T534" s="6" t="s">
        <v>4065</v>
      </c>
      <c r="U534" s="1" t="str">
        <f t="shared" si="8"/>
        <v>Yes</v>
      </c>
      <c r="W534" s="1" t="s">
        <v>4066</v>
      </c>
      <c r="X534" s="1" t="str">
        <f>IF(COUNTIF('MyWells Drilling Comp'!F:F,E534)=0,"Missing","Exist")</f>
        <v>Exist</v>
      </c>
    </row>
    <row r="535" hidden="1" spans="1:24">
      <c r="A535" s="1" t="s">
        <v>1652</v>
      </c>
      <c r="B535" s="1" t="s">
        <v>90</v>
      </c>
      <c r="C535" s="1" t="s">
        <v>4067</v>
      </c>
      <c r="D535" s="1" t="s">
        <v>4063</v>
      </c>
      <c r="E535" s="2" t="s">
        <v>1050</v>
      </c>
      <c r="F535" s="2" t="s">
        <v>4068</v>
      </c>
      <c r="G535" s="1">
        <v>1</v>
      </c>
      <c r="H535" s="1" t="s">
        <v>1663</v>
      </c>
      <c r="I535" s="1" t="s">
        <v>1657</v>
      </c>
      <c r="J535" s="1" t="s">
        <v>1658</v>
      </c>
      <c r="K535" s="1" t="s">
        <v>1658</v>
      </c>
      <c r="L535" s="1" t="s">
        <v>1658</v>
      </c>
      <c r="M535" s="1" t="s">
        <v>1658</v>
      </c>
      <c r="N535" s="1" t="s">
        <v>1658</v>
      </c>
      <c r="O535" s="1" t="s">
        <v>1658</v>
      </c>
      <c r="P535" s="1">
        <v>1</v>
      </c>
      <c r="Q535" s="1" t="s">
        <v>1658</v>
      </c>
      <c r="R535" s="1">
        <v>0</v>
      </c>
      <c r="S535" s="1" t="s">
        <v>4069</v>
      </c>
      <c r="T535" s="6" t="s">
        <v>4069</v>
      </c>
      <c r="U535" s="1" t="str">
        <f t="shared" si="8"/>
        <v>Yes</v>
      </c>
      <c r="W535" s="1" t="s">
        <v>4070</v>
      </c>
      <c r="X535" s="1" t="str">
        <f>IF(COUNTIF('MyWells Drilling Comp'!F:F,E535)=0,"Missing","Exist")</f>
        <v>Exist</v>
      </c>
    </row>
    <row r="536" hidden="1" spans="1:24">
      <c r="A536" s="1" t="s">
        <v>1652</v>
      </c>
      <c r="B536" s="1" t="s">
        <v>90</v>
      </c>
      <c r="C536" s="1" t="s">
        <v>4071</v>
      </c>
      <c r="D536" s="1" t="s">
        <v>4072</v>
      </c>
      <c r="E536" s="1" t="s">
        <v>1209</v>
      </c>
      <c r="F536" s="1" t="s">
        <v>4073</v>
      </c>
      <c r="G536" s="1">
        <v>1</v>
      </c>
      <c r="H536" s="1" t="s">
        <v>1656</v>
      </c>
      <c r="I536" s="1" t="s">
        <v>1657</v>
      </c>
      <c r="J536" s="1" t="s">
        <v>1658</v>
      </c>
      <c r="K536" s="1" t="s">
        <v>1658</v>
      </c>
      <c r="L536" s="1" t="s">
        <v>1658</v>
      </c>
      <c r="M536" s="1" t="s">
        <v>1658</v>
      </c>
      <c r="N536" s="1" t="s">
        <v>1658</v>
      </c>
      <c r="O536" s="1" t="s">
        <v>1658</v>
      </c>
      <c r="P536" s="1">
        <v>1</v>
      </c>
      <c r="Q536" s="1" t="s">
        <v>1658</v>
      </c>
      <c r="R536" s="1">
        <v>0</v>
      </c>
      <c r="S536" s="1" t="s">
        <v>4074</v>
      </c>
      <c r="T536" s="6" t="s">
        <v>4075</v>
      </c>
      <c r="U536" s="1" t="str">
        <f t="shared" si="8"/>
        <v>No</v>
      </c>
      <c r="W536" s="1" t="s">
        <v>4076</v>
      </c>
      <c r="X536" s="1" t="str">
        <f>IF(COUNTIF('MyWells Drilling Comp'!F:F,E536)=0,"Missing","Exist")</f>
        <v>Exist</v>
      </c>
    </row>
    <row r="537" hidden="1" spans="1:24">
      <c r="A537" s="1" t="s">
        <v>3044</v>
      </c>
      <c r="B537" s="1" t="s">
        <v>90</v>
      </c>
      <c r="C537" s="1" t="s">
        <v>4077</v>
      </c>
      <c r="D537" s="1" t="s">
        <v>4072</v>
      </c>
      <c r="E537" s="2" t="s">
        <v>1209</v>
      </c>
      <c r="F537" s="2" t="s">
        <v>4078</v>
      </c>
      <c r="G537" s="1">
        <v>1</v>
      </c>
      <c r="H537" s="1" t="s">
        <v>1663</v>
      </c>
      <c r="I537" s="1" t="s">
        <v>1657</v>
      </c>
      <c r="J537" s="1" t="s">
        <v>1658</v>
      </c>
      <c r="K537" s="1" t="s">
        <v>1658</v>
      </c>
      <c r="L537" s="1" t="s">
        <v>1658</v>
      </c>
      <c r="M537" s="1" t="s">
        <v>1658</v>
      </c>
      <c r="N537" s="1" t="s">
        <v>1658</v>
      </c>
      <c r="O537" s="1" t="s">
        <v>1658</v>
      </c>
      <c r="P537" s="1">
        <v>1</v>
      </c>
      <c r="Q537" s="1" t="s">
        <v>1658</v>
      </c>
      <c r="R537" s="1">
        <v>0</v>
      </c>
      <c r="S537" s="1" t="s">
        <v>4079</v>
      </c>
      <c r="T537" s="6"/>
      <c r="U537" s="1" t="str">
        <f t="shared" si="8"/>
        <v>No</v>
      </c>
      <c r="W537" s="1" t="s">
        <v>4080</v>
      </c>
      <c r="X537" s="1" t="str">
        <f>IF(COUNTIF('MyWells Drilling Comp'!F:F,E537)=0,"Missing","Exist")</f>
        <v>Exist</v>
      </c>
    </row>
    <row r="538" spans="1:24">
      <c r="A538" s="1" t="s">
        <v>1652</v>
      </c>
      <c r="B538" s="1" t="s">
        <v>90</v>
      </c>
      <c r="C538" s="1" t="s">
        <v>4081</v>
      </c>
      <c r="D538" s="1" t="s">
        <v>4082</v>
      </c>
      <c r="E538" s="2" t="s">
        <v>4083</v>
      </c>
      <c r="F538" s="2" t="s">
        <v>4084</v>
      </c>
      <c r="G538" s="1">
        <v>1</v>
      </c>
      <c r="H538" s="1" t="s">
        <v>1663</v>
      </c>
      <c r="I538" s="1" t="s">
        <v>1657</v>
      </c>
      <c r="J538" s="1" t="s">
        <v>1658</v>
      </c>
      <c r="K538" s="1" t="s">
        <v>1658</v>
      </c>
      <c r="L538" s="1" t="s">
        <v>1658</v>
      </c>
      <c r="M538" s="1" t="s">
        <v>1658</v>
      </c>
      <c r="N538" s="1" t="s">
        <v>1658</v>
      </c>
      <c r="O538" s="1" t="s">
        <v>1658</v>
      </c>
      <c r="P538" s="1">
        <v>1</v>
      </c>
      <c r="Q538" s="1" t="s">
        <v>1658</v>
      </c>
      <c r="R538" s="1">
        <v>0</v>
      </c>
      <c r="S538" s="1" t="s">
        <v>4085</v>
      </c>
      <c r="T538" s="6" t="s">
        <v>4086</v>
      </c>
      <c r="U538" s="1" t="str">
        <f t="shared" si="8"/>
        <v>No</v>
      </c>
      <c r="W538" s="1" t="s">
        <v>4087</v>
      </c>
      <c r="X538" s="1" t="str">
        <f>IF(COUNTIF('MyWells Drilling Comp'!F:F,E538)=0,"Missing","Exist")</f>
        <v>Missing</v>
      </c>
    </row>
    <row r="539" hidden="1" spans="1:24">
      <c r="A539" s="1" t="s">
        <v>1652</v>
      </c>
      <c r="B539" s="1" t="s">
        <v>90</v>
      </c>
      <c r="C539" s="1" t="s">
        <v>4088</v>
      </c>
      <c r="D539" s="1" t="s">
        <v>4082</v>
      </c>
      <c r="E539" s="2" t="s">
        <v>4083</v>
      </c>
      <c r="F539" s="2" t="s">
        <v>4089</v>
      </c>
      <c r="G539" s="1">
        <v>1</v>
      </c>
      <c r="H539" s="1" t="s">
        <v>1656</v>
      </c>
      <c r="I539" s="1" t="s">
        <v>1657</v>
      </c>
      <c r="J539" s="1" t="s">
        <v>1658</v>
      </c>
      <c r="K539" s="1" t="s">
        <v>1658</v>
      </c>
      <c r="L539" s="1" t="s">
        <v>1658</v>
      </c>
      <c r="M539" s="1" t="s">
        <v>1658</v>
      </c>
      <c r="N539" s="1" t="s">
        <v>1658</v>
      </c>
      <c r="O539" s="1" t="s">
        <v>1658</v>
      </c>
      <c r="P539" s="1">
        <v>1</v>
      </c>
      <c r="Q539" s="1" t="s">
        <v>1658</v>
      </c>
      <c r="R539" s="1">
        <v>0</v>
      </c>
      <c r="S539" s="1" t="s">
        <v>4090</v>
      </c>
      <c r="T539" s="6" t="s">
        <v>4090</v>
      </c>
      <c r="U539" s="1" t="str">
        <f t="shared" si="8"/>
        <v>Yes</v>
      </c>
      <c r="W539" s="1" t="s">
        <v>4091</v>
      </c>
      <c r="X539" s="1" t="str">
        <f>IF(COUNTIF('MyWells Drilling Comp'!F:F,E539)=0,"Missing","Exist")</f>
        <v>Missing</v>
      </c>
    </row>
    <row r="540" hidden="1" spans="1:24">
      <c r="A540" s="1" t="s">
        <v>1652</v>
      </c>
      <c r="B540" s="1" t="s">
        <v>90</v>
      </c>
      <c r="C540" s="1" t="s">
        <v>4092</v>
      </c>
      <c r="D540" s="1" t="s">
        <v>4093</v>
      </c>
      <c r="E540" s="1" t="s">
        <v>654</v>
      </c>
      <c r="F540" s="1" t="s">
        <v>4094</v>
      </c>
      <c r="G540" s="1">
        <v>1</v>
      </c>
      <c r="H540" s="1" t="s">
        <v>1656</v>
      </c>
      <c r="I540" s="1" t="s">
        <v>1657</v>
      </c>
      <c r="J540" s="1" t="s">
        <v>1658</v>
      </c>
      <c r="K540" s="1" t="s">
        <v>1658</v>
      </c>
      <c r="L540" s="1" t="s">
        <v>1658</v>
      </c>
      <c r="M540" s="1" t="s">
        <v>1658</v>
      </c>
      <c r="N540" s="1" t="s">
        <v>1658</v>
      </c>
      <c r="O540" s="1" t="s">
        <v>1658</v>
      </c>
      <c r="P540" s="1">
        <v>1</v>
      </c>
      <c r="Q540" s="1" t="s">
        <v>1658</v>
      </c>
      <c r="R540" s="1">
        <v>0</v>
      </c>
      <c r="S540" s="1" t="s">
        <v>4095</v>
      </c>
      <c r="T540" s="6"/>
      <c r="U540" s="1" t="str">
        <f t="shared" si="8"/>
        <v>No</v>
      </c>
      <c r="W540" s="1" t="s">
        <v>4096</v>
      </c>
      <c r="X540" s="1" t="str">
        <f>IF(COUNTIF('MyWells Drilling Comp'!F:F,E540)=0,"Missing","Exist")</f>
        <v>Exist</v>
      </c>
    </row>
    <row r="541" hidden="1" spans="1:24">
      <c r="A541" s="1" t="s">
        <v>1652</v>
      </c>
      <c r="B541" s="1" t="s">
        <v>90</v>
      </c>
      <c r="C541" s="1" t="s">
        <v>4097</v>
      </c>
      <c r="D541" s="1" t="s">
        <v>4093</v>
      </c>
      <c r="E541" s="2" t="s">
        <v>654</v>
      </c>
      <c r="F541" s="2" t="s">
        <v>4098</v>
      </c>
      <c r="G541" s="1">
        <v>1</v>
      </c>
      <c r="H541" s="1" t="s">
        <v>1663</v>
      </c>
      <c r="I541" s="1" t="s">
        <v>1657</v>
      </c>
      <c r="J541" s="1" t="s">
        <v>1658</v>
      </c>
      <c r="K541" s="1" t="s">
        <v>1658</v>
      </c>
      <c r="L541" s="1" t="s">
        <v>1658</v>
      </c>
      <c r="M541" s="1" t="s">
        <v>1658</v>
      </c>
      <c r="N541" s="1" t="s">
        <v>1658</v>
      </c>
      <c r="O541" s="1" t="s">
        <v>1658</v>
      </c>
      <c r="P541" s="1">
        <v>1</v>
      </c>
      <c r="Q541" s="1" t="s">
        <v>1658</v>
      </c>
      <c r="R541" s="1">
        <v>0</v>
      </c>
      <c r="S541" s="1" t="s">
        <v>4099</v>
      </c>
      <c r="T541" s="6" t="s">
        <v>4099</v>
      </c>
      <c r="U541" s="1" t="str">
        <f t="shared" si="8"/>
        <v>Yes</v>
      </c>
      <c r="W541" s="1" t="s">
        <v>4100</v>
      </c>
      <c r="X541" s="1" t="str">
        <f>IF(COUNTIF('MyWells Drilling Comp'!F:F,E541)=0,"Missing","Exist")</f>
        <v>Exist</v>
      </c>
    </row>
    <row r="542" hidden="1" spans="1:24">
      <c r="A542" s="1" t="s">
        <v>1652</v>
      </c>
      <c r="B542" s="1" t="s">
        <v>90</v>
      </c>
      <c r="C542" s="1" t="s">
        <v>4101</v>
      </c>
      <c r="D542" s="1" t="s">
        <v>4102</v>
      </c>
      <c r="E542" s="2" t="s">
        <v>1033</v>
      </c>
      <c r="F542" s="2" t="s">
        <v>4103</v>
      </c>
      <c r="G542" s="1">
        <v>1</v>
      </c>
      <c r="H542" s="1" t="s">
        <v>1656</v>
      </c>
      <c r="I542" s="1" t="s">
        <v>1657</v>
      </c>
      <c r="J542" s="1" t="s">
        <v>1658</v>
      </c>
      <c r="K542" s="1" t="s">
        <v>1658</v>
      </c>
      <c r="L542" s="1" t="s">
        <v>1658</v>
      </c>
      <c r="M542" s="1" t="s">
        <v>1658</v>
      </c>
      <c r="N542" s="1" t="s">
        <v>1658</v>
      </c>
      <c r="O542" s="1" t="s">
        <v>1658</v>
      </c>
      <c r="P542" s="1">
        <v>1</v>
      </c>
      <c r="Q542" s="1" t="s">
        <v>1658</v>
      </c>
      <c r="R542" s="1">
        <v>0</v>
      </c>
      <c r="S542" s="1" t="s">
        <v>4104</v>
      </c>
      <c r="T542" s="6" t="s">
        <v>4104</v>
      </c>
      <c r="U542" s="1" t="str">
        <f t="shared" si="8"/>
        <v>Yes</v>
      </c>
      <c r="W542" s="1" t="s">
        <v>4105</v>
      </c>
      <c r="X542" s="1" t="str">
        <f>IF(COUNTIF('MyWells Drilling Comp'!F:F,E542)=0,"Missing","Exist")</f>
        <v>Exist</v>
      </c>
    </row>
    <row r="543" hidden="1" spans="1:24">
      <c r="A543" s="1" t="s">
        <v>1652</v>
      </c>
      <c r="B543" s="1" t="s">
        <v>90</v>
      </c>
      <c r="C543" s="1" t="s">
        <v>4106</v>
      </c>
      <c r="D543" s="1" t="s">
        <v>4102</v>
      </c>
      <c r="E543" s="2" t="s">
        <v>1033</v>
      </c>
      <c r="F543" s="2" t="s">
        <v>4107</v>
      </c>
      <c r="G543" s="1">
        <v>1</v>
      </c>
      <c r="H543" s="1" t="s">
        <v>1663</v>
      </c>
      <c r="I543" s="1" t="s">
        <v>1657</v>
      </c>
      <c r="J543" s="1" t="s">
        <v>1658</v>
      </c>
      <c r="K543" s="1" t="s">
        <v>1658</v>
      </c>
      <c r="L543" s="1" t="s">
        <v>1658</v>
      </c>
      <c r="M543" s="1" t="s">
        <v>1658</v>
      </c>
      <c r="N543" s="1" t="s">
        <v>1658</v>
      </c>
      <c r="O543" s="1" t="s">
        <v>1658</v>
      </c>
      <c r="P543" s="1">
        <v>1</v>
      </c>
      <c r="Q543" s="1" t="s">
        <v>1658</v>
      </c>
      <c r="R543" s="1">
        <v>0</v>
      </c>
      <c r="S543" s="1" t="s">
        <v>4108</v>
      </c>
      <c r="T543" s="6" t="s">
        <v>4108</v>
      </c>
      <c r="U543" s="1" t="str">
        <f t="shared" si="8"/>
        <v>Yes</v>
      </c>
      <c r="W543" s="1" t="s">
        <v>4109</v>
      </c>
      <c r="X543" s="1" t="str">
        <f>IF(COUNTIF('MyWells Drilling Comp'!F:F,E543)=0,"Missing","Exist")</f>
        <v>Exist</v>
      </c>
    </row>
    <row r="544" hidden="1" spans="1:24">
      <c r="A544" s="1" t="s">
        <v>1652</v>
      </c>
      <c r="B544" s="1" t="s">
        <v>90</v>
      </c>
      <c r="C544" s="1" t="s">
        <v>4110</v>
      </c>
      <c r="D544" s="1" t="s">
        <v>4111</v>
      </c>
      <c r="E544" s="2" t="s">
        <v>985</v>
      </c>
      <c r="F544" s="2" t="s">
        <v>4112</v>
      </c>
      <c r="G544" s="1">
        <v>1</v>
      </c>
      <c r="H544" s="1" t="s">
        <v>1663</v>
      </c>
      <c r="I544" s="1" t="s">
        <v>1657</v>
      </c>
      <c r="J544" s="1" t="s">
        <v>1658</v>
      </c>
      <c r="K544" s="1" t="s">
        <v>1658</v>
      </c>
      <c r="L544" s="1" t="s">
        <v>1658</v>
      </c>
      <c r="M544" s="1" t="s">
        <v>1658</v>
      </c>
      <c r="N544" s="1" t="s">
        <v>1658</v>
      </c>
      <c r="O544" s="1" t="s">
        <v>1658</v>
      </c>
      <c r="P544" s="1">
        <v>1</v>
      </c>
      <c r="Q544" s="1" t="s">
        <v>1658</v>
      </c>
      <c r="R544" s="1">
        <v>0</v>
      </c>
      <c r="S544" s="1" t="s">
        <v>4113</v>
      </c>
      <c r="T544" s="6" t="s">
        <v>4113</v>
      </c>
      <c r="U544" s="1" t="str">
        <f t="shared" si="8"/>
        <v>Yes</v>
      </c>
      <c r="W544" s="1" t="s">
        <v>4114</v>
      </c>
      <c r="X544" s="1" t="str">
        <f>IF(COUNTIF('MyWells Drilling Comp'!F:F,E544)=0,"Missing","Exist")</f>
        <v>Exist</v>
      </c>
    </row>
    <row r="545" hidden="1" spans="1:24">
      <c r="A545" s="1" t="s">
        <v>1652</v>
      </c>
      <c r="B545" s="1" t="s">
        <v>90</v>
      </c>
      <c r="C545" s="1" t="s">
        <v>4115</v>
      </c>
      <c r="D545" s="1" t="s">
        <v>4111</v>
      </c>
      <c r="E545" s="2" t="s">
        <v>985</v>
      </c>
      <c r="F545" s="2" t="s">
        <v>4116</v>
      </c>
      <c r="G545" s="1">
        <v>1</v>
      </c>
      <c r="H545" s="1" t="s">
        <v>1656</v>
      </c>
      <c r="I545" s="1" t="s">
        <v>1657</v>
      </c>
      <c r="J545" s="1" t="s">
        <v>1658</v>
      </c>
      <c r="K545" s="1" t="s">
        <v>1658</v>
      </c>
      <c r="L545" s="1" t="s">
        <v>1658</v>
      </c>
      <c r="M545" s="1" t="s">
        <v>1658</v>
      </c>
      <c r="N545" s="1" t="s">
        <v>1658</v>
      </c>
      <c r="O545" s="1" t="s">
        <v>1658</v>
      </c>
      <c r="P545" s="1">
        <v>1</v>
      </c>
      <c r="Q545" s="1" t="s">
        <v>1658</v>
      </c>
      <c r="R545" s="1">
        <v>0</v>
      </c>
      <c r="S545" s="1" t="s">
        <v>4117</v>
      </c>
      <c r="T545" s="6"/>
      <c r="U545" s="1" t="str">
        <f t="shared" si="8"/>
        <v>No</v>
      </c>
      <c r="W545" s="1" t="s">
        <v>4118</v>
      </c>
      <c r="X545" s="1" t="str">
        <f>IF(COUNTIF('MyWells Drilling Comp'!F:F,E545)=0,"Missing","Exist")</f>
        <v>Exist</v>
      </c>
    </row>
    <row r="546" hidden="1" spans="1:24">
      <c r="A546" s="1" t="s">
        <v>1652</v>
      </c>
      <c r="B546" s="1" t="s">
        <v>90</v>
      </c>
      <c r="C546" s="1" t="s">
        <v>4119</v>
      </c>
      <c r="D546" s="1" t="s">
        <v>4120</v>
      </c>
      <c r="E546" s="2" t="s">
        <v>807</v>
      </c>
      <c r="F546" s="2" t="s">
        <v>4121</v>
      </c>
      <c r="G546" s="1">
        <v>1</v>
      </c>
      <c r="H546" s="1" t="s">
        <v>1663</v>
      </c>
      <c r="I546" s="1" t="s">
        <v>1657</v>
      </c>
      <c r="J546" s="1" t="s">
        <v>1658</v>
      </c>
      <c r="K546" s="1" t="s">
        <v>1658</v>
      </c>
      <c r="L546" s="1" t="s">
        <v>1658</v>
      </c>
      <c r="M546" s="1" t="s">
        <v>1658</v>
      </c>
      <c r="N546" s="1" t="s">
        <v>1658</v>
      </c>
      <c r="O546" s="1" t="s">
        <v>1658</v>
      </c>
      <c r="P546" s="1">
        <v>1</v>
      </c>
      <c r="Q546" s="1" t="s">
        <v>1658</v>
      </c>
      <c r="R546" s="1">
        <v>0</v>
      </c>
      <c r="S546" s="1" t="s">
        <v>4122</v>
      </c>
      <c r="T546" s="6" t="s">
        <v>4122</v>
      </c>
      <c r="U546" s="1" t="str">
        <f t="shared" si="8"/>
        <v>Yes</v>
      </c>
      <c r="W546" s="1" t="s">
        <v>4123</v>
      </c>
      <c r="X546" s="1" t="str">
        <f>IF(COUNTIF('MyWells Drilling Comp'!F:F,E546)=0,"Missing","Exist")</f>
        <v>Exist</v>
      </c>
    </row>
    <row r="547" hidden="1" spans="1:24">
      <c r="A547" s="1" t="s">
        <v>1652</v>
      </c>
      <c r="B547" s="1" t="s">
        <v>90</v>
      </c>
      <c r="C547" s="1" t="s">
        <v>4124</v>
      </c>
      <c r="D547" s="1" t="s">
        <v>4120</v>
      </c>
      <c r="E547" s="2" t="s">
        <v>807</v>
      </c>
      <c r="F547" s="2" t="s">
        <v>4125</v>
      </c>
      <c r="G547" s="1">
        <v>1</v>
      </c>
      <c r="H547" s="1" t="s">
        <v>1656</v>
      </c>
      <c r="I547" s="1" t="s">
        <v>1657</v>
      </c>
      <c r="J547" s="1" t="s">
        <v>1658</v>
      </c>
      <c r="K547" s="1" t="s">
        <v>1658</v>
      </c>
      <c r="L547" s="1" t="s">
        <v>1658</v>
      </c>
      <c r="M547" s="1" t="s">
        <v>1658</v>
      </c>
      <c r="N547" s="1" t="s">
        <v>1658</v>
      </c>
      <c r="O547" s="1" t="s">
        <v>1658</v>
      </c>
      <c r="P547" s="1">
        <v>1</v>
      </c>
      <c r="Q547" s="1" t="s">
        <v>1658</v>
      </c>
      <c r="R547" s="1">
        <v>0</v>
      </c>
      <c r="S547" s="1" t="s">
        <v>4126</v>
      </c>
      <c r="T547" s="6" t="s">
        <v>4126</v>
      </c>
      <c r="U547" s="1" t="str">
        <f t="shared" si="8"/>
        <v>Yes</v>
      </c>
      <c r="W547" s="1" t="s">
        <v>4127</v>
      </c>
      <c r="X547" s="1" t="str">
        <f>IF(COUNTIF('MyWells Drilling Comp'!F:F,E547)=0,"Missing","Exist")</f>
        <v>Exist</v>
      </c>
    </row>
    <row r="548" hidden="1" spans="1:24">
      <c r="A548" s="1" t="s">
        <v>1652</v>
      </c>
      <c r="B548" s="1" t="s">
        <v>90</v>
      </c>
      <c r="C548" s="1" t="s">
        <v>4128</v>
      </c>
      <c r="D548" s="1" t="s">
        <v>4129</v>
      </c>
      <c r="E548" s="2" t="s">
        <v>1485</v>
      </c>
      <c r="F548" s="2" t="s">
        <v>4130</v>
      </c>
      <c r="G548" s="1">
        <v>1</v>
      </c>
      <c r="H548" s="1" t="s">
        <v>1663</v>
      </c>
      <c r="I548" s="1" t="s">
        <v>1657</v>
      </c>
      <c r="J548" s="1" t="s">
        <v>1658</v>
      </c>
      <c r="K548" s="1" t="s">
        <v>1658</v>
      </c>
      <c r="L548" s="1" t="s">
        <v>1658</v>
      </c>
      <c r="M548" s="1" t="s">
        <v>1658</v>
      </c>
      <c r="N548" s="1" t="s">
        <v>1658</v>
      </c>
      <c r="O548" s="1" t="s">
        <v>1658</v>
      </c>
      <c r="P548" s="1">
        <v>1</v>
      </c>
      <c r="Q548" s="1" t="s">
        <v>1658</v>
      </c>
      <c r="R548" s="1">
        <v>0</v>
      </c>
      <c r="S548" s="1" t="s">
        <v>4131</v>
      </c>
      <c r="T548" s="6" t="s">
        <v>4131</v>
      </c>
      <c r="U548" s="1" t="str">
        <f t="shared" si="8"/>
        <v>Yes</v>
      </c>
      <c r="W548" s="1" t="s">
        <v>4132</v>
      </c>
      <c r="X548" s="1" t="str">
        <f>IF(COUNTIF('MyWells Drilling Comp'!F:F,E548)=0,"Missing","Exist")</f>
        <v>Exist</v>
      </c>
    </row>
    <row r="549" hidden="1" spans="1:24">
      <c r="A549" s="1" t="s">
        <v>1652</v>
      </c>
      <c r="B549" s="1" t="s">
        <v>90</v>
      </c>
      <c r="C549" s="1" t="s">
        <v>4133</v>
      </c>
      <c r="D549" s="1" t="s">
        <v>4129</v>
      </c>
      <c r="E549" s="2" t="s">
        <v>1485</v>
      </c>
      <c r="F549" s="8" t="s">
        <v>4134</v>
      </c>
      <c r="G549" s="1">
        <v>1</v>
      </c>
      <c r="H549" s="1" t="s">
        <v>1656</v>
      </c>
      <c r="I549" s="1" t="s">
        <v>1657</v>
      </c>
      <c r="J549" s="1" t="s">
        <v>1658</v>
      </c>
      <c r="K549" s="1" t="s">
        <v>1658</v>
      </c>
      <c r="L549" s="1" t="s">
        <v>1658</v>
      </c>
      <c r="M549" s="1" t="s">
        <v>1658</v>
      </c>
      <c r="N549" s="1" t="s">
        <v>1658</v>
      </c>
      <c r="O549" s="1" t="s">
        <v>1658</v>
      </c>
      <c r="P549" s="1">
        <v>1</v>
      </c>
      <c r="Q549" s="1" t="s">
        <v>1658</v>
      </c>
      <c r="R549" s="1">
        <v>0</v>
      </c>
      <c r="S549" s="1" t="s">
        <v>4135</v>
      </c>
      <c r="T549" s="6" t="s">
        <v>4135</v>
      </c>
      <c r="U549" s="1" t="str">
        <f t="shared" si="8"/>
        <v>Yes</v>
      </c>
      <c r="W549" s="1" t="s">
        <v>4136</v>
      </c>
      <c r="X549" s="1" t="str">
        <f>IF(COUNTIF('MyWells Drilling Comp'!F:F,E549)=0,"Missing","Exist")</f>
        <v>Exist</v>
      </c>
    </row>
    <row r="550" hidden="1" spans="1:24">
      <c r="A550" s="1" t="s">
        <v>1652</v>
      </c>
      <c r="B550" s="1" t="s">
        <v>90</v>
      </c>
      <c r="C550" s="1" t="s">
        <v>4137</v>
      </c>
      <c r="D550" s="1" t="s">
        <v>4138</v>
      </c>
      <c r="E550" s="2" t="s">
        <v>604</v>
      </c>
      <c r="F550" s="2" t="s">
        <v>4139</v>
      </c>
      <c r="G550" s="1">
        <v>1</v>
      </c>
      <c r="H550" s="1" t="s">
        <v>1656</v>
      </c>
      <c r="I550" s="1" t="s">
        <v>1657</v>
      </c>
      <c r="J550" s="1" t="s">
        <v>1658</v>
      </c>
      <c r="K550" s="1" t="s">
        <v>1658</v>
      </c>
      <c r="L550" s="1" t="s">
        <v>1658</v>
      </c>
      <c r="M550" s="1" t="s">
        <v>1658</v>
      </c>
      <c r="N550" s="1" t="s">
        <v>1658</v>
      </c>
      <c r="O550" s="1" t="s">
        <v>1658</v>
      </c>
      <c r="P550" s="1">
        <v>1</v>
      </c>
      <c r="Q550" s="1" t="s">
        <v>1658</v>
      </c>
      <c r="R550" s="1">
        <v>0</v>
      </c>
      <c r="S550" s="1" t="s">
        <v>4140</v>
      </c>
      <c r="T550" s="6" t="s">
        <v>4140</v>
      </c>
      <c r="U550" s="1" t="str">
        <f t="shared" si="8"/>
        <v>Yes</v>
      </c>
      <c r="W550" s="1" t="s">
        <v>4141</v>
      </c>
      <c r="X550" s="1" t="str">
        <f>IF(COUNTIF('MyWells Drilling Comp'!F:F,E550)=0,"Missing","Exist")</f>
        <v>Exist</v>
      </c>
    </row>
    <row r="551" hidden="1" spans="1:24">
      <c r="A551" s="1" t="s">
        <v>1652</v>
      </c>
      <c r="B551" s="1" t="s">
        <v>90</v>
      </c>
      <c r="C551" s="1" t="s">
        <v>4142</v>
      </c>
      <c r="D551" s="1" t="s">
        <v>4138</v>
      </c>
      <c r="E551" s="2" t="s">
        <v>604</v>
      </c>
      <c r="F551" s="2" t="s">
        <v>4143</v>
      </c>
      <c r="G551" s="1">
        <v>1</v>
      </c>
      <c r="H551" s="1" t="s">
        <v>1663</v>
      </c>
      <c r="I551" s="1" t="s">
        <v>1657</v>
      </c>
      <c r="J551" s="1" t="s">
        <v>1658</v>
      </c>
      <c r="K551" s="1" t="s">
        <v>1658</v>
      </c>
      <c r="L551" s="1" t="s">
        <v>1658</v>
      </c>
      <c r="M551" s="1" t="s">
        <v>1658</v>
      </c>
      <c r="N551" s="1" t="s">
        <v>1658</v>
      </c>
      <c r="O551" s="1" t="s">
        <v>1658</v>
      </c>
      <c r="P551" s="1">
        <v>1</v>
      </c>
      <c r="Q551" s="1" t="s">
        <v>1658</v>
      </c>
      <c r="R551" s="1">
        <v>0</v>
      </c>
      <c r="S551" s="1" t="s">
        <v>4144</v>
      </c>
      <c r="T551" s="6" t="s">
        <v>4144</v>
      </c>
      <c r="U551" s="1" t="str">
        <f t="shared" si="8"/>
        <v>Yes</v>
      </c>
      <c r="W551" s="1" t="s">
        <v>4145</v>
      </c>
      <c r="X551" s="1" t="str">
        <f>IF(COUNTIF('MyWells Drilling Comp'!F:F,E551)=0,"Missing","Exist")</f>
        <v>Exist</v>
      </c>
    </row>
    <row r="552" hidden="1" spans="1:24">
      <c r="A552" s="1" t="s">
        <v>1652</v>
      </c>
      <c r="B552" s="1" t="s">
        <v>90</v>
      </c>
      <c r="C552" s="1" t="s">
        <v>4146</v>
      </c>
      <c r="D552" s="1" t="s">
        <v>4147</v>
      </c>
      <c r="E552" s="2" t="s">
        <v>1167</v>
      </c>
      <c r="F552" s="2" t="s">
        <v>4148</v>
      </c>
      <c r="G552" s="1">
        <v>1</v>
      </c>
      <c r="H552" s="1" t="s">
        <v>1656</v>
      </c>
      <c r="I552" s="1" t="s">
        <v>1657</v>
      </c>
      <c r="J552" s="1" t="s">
        <v>1658</v>
      </c>
      <c r="K552" s="1" t="s">
        <v>1658</v>
      </c>
      <c r="L552" s="1" t="s">
        <v>1658</v>
      </c>
      <c r="M552" s="1" t="s">
        <v>1658</v>
      </c>
      <c r="N552" s="1" t="s">
        <v>1658</v>
      </c>
      <c r="O552" s="1" t="s">
        <v>1658</v>
      </c>
      <c r="P552" s="1">
        <v>1</v>
      </c>
      <c r="Q552" s="1" t="s">
        <v>1658</v>
      </c>
      <c r="R552" s="1">
        <v>0</v>
      </c>
      <c r="S552" s="1" t="s">
        <v>4149</v>
      </c>
      <c r="T552" s="6"/>
      <c r="U552" s="1" t="str">
        <f t="shared" si="8"/>
        <v>No</v>
      </c>
      <c r="W552" s="1" t="s">
        <v>4150</v>
      </c>
      <c r="X552" s="1" t="str">
        <f>IF(COUNTIF('MyWells Drilling Comp'!F:F,E552)=0,"Missing","Exist")</f>
        <v>Exist</v>
      </c>
    </row>
    <row r="553" hidden="1" spans="1:24">
      <c r="A553" s="1" t="s">
        <v>1652</v>
      </c>
      <c r="B553" s="1" t="s">
        <v>90</v>
      </c>
      <c r="C553" s="1" t="s">
        <v>4151</v>
      </c>
      <c r="D553" s="1" t="s">
        <v>4147</v>
      </c>
      <c r="E553" s="2" t="s">
        <v>1167</v>
      </c>
      <c r="F553" s="2" t="s">
        <v>4152</v>
      </c>
      <c r="G553" s="1">
        <v>1</v>
      </c>
      <c r="H553" s="1" t="s">
        <v>1663</v>
      </c>
      <c r="I553" s="1" t="s">
        <v>1657</v>
      </c>
      <c r="J553" s="1" t="s">
        <v>1658</v>
      </c>
      <c r="K553" s="1" t="s">
        <v>1658</v>
      </c>
      <c r="L553" s="1" t="s">
        <v>1658</v>
      </c>
      <c r="M553" s="1" t="s">
        <v>1658</v>
      </c>
      <c r="N553" s="1" t="s">
        <v>1658</v>
      </c>
      <c r="O553" s="1" t="s">
        <v>1658</v>
      </c>
      <c r="P553" s="1">
        <v>1</v>
      </c>
      <c r="Q553" s="1" t="s">
        <v>1658</v>
      </c>
      <c r="R553" s="1">
        <v>0</v>
      </c>
      <c r="S553" s="1" t="s">
        <v>4153</v>
      </c>
      <c r="T553" s="6"/>
      <c r="U553" s="1" t="str">
        <f t="shared" si="8"/>
        <v>No</v>
      </c>
      <c r="W553" s="1" t="s">
        <v>4154</v>
      </c>
      <c r="X553" s="1" t="str">
        <f>IF(COUNTIF('MyWells Drilling Comp'!F:F,E553)=0,"Missing","Exist")</f>
        <v>Exist</v>
      </c>
    </row>
    <row r="554" hidden="1" spans="1:24">
      <c r="A554" s="1" t="s">
        <v>1652</v>
      </c>
      <c r="B554" s="1" t="s">
        <v>90</v>
      </c>
      <c r="C554" s="1" t="s">
        <v>4155</v>
      </c>
      <c r="D554" s="1" t="s">
        <v>4156</v>
      </c>
      <c r="E554" s="2" t="s">
        <v>631</v>
      </c>
      <c r="F554" s="2" t="s">
        <v>4157</v>
      </c>
      <c r="G554" s="1">
        <v>1</v>
      </c>
      <c r="H554" s="1" t="s">
        <v>1656</v>
      </c>
      <c r="I554" s="1" t="s">
        <v>1657</v>
      </c>
      <c r="J554" s="1" t="s">
        <v>1658</v>
      </c>
      <c r="K554" s="1" t="s">
        <v>1658</v>
      </c>
      <c r="L554" s="1" t="s">
        <v>1658</v>
      </c>
      <c r="M554" s="1" t="s">
        <v>1658</v>
      </c>
      <c r="N554" s="1" t="s">
        <v>1658</v>
      </c>
      <c r="O554" s="1" t="s">
        <v>1658</v>
      </c>
      <c r="P554" s="1">
        <v>1</v>
      </c>
      <c r="Q554" s="1" t="s">
        <v>1658</v>
      </c>
      <c r="R554" s="1">
        <v>0</v>
      </c>
      <c r="S554" s="1" t="s">
        <v>4158</v>
      </c>
      <c r="T554" s="6"/>
      <c r="U554" s="1" t="str">
        <f t="shared" si="8"/>
        <v>No</v>
      </c>
      <c r="W554" s="1" t="s">
        <v>4159</v>
      </c>
      <c r="X554" s="1" t="str">
        <f>IF(COUNTIF('MyWells Drilling Comp'!F:F,E554)=0,"Missing","Exist")</f>
        <v>Exist</v>
      </c>
    </row>
    <row r="555" hidden="1" spans="1:24">
      <c r="A555" s="1" t="s">
        <v>1652</v>
      </c>
      <c r="B555" s="1" t="s">
        <v>90</v>
      </c>
      <c r="C555" s="1" t="s">
        <v>4160</v>
      </c>
      <c r="D555" s="1" t="s">
        <v>4156</v>
      </c>
      <c r="E555" s="2" t="s">
        <v>631</v>
      </c>
      <c r="F555" s="2" t="s">
        <v>4161</v>
      </c>
      <c r="G555" s="1">
        <v>1</v>
      </c>
      <c r="H555" s="1" t="s">
        <v>1663</v>
      </c>
      <c r="I555" s="1" t="s">
        <v>1657</v>
      </c>
      <c r="J555" s="1" t="s">
        <v>1658</v>
      </c>
      <c r="K555" s="1" t="s">
        <v>1658</v>
      </c>
      <c r="L555" s="1" t="s">
        <v>1658</v>
      </c>
      <c r="M555" s="1" t="s">
        <v>1658</v>
      </c>
      <c r="N555" s="1" t="s">
        <v>1658</v>
      </c>
      <c r="O555" s="1" t="s">
        <v>1658</v>
      </c>
      <c r="P555" s="1">
        <v>1</v>
      </c>
      <c r="Q555" s="1" t="s">
        <v>1658</v>
      </c>
      <c r="R555" s="1">
        <v>0</v>
      </c>
      <c r="S555" s="1" t="s">
        <v>4162</v>
      </c>
      <c r="T555" s="6"/>
      <c r="U555" s="1" t="str">
        <f t="shared" si="8"/>
        <v>No</v>
      </c>
      <c r="W555" s="1" t="s">
        <v>4163</v>
      </c>
      <c r="X555" s="1" t="str">
        <f>IF(COUNTIF('MyWells Drilling Comp'!F:F,E555)=0,"Missing","Exist")</f>
        <v>Exist</v>
      </c>
    </row>
    <row r="556" hidden="1" spans="1:24">
      <c r="A556" s="1" t="s">
        <v>1652</v>
      </c>
      <c r="B556" s="1" t="s">
        <v>90</v>
      </c>
      <c r="C556" s="1" t="s">
        <v>4164</v>
      </c>
      <c r="D556" s="1" t="s">
        <v>4165</v>
      </c>
      <c r="E556" s="2" t="s">
        <v>1235</v>
      </c>
      <c r="F556" s="2" t="s">
        <v>4166</v>
      </c>
      <c r="G556" s="1">
        <v>1</v>
      </c>
      <c r="H556" s="1" t="s">
        <v>1656</v>
      </c>
      <c r="I556" s="1" t="s">
        <v>1657</v>
      </c>
      <c r="J556" s="1" t="s">
        <v>1658</v>
      </c>
      <c r="K556" s="1" t="s">
        <v>1658</v>
      </c>
      <c r="L556" s="1" t="s">
        <v>1658</v>
      </c>
      <c r="M556" s="1" t="s">
        <v>1658</v>
      </c>
      <c r="N556" s="1" t="s">
        <v>1658</v>
      </c>
      <c r="O556" s="1" t="s">
        <v>1658</v>
      </c>
      <c r="P556" s="1">
        <v>1</v>
      </c>
      <c r="Q556" s="1" t="s">
        <v>1658</v>
      </c>
      <c r="R556" s="1">
        <v>0</v>
      </c>
      <c r="S556" s="1" t="s">
        <v>4167</v>
      </c>
      <c r="T556" s="6" t="s">
        <v>4167</v>
      </c>
      <c r="U556" s="1" t="str">
        <f t="shared" si="8"/>
        <v>Yes</v>
      </c>
      <c r="W556" s="1" t="s">
        <v>4168</v>
      </c>
      <c r="X556" s="1" t="str">
        <f>IF(COUNTIF('MyWells Drilling Comp'!F:F,E556)=0,"Missing","Exist")</f>
        <v>Exist</v>
      </c>
    </row>
    <row r="557" hidden="1" spans="1:24">
      <c r="A557" s="1" t="s">
        <v>1652</v>
      </c>
      <c r="B557" s="1" t="s">
        <v>90</v>
      </c>
      <c r="C557" s="1" t="s">
        <v>4169</v>
      </c>
      <c r="D557" s="1" t="s">
        <v>4165</v>
      </c>
      <c r="E557" s="2" t="s">
        <v>1235</v>
      </c>
      <c r="F557" s="2" t="s">
        <v>4170</v>
      </c>
      <c r="G557" s="1">
        <v>1</v>
      </c>
      <c r="H557" s="1" t="s">
        <v>1663</v>
      </c>
      <c r="I557" s="1" t="s">
        <v>1657</v>
      </c>
      <c r="J557" s="1" t="s">
        <v>1658</v>
      </c>
      <c r="K557" s="1" t="s">
        <v>1658</v>
      </c>
      <c r="L557" s="1" t="s">
        <v>1658</v>
      </c>
      <c r="M557" s="1" t="s">
        <v>1658</v>
      </c>
      <c r="N557" s="1" t="s">
        <v>1658</v>
      </c>
      <c r="O557" s="1" t="s">
        <v>1658</v>
      </c>
      <c r="P557" s="1">
        <v>1</v>
      </c>
      <c r="Q557" s="1" t="s">
        <v>1658</v>
      </c>
      <c r="R557" s="1">
        <v>0</v>
      </c>
      <c r="S557" s="1" t="s">
        <v>4171</v>
      </c>
      <c r="T557" s="6" t="s">
        <v>4171</v>
      </c>
      <c r="U557" s="1" t="str">
        <f t="shared" si="8"/>
        <v>Yes</v>
      </c>
      <c r="W557" s="1" t="s">
        <v>4172</v>
      </c>
      <c r="X557" s="1" t="str">
        <f>IF(COUNTIF('MyWells Drilling Comp'!F:F,E557)=0,"Missing","Exist")</f>
        <v>Exist</v>
      </c>
    </row>
    <row r="558" hidden="1" spans="1:24">
      <c r="A558" s="1" t="s">
        <v>1652</v>
      </c>
      <c r="B558" s="1" t="s">
        <v>90</v>
      </c>
      <c r="C558" s="1" t="s">
        <v>4173</v>
      </c>
      <c r="D558" s="1" t="s">
        <v>4174</v>
      </c>
      <c r="E558" s="2" t="s">
        <v>722</v>
      </c>
      <c r="F558" s="2" t="s">
        <v>4175</v>
      </c>
      <c r="G558" s="1">
        <v>1</v>
      </c>
      <c r="H558" s="1" t="s">
        <v>1656</v>
      </c>
      <c r="I558" s="1" t="s">
        <v>1657</v>
      </c>
      <c r="J558" s="1" t="s">
        <v>1658</v>
      </c>
      <c r="K558" s="1" t="s">
        <v>1658</v>
      </c>
      <c r="L558" s="1" t="s">
        <v>1658</v>
      </c>
      <c r="M558" s="1" t="s">
        <v>1658</v>
      </c>
      <c r="N558" s="1" t="s">
        <v>1658</v>
      </c>
      <c r="O558" s="1" t="s">
        <v>1658</v>
      </c>
      <c r="P558" s="1">
        <v>1</v>
      </c>
      <c r="Q558" s="1" t="s">
        <v>1658</v>
      </c>
      <c r="R558" s="1">
        <v>0</v>
      </c>
      <c r="S558" s="1" t="s">
        <v>4176</v>
      </c>
      <c r="T558" s="6" t="s">
        <v>4176</v>
      </c>
      <c r="U558" s="1" t="str">
        <f t="shared" si="8"/>
        <v>Yes</v>
      </c>
      <c r="W558" s="1" t="s">
        <v>4177</v>
      </c>
      <c r="X558" s="1" t="str">
        <f>IF(COUNTIF('MyWells Drilling Comp'!F:F,E558)=0,"Missing","Exist")</f>
        <v>Exist</v>
      </c>
    </row>
    <row r="559" hidden="1" spans="1:24">
      <c r="A559" s="1" t="s">
        <v>1652</v>
      </c>
      <c r="B559" s="1" t="s">
        <v>90</v>
      </c>
      <c r="C559" s="1" t="s">
        <v>4178</v>
      </c>
      <c r="D559" s="1" t="s">
        <v>4174</v>
      </c>
      <c r="E559" s="2" t="s">
        <v>722</v>
      </c>
      <c r="F559" s="2" t="s">
        <v>4179</v>
      </c>
      <c r="G559" s="1">
        <v>1</v>
      </c>
      <c r="H559" s="1" t="s">
        <v>1663</v>
      </c>
      <c r="I559" s="1" t="s">
        <v>1657</v>
      </c>
      <c r="J559" s="1" t="s">
        <v>1658</v>
      </c>
      <c r="K559" s="1" t="s">
        <v>1658</v>
      </c>
      <c r="L559" s="1" t="s">
        <v>1658</v>
      </c>
      <c r="M559" s="1" t="s">
        <v>1658</v>
      </c>
      <c r="N559" s="1" t="s">
        <v>1658</v>
      </c>
      <c r="O559" s="1" t="s">
        <v>1658</v>
      </c>
      <c r="P559" s="1">
        <v>1</v>
      </c>
      <c r="Q559" s="1" t="s">
        <v>1658</v>
      </c>
      <c r="R559" s="1">
        <v>0</v>
      </c>
      <c r="S559" s="1" t="s">
        <v>4180</v>
      </c>
      <c r="T559" s="6" t="s">
        <v>4180</v>
      </c>
      <c r="U559" s="1" t="str">
        <f t="shared" si="8"/>
        <v>Yes</v>
      </c>
      <c r="W559" s="1" t="s">
        <v>4181</v>
      </c>
      <c r="X559" s="1" t="str">
        <f>IF(COUNTIF('MyWells Drilling Comp'!F:F,E559)=0,"Missing","Exist")</f>
        <v>Exist</v>
      </c>
    </row>
    <row r="560" hidden="1" spans="1:24">
      <c r="A560" s="1" t="s">
        <v>1652</v>
      </c>
      <c r="B560" s="1" t="s">
        <v>90</v>
      </c>
      <c r="C560" s="1" t="s">
        <v>4182</v>
      </c>
      <c r="D560" s="1" t="s">
        <v>4183</v>
      </c>
      <c r="E560" s="2" t="s">
        <v>1289</v>
      </c>
      <c r="F560" s="2" t="s">
        <v>4184</v>
      </c>
      <c r="G560" s="1">
        <v>1</v>
      </c>
      <c r="H560" s="1" t="s">
        <v>1656</v>
      </c>
      <c r="I560" s="1" t="s">
        <v>1657</v>
      </c>
      <c r="J560" s="1" t="s">
        <v>1658</v>
      </c>
      <c r="K560" s="1" t="s">
        <v>1658</v>
      </c>
      <c r="L560" s="1" t="s">
        <v>1658</v>
      </c>
      <c r="M560" s="1" t="s">
        <v>1658</v>
      </c>
      <c r="N560" s="1" t="s">
        <v>1658</v>
      </c>
      <c r="O560" s="1" t="s">
        <v>1658</v>
      </c>
      <c r="P560" s="1">
        <v>1</v>
      </c>
      <c r="Q560" s="1" t="s">
        <v>1658</v>
      </c>
      <c r="R560" s="1">
        <v>0</v>
      </c>
      <c r="S560" s="1" t="s">
        <v>4185</v>
      </c>
      <c r="T560" s="6" t="s">
        <v>4185</v>
      </c>
      <c r="U560" s="1" t="str">
        <f t="shared" si="8"/>
        <v>Yes</v>
      </c>
      <c r="W560" s="1" t="s">
        <v>4186</v>
      </c>
      <c r="X560" s="1" t="str">
        <f>IF(COUNTIF('MyWells Drilling Comp'!F:F,E560)=0,"Missing","Exist")</f>
        <v>Exist</v>
      </c>
    </row>
    <row r="561" hidden="1" spans="1:24">
      <c r="A561" s="1" t="s">
        <v>1652</v>
      </c>
      <c r="B561" s="1" t="s">
        <v>90</v>
      </c>
      <c r="C561" s="1" t="s">
        <v>4187</v>
      </c>
      <c r="D561" s="1" t="s">
        <v>4183</v>
      </c>
      <c r="E561" s="2" t="s">
        <v>1289</v>
      </c>
      <c r="F561" s="2" t="s">
        <v>4188</v>
      </c>
      <c r="G561" s="1">
        <v>1</v>
      </c>
      <c r="H561" s="1" t="s">
        <v>1663</v>
      </c>
      <c r="I561" s="1" t="s">
        <v>1657</v>
      </c>
      <c r="J561" s="1" t="s">
        <v>1658</v>
      </c>
      <c r="K561" s="1" t="s">
        <v>1658</v>
      </c>
      <c r="L561" s="1" t="s">
        <v>1658</v>
      </c>
      <c r="M561" s="1" t="s">
        <v>1658</v>
      </c>
      <c r="N561" s="1" t="s">
        <v>1658</v>
      </c>
      <c r="O561" s="1" t="s">
        <v>1658</v>
      </c>
      <c r="P561" s="1">
        <v>1</v>
      </c>
      <c r="Q561" s="1" t="s">
        <v>1658</v>
      </c>
      <c r="R561" s="1">
        <v>0</v>
      </c>
      <c r="S561" s="1" t="s">
        <v>4189</v>
      </c>
      <c r="T561" s="6" t="s">
        <v>4189</v>
      </c>
      <c r="U561" s="1" t="str">
        <f t="shared" si="8"/>
        <v>Yes</v>
      </c>
      <c r="W561" s="1" t="s">
        <v>4190</v>
      </c>
      <c r="X561" s="1" t="str">
        <f>IF(COUNTIF('MyWells Drilling Comp'!F:F,E561)=0,"Missing","Exist")</f>
        <v>Exist</v>
      </c>
    </row>
    <row r="562" hidden="1" spans="1:24">
      <c r="A562" s="1" t="s">
        <v>1652</v>
      </c>
      <c r="B562" s="1" t="s">
        <v>90</v>
      </c>
      <c r="C562" s="1" t="s">
        <v>4191</v>
      </c>
      <c r="D562" s="1" t="s">
        <v>4192</v>
      </c>
      <c r="E562" s="2" t="s">
        <v>866</v>
      </c>
      <c r="F562" s="2" t="s">
        <v>4193</v>
      </c>
      <c r="G562" s="1">
        <v>1</v>
      </c>
      <c r="H562" s="1" t="s">
        <v>1663</v>
      </c>
      <c r="I562" s="1" t="s">
        <v>1657</v>
      </c>
      <c r="J562" s="1" t="s">
        <v>1658</v>
      </c>
      <c r="K562" s="1" t="s">
        <v>1658</v>
      </c>
      <c r="L562" s="1" t="s">
        <v>1658</v>
      </c>
      <c r="M562" s="1" t="s">
        <v>1658</v>
      </c>
      <c r="N562" s="1" t="s">
        <v>1658</v>
      </c>
      <c r="O562" s="1" t="s">
        <v>1658</v>
      </c>
      <c r="P562" s="1">
        <v>1</v>
      </c>
      <c r="Q562" s="1" t="s">
        <v>1658</v>
      </c>
      <c r="R562" s="1">
        <v>0</v>
      </c>
      <c r="S562" s="1" t="s">
        <v>4194</v>
      </c>
      <c r="T562" s="6"/>
      <c r="U562" s="1" t="str">
        <f t="shared" si="8"/>
        <v>No</v>
      </c>
      <c r="W562" s="1" t="s">
        <v>4195</v>
      </c>
      <c r="X562" s="1" t="str">
        <f>IF(COUNTIF('MyWells Drilling Comp'!F:F,E562)=0,"Missing","Exist")</f>
        <v>Exist</v>
      </c>
    </row>
    <row r="563" hidden="1" spans="1:24">
      <c r="A563" s="1" t="s">
        <v>1652</v>
      </c>
      <c r="B563" s="1" t="s">
        <v>90</v>
      </c>
      <c r="C563" s="1" t="s">
        <v>4196</v>
      </c>
      <c r="D563" s="1" t="s">
        <v>4192</v>
      </c>
      <c r="E563" s="2" t="s">
        <v>866</v>
      </c>
      <c r="F563" s="2" t="s">
        <v>4197</v>
      </c>
      <c r="G563" s="1">
        <v>1</v>
      </c>
      <c r="H563" s="1" t="s">
        <v>1656</v>
      </c>
      <c r="I563" s="1" t="s">
        <v>1657</v>
      </c>
      <c r="J563" s="1" t="s">
        <v>1658</v>
      </c>
      <c r="K563" s="1" t="s">
        <v>1658</v>
      </c>
      <c r="L563" s="1" t="s">
        <v>1658</v>
      </c>
      <c r="M563" s="1" t="s">
        <v>1658</v>
      </c>
      <c r="N563" s="1" t="s">
        <v>1658</v>
      </c>
      <c r="O563" s="1" t="s">
        <v>1658</v>
      </c>
      <c r="P563" s="1">
        <v>1</v>
      </c>
      <c r="Q563" s="1" t="s">
        <v>1658</v>
      </c>
      <c r="R563" s="1">
        <v>0</v>
      </c>
      <c r="S563" s="1" t="s">
        <v>4198</v>
      </c>
      <c r="T563" s="6"/>
      <c r="U563" s="1" t="str">
        <f t="shared" si="8"/>
        <v>No</v>
      </c>
      <c r="W563" s="1" t="s">
        <v>4199</v>
      </c>
      <c r="X563" s="1" t="str">
        <f>IF(COUNTIF('MyWells Drilling Comp'!F:F,E563)=0,"Missing","Exist")</f>
        <v>Exist</v>
      </c>
    </row>
    <row r="564" hidden="1" spans="1:24">
      <c r="A564" s="1" t="s">
        <v>1652</v>
      </c>
      <c r="B564" s="1" t="s">
        <v>90</v>
      </c>
      <c r="C564" s="1" t="s">
        <v>4200</v>
      </c>
      <c r="D564" s="1" t="s">
        <v>4201</v>
      </c>
      <c r="E564" s="2" t="s">
        <v>1628</v>
      </c>
      <c r="F564" s="2" t="s">
        <v>4202</v>
      </c>
      <c r="G564" s="1">
        <v>1</v>
      </c>
      <c r="H564" s="1" t="s">
        <v>1663</v>
      </c>
      <c r="I564" s="1" t="s">
        <v>1657</v>
      </c>
      <c r="J564" s="1" t="s">
        <v>1658</v>
      </c>
      <c r="K564" s="1" t="s">
        <v>1658</v>
      </c>
      <c r="L564" s="1" t="s">
        <v>1658</v>
      </c>
      <c r="M564" s="1" t="s">
        <v>1658</v>
      </c>
      <c r="N564" s="1" t="s">
        <v>1658</v>
      </c>
      <c r="O564" s="1" t="s">
        <v>1658</v>
      </c>
      <c r="P564" s="1">
        <v>1</v>
      </c>
      <c r="Q564" s="1" t="s">
        <v>1658</v>
      </c>
      <c r="R564" s="1">
        <v>0</v>
      </c>
      <c r="S564" s="1" t="s">
        <v>4203</v>
      </c>
      <c r="T564" s="6" t="s">
        <v>4203</v>
      </c>
      <c r="U564" s="1" t="str">
        <f t="shared" si="8"/>
        <v>Yes</v>
      </c>
      <c r="W564" s="1" t="s">
        <v>4204</v>
      </c>
      <c r="X564" s="1" t="str">
        <f>IF(COUNTIF('MyWells Drilling Comp'!F:F,E564)=0,"Missing","Exist")</f>
        <v>Exist</v>
      </c>
    </row>
    <row r="565" hidden="1" spans="1:24">
      <c r="A565" s="1" t="s">
        <v>1652</v>
      </c>
      <c r="B565" s="1" t="s">
        <v>90</v>
      </c>
      <c r="C565" s="1" t="s">
        <v>4205</v>
      </c>
      <c r="D565" s="1" t="s">
        <v>4201</v>
      </c>
      <c r="E565" s="2" t="s">
        <v>1628</v>
      </c>
      <c r="F565" s="2" t="s">
        <v>4206</v>
      </c>
      <c r="G565" s="1">
        <v>1</v>
      </c>
      <c r="H565" s="1" t="s">
        <v>1656</v>
      </c>
      <c r="I565" s="1" t="s">
        <v>1657</v>
      </c>
      <c r="J565" s="1" t="s">
        <v>1658</v>
      </c>
      <c r="K565" s="1" t="s">
        <v>1658</v>
      </c>
      <c r="L565" s="1" t="s">
        <v>1658</v>
      </c>
      <c r="M565" s="1" t="s">
        <v>1658</v>
      </c>
      <c r="N565" s="1" t="s">
        <v>1658</v>
      </c>
      <c r="O565" s="1" t="s">
        <v>1658</v>
      </c>
      <c r="P565" s="1">
        <v>1</v>
      </c>
      <c r="Q565" s="1" t="s">
        <v>1658</v>
      </c>
      <c r="R565" s="1">
        <v>0</v>
      </c>
      <c r="S565" s="1" t="s">
        <v>4207</v>
      </c>
      <c r="T565" s="6" t="s">
        <v>4207</v>
      </c>
      <c r="U565" s="1" t="str">
        <f t="shared" si="8"/>
        <v>Yes</v>
      </c>
      <c r="W565" s="1" t="s">
        <v>4208</v>
      </c>
      <c r="X565" s="1" t="str">
        <f>IF(COUNTIF('MyWells Drilling Comp'!F:F,E565)=0,"Missing","Exist")</f>
        <v>Exist</v>
      </c>
    </row>
    <row r="566" hidden="1" spans="1:24">
      <c r="A566" s="1" t="s">
        <v>1652</v>
      </c>
      <c r="B566" s="1" t="s">
        <v>90</v>
      </c>
      <c r="C566" s="1" t="s">
        <v>4209</v>
      </c>
      <c r="D566" s="1" t="s">
        <v>4210</v>
      </c>
      <c r="E566" s="2" t="s">
        <v>998</v>
      </c>
      <c r="F566" s="2" t="s">
        <v>4211</v>
      </c>
      <c r="G566" s="1">
        <v>1</v>
      </c>
      <c r="H566" s="1" t="s">
        <v>1663</v>
      </c>
      <c r="I566" s="1" t="s">
        <v>1657</v>
      </c>
      <c r="J566" s="1" t="s">
        <v>1658</v>
      </c>
      <c r="K566" s="1" t="s">
        <v>1658</v>
      </c>
      <c r="L566" s="1" t="s">
        <v>1658</v>
      </c>
      <c r="M566" s="1" t="s">
        <v>1658</v>
      </c>
      <c r="N566" s="1" t="s">
        <v>1658</v>
      </c>
      <c r="O566" s="1" t="s">
        <v>1658</v>
      </c>
      <c r="P566" s="1">
        <v>1</v>
      </c>
      <c r="Q566" s="1" t="s">
        <v>1658</v>
      </c>
      <c r="R566" s="1">
        <v>0</v>
      </c>
      <c r="S566" s="1" t="s">
        <v>4212</v>
      </c>
      <c r="T566" s="6" t="s">
        <v>4212</v>
      </c>
      <c r="U566" s="1" t="str">
        <f t="shared" si="8"/>
        <v>Yes</v>
      </c>
      <c r="W566" s="1" t="s">
        <v>4213</v>
      </c>
      <c r="X566" s="1" t="str">
        <f>IF(COUNTIF('MyWells Drilling Comp'!F:F,E566)=0,"Missing","Exist")</f>
        <v>Exist</v>
      </c>
    </row>
    <row r="567" hidden="1" spans="1:24">
      <c r="A567" s="1" t="s">
        <v>1652</v>
      </c>
      <c r="B567" s="1" t="s">
        <v>90</v>
      </c>
      <c r="C567" s="1" t="s">
        <v>4214</v>
      </c>
      <c r="D567" s="1" t="s">
        <v>4210</v>
      </c>
      <c r="E567" s="2" t="s">
        <v>998</v>
      </c>
      <c r="F567" s="2" t="s">
        <v>4215</v>
      </c>
      <c r="G567" s="1">
        <v>1</v>
      </c>
      <c r="H567" s="1" t="s">
        <v>1656</v>
      </c>
      <c r="I567" s="1" t="s">
        <v>1657</v>
      </c>
      <c r="J567" s="1" t="s">
        <v>1658</v>
      </c>
      <c r="K567" s="1" t="s">
        <v>1658</v>
      </c>
      <c r="L567" s="1" t="s">
        <v>1658</v>
      </c>
      <c r="M567" s="1" t="s">
        <v>1658</v>
      </c>
      <c r="N567" s="1" t="s">
        <v>1658</v>
      </c>
      <c r="O567" s="1" t="s">
        <v>1658</v>
      </c>
      <c r="P567" s="1">
        <v>1</v>
      </c>
      <c r="Q567" s="1" t="s">
        <v>1658</v>
      </c>
      <c r="R567" s="1">
        <v>0</v>
      </c>
      <c r="S567" s="1" t="s">
        <v>4216</v>
      </c>
      <c r="T567" s="6" t="s">
        <v>4216</v>
      </c>
      <c r="U567" s="1" t="str">
        <f t="shared" si="8"/>
        <v>Yes</v>
      </c>
      <c r="W567" s="1" t="s">
        <v>4217</v>
      </c>
      <c r="X567" s="1" t="str">
        <f>IF(COUNTIF('MyWells Drilling Comp'!F:F,E567)=0,"Missing","Exist")</f>
        <v>Exist</v>
      </c>
    </row>
    <row r="568" hidden="1" spans="1:24">
      <c r="A568" s="1" t="s">
        <v>1652</v>
      </c>
      <c r="B568" s="1" t="s">
        <v>90</v>
      </c>
      <c r="C568" s="1" t="s">
        <v>4218</v>
      </c>
      <c r="D568" s="1" t="s">
        <v>4219</v>
      </c>
      <c r="E568" s="2" t="s">
        <v>213</v>
      </c>
      <c r="F568" s="2" t="s">
        <v>4220</v>
      </c>
      <c r="G568" s="1">
        <v>1</v>
      </c>
      <c r="H568" s="1" t="s">
        <v>1656</v>
      </c>
      <c r="I568" s="1" t="s">
        <v>1657</v>
      </c>
      <c r="J568" s="1" t="s">
        <v>1658</v>
      </c>
      <c r="K568" s="1" t="s">
        <v>1658</v>
      </c>
      <c r="L568" s="1" t="s">
        <v>1658</v>
      </c>
      <c r="M568" s="1" t="s">
        <v>1658</v>
      </c>
      <c r="N568" s="1" t="s">
        <v>1658</v>
      </c>
      <c r="O568" s="1" t="s">
        <v>1658</v>
      </c>
      <c r="P568" s="1">
        <v>1</v>
      </c>
      <c r="Q568" s="1" t="s">
        <v>1658</v>
      </c>
      <c r="R568" s="1">
        <v>0</v>
      </c>
      <c r="S568" s="1" t="s">
        <v>4221</v>
      </c>
      <c r="T568" s="6" t="s">
        <v>4221</v>
      </c>
      <c r="U568" s="1" t="str">
        <f t="shared" si="8"/>
        <v>Yes</v>
      </c>
      <c r="W568" s="1" t="s">
        <v>4222</v>
      </c>
      <c r="X568" s="1" t="str">
        <f>IF(COUNTIF('MyWells Drilling Comp'!F:F,E568)=0,"Missing","Exist")</f>
        <v>Exist</v>
      </c>
    </row>
    <row r="569" hidden="1" spans="1:24">
      <c r="A569" s="1" t="s">
        <v>1652</v>
      </c>
      <c r="B569" s="1" t="s">
        <v>90</v>
      </c>
      <c r="C569" s="1" t="s">
        <v>4223</v>
      </c>
      <c r="D569" s="1" t="s">
        <v>4219</v>
      </c>
      <c r="E569" s="2" t="s">
        <v>213</v>
      </c>
      <c r="F569" s="2" t="s">
        <v>4224</v>
      </c>
      <c r="G569" s="1">
        <v>1</v>
      </c>
      <c r="H569" s="1" t="s">
        <v>1663</v>
      </c>
      <c r="I569" s="1" t="s">
        <v>1657</v>
      </c>
      <c r="J569" s="1" t="s">
        <v>1658</v>
      </c>
      <c r="K569" s="1" t="s">
        <v>1658</v>
      </c>
      <c r="L569" s="1" t="s">
        <v>1658</v>
      </c>
      <c r="M569" s="1" t="s">
        <v>1658</v>
      </c>
      <c r="N569" s="1" t="s">
        <v>1658</v>
      </c>
      <c r="O569" s="1" t="s">
        <v>1658</v>
      </c>
      <c r="P569" s="1">
        <v>1</v>
      </c>
      <c r="Q569" s="1" t="s">
        <v>1658</v>
      </c>
      <c r="R569" s="1">
        <v>0</v>
      </c>
      <c r="S569" s="1" t="s">
        <v>4225</v>
      </c>
      <c r="T569" s="6" t="s">
        <v>4225</v>
      </c>
      <c r="U569" s="1" t="str">
        <f t="shared" si="8"/>
        <v>Yes</v>
      </c>
      <c r="W569" s="1" t="s">
        <v>4226</v>
      </c>
      <c r="X569" s="1" t="str">
        <f>IF(COUNTIF('MyWells Drilling Comp'!F:F,E569)=0,"Missing","Exist")</f>
        <v>Exist</v>
      </c>
    </row>
    <row r="570" hidden="1" spans="1:24">
      <c r="A570" s="1" t="s">
        <v>1652</v>
      </c>
      <c r="B570" s="1" t="s">
        <v>90</v>
      </c>
      <c r="C570" s="1" t="s">
        <v>4227</v>
      </c>
      <c r="D570" s="1" t="s">
        <v>4228</v>
      </c>
      <c r="E570" s="2" t="s">
        <v>1041</v>
      </c>
      <c r="F570" s="2" t="s">
        <v>4229</v>
      </c>
      <c r="G570" s="1">
        <v>1</v>
      </c>
      <c r="H570" s="1" t="s">
        <v>1663</v>
      </c>
      <c r="I570" s="1" t="s">
        <v>1657</v>
      </c>
      <c r="J570" s="1" t="s">
        <v>1658</v>
      </c>
      <c r="K570" s="1" t="s">
        <v>1658</v>
      </c>
      <c r="L570" s="1" t="s">
        <v>1658</v>
      </c>
      <c r="M570" s="1" t="s">
        <v>1658</v>
      </c>
      <c r="N570" s="1" t="s">
        <v>1658</v>
      </c>
      <c r="O570" s="1" t="s">
        <v>1658</v>
      </c>
      <c r="P570" s="1">
        <v>1</v>
      </c>
      <c r="Q570" s="1" t="s">
        <v>1658</v>
      </c>
      <c r="R570" s="1">
        <v>0</v>
      </c>
      <c r="S570" s="1" t="s">
        <v>4230</v>
      </c>
      <c r="T570" s="6" t="s">
        <v>4230</v>
      </c>
      <c r="U570" s="1" t="str">
        <f t="shared" si="8"/>
        <v>Yes</v>
      </c>
      <c r="W570" s="1" t="s">
        <v>4231</v>
      </c>
      <c r="X570" s="1" t="str">
        <f>IF(COUNTIF('MyWells Drilling Comp'!F:F,E570)=0,"Missing","Exist")</f>
        <v>Exist</v>
      </c>
    </row>
    <row r="571" hidden="1" spans="1:24">
      <c r="A571" s="1" t="s">
        <v>1652</v>
      </c>
      <c r="B571" s="1" t="s">
        <v>90</v>
      </c>
      <c r="C571" s="1" t="s">
        <v>4232</v>
      </c>
      <c r="D571" s="1" t="s">
        <v>4228</v>
      </c>
      <c r="E571" s="2" t="s">
        <v>1041</v>
      </c>
      <c r="F571" s="2" t="s">
        <v>4233</v>
      </c>
      <c r="G571" s="1">
        <v>1</v>
      </c>
      <c r="H571" s="1" t="s">
        <v>1656</v>
      </c>
      <c r="I571" s="1" t="s">
        <v>1657</v>
      </c>
      <c r="J571" s="1" t="s">
        <v>1658</v>
      </c>
      <c r="K571" s="1" t="s">
        <v>1658</v>
      </c>
      <c r="L571" s="1" t="s">
        <v>1658</v>
      </c>
      <c r="M571" s="1" t="s">
        <v>1658</v>
      </c>
      <c r="N571" s="1" t="s">
        <v>1658</v>
      </c>
      <c r="O571" s="1" t="s">
        <v>1658</v>
      </c>
      <c r="P571" s="1">
        <v>1</v>
      </c>
      <c r="Q571" s="1" t="s">
        <v>1658</v>
      </c>
      <c r="R571" s="1">
        <v>0</v>
      </c>
      <c r="S571" s="1" t="s">
        <v>4234</v>
      </c>
      <c r="T571" s="6" t="s">
        <v>4234</v>
      </c>
      <c r="U571" s="1" t="str">
        <f t="shared" si="8"/>
        <v>Yes</v>
      </c>
      <c r="W571" s="1" t="s">
        <v>4235</v>
      </c>
      <c r="X571" s="1" t="str">
        <f>IF(COUNTIF('MyWells Drilling Comp'!F:F,E571)=0,"Missing","Exist")</f>
        <v>Exist</v>
      </c>
    </row>
    <row r="572" hidden="1" spans="1:24">
      <c r="A572" s="1" t="s">
        <v>1652</v>
      </c>
      <c r="B572" s="1" t="s">
        <v>90</v>
      </c>
      <c r="C572" s="1" t="s">
        <v>4236</v>
      </c>
      <c r="D572" s="1" t="s">
        <v>4237</v>
      </c>
      <c r="E572" s="2" t="s">
        <v>943</v>
      </c>
      <c r="F572" s="2" t="s">
        <v>4238</v>
      </c>
      <c r="G572" s="1">
        <v>1</v>
      </c>
      <c r="H572" s="1" t="s">
        <v>1656</v>
      </c>
      <c r="I572" s="1" t="s">
        <v>1657</v>
      </c>
      <c r="J572" s="1" t="s">
        <v>1658</v>
      </c>
      <c r="K572" s="1" t="s">
        <v>1658</v>
      </c>
      <c r="L572" s="1" t="s">
        <v>1658</v>
      </c>
      <c r="M572" s="1" t="s">
        <v>1658</v>
      </c>
      <c r="N572" s="1" t="s">
        <v>1658</v>
      </c>
      <c r="O572" s="1" t="s">
        <v>1658</v>
      </c>
      <c r="P572" s="1">
        <v>1</v>
      </c>
      <c r="Q572" s="1" t="s">
        <v>1658</v>
      </c>
      <c r="R572" s="1">
        <v>0</v>
      </c>
      <c r="S572" s="1" t="s">
        <v>4239</v>
      </c>
      <c r="T572" s="6" t="s">
        <v>4239</v>
      </c>
      <c r="U572" s="1" t="str">
        <f t="shared" si="8"/>
        <v>Yes</v>
      </c>
      <c r="W572" s="1" t="s">
        <v>4240</v>
      </c>
      <c r="X572" s="1" t="str">
        <f>IF(COUNTIF('MyWells Drilling Comp'!F:F,E572)=0,"Missing","Exist")</f>
        <v>Exist</v>
      </c>
    </row>
    <row r="573" hidden="1" spans="1:24">
      <c r="A573" s="1" t="s">
        <v>1652</v>
      </c>
      <c r="B573" s="1" t="s">
        <v>90</v>
      </c>
      <c r="C573" s="7" t="s">
        <v>4241</v>
      </c>
      <c r="D573" s="1" t="s">
        <v>4237</v>
      </c>
      <c r="E573" s="2" t="s">
        <v>943</v>
      </c>
      <c r="F573" s="2" t="s">
        <v>4242</v>
      </c>
      <c r="G573" s="1">
        <v>1</v>
      </c>
      <c r="H573" s="1" t="s">
        <v>1663</v>
      </c>
      <c r="I573" s="1" t="s">
        <v>1657</v>
      </c>
      <c r="J573" s="1" t="s">
        <v>1658</v>
      </c>
      <c r="K573" s="1" t="s">
        <v>1658</v>
      </c>
      <c r="L573" s="1" t="s">
        <v>1658</v>
      </c>
      <c r="M573" s="1" t="s">
        <v>1658</v>
      </c>
      <c r="N573" s="1" t="s">
        <v>1658</v>
      </c>
      <c r="O573" s="1" t="s">
        <v>1658</v>
      </c>
      <c r="P573" s="1">
        <v>1</v>
      </c>
      <c r="Q573" s="1" t="s">
        <v>1658</v>
      </c>
      <c r="R573" s="1">
        <v>0</v>
      </c>
      <c r="S573" s="1" t="s">
        <v>4243</v>
      </c>
      <c r="T573" s="6" t="s">
        <v>4243</v>
      </c>
      <c r="U573" s="1" t="str">
        <f t="shared" si="8"/>
        <v>Yes</v>
      </c>
      <c r="W573" s="1" t="s">
        <v>4244</v>
      </c>
      <c r="X573" s="1" t="str">
        <f>IF(COUNTIF('MyWells Drilling Comp'!F:F,E573)=0,"Missing","Exist")</f>
        <v>Exist</v>
      </c>
    </row>
    <row r="574" hidden="1" spans="1:24">
      <c r="A574" s="1" t="s">
        <v>1652</v>
      </c>
      <c r="B574" s="1" t="s">
        <v>90</v>
      </c>
      <c r="C574" s="1" t="s">
        <v>4245</v>
      </c>
      <c r="D574" s="1" t="s">
        <v>4246</v>
      </c>
      <c r="E574" s="2" t="s">
        <v>966</v>
      </c>
      <c r="F574" s="2" t="s">
        <v>4247</v>
      </c>
      <c r="G574" s="1">
        <v>1</v>
      </c>
      <c r="H574" s="1" t="s">
        <v>1656</v>
      </c>
      <c r="I574" s="1" t="s">
        <v>1657</v>
      </c>
      <c r="J574" s="1" t="s">
        <v>1658</v>
      </c>
      <c r="K574" s="1" t="s">
        <v>1658</v>
      </c>
      <c r="L574" s="1" t="s">
        <v>1658</v>
      </c>
      <c r="M574" s="1" t="s">
        <v>1658</v>
      </c>
      <c r="N574" s="1" t="s">
        <v>1658</v>
      </c>
      <c r="O574" s="1" t="s">
        <v>1658</v>
      </c>
      <c r="P574" s="1">
        <v>1</v>
      </c>
      <c r="Q574" s="1" t="s">
        <v>1658</v>
      </c>
      <c r="R574" s="1">
        <v>0</v>
      </c>
      <c r="S574" s="1" t="s">
        <v>4248</v>
      </c>
      <c r="T574" s="6" t="s">
        <v>4248</v>
      </c>
      <c r="U574" s="1" t="str">
        <f t="shared" si="8"/>
        <v>Yes</v>
      </c>
      <c r="W574" s="1" t="s">
        <v>4249</v>
      </c>
      <c r="X574" s="1" t="str">
        <f>IF(COUNTIF('MyWells Drilling Comp'!F:F,E574)=0,"Missing","Exist")</f>
        <v>Exist</v>
      </c>
    </row>
    <row r="575" hidden="1" spans="1:24">
      <c r="A575" s="1" t="s">
        <v>1652</v>
      </c>
      <c r="B575" s="1" t="s">
        <v>90</v>
      </c>
      <c r="C575" s="1" t="s">
        <v>4250</v>
      </c>
      <c r="D575" s="1" t="s">
        <v>4246</v>
      </c>
      <c r="E575" s="2" t="s">
        <v>966</v>
      </c>
      <c r="F575" s="2" t="s">
        <v>4251</v>
      </c>
      <c r="G575" s="1">
        <v>1</v>
      </c>
      <c r="H575" s="1" t="s">
        <v>1663</v>
      </c>
      <c r="I575" s="1" t="s">
        <v>1657</v>
      </c>
      <c r="J575" s="1" t="s">
        <v>1658</v>
      </c>
      <c r="K575" s="1" t="s">
        <v>1658</v>
      </c>
      <c r="L575" s="1" t="s">
        <v>1658</v>
      </c>
      <c r="M575" s="1" t="s">
        <v>1658</v>
      </c>
      <c r="N575" s="1" t="s">
        <v>1658</v>
      </c>
      <c r="O575" s="1" t="s">
        <v>1658</v>
      </c>
      <c r="P575" s="1">
        <v>1</v>
      </c>
      <c r="Q575" s="1" t="s">
        <v>1658</v>
      </c>
      <c r="R575" s="1">
        <v>0</v>
      </c>
      <c r="S575" s="1" t="s">
        <v>4252</v>
      </c>
      <c r="T575" s="6" t="s">
        <v>4252</v>
      </c>
      <c r="U575" s="1" t="str">
        <f t="shared" si="8"/>
        <v>Yes</v>
      </c>
      <c r="W575" s="1" t="s">
        <v>4253</v>
      </c>
      <c r="X575" s="1" t="str">
        <f>IF(COUNTIF('MyWells Drilling Comp'!F:F,E575)=0,"Missing","Exist")</f>
        <v>Exist</v>
      </c>
    </row>
    <row r="576" hidden="1" spans="1:24">
      <c r="A576" s="1" t="s">
        <v>1652</v>
      </c>
      <c r="B576" s="1" t="s">
        <v>90</v>
      </c>
      <c r="C576" s="1" t="s">
        <v>4254</v>
      </c>
      <c r="D576" s="1" t="s">
        <v>4255</v>
      </c>
      <c r="E576" s="2" t="s">
        <v>789</v>
      </c>
      <c r="F576" s="2" t="s">
        <v>4256</v>
      </c>
      <c r="G576" s="1">
        <v>1</v>
      </c>
      <c r="H576" s="1" t="s">
        <v>1656</v>
      </c>
      <c r="I576" s="1" t="s">
        <v>1657</v>
      </c>
      <c r="J576" s="1" t="s">
        <v>1658</v>
      </c>
      <c r="K576" s="1" t="s">
        <v>1658</v>
      </c>
      <c r="L576" s="1" t="s">
        <v>1658</v>
      </c>
      <c r="M576" s="1" t="s">
        <v>1658</v>
      </c>
      <c r="N576" s="1" t="s">
        <v>1658</v>
      </c>
      <c r="O576" s="1" t="s">
        <v>1658</v>
      </c>
      <c r="P576" s="1">
        <v>1</v>
      </c>
      <c r="Q576" s="1" t="s">
        <v>1658</v>
      </c>
      <c r="R576" s="1">
        <v>0</v>
      </c>
      <c r="S576" s="1" t="s">
        <v>4257</v>
      </c>
      <c r="T576" s="6"/>
      <c r="U576" s="1" t="str">
        <f t="shared" si="8"/>
        <v>No</v>
      </c>
      <c r="W576" s="1" t="s">
        <v>4258</v>
      </c>
      <c r="X576" s="1" t="str">
        <f>IF(COUNTIF('MyWells Drilling Comp'!F:F,E576)=0,"Missing","Exist")</f>
        <v>Exist</v>
      </c>
    </row>
    <row r="577" hidden="1" spans="1:24">
      <c r="A577" s="1" t="s">
        <v>1652</v>
      </c>
      <c r="B577" s="1" t="s">
        <v>90</v>
      </c>
      <c r="C577" s="1" t="s">
        <v>4259</v>
      </c>
      <c r="D577" s="1" t="s">
        <v>4255</v>
      </c>
      <c r="E577" s="2" t="s">
        <v>789</v>
      </c>
      <c r="F577" s="2" t="s">
        <v>4260</v>
      </c>
      <c r="G577" s="1">
        <v>1</v>
      </c>
      <c r="H577" s="1" t="s">
        <v>1663</v>
      </c>
      <c r="I577" s="1" t="s">
        <v>1657</v>
      </c>
      <c r="J577" s="1" t="s">
        <v>1658</v>
      </c>
      <c r="K577" s="1" t="s">
        <v>1658</v>
      </c>
      <c r="L577" s="1" t="s">
        <v>1658</v>
      </c>
      <c r="M577" s="1" t="s">
        <v>1658</v>
      </c>
      <c r="N577" s="1" t="s">
        <v>1658</v>
      </c>
      <c r="O577" s="1" t="s">
        <v>1658</v>
      </c>
      <c r="P577" s="1">
        <v>1</v>
      </c>
      <c r="Q577" s="1" t="s">
        <v>1658</v>
      </c>
      <c r="R577" s="1">
        <v>0</v>
      </c>
      <c r="S577" s="1" t="s">
        <v>4261</v>
      </c>
      <c r="T577" s="6"/>
      <c r="U577" s="1" t="str">
        <f t="shared" si="8"/>
        <v>No</v>
      </c>
      <c r="W577" s="1" t="s">
        <v>4262</v>
      </c>
      <c r="X577" s="1" t="str">
        <f>IF(COUNTIF('MyWells Drilling Comp'!F:F,E577)=0,"Missing","Exist")</f>
        <v>Exist</v>
      </c>
    </row>
    <row r="578" hidden="1" spans="1:24">
      <c r="A578" s="1" t="s">
        <v>1652</v>
      </c>
      <c r="B578" s="1" t="s">
        <v>90</v>
      </c>
      <c r="C578" s="1" t="s">
        <v>4263</v>
      </c>
      <c r="D578" s="7" t="s">
        <v>4264</v>
      </c>
      <c r="E578" s="2" t="s">
        <v>1347</v>
      </c>
      <c r="F578" s="2" t="s">
        <v>4265</v>
      </c>
      <c r="G578" s="1">
        <v>1</v>
      </c>
      <c r="H578" s="1" t="s">
        <v>1663</v>
      </c>
      <c r="I578" s="1" t="s">
        <v>1657</v>
      </c>
      <c r="J578" s="1" t="s">
        <v>1658</v>
      </c>
      <c r="K578" s="1" t="s">
        <v>1658</v>
      </c>
      <c r="L578" s="1" t="s">
        <v>1658</v>
      </c>
      <c r="M578" s="1" t="s">
        <v>1658</v>
      </c>
      <c r="N578" s="1" t="s">
        <v>1658</v>
      </c>
      <c r="O578" s="1" t="s">
        <v>1658</v>
      </c>
      <c r="P578" s="1">
        <v>1</v>
      </c>
      <c r="Q578" s="1" t="s">
        <v>1658</v>
      </c>
      <c r="R578" s="1">
        <v>0</v>
      </c>
      <c r="S578" s="1" t="s">
        <v>4266</v>
      </c>
      <c r="T578" s="6" t="s">
        <v>4266</v>
      </c>
      <c r="U578" s="1" t="str">
        <f t="shared" ref="U578:U641" si="9">IF(S578=T578,"Yes","No")</f>
        <v>Yes</v>
      </c>
      <c r="W578" s="1" t="s">
        <v>4267</v>
      </c>
      <c r="X578" s="1" t="str">
        <f>IF(COUNTIF('MyWells Drilling Comp'!F:F,E578)=0,"Missing","Exist")</f>
        <v>Exist</v>
      </c>
    </row>
    <row r="579" hidden="1" spans="1:24">
      <c r="A579" s="1" t="s">
        <v>1652</v>
      </c>
      <c r="B579" s="1" t="s">
        <v>90</v>
      </c>
      <c r="C579" s="1" t="s">
        <v>4268</v>
      </c>
      <c r="D579" s="7" t="s">
        <v>4264</v>
      </c>
      <c r="E579" s="2" t="s">
        <v>1347</v>
      </c>
      <c r="F579" s="2" t="s">
        <v>4269</v>
      </c>
      <c r="G579" s="1">
        <v>1</v>
      </c>
      <c r="H579" s="1" t="s">
        <v>1656</v>
      </c>
      <c r="I579" s="1" t="s">
        <v>1657</v>
      </c>
      <c r="J579" s="1" t="s">
        <v>1658</v>
      </c>
      <c r="K579" s="1" t="s">
        <v>1658</v>
      </c>
      <c r="L579" s="1" t="s">
        <v>1658</v>
      </c>
      <c r="M579" s="1" t="s">
        <v>1658</v>
      </c>
      <c r="N579" s="1" t="s">
        <v>1658</v>
      </c>
      <c r="O579" s="1" t="s">
        <v>1658</v>
      </c>
      <c r="P579" s="1">
        <v>1</v>
      </c>
      <c r="Q579" s="1" t="s">
        <v>1658</v>
      </c>
      <c r="R579" s="1">
        <v>0</v>
      </c>
      <c r="S579" s="1" t="s">
        <v>4270</v>
      </c>
      <c r="T579" s="6" t="s">
        <v>4270</v>
      </c>
      <c r="U579" s="1" t="str">
        <f t="shared" si="9"/>
        <v>Yes</v>
      </c>
      <c r="W579" s="1" t="s">
        <v>4271</v>
      </c>
      <c r="X579" s="1" t="str">
        <f>IF(COUNTIF('MyWells Drilling Comp'!F:F,E579)=0,"Missing","Exist")</f>
        <v>Exist</v>
      </c>
    </row>
    <row r="580" hidden="1" spans="1:24">
      <c r="A580" s="1" t="s">
        <v>1652</v>
      </c>
      <c r="B580" s="1" t="s">
        <v>90</v>
      </c>
      <c r="C580" s="1" t="s">
        <v>4272</v>
      </c>
      <c r="D580" s="1" t="s">
        <v>4273</v>
      </c>
      <c r="E580" s="2" t="s">
        <v>574</v>
      </c>
      <c r="F580" s="2" t="s">
        <v>4274</v>
      </c>
      <c r="G580" s="1">
        <v>1</v>
      </c>
      <c r="H580" s="1" t="s">
        <v>1656</v>
      </c>
      <c r="I580" s="1" t="s">
        <v>1657</v>
      </c>
      <c r="J580" s="1" t="s">
        <v>1658</v>
      </c>
      <c r="K580" s="1" t="s">
        <v>1658</v>
      </c>
      <c r="L580" s="1" t="s">
        <v>1658</v>
      </c>
      <c r="M580" s="1" t="s">
        <v>1658</v>
      </c>
      <c r="N580" s="1" t="s">
        <v>1658</v>
      </c>
      <c r="O580" s="1" t="s">
        <v>1658</v>
      </c>
      <c r="P580" s="1">
        <v>1</v>
      </c>
      <c r="Q580" s="1" t="s">
        <v>1658</v>
      </c>
      <c r="R580" s="1">
        <v>0</v>
      </c>
      <c r="S580" s="1" t="s">
        <v>4275</v>
      </c>
      <c r="T580" s="6" t="s">
        <v>4275</v>
      </c>
      <c r="U580" s="1" t="str">
        <f t="shared" si="9"/>
        <v>Yes</v>
      </c>
      <c r="W580" s="1" t="s">
        <v>4276</v>
      </c>
      <c r="X580" s="1" t="str">
        <f>IF(COUNTIF('MyWells Drilling Comp'!F:F,E580)=0,"Missing","Exist")</f>
        <v>Exist</v>
      </c>
    </row>
    <row r="581" hidden="1" spans="1:24">
      <c r="A581" s="1" t="s">
        <v>1652</v>
      </c>
      <c r="B581" s="1" t="s">
        <v>90</v>
      </c>
      <c r="C581" s="1" t="s">
        <v>4277</v>
      </c>
      <c r="D581" s="1" t="s">
        <v>4273</v>
      </c>
      <c r="E581" s="2" t="s">
        <v>574</v>
      </c>
      <c r="F581" s="2" t="s">
        <v>4278</v>
      </c>
      <c r="G581" s="1">
        <v>1</v>
      </c>
      <c r="H581" s="1" t="s">
        <v>1663</v>
      </c>
      <c r="I581" s="1" t="s">
        <v>1657</v>
      </c>
      <c r="J581" s="1" t="s">
        <v>1658</v>
      </c>
      <c r="K581" s="1" t="s">
        <v>1658</v>
      </c>
      <c r="L581" s="1" t="s">
        <v>1658</v>
      </c>
      <c r="M581" s="1" t="s">
        <v>1658</v>
      </c>
      <c r="N581" s="1" t="s">
        <v>1658</v>
      </c>
      <c r="O581" s="1" t="s">
        <v>1658</v>
      </c>
      <c r="P581" s="1">
        <v>1</v>
      </c>
      <c r="Q581" s="1" t="s">
        <v>1658</v>
      </c>
      <c r="R581" s="1">
        <v>0</v>
      </c>
      <c r="S581" s="1" t="s">
        <v>4279</v>
      </c>
      <c r="T581" s="6" t="s">
        <v>4279</v>
      </c>
      <c r="U581" s="1" t="str">
        <f t="shared" si="9"/>
        <v>Yes</v>
      </c>
      <c r="W581" s="1" t="s">
        <v>4280</v>
      </c>
      <c r="X581" s="1" t="str">
        <f>IF(COUNTIF('MyWells Drilling Comp'!F:F,E581)=0,"Missing","Exist")</f>
        <v>Exist</v>
      </c>
    </row>
    <row r="582" hidden="1" spans="1:24">
      <c r="A582" s="1" t="s">
        <v>1652</v>
      </c>
      <c r="B582" s="1" t="s">
        <v>90</v>
      </c>
      <c r="C582" s="1" t="s">
        <v>4281</v>
      </c>
      <c r="D582" s="7" t="s">
        <v>4282</v>
      </c>
      <c r="E582" s="2" t="s">
        <v>1595</v>
      </c>
      <c r="F582" s="2" t="s">
        <v>4283</v>
      </c>
      <c r="G582" s="1">
        <v>1</v>
      </c>
      <c r="H582" s="1" t="s">
        <v>1656</v>
      </c>
      <c r="I582" s="1" t="s">
        <v>1657</v>
      </c>
      <c r="J582" s="1" t="s">
        <v>1658</v>
      </c>
      <c r="K582" s="1" t="s">
        <v>1658</v>
      </c>
      <c r="L582" s="1" t="s">
        <v>1658</v>
      </c>
      <c r="M582" s="1" t="s">
        <v>1658</v>
      </c>
      <c r="N582" s="1" t="s">
        <v>1658</v>
      </c>
      <c r="O582" s="1" t="s">
        <v>1658</v>
      </c>
      <c r="P582" s="1">
        <v>1</v>
      </c>
      <c r="Q582" s="1" t="s">
        <v>1658</v>
      </c>
      <c r="R582" s="1">
        <v>0</v>
      </c>
      <c r="S582" s="1" t="s">
        <v>4284</v>
      </c>
      <c r="T582" s="6"/>
      <c r="U582" s="1" t="str">
        <f t="shared" si="9"/>
        <v>No</v>
      </c>
      <c r="W582" s="1" t="s">
        <v>4285</v>
      </c>
      <c r="X582" s="1" t="str">
        <f>IF(COUNTIF('MyWells Drilling Comp'!F:F,E582)=0,"Missing","Exist")</f>
        <v>Exist</v>
      </c>
    </row>
    <row r="583" hidden="1" spans="1:24">
      <c r="A583" s="1" t="s">
        <v>1652</v>
      </c>
      <c r="B583" s="1" t="s">
        <v>90</v>
      </c>
      <c r="C583" s="1" t="s">
        <v>4286</v>
      </c>
      <c r="D583" s="7" t="s">
        <v>4282</v>
      </c>
      <c r="E583" s="2" t="s">
        <v>1595</v>
      </c>
      <c r="F583" s="2" t="s">
        <v>4287</v>
      </c>
      <c r="G583" s="1">
        <v>1</v>
      </c>
      <c r="H583" s="1" t="s">
        <v>1663</v>
      </c>
      <c r="I583" s="1" t="s">
        <v>1657</v>
      </c>
      <c r="J583" s="1" t="s">
        <v>1658</v>
      </c>
      <c r="K583" s="1" t="s">
        <v>1658</v>
      </c>
      <c r="L583" s="1" t="s">
        <v>1658</v>
      </c>
      <c r="M583" s="1" t="s">
        <v>1658</v>
      </c>
      <c r="N583" s="1" t="s">
        <v>1658</v>
      </c>
      <c r="O583" s="1" t="s">
        <v>1658</v>
      </c>
      <c r="P583" s="1">
        <v>1</v>
      </c>
      <c r="Q583" s="1" t="s">
        <v>1658</v>
      </c>
      <c r="R583" s="1">
        <v>0</v>
      </c>
      <c r="S583" s="1" t="s">
        <v>4288</v>
      </c>
      <c r="T583" s="6"/>
      <c r="U583" s="1" t="str">
        <f t="shared" si="9"/>
        <v>No</v>
      </c>
      <c r="W583" s="1" t="s">
        <v>4289</v>
      </c>
      <c r="X583" s="1" t="str">
        <f>IF(COUNTIF('MyWells Drilling Comp'!F:F,E583)=0,"Missing","Exist")</f>
        <v>Exist</v>
      </c>
    </row>
    <row r="584" hidden="1" spans="1:24">
      <c r="A584" s="1" t="s">
        <v>1652</v>
      </c>
      <c r="C584" s="1" t="s">
        <v>4290</v>
      </c>
      <c r="D584" s="1" t="s">
        <v>4291</v>
      </c>
      <c r="E584" s="9" t="s">
        <v>965</v>
      </c>
      <c r="F584" s="1" t="s">
        <v>4292</v>
      </c>
      <c r="G584" s="1">
        <v>1</v>
      </c>
      <c r="H584" s="1" t="s">
        <v>1663</v>
      </c>
      <c r="I584" s="1" t="s">
        <v>1657</v>
      </c>
      <c r="J584" s="1" t="s">
        <v>1658</v>
      </c>
      <c r="K584" s="1" t="s">
        <v>1658</v>
      </c>
      <c r="L584" s="1" t="s">
        <v>1658</v>
      </c>
      <c r="M584" s="1" t="s">
        <v>1658</v>
      </c>
      <c r="N584" s="1" t="s">
        <v>1658</v>
      </c>
      <c r="O584" s="1" t="s">
        <v>1658</v>
      </c>
      <c r="P584" s="1">
        <v>1</v>
      </c>
      <c r="Q584" s="1" t="s">
        <v>1658</v>
      </c>
      <c r="R584" s="1">
        <v>0</v>
      </c>
      <c r="S584" s="1" t="s">
        <v>1658</v>
      </c>
      <c r="T584" s="6" t="s">
        <v>4293</v>
      </c>
      <c r="U584" s="1" t="str">
        <f t="shared" si="9"/>
        <v>No</v>
      </c>
      <c r="W584" s="1" t="s">
        <v>4294</v>
      </c>
      <c r="X584" s="1" t="str">
        <f>IF(COUNTIF('MyWells Drilling Comp'!F:F,E584)=0,"Missing","Exist")</f>
        <v>Exist</v>
      </c>
    </row>
    <row r="585" hidden="1" spans="1:24">
      <c r="A585" s="1" t="s">
        <v>1652</v>
      </c>
      <c r="C585" s="1" t="s">
        <v>4295</v>
      </c>
      <c r="D585" s="1" t="s">
        <v>4291</v>
      </c>
      <c r="E585" s="9" t="s">
        <v>965</v>
      </c>
      <c r="F585" s="1" t="s">
        <v>4296</v>
      </c>
      <c r="G585" s="1">
        <v>1</v>
      </c>
      <c r="H585" s="1" t="s">
        <v>1656</v>
      </c>
      <c r="I585" s="1" t="s">
        <v>1657</v>
      </c>
      <c r="J585" s="1" t="s">
        <v>1658</v>
      </c>
      <c r="K585" s="1" t="s">
        <v>1658</v>
      </c>
      <c r="L585" s="1" t="s">
        <v>1658</v>
      </c>
      <c r="M585" s="1" t="s">
        <v>1658</v>
      </c>
      <c r="N585" s="1" t="s">
        <v>1658</v>
      </c>
      <c r="O585" s="1" t="s">
        <v>1658</v>
      </c>
      <c r="P585" s="1">
        <v>1</v>
      </c>
      <c r="Q585" s="1" t="s">
        <v>1658</v>
      </c>
      <c r="R585" s="1">
        <v>0</v>
      </c>
      <c r="S585" s="1" t="s">
        <v>1658</v>
      </c>
      <c r="T585" s="6" t="s">
        <v>4297</v>
      </c>
      <c r="U585" s="1" t="str">
        <f t="shared" si="9"/>
        <v>No</v>
      </c>
      <c r="W585" s="1" t="s">
        <v>4298</v>
      </c>
      <c r="X585" s="1" t="str">
        <f>IF(COUNTIF('MyWells Drilling Comp'!F:F,E585)=0,"Missing","Exist")</f>
        <v>Exist</v>
      </c>
    </row>
    <row r="586" hidden="1" spans="1:24">
      <c r="A586" s="1" t="s">
        <v>1652</v>
      </c>
      <c r="B586" s="1" t="s">
        <v>90</v>
      </c>
      <c r="C586" s="1" t="s">
        <v>4299</v>
      </c>
      <c r="D586" s="1" t="s">
        <v>4300</v>
      </c>
      <c r="E586" s="2" t="s">
        <v>1544</v>
      </c>
      <c r="F586" s="2" t="s">
        <v>4301</v>
      </c>
      <c r="G586" s="1">
        <v>1</v>
      </c>
      <c r="H586" s="1" t="s">
        <v>1656</v>
      </c>
      <c r="I586" s="1" t="s">
        <v>1657</v>
      </c>
      <c r="J586" s="1" t="s">
        <v>1658</v>
      </c>
      <c r="K586" s="1" t="s">
        <v>1658</v>
      </c>
      <c r="L586" s="1" t="s">
        <v>1658</v>
      </c>
      <c r="M586" s="1" t="s">
        <v>1658</v>
      </c>
      <c r="N586" s="1" t="s">
        <v>1658</v>
      </c>
      <c r="O586" s="1" t="s">
        <v>1658</v>
      </c>
      <c r="P586" s="1">
        <v>1</v>
      </c>
      <c r="Q586" s="1" t="s">
        <v>1658</v>
      </c>
      <c r="R586" s="1">
        <v>0</v>
      </c>
      <c r="S586" s="1" t="s">
        <v>4302</v>
      </c>
      <c r="T586" s="6" t="s">
        <v>4302</v>
      </c>
      <c r="U586" s="1" t="str">
        <f t="shared" si="9"/>
        <v>Yes</v>
      </c>
      <c r="W586" s="1" t="s">
        <v>4303</v>
      </c>
      <c r="X586" s="1" t="str">
        <f>IF(COUNTIF('MyWells Drilling Comp'!F:F,E586)=0,"Missing","Exist")</f>
        <v>Exist</v>
      </c>
    </row>
    <row r="587" hidden="1" spans="1:24">
      <c r="A587" s="1" t="s">
        <v>1652</v>
      </c>
      <c r="B587" s="1" t="s">
        <v>90</v>
      </c>
      <c r="C587" s="1" t="s">
        <v>4304</v>
      </c>
      <c r="D587" s="1" t="s">
        <v>4300</v>
      </c>
      <c r="E587" s="2" t="s">
        <v>1544</v>
      </c>
      <c r="F587" s="2" t="s">
        <v>4305</v>
      </c>
      <c r="G587" s="1">
        <v>1</v>
      </c>
      <c r="H587" s="1" t="s">
        <v>1663</v>
      </c>
      <c r="I587" s="1" t="s">
        <v>1657</v>
      </c>
      <c r="J587" s="1" t="s">
        <v>1658</v>
      </c>
      <c r="K587" s="1" t="s">
        <v>1658</v>
      </c>
      <c r="L587" s="1" t="s">
        <v>1658</v>
      </c>
      <c r="M587" s="1" t="s">
        <v>1658</v>
      </c>
      <c r="N587" s="1" t="s">
        <v>1658</v>
      </c>
      <c r="O587" s="1" t="s">
        <v>1658</v>
      </c>
      <c r="P587" s="1">
        <v>1</v>
      </c>
      <c r="Q587" s="1" t="s">
        <v>1658</v>
      </c>
      <c r="R587" s="1">
        <v>0</v>
      </c>
      <c r="S587" s="1" t="s">
        <v>4306</v>
      </c>
      <c r="T587" s="6" t="s">
        <v>4307</v>
      </c>
      <c r="U587" s="1" t="str">
        <f t="shared" si="9"/>
        <v>No</v>
      </c>
      <c r="W587" s="1" t="s">
        <v>4308</v>
      </c>
      <c r="X587" s="1" t="str">
        <f>IF(COUNTIF('MyWells Drilling Comp'!F:F,E587)=0,"Missing","Exist")</f>
        <v>Exist</v>
      </c>
    </row>
    <row r="588" hidden="1" spans="1:24">
      <c r="A588" s="1" t="s">
        <v>1652</v>
      </c>
      <c r="B588" s="1" t="s">
        <v>90</v>
      </c>
      <c r="C588" s="1" t="s">
        <v>4309</v>
      </c>
      <c r="D588" s="1" t="s">
        <v>4310</v>
      </c>
      <c r="E588" s="2" t="s">
        <v>541</v>
      </c>
      <c r="F588" s="2" t="s">
        <v>4311</v>
      </c>
      <c r="G588" s="1">
        <v>1</v>
      </c>
      <c r="H588" s="1" t="s">
        <v>1663</v>
      </c>
      <c r="I588" s="1" t="s">
        <v>1657</v>
      </c>
      <c r="J588" s="1" t="s">
        <v>1658</v>
      </c>
      <c r="K588" s="1" t="s">
        <v>1658</v>
      </c>
      <c r="L588" s="1" t="s">
        <v>1658</v>
      </c>
      <c r="M588" s="1" t="s">
        <v>1658</v>
      </c>
      <c r="N588" s="1" t="s">
        <v>1658</v>
      </c>
      <c r="O588" s="1" t="s">
        <v>1658</v>
      </c>
      <c r="P588" s="1">
        <v>1</v>
      </c>
      <c r="Q588" s="1" t="s">
        <v>1658</v>
      </c>
      <c r="R588" s="1">
        <v>0</v>
      </c>
      <c r="S588" s="1" t="s">
        <v>4312</v>
      </c>
      <c r="T588" s="6" t="s">
        <v>4312</v>
      </c>
      <c r="U588" s="1" t="str">
        <f t="shared" si="9"/>
        <v>Yes</v>
      </c>
      <c r="W588" s="1" t="s">
        <v>4313</v>
      </c>
      <c r="X588" s="1" t="str">
        <f>IF(COUNTIF('MyWells Drilling Comp'!F:F,E588)=0,"Missing","Exist")</f>
        <v>Exist</v>
      </c>
    </row>
    <row r="589" hidden="1" spans="1:24">
      <c r="A589" s="1" t="s">
        <v>1652</v>
      </c>
      <c r="B589" s="1" t="s">
        <v>90</v>
      </c>
      <c r="C589" s="1" t="s">
        <v>4314</v>
      </c>
      <c r="D589" s="1" t="s">
        <v>4310</v>
      </c>
      <c r="E589" s="2" t="s">
        <v>541</v>
      </c>
      <c r="F589" s="2" t="s">
        <v>4315</v>
      </c>
      <c r="G589" s="1">
        <v>1</v>
      </c>
      <c r="H589" s="1" t="s">
        <v>1656</v>
      </c>
      <c r="I589" s="1" t="s">
        <v>1657</v>
      </c>
      <c r="J589" s="1" t="s">
        <v>1658</v>
      </c>
      <c r="K589" s="1" t="s">
        <v>1658</v>
      </c>
      <c r="L589" s="1" t="s">
        <v>1658</v>
      </c>
      <c r="M589" s="1" t="s">
        <v>1658</v>
      </c>
      <c r="N589" s="1" t="s">
        <v>1658</v>
      </c>
      <c r="O589" s="1" t="s">
        <v>1658</v>
      </c>
      <c r="P589" s="1">
        <v>1</v>
      </c>
      <c r="Q589" s="1" t="s">
        <v>1658</v>
      </c>
      <c r="R589" s="1">
        <v>0</v>
      </c>
      <c r="S589" s="1" t="s">
        <v>4316</v>
      </c>
      <c r="T589" s="6" t="s">
        <v>4316</v>
      </c>
      <c r="U589" s="1" t="str">
        <f t="shared" si="9"/>
        <v>Yes</v>
      </c>
      <c r="W589" s="1" t="s">
        <v>4317</v>
      </c>
      <c r="X589" s="1" t="str">
        <f>IF(COUNTIF('MyWells Drilling Comp'!F:F,E589)=0,"Missing","Exist")</f>
        <v>Exist</v>
      </c>
    </row>
    <row r="590" hidden="1" spans="1:24">
      <c r="A590" s="1" t="s">
        <v>1652</v>
      </c>
      <c r="B590" s="1" t="s">
        <v>90</v>
      </c>
      <c r="C590" s="1" t="s">
        <v>4318</v>
      </c>
      <c r="D590" s="1" t="s">
        <v>4319</v>
      </c>
      <c r="E590" s="2" t="s">
        <v>795</v>
      </c>
      <c r="F590" s="2" t="s">
        <v>4320</v>
      </c>
      <c r="G590" s="1">
        <v>1</v>
      </c>
      <c r="H590" s="1" t="s">
        <v>1663</v>
      </c>
      <c r="I590" s="1" t="s">
        <v>1657</v>
      </c>
      <c r="J590" s="1" t="s">
        <v>1658</v>
      </c>
      <c r="K590" s="1" t="s">
        <v>1658</v>
      </c>
      <c r="L590" s="1" t="s">
        <v>1658</v>
      </c>
      <c r="M590" s="1" t="s">
        <v>1658</v>
      </c>
      <c r="N590" s="1" t="s">
        <v>1658</v>
      </c>
      <c r="O590" s="1" t="s">
        <v>1658</v>
      </c>
      <c r="P590" s="1">
        <v>1</v>
      </c>
      <c r="Q590" s="1" t="s">
        <v>1658</v>
      </c>
      <c r="R590" s="1">
        <v>0</v>
      </c>
      <c r="S590" s="1" t="s">
        <v>4321</v>
      </c>
      <c r="T590" s="6" t="s">
        <v>4321</v>
      </c>
      <c r="U590" s="1" t="str">
        <f t="shared" si="9"/>
        <v>Yes</v>
      </c>
      <c r="W590" s="1" t="s">
        <v>4322</v>
      </c>
      <c r="X590" s="1" t="str">
        <f>IF(COUNTIF('MyWells Drilling Comp'!F:F,E590)=0,"Missing","Exist")</f>
        <v>Exist</v>
      </c>
    </row>
    <row r="591" hidden="1" spans="1:24">
      <c r="A591" s="1" t="s">
        <v>1652</v>
      </c>
      <c r="B591" s="1" t="s">
        <v>90</v>
      </c>
      <c r="C591" s="1" t="s">
        <v>4323</v>
      </c>
      <c r="D591" s="1" t="s">
        <v>4319</v>
      </c>
      <c r="E591" s="2" t="s">
        <v>795</v>
      </c>
      <c r="F591" s="2" t="s">
        <v>4324</v>
      </c>
      <c r="G591" s="1">
        <v>1</v>
      </c>
      <c r="H591" s="1" t="s">
        <v>1656</v>
      </c>
      <c r="I591" s="1" t="s">
        <v>1657</v>
      </c>
      <c r="J591" s="1" t="s">
        <v>1658</v>
      </c>
      <c r="K591" s="1" t="s">
        <v>1658</v>
      </c>
      <c r="L591" s="1" t="s">
        <v>1658</v>
      </c>
      <c r="M591" s="1" t="s">
        <v>1658</v>
      </c>
      <c r="N591" s="1" t="s">
        <v>1658</v>
      </c>
      <c r="O591" s="1" t="s">
        <v>1658</v>
      </c>
      <c r="P591" s="1">
        <v>1</v>
      </c>
      <c r="Q591" s="1" t="s">
        <v>1658</v>
      </c>
      <c r="R591" s="1">
        <v>0</v>
      </c>
      <c r="S591" s="1" t="s">
        <v>4325</v>
      </c>
      <c r="T591" s="6" t="s">
        <v>4325</v>
      </c>
      <c r="U591" s="1" t="str">
        <f t="shared" si="9"/>
        <v>Yes</v>
      </c>
      <c r="W591" s="1" t="s">
        <v>4326</v>
      </c>
      <c r="X591" s="1" t="str">
        <f>IF(COUNTIF('MyWells Drilling Comp'!F:F,E591)=0,"Missing","Exist")</f>
        <v>Exist</v>
      </c>
    </row>
    <row r="592" hidden="1" spans="1:24">
      <c r="A592" s="1" t="s">
        <v>1652</v>
      </c>
      <c r="B592" s="1" t="s">
        <v>90</v>
      </c>
      <c r="C592" s="1" t="s">
        <v>4327</v>
      </c>
      <c r="D592" s="1" t="s">
        <v>4328</v>
      </c>
      <c r="E592" s="2" t="s">
        <v>914</v>
      </c>
      <c r="F592" s="2" t="s">
        <v>4329</v>
      </c>
      <c r="G592" s="1">
        <v>1</v>
      </c>
      <c r="H592" s="1" t="s">
        <v>1656</v>
      </c>
      <c r="I592" s="1" t="s">
        <v>1657</v>
      </c>
      <c r="J592" s="1" t="s">
        <v>1658</v>
      </c>
      <c r="K592" s="1" t="s">
        <v>1658</v>
      </c>
      <c r="L592" s="1" t="s">
        <v>1658</v>
      </c>
      <c r="M592" s="1" t="s">
        <v>1658</v>
      </c>
      <c r="N592" s="1" t="s">
        <v>1658</v>
      </c>
      <c r="O592" s="1" t="s">
        <v>1658</v>
      </c>
      <c r="P592" s="1">
        <v>1</v>
      </c>
      <c r="Q592" s="1" t="s">
        <v>1658</v>
      </c>
      <c r="R592" s="1">
        <v>0</v>
      </c>
      <c r="S592" s="1" t="s">
        <v>4330</v>
      </c>
      <c r="T592" s="6"/>
      <c r="U592" s="1" t="str">
        <f t="shared" si="9"/>
        <v>No</v>
      </c>
      <c r="W592" s="1" t="s">
        <v>4331</v>
      </c>
      <c r="X592" s="1" t="str">
        <f>IF(COUNTIF('MyWells Drilling Comp'!F:F,E592)=0,"Missing","Exist")</f>
        <v>Exist</v>
      </c>
    </row>
    <row r="593" hidden="1" spans="1:24">
      <c r="A593" s="1" t="s">
        <v>1652</v>
      </c>
      <c r="B593" s="1" t="s">
        <v>90</v>
      </c>
      <c r="C593" s="1" t="s">
        <v>4332</v>
      </c>
      <c r="D593" s="1" t="s">
        <v>4328</v>
      </c>
      <c r="E593" s="2" t="s">
        <v>914</v>
      </c>
      <c r="F593" s="2" t="s">
        <v>4333</v>
      </c>
      <c r="G593" s="1">
        <v>1</v>
      </c>
      <c r="H593" s="1" t="s">
        <v>1663</v>
      </c>
      <c r="I593" s="1" t="s">
        <v>1657</v>
      </c>
      <c r="J593" s="1" t="s">
        <v>1658</v>
      </c>
      <c r="K593" s="1" t="s">
        <v>1658</v>
      </c>
      <c r="L593" s="1" t="s">
        <v>1658</v>
      </c>
      <c r="M593" s="1" t="s">
        <v>1658</v>
      </c>
      <c r="N593" s="1" t="s">
        <v>1658</v>
      </c>
      <c r="O593" s="1" t="s">
        <v>1658</v>
      </c>
      <c r="P593" s="1">
        <v>1</v>
      </c>
      <c r="Q593" s="1" t="s">
        <v>1658</v>
      </c>
      <c r="R593" s="1">
        <v>0</v>
      </c>
      <c r="S593" s="1" t="s">
        <v>4334</v>
      </c>
      <c r="T593" s="6"/>
      <c r="U593" s="1" t="str">
        <f t="shared" si="9"/>
        <v>No</v>
      </c>
      <c r="W593" s="1" t="s">
        <v>4335</v>
      </c>
      <c r="X593" s="1" t="str">
        <f>IF(COUNTIF('MyWells Drilling Comp'!F:F,E593)=0,"Missing","Exist")</f>
        <v>Exist</v>
      </c>
    </row>
    <row r="594" hidden="1" spans="1:24">
      <c r="A594" s="1" t="s">
        <v>1652</v>
      </c>
      <c r="B594" s="1" t="s">
        <v>90</v>
      </c>
      <c r="C594" s="1" t="s">
        <v>4336</v>
      </c>
      <c r="D594" s="1" t="s">
        <v>4337</v>
      </c>
      <c r="E594" s="2" t="s">
        <v>1091</v>
      </c>
      <c r="F594" s="2" t="s">
        <v>4338</v>
      </c>
      <c r="G594" s="1">
        <v>1</v>
      </c>
      <c r="H594" s="1" t="s">
        <v>1663</v>
      </c>
      <c r="I594" s="1" t="s">
        <v>1657</v>
      </c>
      <c r="J594" s="1" t="s">
        <v>1658</v>
      </c>
      <c r="K594" s="1" t="s">
        <v>1658</v>
      </c>
      <c r="L594" s="1" t="s">
        <v>1658</v>
      </c>
      <c r="M594" s="1" t="s">
        <v>1658</v>
      </c>
      <c r="N594" s="1" t="s">
        <v>1658</v>
      </c>
      <c r="O594" s="1" t="s">
        <v>1658</v>
      </c>
      <c r="P594" s="1">
        <v>1</v>
      </c>
      <c r="Q594" s="1" t="s">
        <v>1658</v>
      </c>
      <c r="R594" s="1">
        <v>0</v>
      </c>
      <c r="S594" s="1" t="s">
        <v>4339</v>
      </c>
      <c r="T594" s="6"/>
      <c r="U594" s="1" t="str">
        <f t="shared" si="9"/>
        <v>No</v>
      </c>
      <c r="W594" s="1" t="s">
        <v>4340</v>
      </c>
      <c r="X594" s="1" t="str">
        <f>IF(COUNTIF('MyWells Drilling Comp'!F:F,E594)=0,"Missing","Exist")</f>
        <v>Exist</v>
      </c>
    </row>
    <row r="595" hidden="1" spans="1:24">
      <c r="A595" s="1" t="s">
        <v>1652</v>
      </c>
      <c r="B595" s="1" t="s">
        <v>90</v>
      </c>
      <c r="C595" s="1" t="s">
        <v>4341</v>
      </c>
      <c r="D595" s="1" t="s">
        <v>4337</v>
      </c>
      <c r="E595" s="2" t="s">
        <v>1091</v>
      </c>
      <c r="F595" s="2" t="s">
        <v>4342</v>
      </c>
      <c r="G595" s="1">
        <v>1</v>
      </c>
      <c r="H595" s="1" t="s">
        <v>1656</v>
      </c>
      <c r="I595" s="1" t="s">
        <v>1657</v>
      </c>
      <c r="J595" s="1" t="s">
        <v>1658</v>
      </c>
      <c r="K595" s="1" t="s">
        <v>1658</v>
      </c>
      <c r="L595" s="1" t="s">
        <v>1658</v>
      </c>
      <c r="M595" s="1" t="s">
        <v>1658</v>
      </c>
      <c r="N595" s="1" t="s">
        <v>1658</v>
      </c>
      <c r="O595" s="1" t="s">
        <v>1658</v>
      </c>
      <c r="P595" s="1">
        <v>1</v>
      </c>
      <c r="Q595" s="1" t="s">
        <v>1658</v>
      </c>
      <c r="R595" s="1">
        <v>0</v>
      </c>
      <c r="S595" s="1" t="s">
        <v>4343</v>
      </c>
      <c r="T595" s="6"/>
      <c r="U595" s="1" t="str">
        <f t="shared" si="9"/>
        <v>No</v>
      </c>
      <c r="W595" s="1" t="s">
        <v>4344</v>
      </c>
      <c r="X595" s="1" t="str">
        <f>IF(COUNTIF('MyWells Drilling Comp'!F:F,E595)=0,"Missing","Exist")</f>
        <v>Exist</v>
      </c>
    </row>
    <row r="596" hidden="1" spans="1:24">
      <c r="A596" s="1" t="s">
        <v>1652</v>
      </c>
      <c r="B596" s="1" t="s">
        <v>90</v>
      </c>
      <c r="C596" s="1" t="s">
        <v>4345</v>
      </c>
      <c r="D596" s="1" t="s">
        <v>4346</v>
      </c>
      <c r="E596" s="2" t="s">
        <v>749</v>
      </c>
      <c r="F596" s="2" t="s">
        <v>4347</v>
      </c>
      <c r="G596" s="1">
        <v>1</v>
      </c>
      <c r="H596" s="1" t="s">
        <v>1656</v>
      </c>
      <c r="I596" s="1" t="s">
        <v>1657</v>
      </c>
      <c r="J596" s="1" t="s">
        <v>1658</v>
      </c>
      <c r="K596" s="1" t="s">
        <v>1658</v>
      </c>
      <c r="L596" s="1" t="s">
        <v>1658</v>
      </c>
      <c r="M596" s="1" t="s">
        <v>1658</v>
      </c>
      <c r="N596" s="1" t="s">
        <v>1658</v>
      </c>
      <c r="O596" s="1" t="s">
        <v>1658</v>
      </c>
      <c r="P596" s="1">
        <v>1</v>
      </c>
      <c r="Q596" s="1" t="s">
        <v>1658</v>
      </c>
      <c r="R596" s="1">
        <v>0</v>
      </c>
      <c r="S596" s="1" t="s">
        <v>4348</v>
      </c>
      <c r="T596" s="6" t="s">
        <v>4348</v>
      </c>
      <c r="U596" s="1" t="str">
        <f t="shared" si="9"/>
        <v>Yes</v>
      </c>
      <c r="W596" s="1" t="s">
        <v>4349</v>
      </c>
      <c r="X596" s="1" t="str">
        <f>IF(COUNTIF('MyWells Drilling Comp'!F:F,E596)=0,"Missing","Exist")</f>
        <v>Exist</v>
      </c>
    </row>
    <row r="597" hidden="1" spans="1:24">
      <c r="A597" s="1" t="s">
        <v>1652</v>
      </c>
      <c r="B597" s="1" t="s">
        <v>90</v>
      </c>
      <c r="C597" s="1" t="s">
        <v>4350</v>
      </c>
      <c r="D597" s="1" t="s">
        <v>4346</v>
      </c>
      <c r="E597" s="2" t="s">
        <v>749</v>
      </c>
      <c r="F597" s="2" t="s">
        <v>4351</v>
      </c>
      <c r="G597" s="1">
        <v>1</v>
      </c>
      <c r="H597" s="1" t="s">
        <v>1663</v>
      </c>
      <c r="I597" s="1" t="s">
        <v>1657</v>
      </c>
      <c r="J597" s="1" t="s">
        <v>1658</v>
      </c>
      <c r="K597" s="1" t="s">
        <v>1658</v>
      </c>
      <c r="L597" s="1" t="s">
        <v>1658</v>
      </c>
      <c r="M597" s="1" t="s">
        <v>1658</v>
      </c>
      <c r="N597" s="1" t="s">
        <v>1658</v>
      </c>
      <c r="O597" s="1" t="s">
        <v>1658</v>
      </c>
      <c r="P597" s="1">
        <v>1</v>
      </c>
      <c r="Q597" s="1" t="s">
        <v>1658</v>
      </c>
      <c r="R597" s="1">
        <v>0</v>
      </c>
      <c r="S597" s="1" t="s">
        <v>4352</v>
      </c>
      <c r="T597" s="6" t="s">
        <v>4352</v>
      </c>
      <c r="U597" s="1" t="str">
        <f t="shared" si="9"/>
        <v>Yes</v>
      </c>
      <c r="W597" s="1" t="s">
        <v>4353</v>
      </c>
      <c r="X597" s="1" t="str">
        <f>IF(COUNTIF('MyWells Drilling Comp'!F:F,E597)=0,"Missing","Exist")</f>
        <v>Exist</v>
      </c>
    </row>
    <row r="598" hidden="1" spans="1:24">
      <c r="A598" s="1" t="s">
        <v>1652</v>
      </c>
      <c r="B598" s="1" t="s">
        <v>90</v>
      </c>
      <c r="C598" s="1" t="s">
        <v>4354</v>
      </c>
      <c r="D598" s="1" t="s">
        <v>4355</v>
      </c>
      <c r="E598" s="2" t="s">
        <v>1217</v>
      </c>
      <c r="F598" s="2" t="s">
        <v>4356</v>
      </c>
      <c r="G598" s="1">
        <v>1</v>
      </c>
      <c r="H598" s="1" t="s">
        <v>1656</v>
      </c>
      <c r="I598" s="1" t="s">
        <v>1657</v>
      </c>
      <c r="J598" s="1" t="s">
        <v>1658</v>
      </c>
      <c r="K598" s="1" t="s">
        <v>1658</v>
      </c>
      <c r="L598" s="1" t="s">
        <v>1658</v>
      </c>
      <c r="M598" s="1" t="s">
        <v>1658</v>
      </c>
      <c r="N598" s="1" t="s">
        <v>1658</v>
      </c>
      <c r="O598" s="1" t="s">
        <v>1658</v>
      </c>
      <c r="P598" s="1">
        <v>1</v>
      </c>
      <c r="Q598" s="1" t="s">
        <v>1658</v>
      </c>
      <c r="R598" s="1">
        <v>0</v>
      </c>
      <c r="S598" s="1" t="s">
        <v>4357</v>
      </c>
      <c r="T598" s="6" t="s">
        <v>4357</v>
      </c>
      <c r="U598" s="1" t="str">
        <f t="shared" si="9"/>
        <v>Yes</v>
      </c>
      <c r="W598" s="1" t="s">
        <v>4358</v>
      </c>
      <c r="X598" s="1" t="str">
        <f>IF(COUNTIF('MyWells Drilling Comp'!F:F,E598)=0,"Missing","Exist")</f>
        <v>Exist</v>
      </c>
    </row>
    <row r="599" hidden="1" spans="1:24">
      <c r="A599" s="1" t="s">
        <v>1652</v>
      </c>
      <c r="B599" s="1" t="s">
        <v>90</v>
      </c>
      <c r="C599" s="1" t="s">
        <v>4359</v>
      </c>
      <c r="D599" s="1" t="s">
        <v>4355</v>
      </c>
      <c r="E599" s="2" t="s">
        <v>1217</v>
      </c>
      <c r="F599" s="2" t="s">
        <v>4360</v>
      </c>
      <c r="G599" s="1">
        <v>1</v>
      </c>
      <c r="H599" s="1" t="s">
        <v>1663</v>
      </c>
      <c r="I599" s="1" t="s">
        <v>1657</v>
      </c>
      <c r="J599" s="1" t="s">
        <v>1658</v>
      </c>
      <c r="K599" s="1" t="s">
        <v>1658</v>
      </c>
      <c r="L599" s="1" t="s">
        <v>1658</v>
      </c>
      <c r="M599" s="1" t="s">
        <v>1658</v>
      </c>
      <c r="N599" s="1" t="s">
        <v>1658</v>
      </c>
      <c r="O599" s="1" t="s">
        <v>1658</v>
      </c>
      <c r="P599" s="1">
        <v>1</v>
      </c>
      <c r="Q599" s="1" t="s">
        <v>1658</v>
      </c>
      <c r="R599" s="1">
        <v>0</v>
      </c>
      <c r="S599" s="1" t="s">
        <v>4361</v>
      </c>
      <c r="T599" s="6" t="s">
        <v>4361</v>
      </c>
      <c r="U599" s="1" t="str">
        <f t="shared" si="9"/>
        <v>Yes</v>
      </c>
      <c r="W599" s="1" t="s">
        <v>4362</v>
      </c>
      <c r="X599" s="1" t="str">
        <f>IF(COUNTIF('MyWells Drilling Comp'!F:F,E599)=0,"Missing","Exist")</f>
        <v>Exist</v>
      </c>
    </row>
    <row r="600" hidden="1" spans="1:24">
      <c r="A600" s="1" t="s">
        <v>1652</v>
      </c>
      <c r="B600" s="1" t="s">
        <v>90</v>
      </c>
      <c r="C600" s="1" t="s">
        <v>4363</v>
      </c>
      <c r="D600" s="1" t="s">
        <v>4364</v>
      </c>
      <c r="E600" s="2" t="s">
        <v>1627</v>
      </c>
      <c r="F600" s="2" t="s">
        <v>4365</v>
      </c>
      <c r="G600" s="1">
        <v>1</v>
      </c>
      <c r="H600" s="1" t="s">
        <v>1656</v>
      </c>
      <c r="I600" s="1" t="s">
        <v>1657</v>
      </c>
      <c r="J600" s="1" t="s">
        <v>1658</v>
      </c>
      <c r="K600" s="1" t="s">
        <v>1658</v>
      </c>
      <c r="L600" s="1" t="s">
        <v>1658</v>
      </c>
      <c r="M600" s="1" t="s">
        <v>1658</v>
      </c>
      <c r="N600" s="1" t="s">
        <v>1658</v>
      </c>
      <c r="O600" s="1" t="s">
        <v>1658</v>
      </c>
      <c r="P600" s="1">
        <v>1</v>
      </c>
      <c r="Q600" s="1" t="s">
        <v>1658</v>
      </c>
      <c r="R600" s="1">
        <v>0</v>
      </c>
      <c r="S600" s="1" t="s">
        <v>4366</v>
      </c>
      <c r="T600" s="6"/>
      <c r="U600" s="1" t="str">
        <f t="shared" si="9"/>
        <v>No</v>
      </c>
      <c r="W600" s="1" t="s">
        <v>4367</v>
      </c>
      <c r="X600" s="1" t="str">
        <f>IF(COUNTIF('MyWells Drilling Comp'!F:F,E600)=0,"Missing","Exist")</f>
        <v>Exist</v>
      </c>
    </row>
    <row r="601" hidden="1" spans="1:24">
      <c r="A601" s="1" t="s">
        <v>1652</v>
      </c>
      <c r="B601" s="1" t="s">
        <v>90</v>
      </c>
      <c r="C601" s="1" t="s">
        <v>4368</v>
      </c>
      <c r="D601" s="1" t="s">
        <v>4364</v>
      </c>
      <c r="E601" s="2" t="s">
        <v>1627</v>
      </c>
      <c r="F601" s="2" t="s">
        <v>4369</v>
      </c>
      <c r="G601" s="1">
        <v>1</v>
      </c>
      <c r="H601" s="1" t="s">
        <v>1663</v>
      </c>
      <c r="I601" s="1" t="s">
        <v>1657</v>
      </c>
      <c r="J601" s="1" t="s">
        <v>1658</v>
      </c>
      <c r="K601" s="1" t="s">
        <v>1658</v>
      </c>
      <c r="L601" s="1" t="s">
        <v>1658</v>
      </c>
      <c r="M601" s="1" t="s">
        <v>1658</v>
      </c>
      <c r="N601" s="1" t="s">
        <v>1658</v>
      </c>
      <c r="O601" s="1" t="s">
        <v>1658</v>
      </c>
      <c r="P601" s="1">
        <v>1</v>
      </c>
      <c r="Q601" s="1" t="s">
        <v>1658</v>
      </c>
      <c r="R601" s="1">
        <v>0</v>
      </c>
      <c r="S601" s="1" t="s">
        <v>4370</v>
      </c>
      <c r="T601" s="6" t="s">
        <v>4370</v>
      </c>
      <c r="U601" s="1" t="str">
        <f t="shared" si="9"/>
        <v>Yes</v>
      </c>
      <c r="W601" s="1" t="s">
        <v>4371</v>
      </c>
      <c r="X601" s="1" t="str">
        <f>IF(COUNTIF('MyWells Drilling Comp'!F:F,E601)=0,"Missing","Exist")</f>
        <v>Exist</v>
      </c>
    </row>
    <row r="602" spans="1:24">
      <c r="A602" s="1" t="s">
        <v>1652</v>
      </c>
      <c r="B602" s="1" t="s">
        <v>90</v>
      </c>
      <c r="C602" s="1" t="s">
        <v>4372</v>
      </c>
      <c r="D602" s="1" t="s">
        <v>4373</v>
      </c>
      <c r="E602" s="2" t="s">
        <v>4374</v>
      </c>
      <c r="F602" s="2" t="s">
        <v>4375</v>
      </c>
      <c r="G602" s="1">
        <v>1</v>
      </c>
      <c r="H602" s="1" t="s">
        <v>1663</v>
      </c>
      <c r="I602" s="1" t="s">
        <v>1657</v>
      </c>
      <c r="J602" s="1" t="s">
        <v>1658</v>
      </c>
      <c r="K602" s="1" t="s">
        <v>1658</v>
      </c>
      <c r="L602" s="1" t="s">
        <v>1658</v>
      </c>
      <c r="M602" s="1" t="s">
        <v>1658</v>
      </c>
      <c r="N602" s="1" t="s">
        <v>1658</v>
      </c>
      <c r="O602" s="1" t="s">
        <v>1658</v>
      </c>
      <c r="P602" s="1">
        <v>1</v>
      </c>
      <c r="Q602" s="1" t="s">
        <v>1658</v>
      </c>
      <c r="R602" s="1">
        <v>0</v>
      </c>
      <c r="S602" s="1" t="s">
        <v>4376</v>
      </c>
      <c r="T602" s="6" t="s">
        <v>4376</v>
      </c>
      <c r="U602" s="1" t="str">
        <f t="shared" si="9"/>
        <v>Yes</v>
      </c>
      <c r="W602" s="1" t="s">
        <v>4377</v>
      </c>
      <c r="X602" s="1" t="str">
        <f>IF(COUNTIF('MyWells Drilling Comp'!F:F,E602)=0,"Missing","Exist")</f>
        <v>Missing</v>
      </c>
    </row>
    <row r="603" hidden="1" spans="1:24">
      <c r="A603" s="1" t="s">
        <v>1652</v>
      </c>
      <c r="B603" s="1" t="s">
        <v>90</v>
      </c>
      <c r="C603" s="1" t="s">
        <v>4378</v>
      </c>
      <c r="D603" s="1" t="s">
        <v>4373</v>
      </c>
      <c r="E603" s="2" t="s">
        <v>4374</v>
      </c>
      <c r="F603" s="2" t="s">
        <v>4379</v>
      </c>
      <c r="G603" s="1">
        <v>1</v>
      </c>
      <c r="H603" s="1" t="s">
        <v>1656</v>
      </c>
      <c r="I603" s="1" t="s">
        <v>1657</v>
      </c>
      <c r="J603" s="1" t="s">
        <v>1658</v>
      </c>
      <c r="K603" s="1" t="s">
        <v>1658</v>
      </c>
      <c r="L603" s="1" t="s">
        <v>1658</v>
      </c>
      <c r="M603" s="1" t="s">
        <v>1658</v>
      </c>
      <c r="N603" s="1" t="s">
        <v>1658</v>
      </c>
      <c r="O603" s="1" t="s">
        <v>1658</v>
      </c>
      <c r="P603" s="1">
        <v>1</v>
      </c>
      <c r="Q603" s="1" t="s">
        <v>1658</v>
      </c>
      <c r="R603" s="1">
        <v>0</v>
      </c>
      <c r="S603" s="1" t="s">
        <v>4380</v>
      </c>
      <c r="T603" s="6" t="s">
        <v>4380</v>
      </c>
      <c r="U603" s="1" t="str">
        <f t="shared" si="9"/>
        <v>Yes</v>
      </c>
      <c r="W603" s="1" t="s">
        <v>4381</v>
      </c>
      <c r="X603" s="1" t="str">
        <f>IF(COUNTIF('MyWells Drilling Comp'!F:F,E603)=0,"Missing","Exist")</f>
        <v>Missing</v>
      </c>
    </row>
    <row r="604" hidden="1" spans="1:24">
      <c r="A604" s="1" t="s">
        <v>1652</v>
      </c>
      <c r="B604" s="1" t="s">
        <v>90</v>
      </c>
      <c r="C604" s="1" t="s">
        <v>4382</v>
      </c>
      <c r="D604" s="1" t="s">
        <v>4383</v>
      </c>
      <c r="E604" s="2" t="s">
        <v>1326</v>
      </c>
      <c r="F604" s="2" t="s">
        <v>4384</v>
      </c>
      <c r="G604" s="1">
        <v>1</v>
      </c>
      <c r="H604" s="1" t="s">
        <v>1656</v>
      </c>
      <c r="I604" s="1" t="s">
        <v>1657</v>
      </c>
      <c r="J604" s="1" t="s">
        <v>1658</v>
      </c>
      <c r="K604" s="1" t="s">
        <v>1658</v>
      </c>
      <c r="L604" s="1" t="s">
        <v>1658</v>
      </c>
      <c r="M604" s="1" t="s">
        <v>1658</v>
      </c>
      <c r="N604" s="1" t="s">
        <v>1658</v>
      </c>
      <c r="O604" s="1" t="s">
        <v>1658</v>
      </c>
      <c r="P604" s="1">
        <v>1</v>
      </c>
      <c r="Q604" s="1" t="s">
        <v>1658</v>
      </c>
      <c r="R604" s="1">
        <v>0</v>
      </c>
      <c r="S604" s="1" t="s">
        <v>4385</v>
      </c>
      <c r="T604" s="6" t="s">
        <v>4385</v>
      </c>
      <c r="U604" s="1" t="str">
        <f t="shared" si="9"/>
        <v>Yes</v>
      </c>
      <c r="W604" s="1" t="s">
        <v>4386</v>
      </c>
      <c r="X604" s="1" t="str">
        <f>IF(COUNTIF('MyWells Drilling Comp'!F:F,E604)=0,"Missing","Exist")</f>
        <v>Exist</v>
      </c>
    </row>
    <row r="605" hidden="1" spans="1:24">
      <c r="A605" s="1" t="s">
        <v>1652</v>
      </c>
      <c r="B605" s="1" t="s">
        <v>90</v>
      </c>
      <c r="C605" s="1" t="s">
        <v>4387</v>
      </c>
      <c r="D605" s="1" t="s">
        <v>4383</v>
      </c>
      <c r="E605" s="2" t="s">
        <v>1326</v>
      </c>
      <c r="F605" s="2" t="s">
        <v>4388</v>
      </c>
      <c r="G605" s="1">
        <v>1</v>
      </c>
      <c r="H605" s="1" t="s">
        <v>1663</v>
      </c>
      <c r="I605" s="1" t="s">
        <v>1657</v>
      </c>
      <c r="J605" s="1" t="s">
        <v>1658</v>
      </c>
      <c r="K605" s="1" t="s">
        <v>1658</v>
      </c>
      <c r="L605" s="1" t="s">
        <v>1658</v>
      </c>
      <c r="M605" s="1" t="s">
        <v>1658</v>
      </c>
      <c r="N605" s="1" t="s">
        <v>1658</v>
      </c>
      <c r="O605" s="1" t="s">
        <v>1658</v>
      </c>
      <c r="P605" s="1">
        <v>1</v>
      </c>
      <c r="Q605" s="1" t="s">
        <v>1658</v>
      </c>
      <c r="R605" s="1">
        <v>0</v>
      </c>
      <c r="S605" s="1" t="s">
        <v>4389</v>
      </c>
      <c r="T605" s="6" t="s">
        <v>4389</v>
      </c>
      <c r="U605" s="1" t="str">
        <f t="shared" si="9"/>
        <v>Yes</v>
      </c>
      <c r="W605" s="1" t="s">
        <v>4390</v>
      </c>
      <c r="X605" s="1" t="str">
        <f>IF(COUNTIF('MyWells Drilling Comp'!F:F,E605)=0,"Missing","Exist")</f>
        <v>Exist</v>
      </c>
    </row>
    <row r="606" hidden="1" spans="1:24">
      <c r="A606" s="1" t="s">
        <v>1652</v>
      </c>
      <c r="B606" s="1" t="s">
        <v>90</v>
      </c>
      <c r="C606" s="1" t="s">
        <v>4391</v>
      </c>
      <c r="D606" s="1" t="s">
        <v>4392</v>
      </c>
      <c r="E606" s="2" t="s">
        <v>881</v>
      </c>
      <c r="F606" s="2" t="s">
        <v>4393</v>
      </c>
      <c r="G606" s="1">
        <v>1</v>
      </c>
      <c r="H606" s="1" t="s">
        <v>1656</v>
      </c>
      <c r="I606" s="1" t="s">
        <v>1657</v>
      </c>
      <c r="J606" s="1" t="s">
        <v>1658</v>
      </c>
      <c r="K606" s="1" t="s">
        <v>1658</v>
      </c>
      <c r="L606" s="1" t="s">
        <v>1658</v>
      </c>
      <c r="M606" s="1" t="s">
        <v>1658</v>
      </c>
      <c r="N606" s="1" t="s">
        <v>1658</v>
      </c>
      <c r="O606" s="1" t="s">
        <v>1658</v>
      </c>
      <c r="P606" s="1">
        <v>1</v>
      </c>
      <c r="Q606" s="1" t="s">
        <v>1658</v>
      </c>
      <c r="R606" s="1">
        <v>0</v>
      </c>
      <c r="S606" s="1" t="s">
        <v>4394</v>
      </c>
      <c r="T606" s="6" t="s">
        <v>4394</v>
      </c>
      <c r="U606" s="1" t="str">
        <f t="shared" si="9"/>
        <v>Yes</v>
      </c>
      <c r="W606" s="1" t="s">
        <v>4395</v>
      </c>
      <c r="X606" s="1" t="str">
        <f>IF(COUNTIF('MyWells Drilling Comp'!F:F,E606)=0,"Missing","Exist")</f>
        <v>Exist</v>
      </c>
    </row>
    <row r="607" hidden="1" spans="1:24">
      <c r="A607" s="1" t="s">
        <v>1652</v>
      </c>
      <c r="B607" s="1" t="s">
        <v>90</v>
      </c>
      <c r="C607" s="1" t="s">
        <v>4396</v>
      </c>
      <c r="D607" s="1" t="s">
        <v>4392</v>
      </c>
      <c r="E607" s="2" t="s">
        <v>881</v>
      </c>
      <c r="F607" s="2" t="s">
        <v>4397</v>
      </c>
      <c r="G607" s="1">
        <v>1</v>
      </c>
      <c r="H607" s="1" t="s">
        <v>1663</v>
      </c>
      <c r="I607" s="1" t="s">
        <v>1657</v>
      </c>
      <c r="J607" s="1" t="s">
        <v>1658</v>
      </c>
      <c r="K607" s="1" t="s">
        <v>1658</v>
      </c>
      <c r="L607" s="1" t="s">
        <v>1658</v>
      </c>
      <c r="M607" s="1" t="s">
        <v>1658</v>
      </c>
      <c r="N607" s="1" t="s">
        <v>1658</v>
      </c>
      <c r="O607" s="1" t="s">
        <v>1658</v>
      </c>
      <c r="P607" s="1">
        <v>1</v>
      </c>
      <c r="Q607" s="1" t="s">
        <v>1658</v>
      </c>
      <c r="R607" s="1">
        <v>0</v>
      </c>
      <c r="S607" s="1" t="s">
        <v>4398</v>
      </c>
      <c r="T607" s="6" t="s">
        <v>4398</v>
      </c>
      <c r="U607" s="1" t="str">
        <f t="shared" si="9"/>
        <v>Yes</v>
      </c>
      <c r="W607" s="1" t="s">
        <v>4399</v>
      </c>
      <c r="X607" s="1" t="str">
        <f>IF(COUNTIF('MyWells Drilling Comp'!F:F,E607)=0,"Missing","Exist")</f>
        <v>Exist</v>
      </c>
    </row>
    <row r="608" hidden="1" spans="1:24">
      <c r="A608" s="1" t="s">
        <v>1652</v>
      </c>
      <c r="B608" s="1" t="s">
        <v>90</v>
      </c>
      <c r="C608" s="1" t="s">
        <v>4400</v>
      </c>
      <c r="D608" s="1" t="s">
        <v>4401</v>
      </c>
      <c r="E608" s="2" t="s">
        <v>894</v>
      </c>
      <c r="F608" s="2" t="s">
        <v>4402</v>
      </c>
      <c r="G608" s="1">
        <v>1</v>
      </c>
      <c r="H608" s="1" t="s">
        <v>1663</v>
      </c>
      <c r="I608" s="1" t="s">
        <v>1657</v>
      </c>
      <c r="J608" s="1" t="s">
        <v>1658</v>
      </c>
      <c r="K608" s="1" t="s">
        <v>1658</v>
      </c>
      <c r="L608" s="1" t="s">
        <v>1658</v>
      </c>
      <c r="M608" s="1" t="s">
        <v>1658</v>
      </c>
      <c r="N608" s="1" t="s">
        <v>1658</v>
      </c>
      <c r="O608" s="1" t="s">
        <v>1658</v>
      </c>
      <c r="P608" s="1">
        <v>1</v>
      </c>
      <c r="Q608" s="1" t="s">
        <v>1658</v>
      </c>
      <c r="R608" s="1">
        <v>0</v>
      </c>
      <c r="S608" s="1" t="s">
        <v>4403</v>
      </c>
      <c r="T608" s="6" t="s">
        <v>4403</v>
      </c>
      <c r="U608" s="1" t="str">
        <f t="shared" si="9"/>
        <v>Yes</v>
      </c>
      <c r="W608" s="1" t="s">
        <v>4404</v>
      </c>
      <c r="X608" s="1" t="str">
        <f>IF(COUNTIF('MyWells Drilling Comp'!F:F,E608)=0,"Missing","Exist")</f>
        <v>Exist</v>
      </c>
    </row>
    <row r="609" hidden="1" spans="1:24">
      <c r="A609" s="1" t="s">
        <v>1652</v>
      </c>
      <c r="B609" s="1" t="s">
        <v>90</v>
      </c>
      <c r="C609" s="1" t="s">
        <v>4405</v>
      </c>
      <c r="D609" s="1" t="s">
        <v>4401</v>
      </c>
      <c r="E609" s="2" t="s">
        <v>894</v>
      </c>
      <c r="F609" s="2" t="s">
        <v>4406</v>
      </c>
      <c r="G609" s="1">
        <v>1</v>
      </c>
      <c r="H609" s="1" t="s">
        <v>1656</v>
      </c>
      <c r="I609" s="1" t="s">
        <v>1657</v>
      </c>
      <c r="J609" s="1" t="s">
        <v>1658</v>
      </c>
      <c r="K609" s="1" t="s">
        <v>1658</v>
      </c>
      <c r="L609" s="1" t="s">
        <v>1658</v>
      </c>
      <c r="M609" s="1" t="s">
        <v>1658</v>
      </c>
      <c r="N609" s="1" t="s">
        <v>1658</v>
      </c>
      <c r="O609" s="1" t="s">
        <v>1658</v>
      </c>
      <c r="P609" s="1">
        <v>1</v>
      </c>
      <c r="Q609" s="1" t="s">
        <v>1658</v>
      </c>
      <c r="R609" s="1">
        <v>0</v>
      </c>
      <c r="S609" s="1" t="s">
        <v>4407</v>
      </c>
      <c r="T609" s="6" t="s">
        <v>4407</v>
      </c>
      <c r="U609" s="1" t="str">
        <f t="shared" si="9"/>
        <v>Yes</v>
      </c>
      <c r="W609" s="1" t="s">
        <v>4408</v>
      </c>
      <c r="X609" s="1" t="str">
        <f>IF(COUNTIF('MyWells Drilling Comp'!F:F,E609)=0,"Missing","Exist")</f>
        <v>Exist</v>
      </c>
    </row>
    <row r="610" hidden="1" spans="1:24">
      <c r="A610" s="1" t="s">
        <v>1652</v>
      </c>
      <c r="B610" s="1" t="s">
        <v>90</v>
      </c>
      <c r="C610" s="1" t="s">
        <v>4409</v>
      </c>
      <c r="D610" s="1" t="s">
        <v>4410</v>
      </c>
      <c r="E610" s="2" t="s">
        <v>1489</v>
      </c>
      <c r="F610" s="2" t="s">
        <v>4411</v>
      </c>
      <c r="G610" s="1">
        <v>1</v>
      </c>
      <c r="H610" s="1" t="s">
        <v>1663</v>
      </c>
      <c r="I610" s="1" t="s">
        <v>1657</v>
      </c>
      <c r="J610" s="1" t="s">
        <v>1658</v>
      </c>
      <c r="K610" s="1" t="s">
        <v>1658</v>
      </c>
      <c r="L610" s="1" t="s">
        <v>1658</v>
      </c>
      <c r="M610" s="1" t="s">
        <v>1658</v>
      </c>
      <c r="N610" s="1" t="s">
        <v>1658</v>
      </c>
      <c r="O610" s="1" t="s">
        <v>1658</v>
      </c>
      <c r="P610" s="1">
        <v>1</v>
      </c>
      <c r="Q610" s="1" t="s">
        <v>1658</v>
      </c>
      <c r="R610" s="1">
        <v>0</v>
      </c>
      <c r="S610" s="1" t="s">
        <v>4412</v>
      </c>
      <c r="T610" s="6" t="s">
        <v>4412</v>
      </c>
      <c r="U610" s="1" t="str">
        <f t="shared" si="9"/>
        <v>Yes</v>
      </c>
      <c r="W610" s="1" t="s">
        <v>4413</v>
      </c>
      <c r="X610" s="1" t="str">
        <f>IF(COUNTIF('MyWells Drilling Comp'!F:F,E610)=0,"Missing","Exist")</f>
        <v>Exist</v>
      </c>
    </row>
    <row r="611" hidden="1" spans="1:24">
      <c r="A611" s="1" t="s">
        <v>1652</v>
      </c>
      <c r="B611" s="1" t="s">
        <v>90</v>
      </c>
      <c r="C611" s="1" t="s">
        <v>4414</v>
      </c>
      <c r="D611" s="1" t="s">
        <v>4410</v>
      </c>
      <c r="E611" s="2" t="s">
        <v>1489</v>
      </c>
      <c r="F611" s="2" t="s">
        <v>4415</v>
      </c>
      <c r="G611" s="1">
        <v>1</v>
      </c>
      <c r="H611" s="1" t="s">
        <v>1656</v>
      </c>
      <c r="I611" s="1" t="s">
        <v>1657</v>
      </c>
      <c r="J611" s="1" t="s">
        <v>1658</v>
      </c>
      <c r="K611" s="1" t="s">
        <v>1658</v>
      </c>
      <c r="L611" s="1" t="s">
        <v>1658</v>
      </c>
      <c r="M611" s="1" t="s">
        <v>1658</v>
      </c>
      <c r="N611" s="1" t="s">
        <v>1658</v>
      </c>
      <c r="O611" s="1" t="s">
        <v>1658</v>
      </c>
      <c r="P611" s="1">
        <v>1</v>
      </c>
      <c r="Q611" s="1" t="s">
        <v>1658</v>
      </c>
      <c r="R611" s="1">
        <v>0</v>
      </c>
      <c r="S611" s="1" t="s">
        <v>4416</v>
      </c>
      <c r="T611" s="6" t="s">
        <v>4416</v>
      </c>
      <c r="U611" s="1" t="str">
        <f t="shared" si="9"/>
        <v>Yes</v>
      </c>
      <c r="W611" s="1" t="s">
        <v>4417</v>
      </c>
      <c r="X611" s="1" t="str">
        <f>IF(COUNTIF('MyWells Drilling Comp'!F:F,E611)=0,"Missing","Exist")</f>
        <v>Exist</v>
      </c>
    </row>
    <row r="612" hidden="1" spans="1:24">
      <c r="A612" s="1" t="s">
        <v>1652</v>
      </c>
      <c r="B612" s="1" t="s">
        <v>90</v>
      </c>
      <c r="C612" s="7" t="s">
        <v>4418</v>
      </c>
      <c r="D612" s="1" t="s">
        <v>4419</v>
      </c>
      <c r="E612" s="2" t="s">
        <v>1311</v>
      </c>
      <c r="F612" s="2" t="s">
        <v>4420</v>
      </c>
      <c r="G612" s="1">
        <v>1</v>
      </c>
      <c r="H612" s="1" t="s">
        <v>1656</v>
      </c>
      <c r="I612" s="1" t="s">
        <v>1657</v>
      </c>
      <c r="J612" s="1" t="s">
        <v>1658</v>
      </c>
      <c r="K612" s="1" t="s">
        <v>1658</v>
      </c>
      <c r="L612" s="1" t="s">
        <v>1658</v>
      </c>
      <c r="M612" s="1" t="s">
        <v>1658</v>
      </c>
      <c r="N612" s="1" t="s">
        <v>1658</v>
      </c>
      <c r="O612" s="1" t="s">
        <v>1658</v>
      </c>
      <c r="P612" s="1">
        <v>1</v>
      </c>
      <c r="Q612" s="1" t="s">
        <v>1658</v>
      </c>
      <c r="R612" s="1">
        <v>0</v>
      </c>
      <c r="S612" s="1" t="s">
        <v>3242</v>
      </c>
      <c r="T612" s="6" t="s">
        <v>4421</v>
      </c>
      <c r="U612" s="1" t="str">
        <f t="shared" si="9"/>
        <v>No</v>
      </c>
      <c r="W612" s="1" t="s">
        <v>4422</v>
      </c>
      <c r="X612" s="1" t="str">
        <f>IF(COUNTIF('MyWells Drilling Comp'!F:F,E612)=0,"Missing","Exist")</f>
        <v>Exist</v>
      </c>
    </row>
    <row r="613" hidden="1" spans="1:24">
      <c r="A613" s="1" t="s">
        <v>1652</v>
      </c>
      <c r="B613" s="1" t="s">
        <v>90</v>
      </c>
      <c r="C613" s="1" t="s">
        <v>4423</v>
      </c>
      <c r="D613" s="1" t="s">
        <v>4419</v>
      </c>
      <c r="E613" s="2" t="s">
        <v>1311</v>
      </c>
      <c r="F613" s="2" t="s">
        <v>4424</v>
      </c>
      <c r="G613" s="1">
        <v>1</v>
      </c>
      <c r="H613" s="1" t="s">
        <v>1663</v>
      </c>
      <c r="I613" s="1" t="s">
        <v>1657</v>
      </c>
      <c r="J613" s="1" t="s">
        <v>1658</v>
      </c>
      <c r="K613" s="1" t="s">
        <v>1658</v>
      </c>
      <c r="L613" s="1" t="s">
        <v>1658</v>
      </c>
      <c r="M613" s="1" t="s">
        <v>1658</v>
      </c>
      <c r="N613" s="1" t="s">
        <v>1658</v>
      </c>
      <c r="O613" s="1" t="s">
        <v>1658</v>
      </c>
      <c r="P613" s="1">
        <v>1</v>
      </c>
      <c r="Q613" s="1" t="s">
        <v>1658</v>
      </c>
      <c r="R613" s="1">
        <v>0</v>
      </c>
      <c r="S613" s="1" t="s">
        <v>4425</v>
      </c>
      <c r="T613" s="6" t="s">
        <v>4426</v>
      </c>
      <c r="U613" s="1" t="str">
        <f t="shared" si="9"/>
        <v>No</v>
      </c>
      <c r="W613" s="1" t="s">
        <v>4427</v>
      </c>
      <c r="X613" s="1" t="str">
        <f>IF(COUNTIF('MyWells Drilling Comp'!F:F,E613)=0,"Missing","Exist")</f>
        <v>Exist</v>
      </c>
    </row>
    <row r="614" hidden="1" spans="1:24">
      <c r="A614" s="1" t="s">
        <v>1652</v>
      </c>
      <c r="B614" s="1" t="s">
        <v>90</v>
      </c>
      <c r="C614" s="1" t="s">
        <v>4428</v>
      </c>
      <c r="D614" s="1" t="s">
        <v>4429</v>
      </c>
      <c r="E614" s="2" t="s">
        <v>956</v>
      </c>
      <c r="F614" s="2" t="s">
        <v>4430</v>
      </c>
      <c r="G614" s="1">
        <v>1</v>
      </c>
      <c r="H614" s="1" t="s">
        <v>1663</v>
      </c>
      <c r="I614" s="1" t="s">
        <v>1657</v>
      </c>
      <c r="J614" s="1" t="s">
        <v>1658</v>
      </c>
      <c r="K614" s="1" t="s">
        <v>1658</v>
      </c>
      <c r="L614" s="1" t="s">
        <v>1658</v>
      </c>
      <c r="M614" s="1" t="s">
        <v>1658</v>
      </c>
      <c r="N614" s="1" t="s">
        <v>1658</v>
      </c>
      <c r="O614" s="1" t="s">
        <v>1658</v>
      </c>
      <c r="P614" s="1">
        <v>1</v>
      </c>
      <c r="Q614" s="1" t="s">
        <v>1658</v>
      </c>
      <c r="R614" s="1">
        <v>0</v>
      </c>
      <c r="S614" s="1" t="s">
        <v>4431</v>
      </c>
      <c r="T614" s="6"/>
      <c r="U614" s="1" t="str">
        <f t="shared" si="9"/>
        <v>No</v>
      </c>
      <c r="W614" s="1" t="s">
        <v>4432</v>
      </c>
      <c r="X614" s="1" t="str">
        <f>IF(COUNTIF('MyWells Drilling Comp'!F:F,E614)=0,"Missing","Exist")</f>
        <v>Exist</v>
      </c>
    </row>
    <row r="615" hidden="1" spans="1:24">
      <c r="A615" s="1" t="s">
        <v>1652</v>
      </c>
      <c r="B615" s="1" t="s">
        <v>90</v>
      </c>
      <c r="C615" s="1" t="s">
        <v>4433</v>
      </c>
      <c r="D615" s="1" t="s">
        <v>4429</v>
      </c>
      <c r="E615" s="2" t="s">
        <v>956</v>
      </c>
      <c r="F615" s="2" t="s">
        <v>4434</v>
      </c>
      <c r="G615" s="1">
        <v>1</v>
      </c>
      <c r="H615" s="1" t="s">
        <v>1656</v>
      </c>
      <c r="I615" s="1" t="s">
        <v>1657</v>
      </c>
      <c r="J615" s="1" t="s">
        <v>1658</v>
      </c>
      <c r="K615" s="1" t="s">
        <v>1658</v>
      </c>
      <c r="L615" s="1" t="s">
        <v>1658</v>
      </c>
      <c r="M615" s="1" t="s">
        <v>1658</v>
      </c>
      <c r="N615" s="1" t="s">
        <v>1658</v>
      </c>
      <c r="O615" s="1" t="s">
        <v>1658</v>
      </c>
      <c r="P615" s="1">
        <v>1</v>
      </c>
      <c r="Q615" s="1" t="s">
        <v>1658</v>
      </c>
      <c r="R615" s="1">
        <v>0</v>
      </c>
      <c r="S615" s="1" t="s">
        <v>4435</v>
      </c>
      <c r="T615" s="6"/>
      <c r="U615" s="1" t="str">
        <f t="shared" si="9"/>
        <v>No</v>
      </c>
      <c r="W615" s="1" t="s">
        <v>4436</v>
      </c>
      <c r="X615" s="1" t="str">
        <f>IF(COUNTIF('MyWells Drilling Comp'!F:F,E615)=0,"Missing","Exist")</f>
        <v>Exist</v>
      </c>
    </row>
    <row r="616" spans="1:24">
      <c r="A616" s="1" t="s">
        <v>1652</v>
      </c>
      <c r="B616" s="1" t="s">
        <v>90</v>
      </c>
      <c r="C616" s="1" t="s">
        <v>4437</v>
      </c>
      <c r="D616" s="1" t="s">
        <v>4438</v>
      </c>
      <c r="E616" s="2" t="s">
        <v>4439</v>
      </c>
      <c r="F616" s="2" t="s">
        <v>4440</v>
      </c>
      <c r="G616" s="1">
        <v>1</v>
      </c>
      <c r="H616" s="1" t="s">
        <v>1663</v>
      </c>
      <c r="I616" s="1" t="s">
        <v>1657</v>
      </c>
      <c r="J616" s="1" t="s">
        <v>1658</v>
      </c>
      <c r="K616" s="1" t="s">
        <v>1658</v>
      </c>
      <c r="L616" s="1" t="s">
        <v>1658</v>
      </c>
      <c r="M616" s="1" t="s">
        <v>1658</v>
      </c>
      <c r="N616" s="1" t="s">
        <v>1658</v>
      </c>
      <c r="O616" s="1" t="s">
        <v>1658</v>
      </c>
      <c r="P616" s="1">
        <v>1</v>
      </c>
      <c r="Q616" s="1" t="s">
        <v>1658</v>
      </c>
      <c r="R616" s="1">
        <v>0</v>
      </c>
      <c r="S616" s="1" t="s">
        <v>4441</v>
      </c>
      <c r="T616" s="6" t="s">
        <v>4441</v>
      </c>
      <c r="U616" s="1" t="str">
        <f t="shared" si="9"/>
        <v>Yes</v>
      </c>
      <c r="W616" s="1" t="s">
        <v>4442</v>
      </c>
      <c r="X616" s="1" t="str">
        <f>IF(COUNTIF('MyWells Drilling Comp'!F:F,E616)=0,"Missing","Exist")</f>
        <v>Missing</v>
      </c>
    </row>
    <row r="617" hidden="1" spans="1:24">
      <c r="A617" s="1" t="s">
        <v>1652</v>
      </c>
      <c r="B617" s="1" t="s">
        <v>90</v>
      </c>
      <c r="C617" s="1" t="s">
        <v>4443</v>
      </c>
      <c r="D617" s="1" t="s">
        <v>4438</v>
      </c>
      <c r="E617" s="2" t="s">
        <v>4439</v>
      </c>
      <c r="F617" s="2" t="s">
        <v>4444</v>
      </c>
      <c r="G617" s="1">
        <v>1</v>
      </c>
      <c r="H617" s="1" t="s">
        <v>1656</v>
      </c>
      <c r="I617" s="1" t="s">
        <v>1657</v>
      </c>
      <c r="J617" s="1" t="s">
        <v>1658</v>
      </c>
      <c r="K617" s="1" t="s">
        <v>1658</v>
      </c>
      <c r="L617" s="1" t="s">
        <v>1658</v>
      </c>
      <c r="M617" s="1" t="s">
        <v>1658</v>
      </c>
      <c r="N617" s="1" t="s">
        <v>1658</v>
      </c>
      <c r="O617" s="1" t="s">
        <v>1658</v>
      </c>
      <c r="P617" s="1">
        <v>1</v>
      </c>
      <c r="Q617" s="1" t="s">
        <v>1658</v>
      </c>
      <c r="R617" s="1">
        <v>0</v>
      </c>
      <c r="S617" s="1" t="s">
        <v>4445</v>
      </c>
      <c r="T617" s="6" t="s">
        <v>4445</v>
      </c>
      <c r="U617" s="1" t="str">
        <f t="shared" si="9"/>
        <v>Yes</v>
      </c>
      <c r="W617" s="1" t="s">
        <v>4446</v>
      </c>
      <c r="X617" s="1" t="str">
        <f>IF(COUNTIF('MyWells Drilling Comp'!F:F,E617)=0,"Missing","Exist")</f>
        <v>Missing</v>
      </c>
    </row>
    <row r="618" hidden="1" spans="1:24">
      <c r="A618" s="1" t="s">
        <v>1652</v>
      </c>
      <c r="B618" s="1" t="s">
        <v>90</v>
      </c>
      <c r="C618" s="1" t="s">
        <v>4447</v>
      </c>
      <c r="D618" s="1" t="s">
        <v>4448</v>
      </c>
      <c r="E618" s="2" t="s">
        <v>856</v>
      </c>
      <c r="F618" s="2" t="s">
        <v>4449</v>
      </c>
      <c r="G618" s="1">
        <v>1</v>
      </c>
      <c r="H618" s="1" t="s">
        <v>1663</v>
      </c>
      <c r="I618" s="1" t="s">
        <v>1657</v>
      </c>
      <c r="J618" s="1" t="s">
        <v>1658</v>
      </c>
      <c r="K618" s="1" t="s">
        <v>1658</v>
      </c>
      <c r="L618" s="1" t="s">
        <v>1658</v>
      </c>
      <c r="M618" s="1" t="s">
        <v>1658</v>
      </c>
      <c r="N618" s="1" t="s">
        <v>1658</v>
      </c>
      <c r="O618" s="1" t="s">
        <v>1658</v>
      </c>
      <c r="P618" s="1">
        <v>1</v>
      </c>
      <c r="Q618" s="1" t="s">
        <v>1658</v>
      </c>
      <c r="R618" s="1">
        <v>0</v>
      </c>
      <c r="S618" s="1" t="s">
        <v>4450</v>
      </c>
      <c r="T618" s="6"/>
      <c r="U618" s="1" t="str">
        <f t="shared" si="9"/>
        <v>No</v>
      </c>
      <c r="W618" s="1" t="s">
        <v>4451</v>
      </c>
      <c r="X618" s="1" t="str">
        <f>IF(COUNTIF('MyWells Drilling Comp'!F:F,E618)=0,"Missing","Exist")</f>
        <v>Exist</v>
      </c>
    </row>
    <row r="619" hidden="1" spans="1:24">
      <c r="A619" s="1" t="s">
        <v>1652</v>
      </c>
      <c r="B619" s="1" t="s">
        <v>90</v>
      </c>
      <c r="C619" s="1" t="s">
        <v>4452</v>
      </c>
      <c r="D619" s="1" t="s">
        <v>4448</v>
      </c>
      <c r="E619" s="2" t="s">
        <v>856</v>
      </c>
      <c r="F619" s="2" t="s">
        <v>4453</v>
      </c>
      <c r="G619" s="1">
        <v>1</v>
      </c>
      <c r="H619" s="1" t="s">
        <v>1656</v>
      </c>
      <c r="I619" s="1" t="s">
        <v>1657</v>
      </c>
      <c r="J619" s="1" t="s">
        <v>1658</v>
      </c>
      <c r="K619" s="1" t="s">
        <v>1658</v>
      </c>
      <c r="L619" s="1" t="s">
        <v>1658</v>
      </c>
      <c r="M619" s="1" t="s">
        <v>1658</v>
      </c>
      <c r="N619" s="1" t="s">
        <v>1658</v>
      </c>
      <c r="O619" s="1" t="s">
        <v>1658</v>
      </c>
      <c r="P619" s="1">
        <v>1</v>
      </c>
      <c r="Q619" s="1" t="s">
        <v>1658</v>
      </c>
      <c r="R619" s="1">
        <v>0</v>
      </c>
      <c r="S619" s="1" t="s">
        <v>1887</v>
      </c>
      <c r="T619" s="6"/>
      <c r="U619" s="1" t="str">
        <f t="shared" si="9"/>
        <v>No</v>
      </c>
      <c r="W619" s="1" t="s">
        <v>4454</v>
      </c>
      <c r="X619" s="1" t="str">
        <f>IF(COUNTIF('MyWells Drilling Comp'!F:F,E619)=0,"Missing","Exist")</f>
        <v>Exist</v>
      </c>
    </row>
    <row r="620" hidden="1" spans="1:24">
      <c r="A620" s="1" t="s">
        <v>1652</v>
      </c>
      <c r="B620" s="1" t="s">
        <v>90</v>
      </c>
      <c r="C620" s="1" t="s">
        <v>4455</v>
      </c>
      <c r="D620" s="1" t="s">
        <v>4456</v>
      </c>
      <c r="E620" s="2" t="s">
        <v>975</v>
      </c>
      <c r="F620" s="2" t="s">
        <v>4457</v>
      </c>
      <c r="G620" s="1">
        <v>1</v>
      </c>
      <c r="H620" s="1" t="s">
        <v>1663</v>
      </c>
      <c r="I620" s="1" t="s">
        <v>1657</v>
      </c>
      <c r="J620" s="1" t="s">
        <v>1658</v>
      </c>
      <c r="K620" s="1" t="s">
        <v>1658</v>
      </c>
      <c r="L620" s="1" t="s">
        <v>1658</v>
      </c>
      <c r="M620" s="1" t="s">
        <v>1658</v>
      </c>
      <c r="N620" s="1" t="s">
        <v>1658</v>
      </c>
      <c r="O620" s="1" t="s">
        <v>1658</v>
      </c>
      <c r="P620" s="1">
        <v>1</v>
      </c>
      <c r="Q620" s="1" t="s">
        <v>1658</v>
      </c>
      <c r="R620" s="1">
        <v>0</v>
      </c>
      <c r="S620" s="1" t="s">
        <v>4458</v>
      </c>
      <c r="T620" s="6" t="s">
        <v>4459</v>
      </c>
      <c r="U620" s="1" t="str">
        <f t="shared" si="9"/>
        <v>No</v>
      </c>
      <c r="W620" s="1" t="s">
        <v>4460</v>
      </c>
      <c r="X620" s="1" t="str">
        <f>IF(COUNTIF('MyWells Drilling Comp'!F:F,E620)=0,"Missing","Exist")</f>
        <v>Exist</v>
      </c>
    </row>
    <row r="621" hidden="1" spans="1:24">
      <c r="A621" s="1" t="s">
        <v>1652</v>
      </c>
      <c r="B621" s="1" t="s">
        <v>90</v>
      </c>
      <c r="C621" s="1" t="s">
        <v>4461</v>
      </c>
      <c r="D621" s="1" t="s">
        <v>4456</v>
      </c>
      <c r="E621" s="2" t="s">
        <v>975</v>
      </c>
      <c r="F621" s="2" t="s">
        <v>4462</v>
      </c>
      <c r="G621" s="1">
        <v>1</v>
      </c>
      <c r="H621" s="1" t="s">
        <v>1656</v>
      </c>
      <c r="I621" s="1" t="s">
        <v>1657</v>
      </c>
      <c r="J621" s="1" t="s">
        <v>1658</v>
      </c>
      <c r="K621" s="1" t="s">
        <v>1658</v>
      </c>
      <c r="L621" s="1" t="s">
        <v>1658</v>
      </c>
      <c r="M621" s="1" t="s">
        <v>1658</v>
      </c>
      <c r="N621" s="1" t="s">
        <v>1658</v>
      </c>
      <c r="O621" s="1" t="s">
        <v>1658</v>
      </c>
      <c r="P621" s="1">
        <v>1</v>
      </c>
      <c r="Q621" s="1" t="s">
        <v>1658</v>
      </c>
      <c r="R621" s="1">
        <v>0</v>
      </c>
      <c r="S621" s="1" t="s">
        <v>4463</v>
      </c>
      <c r="T621" s="6"/>
      <c r="U621" s="1" t="str">
        <f t="shared" si="9"/>
        <v>No</v>
      </c>
      <c r="W621" s="1" t="s">
        <v>4464</v>
      </c>
      <c r="X621" s="1" t="str">
        <f>IF(COUNTIF('MyWells Drilling Comp'!F:F,E621)=0,"Missing","Exist")</f>
        <v>Exist</v>
      </c>
    </row>
    <row r="622" hidden="1" spans="1:24">
      <c r="A622" s="1" t="s">
        <v>1652</v>
      </c>
      <c r="B622" s="1" t="s">
        <v>90</v>
      </c>
      <c r="C622" s="1" t="s">
        <v>4465</v>
      </c>
      <c r="D622" s="1" t="s">
        <v>4466</v>
      </c>
      <c r="E622" s="2" t="s">
        <v>1518</v>
      </c>
      <c r="F622" s="2" t="s">
        <v>4467</v>
      </c>
      <c r="G622" s="1">
        <v>1</v>
      </c>
      <c r="H622" s="1" t="s">
        <v>1656</v>
      </c>
      <c r="I622" s="1" t="s">
        <v>1657</v>
      </c>
      <c r="J622" s="1" t="s">
        <v>1658</v>
      </c>
      <c r="K622" s="1" t="s">
        <v>1658</v>
      </c>
      <c r="L622" s="1" t="s">
        <v>1658</v>
      </c>
      <c r="M622" s="1" t="s">
        <v>1658</v>
      </c>
      <c r="N622" s="1" t="s">
        <v>1658</v>
      </c>
      <c r="O622" s="1" t="s">
        <v>1658</v>
      </c>
      <c r="P622" s="1">
        <v>1</v>
      </c>
      <c r="Q622" s="1" t="s">
        <v>1658</v>
      </c>
      <c r="R622" s="1">
        <v>0</v>
      </c>
      <c r="S622" s="1" t="s">
        <v>4468</v>
      </c>
      <c r="T622" s="6" t="s">
        <v>4468</v>
      </c>
      <c r="U622" s="1" t="str">
        <f t="shared" si="9"/>
        <v>Yes</v>
      </c>
      <c r="W622" s="1" t="s">
        <v>4469</v>
      </c>
      <c r="X622" s="1" t="str">
        <f>IF(COUNTIF('MyWells Drilling Comp'!F:F,E622)=0,"Missing","Exist")</f>
        <v>Exist</v>
      </c>
    </row>
    <row r="623" hidden="1" spans="1:24">
      <c r="A623" s="1" t="s">
        <v>1652</v>
      </c>
      <c r="B623" s="1" t="s">
        <v>90</v>
      </c>
      <c r="C623" s="1" t="s">
        <v>4470</v>
      </c>
      <c r="D623" s="1" t="s">
        <v>4466</v>
      </c>
      <c r="E623" s="2" t="s">
        <v>1518</v>
      </c>
      <c r="F623" s="2" t="s">
        <v>4471</v>
      </c>
      <c r="G623" s="1">
        <v>1</v>
      </c>
      <c r="H623" s="1" t="s">
        <v>1663</v>
      </c>
      <c r="I623" s="1" t="s">
        <v>1657</v>
      </c>
      <c r="J623" s="1" t="s">
        <v>1658</v>
      </c>
      <c r="K623" s="1" t="s">
        <v>1658</v>
      </c>
      <c r="L623" s="1" t="s">
        <v>1658</v>
      </c>
      <c r="M623" s="1" t="s">
        <v>1658</v>
      </c>
      <c r="N623" s="1" t="s">
        <v>1658</v>
      </c>
      <c r="O623" s="1" t="s">
        <v>1658</v>
      </c>
      <c r="P623" s="1">
        <v>1</v>
      </c>
      <c r="Q623" s="1" t="s">
        <v>1658</v>
      </c>
      <c r="R623" s="1">
        <v>0</v>
      </c>
      <c r="S623" s="1" t="s">
        <v>4472</v>
      </c>
      <c r="T623" s="6"/>
      <c r="U623" s="1" t="str">
        <f t="shared" si="9"/>
        <v>No</v>
      </c>
      <c r="W623" s="1" t="s">
        <v>4473</v>
      </c>
      <c r="X623" s="1" t="str">
        <f>IF(COUNTIF('MyWells Drilling Comp'!F:F,E623)=0,"Missing","Exist")</f>
        <v>Exist</v>
      </c>
    </row>
    <row r="624" hidden="1" spans="1:24">
      <c r="A624" s="1" t="s">
        <v>1652</v>
      </c>
      <c r="B624" s="1" t="s">
        <v>90</v>
      </c>
      <c r="C624" s="1" t="s">
        <v>4474</v>
      </c>
      <c r="D624" s="1" t="s">
        <v>4475</v>
      </c>
      <c r="E624" s="2" t="s">
        <v>480</v>
      </c>
      <c r="F624" s="2" t="s">
        <v>4476</v>
      </c>
      <c r="G624" s="1">
        <v>1</v>
      </c>
      <c r="H624" s="1" t="s">
        <v>1663</v>
      </c>
      <c r="I624" s="1" t="s">
        <v>1657</v>
      </c>
      <c r="J624" s="1" t="s">
        <v>1658</v>
      </c>
      <c r="K624" s="1" t="s">
        <v>1658</v>
      </c>
      <c r="L624" s="1" t="s">
        <v>1658</v>
      </c>
      <c r="M624" s="1" t="s">
        <v>1658</v>
      </c>
      <c r="N624" s="1" t="s">
        <v>1658</v>
      </c>
      <c r="O624" s="1" t="s">
        <v>1658</v>
      </c>
      <c r="P624" s="1">
        <v>1</v>
      </c>
      <c r="Q624" s="1" t="s">
        <v>1658</v>
      </c>
      <c r="R624" s="1">
        <v>0</v>
      </c>
      <c r="S624" s="1" t="s">
        <v>4477</v>
      </c>
      <c r="T624" s="6" t="s">
        <v>4477</v>
      </c>
      <c r="U624" s="1" t="str">
        <f t="shared" si="9"/>
        <v>Yes</v>
      </c>
      <c r="W624" s="1" t="s">
        <v>4478</v>
      </c>
      <c r="X624" s="1" t="str">
        <f>IF(COUNTIF('MyWells Drilling Comp'!F:F,E624)=0,"Missing","Exist")</f>
        <v>Exist</v>
      </c>
    </row>
    <row r="625" hidden="1" spans="1:24">
      <c r="A625" s="1" t="s">
        <v>1652</v>
      </c>
      <c r="B625" s="1" t="s">
        <v>90</v>
      </c>
      <c r="C625" s="1" t="s">
        <v>4479</v>
      </c>
      <c r="D625" s="1" t="s">
        <v>4475</v>
      </c>
      <c r="E625" s="2" t="s">
        <v>480</v>
      </c>
      <c r="F625" s="2" t="s">
        <v>4480</v>
      </c>
      <c r="G625" s="1">
        <v>1</v>
      </c>
      <c r="H625" s="1" t="s">
        <v>1656</v>
      </c>
      <c r="I625" s="1" t="s">
        <v>1657</v>
      </c>
      <c r="J625" s="1" t="s">
        <v>1658</v>
      </c>
      <c r="K625" s="1" t="s">
        <v>1658</v>
      </c>
      <c r="L625" s="1" t="s">
        <v>1658</v>
      </c>
      <c r="M625" s="1" t="s">
        <v>1658</v>
      </c>
      <c r="N625" s="1" t="s">
        <v>1658</v>
      </c>
      <c r="O625" s="1" t="s">
        <v>1658</v>
      </c>
      <c r="P625" s="1">
        <v>1</v>
      </c>
      <c r="Q625" s="1" t="s">
        <v>1658</v>
      </c>
      <c r="R625" s="1">
        <v>0</v>
      </c>
      <c r="S625" s="1" t="s">
        <v>4481</v>
      </c>
      <c r="T625" s="6" t="s">
        <v>4481</v>
      </c>
      <c r="U625" s="1" t="str">
        <f t="shared" si="9"/>
        <v>Yes</v>
      </c>
      <c r="W625" s="1" t="s">
        <v>4482</v>
      </c>
      <c r="X625" s="1" t="str">
        <f>IF(COUNTIF('MyWells Drilling Comp'!F:F,E625)=0,"Missing","Exist")</f>
        <v>Exist</v>
      </c>
    </row>
    <row r="626" hidden="1" spans="1:24">
      <c r="A626" s="1" t="s">
        <v>1652</v>
      </c>
      <c r="B626" s="1" t="s">
        <v>90</v>
      </c>
      <c r="C626" s="1" t="s">
        <v>4483</v>
      </c>
      <c r="D626" s="1" t="s">
        <v>4484</v>
      </c>
      <c r="E626" s="2" t="s">
        <v>1466</v>
      </c>
      <c r="F626" s="2" t="s">
        <v>4485</v>
      </c>
      <c r="G626" s="1">
        <v>1</v>
      </c>
      <c r="H626" s="1" t="s">
        <v>1656</v>
      </c>
      <c r="I626" s="1" t="s">
        <v>1657</v>
      </c>
      <c r="J626" s="1" t="s">
        <v>1658</v>
      </c>
      <c r="K626" s="1" t="s">
        <v>1658</v>
      </c>
      <c r="L626" s="1" t="s">
        <v>1658</v>
      </c>
      <c r="M626" s="1" t="s">
        <v>1658</v>
      </c>
      <c r="N626" s="1" t="s">
        <v>1658</v>
      </c>
      <c r="O626" s="1" t="s">
        <v>1658</v>
      </c>
      <c r="P626" s="1">
        <v>1</v>
      </c>
      <c r="Q626" s="1" t="s">
        <v>1658</v>
      </c>
      <c r="R626" s="1">
        <v>0</v>
      </c>
      <c r="S626" s="1" t="s">
        <v>4486</v>
      </c>
      <c r="T626" s="6" t="s">
        <v>4486</v>
      </c>
      <c r="U626" s="1" t="str">
        <f t="shared" si="9"/>
        <v>Yes</v>
      </c>
      <c r="W626" s="1" t="s">
        <v>4487</v>
      </c>
      <c r="X626" s="1" t="str">
        <f>IF(COUNTIF('MyWells Drilling Comp'!F:F,E626)=0,"Missing","Exist")</f>
        <v>Exist</v>
      </c>
    </row>
    <row r="627" hidden="1" spans="1:24">
      <c r="A627" s="1" t="s">
        <v>1652</v>
      </c>
      <c r="B627" s="1" t="s">
        <v>90</v>
      </c>
      <c r="C627" s="1" t="s">
        <v>4488</v>
      </c>
      <c r="D627" s="1" t="s">
        <v>4484</v>
      </c>
      <c r="E627" s="2" t="s">
        <v>1466</v>
      </c>
      <c r="F627" s="2" t="s">
        <v>4489</v>
      </c>
      <c r="G627" s="1">
        <v>1</v>
      </c>
      <c r="H627" s="1" t="s">
        <v>1663</v>
      </c>
      <c r="I627" s="1" t="s">
        <v>1657</v>
      </c>
      <c r="J627" s="1" t="s">
        <v>1658</v>
      </c>
      <c r="K627" s="1" t="s">
        <v>1658</v>
      </c>
      <c r="L627" s="1" t="s">
        <v>1658</v>
      </c>
      <c r="M627" s="1" t="s">
        <v>1658</v>
      </c>
      <c r="N627" s="1" t="s">
        <v>1658</v>
      </c>
      <c r="O627" s="1" t="s">
        <v>1658</v>
      </c>
      <c r="P627" s="1">
        <v>1</v>
      </c>
      <c r="Q627" s="1" t="s">
        <v>1658</v>
      </c>
      <c r="R627" s="1">
        <v>0</v>
      </c>
      <c r="S627" s="1" t="s">
        <v>4490</v>
      </c>
      <c r="T627" s="6" t="s">
        <v>4490</v>
      </c>
      <c r="U627" s="1" t="str">
        <f t="shared" si="9"/>
        <v>Yes</v>
      </c>
      <c r="W627" s="1" t="s">
        <v>4491</v>
      </c>
      <c r="X627" s="1" t="str">
        <f>IF(COUNTIF('MyWells Drilling Comp'!F:F,E627)=0,"Missing","Exist")</f>
        <v>Exist</v>
      </c>
    </row>
    <row r="628" hidden="1" spans="1:24">
      <c r="A628" s="1" t="s">
        <v>1652</v>
      </c>
      <c r="B628" s="1" t="s">
        <v>90</v>
      </c>
      <c r="C628" s="1" t="s">
        <v>4492</v>
      </c>
      <c r="D628" s="1" t="s">
        <v>4493</v>
      </c>
      <c r="E628" s="2" t="s">
        <v>854</v>
      </c>
      <c r="F628" s="2" t="s">
        <v>4494</v>
      </c>
      <c r="G628" s="1">
        <v>1</v>
      </c>
      <c r="H628" s="1" t="s">
        <v>1656</v>
      </c>
      <c r="I628" s="1" t="s">
        <v>1657</v>
      </c>
      <c r="J628" s="1" t="s">
        <v>1658</v>
      </c>
      <c r="K628" s="1" t="s">
        <v>1658</v>
      </c>
      <c r="L628" s="1" t="s">
        <v>1658</v>
      </c>
      <c r="M628" s="1" t="s">
        <v>1658</v>
      </c>
      <c r="N628" s="1" t="s">
        <v>1658</v>
      </c>
      <c r="O628" s="1" t="s">
        <v>1658</v>
      </c>
      <c r="P628" s="1">
        <v>1</v>
      </c>
      <c r="Q628" s="1" t="s">
        <v>1658</v>
      </c>
      <c r="R628" s="1">
        <v>0</v>
      </c>
      <c r="S628" s="1" t="s">
        <v>2815</v>
      </c>
      <c r="T628" s="6"/>
      <c r="U628" s="1" t="str">
        <f t="shared" si="9"/>
        <v>No</v>
      </c>
      <c r="W628" s="1" t="s">
        <v>4495</v>
      </c>
      <c r="X628" s="1" t="str">
        <f>IF(COUNTIF('MyWells Drilling Comp'!F:F,E628)=0,"Missing","Exist")</f>
        <v>Exist</v>
      </c>
    </row>
    <row r="629" hidden="1" spans="1:24">
      <c r="A629" s="1" t="s">
        <v>1652</v>
      </c>
      <c r="B629" s="1" t="s">
        <v>90</v>
      </c>
      <c r="C629" s="1" t="s">
        <v>4496</v>
      </c>
      <c r="D629" s="1" t="s">
        <v>4493</v>
      </c>
      <c r="E629" s="2" t="s">
        <v>854</v>
      </c>
      <c r="F629" s="2" t="s">
        <v>4497</v>
      </c>
      <c r="G629" s="1">
        <v>1</v>
      </c>
      <c r="H629" s="1" t="s">
        <v>1663</v>
      </c>
      <c r="I629" s="1" t="s">
        <v>1657</v>
      </c>
      <c r="J629" s="1" t="s">
        <v>1658</v>
      </c>
      <c r="K629" s="1" t="s">
        <v>1658</v>
      </c>
      <c r="L629" s="1" t="s">
        <v>1658</v>
      </c>
      <c r="M629" s="1" t="s">
        <v>1658</v>
      </c>
      <c r="N629" s="1" t="s">
        <v>1658</v>
      </c>
      <c r="O629" s="1" t="s">
        <v>1658</v>
      </c>
      <c r="P629" s="1">
        <v>1</v>
      </c>
      <c r="Q629" s="1" t="s">
        <v>1658</v>
      </c>
      <c r="R629" s="1">
        <v>0</v>
      </c>
      <c r="S629" s="1" t="s">
        <v>2811</v>
      </c>
      <c r="T629" s="6" t="s">
        <v>2811</v>
      </c>
      <c r="U629" s="1" t="str">
        <f t="shared" si="9"/>
        <v>Yes</v>
      </c>
      <c r="W629" s="1" t="s">
        <v>4498</v>
      </c>
      <c r="X629" s="1" t="str">
        <f>IF(COUNTIF('MyWells Drilling Comp'!F:F,E629)=0,"Missing","Exist")</f>
        <v>Exist</v>
      </c>
    </row>
    <row r="630" hidden="1" spans="1:24">
      <c r="A630" s="1" t="s">
        <v>1652</v>
      </c>
      <c r="B630" s="1" t="s">
        <v>90</v>
      </c>
      <c r="C630" s="1" t="s">
        <v>4499</v>
      </c>
      <c r="D630" s="1" t="s">
        <v>4500</v>
      </c>
      <c r="E630" s="2" t="s">
        <v>1222</v>
      </c>
      <c r="F630" s="2" t="s">
        <v>4501</v>
      </c>
      <c r="G630" s="1">
        <v>1</v>
      </c>
      <c r="H630" s="1" t="s">
        <v>1663</v>
      </c>
      <c r="I630" s="1" t="s">
        <v>1657</v>
      </c>
      <c r="J630" s="1" t="s">
        <v>1658</v>
      </c>
      <c r="K630" s="1" t="s">
        <v>1658</v>
      </c>
      <c r="L630" s="1" t="s">
        <v>1658</v>
      </c>
      <c r="M630" s="1" t="s">
        <v>1658</v>
      </c>
      <c r="N630" s="1" t="s">
        <v>1658</v>
      </c>
      <c r="O630" s="1" t="s">
        <v>1658</v>
      </c>
      <c r="P630" s="1">
        <v>1</v>
      </c>
      <c r="Q630" s="1" t="s">
        <v>1658</v>
      </c>
      <c r="R630" s="1">
        <v>0</v>
      </c>
      <c r="S630" s="1" t="s">
        <v>4502</v>
      </c>
      <c r="T630" s="6" t="s">
        <v>4503</v>
      </c>
      <c r="U630" s="1" t="str">
        <f t="shared" si="9"/>
        <v>No</v>
      </c>
      <c r="W630" s="1" t="s">
        <v>4504</v>
      </c>
      <c r="X630" s="1" t="str">
        <f>IF(COUNTIF('MyWells Drilling Comp'!F:F,E630)=0,"Missing","Exist")</f>
        <v>Exist</v>
      </c>
    </row>
    <row r="631" hidden="1" spans="1:24">
      <c r="A631" s="1" t="s">
        <v>3044</v>
      </c>
      <c r="B631" s="1" t="s">
        <v>90</v>
      </c>
      <c r="C631" s="1" t="s">
        <v>4505</v>
      </c>
      <c r="D631" s="1" t="s">
        <v>4500</v>
      </c>
      <c r="E631" s="2" t="s">
        <v>1222</v>
      </c>
      <c r="F631" s="2" t="s">
        <v>4506</v>
      </c>
      <c r="G631" s="1">
        <v>1</v>
      </c>
      <c r="H631" s="1" t="s">
        <v>1656</v>
      </c>
      <c r="I631" s="1" t="s">
        <v>1657</v>
      </c>
      <c r="J631" s="1" t="s">
        <v>1658</v>
      </c>
      <c r="K631" s="1" t="s">
        <v>1658</v>
      </c>
      <c r="L631" s="1" t="s">
        <v>1658</v>
      </c>
      <c r="M631" s="1" t="s">
        <v>1658</v>
      </c>
      <c r="N631" s="1" t="s">
        <v>1658</v>
      </c>
      <c r="O631" s="1" t="s">
        <v>1658</v>
      </c>
      <c r="P631" s="1">
        <v>1</v>
      </c>
      <c r="Q631" s="1" t="s">
        <v>1658</v>
      </c>
      <c r="R631" s="1">
        <v>0</v>
      </c>
      <c r="S631" s="1" t="s">
        <v>3048</v>
      </c>
      <c r="T631" s="6"/>
      <c r="U631" s="1" t="str">
        <f t="shared" si="9"/>
        <v>No</v>
      </c>
      <c r="W631" s="1" t="s">
        <v>4507</v>
      </c>
      <c r="X631" s="1" t="str">
        <f>IF(COUNTIF('MyWells Drilling Comp'!F:F,E631)=0,"Missing","Exist")</f>
        <v>Exist</v>
      </c>
    </row>
    <row r="632" hidden="1" spans="1:24">
      <c r="A632" s="1" t="s">
        <v>1652</v>
      </c>
      <c r="B632" s="1" t="s">
        <v>90</v>
      </c>
      <c r="C632" s="1" t="s">
        <v>4508</v>
      </c>
      <c r="D632" s="1" t="s">
        <v>4509</v>
      </c>
      <c r="E632" s="2" t="s">
        <v>836</v>
      </c>
      <c r="F632" s="2" t="s">
        <v>4510</v>
      </c>
      <c r="G632" s="1">
        <v>1</v>
      </c>
      <c r="H632" s="1" t="s">
        <v>1656</v>
      </c>
      <c r="I632" s="1" t="s">
        <v>1657</v>
      </c>
      <c r="J632" s="1" t="s">
        <v>1658</v>
      </c>
      <c r="K632" s="1" t="s">
        <v>1658</v>
      </c>
      <c r="L632" s="1" t="s">
        <v>1658</v>
      </c>
      <c r="M632" s="1" t="s">
        <v>1658</v>
      </c>
      <c r="N632" s="1" t="s">
        <v>1658</v>
      </c>
      <c r="O632" s="1" t="s">
        <v>1658</v>
      </c>
      <c r="P632" s="1">
        <v>1</v>
      </c>
      <c r="Q632" s="1" t="s">
        <v>1658</v>
      </c>
      <c r="R632" s="1">
        <v>0</v>
      </c>
      <c r="S632" s="1" t="s">
        <v>4511</v>
      </c>
      <c r="T632" s="6"/>
      <c r="U632" s="1" t="str">
        <f t="shared" si="9"/>
        <v>No</v>
      </c>
      <c r="W632" s="1" t="s">
        <v>4512</v>
      </c>
      <c r="X632" s="1" t="str">
        <f>IF(COUNTIF('MyWells Drilling Comp'!F:F,E632)=0,"Missing","Exist")</f>
        <v>Exist</v>
      </c>
    </row>
    <row r="633" hidden="1" spans="1:24">
      <c r="A633" s="1" t="s">
        <v>1652</v>
      </c>
      <c r="B633" s="1" t="s">
        <v>90</v>
      </c>
      <c r="C633" s="1" t="s">
        <v>4513</v>
      </c>
      <c r="D633" s="1" t="s">
        <v>4509</v>
      </c>
      <c r="E633" s="2" t="s">
        <v>836</v>
      </c>
      <c r="F633" s="2" t="s">
        <v>4514</v>
      </c>
      <c r="G633" s="1">
        <v>1</v>
      </c>
      <c r="H633" s="1" t="s">
        <v>1663</v>
      </c>
      <c r="I633" s="1" t="s">
        <v>1657</v>
      </c>
      <c r="J633" s="1" t="s">
        <v>1658</v>
      </c>
      <c r="K633" s="1" t="s">
        <v>1658</v>
      </c>
      <c r="L633" s="1" t="s">
        <v>1658</v>
      </c>
      <c r="M633" s="1" t="s">
        <v>1658</v>
      </c>
      <c r="N633" s="1" t="s">
        <v>1658</v>
      </c>
      <c r="O633" s="1" t="s">
        <v>1658</v>
      </c>
      <c r="P633" s="1">
        <v>1</v>
      </c>
      <c r="Q633" s="1" t="s">
        <v>1658</v>
      </c>
      <c r="R633" s="1">
        <v>0</v>
      </c>
      <c r="S633" s="1" t="s">
        <v>4515</v>
      </c>
      <c r="T633" s="6"/>
      <c r="U633" s="1" t="str">
        <f t="shared" si="9"/>
        <v>No</v>
      </c>
      <c r="W633" s="1" t="s">
        <v>4516</v>
      </c>
      <c r="X633" s="1" t="str">
        <f>IF(COUNTIF('MyWells Drilling Comp'!F:F,E633)=0,"Missing","Exist")</f>
        <v>Exist</v>
      </c>
    </row>
    <row r="634" hidden="1" spans="1:24">
      <c r="A634" s="1" t="s">
        <v>1652</v>
      </c>
      <c r="B634" s="1" t="s">
        <v>90</v>
      </c>
      <c r="C634" s="1" t="s">
        <v>4517</v>
      </c>
      <c r="D634" s="1" t="s">
        <v>4518</v>
      </c>
      <c r="E634" s="2" t="s">
        <v>713</v>
      </c>
      <c r="F634" s="2" t="s">
        <v>4519</v>
      </c>
      <c r="G634" s="1">
        <v>1</v>
      </c>
      <c r="H634" s="1" t="s">
        <v>1656</v>
      </c>
      <c r="I634" s="1" t="s">
        <v>1657</v>
      </c>
      <c r="J634" s="1" t="s">
        <v>1658</v>
      </c>
      <c r="K634" s="1" t="s">
        <v>1658</v>
      </c>
      <c r="L634" s="1" t="s">
        <v>1658</v>
      </c>
      <c r="M634" s="1" t="s">
        <v>1658</v>
      </c>
      <c r="N634" s="1" t="s">
        <v>1658</v>
      </c>
      <c r="O634" s="1" t="s">
        <v>1658</v>
      </c>
      <c r="P634" s="1">
        <v>1</v>
      </c>
      <c r="Q634" s="1" t="s">
        <v>1658</v>
      </c>
      <c r="R634" s="1">
        <v>0</v>
      </c>
      <c r="S634" s="1" t="s">
        <v>4520</v>
      </c>
      <c r="T634" s="6" t="s">
        <v>4520</v>
      </c>
      <c r="U634" s="1" t="str">
        <f t="shared" si="9"/>
        <v>Yes</v>
      </c>
      <c r="W634" s="1" t="s">
        <v>4521</v>
      </c>
      <c r="X634" s="1" t="str">
        <f>IF(COUNTIF('MyWells Drilling Comp'!F:F,E634)=0,"Missing","Exist")</f>
        <v>Exist</v>
      </c>
    </row>
    <row r="635" hidden="1" spans="1:24">
      <c r="A635" s="1" t="s">
        <v>1652</v>
      </c>
      <c r="B635" s="1" t="s">
        <v>90</v>
      </c>
      <c r="C635" s="1" t="s">
        <v>4522</v>
      </c>
      <c r="D635" s="1" t="s">
        <v>4518</v>
      </c>
      <c r="E635" s="2" t="s">
        <v>713</v>
      </c>
      <c r="F635" s="2" t="s">
        <v>4523</v>
      </c>
      <c r="G635" s="1">
        <v>1</v>
      </c>
      <c r="H635" s="1" t="s">
        <v>1663</v>
      </c>
      <c r="I635" s="1" t="s">
        <v>1657</v>
      </c>
      <c r="J635" s="1" t="s">
        <v>1658</v>
      </c>
      <c r="K635" s="1" t="s">
        <v>1658</v>
      </c>
      <c r="L635" s="1" t="s">
        <v>1658</v>
      </c>
      <c r="M635" s="1" t="s">
        <v>1658</v>
      </c>
      <c r="N635" s="1" t="s">
        <v>1658</v>
      </c>
      <c r="O635" s="1" t="s">
        <v>1658</v>
      </c>
      <c r="P635" s="1">
        <v>1</v>
      </c>
      <c r="Q635" s="1" t="s">
        <v>1658</v>
      </c>
      <c r="R635" s="1">
        <v>0</v>
      </c>
      <c r="S635" s="1" t="s">
        <v>4524</v>
      </c>
      <c r="T635" s="6" t="s">
        <v>4524</v>
      </c>
      <c r="U635" s="1" t="str">
        <f t="shared" si="9"/>
        <v>Yes</v>
      </c>
      <c r="W635" s="1" t="s">
        <v>4525</v>
      </c>
      <c r="X635" s="1" t="str">
        <f>IF(COUNTIF('MyWells Drilling Comp'!F:F,E635)=0,"Missing","Exist")</f>
        <v>Exist</v>
      </c>
    </row>
    <row r="636" hidden="1" spans="1:24">
      <c r="A636" s="1" t="s">
        <v>1652</v>
      </c>
      <c r="B636" s="1" t="s">
        <v>90</v>
      </c>
      <c r="C636" s="1" t="s">
        <v>4526</v>
      </c>
      <c r="D636" s="1" t="s">
        <v>4527</v>
      </c>
      <c r="E636" s="2" t="s">
        <v>898</v>
      </c>
      <c r="F636" s="2" t="s">
        <v>4528</v>
      </c>
      <c r="G636" s="1">
        <v>1</v>
      </c>
      <c r="H636" s="1" t="s">
        <v>1656</v>
      </c>
      <c r="I636" s="1" t="s">
        <v>1657</v>
      </c>
      <c r="J636" s="1" t="s">
        <v>1658</v>
      </c>
      <c r="K636" s="1" t="s">
        <v>1658</v>
      </c>
      <c r="L636" s="1" t="s">
        <v>1658</v>
      </c>
      <c r="M636" s="1" t="s">
        <v>1658</v>
      </c>
      <c r="N636" s="1" t="s">
        <v>1658</v>
      </c>
      <c r="O636" s="1" t="s">
        <v>1658</v>
      </c>
      <c r="P636" s="1">
        <v>1</v>
      </c>
      <c r="Q636" s="1" t="s">
        <v>1658</v>
      </c>
      <c r="R636" s="1">
        <v>0</v>
      </c>
      <c r="S636" s="1" t="s">
        <v>4529</v>
      </c>
      <c r="T636" s="6"/>
      <c r="U636" s="1" t="str">
        <f t="shared" si="9"/>
        <v>No</v>
      </c>
      <c r="W636" s="1" t="s">
        <v>4530</v>
      </c>
      <c r="X636" s="1" t="str">
        <f>IF(COUNTIF('MyWells Drilling Comp'!F:F,E636)=0,"Missing","Exist")</f>
        <v>Exist</v>
      </c>
    </row>
    <row r="637" hidden="1" spans="1:24">
      <c r="A637" s="1" t="s">
        <v>1652</v>
      </c>
      <c r="B637" s="1" t="s">
        <v>90</v>
      </c>
      <c r="C637" s="1" t="s">
        <v>4531</v>
      </c>
      <c r="D637" s="1" t="s">
        <v>4527</v>
      </c>
      <c r="E637" s="2" t="s">
        <v>898</v>
      </c>
      <c r="F637" s="2" t="s">
        <v>4532</v>
      </c>
      <c r="G637" s="1">
        <v>1</v>
      </c>
      <c r="H637" s="1" t="s">
        <v>1663</v>
      </c>
      <c r="I637" s="1" t="s">
        <v>1657</v>
      </c>
      <c r="J637" s="1" t="s">
        <v>1658</v>
      </c>
      <c r="K637" s="1" t="s">
        <v>1658</v>
      </c>
      <c r="L637" s="1" t="s">
        <v>1658</v>
      </c>
      <c r="M637" s="1" t="s">
        <v>1658</v>
      </c>
      <c r="N637" s="1" t="s">
        <v>1658</v>
      </c>
      <c r="O637" s="1" t="s">
        <v>1658</v>
      </c>
      <c r="P637" s="1">
        <v>1</v>
      </c>
      <c r="Q637" s="1" t="s">
        <v>1658</v>
      </c>
      <c r="R637" s="1">
        <v>0</v>
      </c>
      <c r="S637" s="1" t="s">
        <v>4533</v>
      </c>
      <c r="T637" s="6"/>
      <c r="U637" s="1" t="str">
        <f t="shared" si="9"/>
        <v>No</v>
      </c>
      <c r="W637" s="1" t="s">
        <v>4534</v>
      </c>
      <c r="X637" s="1" t="str">
        <f>IF(COUNTIF('MyWells Drilling Comp'!F:F,E637)=0,"Missing","Exist")</f>
        <v>Exist</v>
      </c>
    </row>
    <row r="638" hidden="1" spans="1:24">
      <c r="A638" s="1" t="s">
        <v>1652</v>
      </c>
      <c r="B638" s="1" t="s">
        <v>90</v>
      </c>
      <c r="C638" s="1" t="s">
        <v>4535</v>
      </c>
      <c r="D638" s="1" t="s">
        <v>4536</v>
      </c>
      <c r="E638" s="2" t="s">
        <v>1462</v>
      </c>
      <c r="F638" s="2" t="s">
        <v>4537</v>
      </c>
      <c r="G638" s="1">
        <v>1</v>
      </c>
      <c r="H638" s="1" t="s">
        <v>1656</v>
      </c>
      <c r="I638" s="1" t="s">
        <v>1657</v>
      </c>
      <c r="J638" s="1" t="s">
        <v>1658</v>
      </c>
      <c r="K638" s="1" t="s">
        <v>1658</v>
      </c>
      <c r="L638" s="1" t="s">
        <v>1658</v>
      </c>
      <c r="M638" s="1" t="s">
        <v>1658</v>
      </c>
      <c r="N638" s="1" t="s">
        <v>1658</v>
      </c>
      <c r="O638" s="1" t="s">
        <v>1658</v>
      </c>
      <c r="P638" s="1">
        <v>1</v>
      </c>
      <c r="Q638" s="1" t="s">
        <v>1658</v>
      </c>
      <c r="R638" s="1">
        <v>0</v>
      </c>
      <c r="S638" s="1" t="s">
        <v>4538</v>
      </c>
      <c r="T638" s="6" t="s">
        <v>4538</v>
      </c>
      <c r="U638" s="1" t="str">
        <f t="shared" si="9"/>
        <v>Yes</v>
      </c>
      <c r="W638" s="1" t="s">
        <v>4539</v>
      </c>
      <c r="X638" s="1" t="str">
        <f>IF(COUNTIF('MyWells Drilling Comp'!F:F,E638)=0,"Missing","Exist")</f>
        <v>Exist</v>
      </c>
    </row>
    <row r="639" hidden="1" spans="1:24">
      <c r="A639" s="1" t="s">
        <v>1652</v>
      </c>
      <c r="B639" s="1" t="s">
        <v>90</v>
      </c>
      <c r="C639" s="1" t="s">
        <v>4540</v>
      </c>
      <c r="D639" s="1" t="s">
        <v>4536</v>
      </c>
      <c r="E639" s="2" t="s">
        <v>1462</v>
      </c>
      <c r="F639" s="2" t="s">
        <v>4541</v>
      </c>
      <c r="G639" s="1">
        <v>1</v>
      </c>
      <c r="H639" s="1" t="s">
        <v>1663</v>
      </c>
      <c r="I639" s="1" t="s">
        <v>1657</v>
      </c>
      <c r="J639" s="1" t="s">
        <v>1658</v>
      </c>
      <c r="K639" s="1" t="s">
        <v>1658</v>
      </c>
      <c r="L639" s="1" t="s">
        <v>1658</v>
      </c>
      <c r="M639" s="1" t="s">
        <v>1658</v>
      </c>
      <c r="N639" s="1" t="s">
        <v>1658</v>
      </c>
      <c r="O639" s="1" t="s">
        <v>1658</v>
      </c>
      <c r="P639" s="1">
        <v>1</v>
      </c>
      <c r="Q639" s="1" t="s">
        <v>1658</v>
      </c>
      <c r="R639" s="1">
        <v>0</v>
      </c>
      <c r="S639" s="1" t="s">
        <v>4542</v>
      </c>
      <c r="T639" s="6" t="s">
        <v>4542</v>
      </c>
      <c r="U639" s="1" t="str">
        <f t="shared" si="9"/>
        <v>Yes</v>
      </c>
      <c r="W639" s="1" t="s">
        <v>4543</v>
      </c>
      <c r="X639" s="1" t="str">
        <f>IF(COUNTIF('MyWells Drilling Comp'!F:F,E639)=0,"Missing","Exist")</f>
        <v>Exist</v>
      </c>
    </row>
    <row r="640" hidden="1" spans="1:24">
      <c r="A640" s="1" t="s">
        <v>1652</v>
      </c>
      <c r="B640" s="1" t="s">
        <v>90</v>
      </c>
      <c r="C640" s="1" t="s">
        <v>4544</v>
      </c>
      <c r="D640" s="1" t="s">
        <v>4545</v>
      </c>
      <c r="E640" s="2" t="s">
        <v>882</v>
      </c>
      <c r="F640" s="2" t="s">
        <v>4546</v>
      </c>
      <c r="G640" s="1">
        <v>1</v>
      </c>
      <c r="H640" s="1" t="s">
        <v>1656</v>
      </c>
      <c r="I640" s="1" t="s">
        <v>1657</v>
      </c>
      <c r="J640" s="1" t="s">
        <v>1658</v>
      </c>
      <c r="K640" s="1" t="s">
        <v>1658</v>
      </c>
      <c r="L640" s="1" t="s">
        <v>1658</v>
      </c>
      <c r="M640" s="1" t="s">
        <v>1658</v>
      </c>
      <c r="N640" s="1" t="s">
        <v>1658</v>
      </c>
      <c r="O640" s="1" t="s">
        <v>1658</v>
      </c>
      <c r="P640" s="1">
        <v>1</v>
      </c>
      <c r="Q640" s="1" t="s">
        <v>1658</v>
      </c>
      <c r="R640" s="1">
        <v>0</v>
      </c>
      <c r="S640" s="1" t="s">
        <v>4547</v>
      </c>
      <c r="T640" s="6" t="s">
        <v>4547</v>
      </c>
      <c r="U640" s="1" t="str">
        <f t="shared" si="9"/>
        <v>Yes</v>
      </c>
      <c r="W640" s="1" t="s">
        <v>4548</v>
      </c>
      <c r="X640" s="1" t="str">
        <f>IF(COUNTIF('MyWells Drilling Comp'!F:F,E640)=0,"Missing","Exist")</f>
        <v>Exist</v>
      </c>
    </row>
    <row r="641" hidden="1" spans="1:24">
      <c r="A641" s="1" t="s">
        <v>1652</v>
      </c>
      <c r="B641" s="1" t="s">
        <v>90</v>
      </c>
      <c r="C641" s="1" t="s">
        <v>4549</v>
      </c>
      <c r="D641" s="1" t="s">
        <v>4545</v>
      </c>
      <c r="E641" s="2" t="s">
        <v>882</v>
      </c>
      <c r="F641" s="2" t="s">
        <v>4550</v>
      </c>
      <c r="G641" s="1">
        <v>1</v>
      </c>
      <c r="H641" s="1" t="s">
        <v>1663</v>
      </c>
      <c r="I641" s="1" t="s">
        <v>1657</v>
      </c>
      <c r="J641" s="1" t="s">
        <v>1658</v>
      </c>
      <c r="K641" s="1" t="s">
        <v>1658</v>
      </c>
      <c r="L641" s="1" t="s">
        <v>1658</v>
      </c>
      <c r="M641" s="1" t="s">
        <v>1658</v>
      </c>
      <c r="N641" s="1" t="s">
        <v>1658</v>
      </c>
      <c r="O641" s="1" t="s">
        <v>1658</v>
      </c>
      <c r="P641" s="1">
        <v>1</v>
      </c>
      <c r="Q641" s="1" t="s">
        <v>1658</v>
      </c>
      <c r="R641" s="1">
        <v>0</v>
      </c>
      <c r="S641" s="1" t="s">
        <v>4551</v>
      </c>
      <c r="T641" s="6" t="s">
        <v>4551</v>
      </c>
      <c r="U641" s="1" t="str">
        <f t="shared" si="9"/>
        <v>Yes</v>
      </c>
      <c r="W641" s="1" t="s">
        <v>4552</v>
      </c>
      <c r="X641" s="1" t="str">
        <f>IF(COUNTIF('MyWells Drilling Comp'!F:F,E641)=0,"Missing","Exist")</f>
        <v>Exist</v>
      </c>
    </row>
    <row r="642" hidden="1" spans="1:24">
      <c r="A642" s="1" t="s">
        <v>1652</v>
      </c>
      <c r="B642" s="1" t="s">
        <v>90</v>
      </c>
      <c r="C642" s="1" t="s">
        <v>4553</v>
      </c>
      <c r="D642" s="1" t="s">
        <v>4554</v>
      </c>
      <c r="E642" s="2" t="s">
        <v>1039</v>
      </c>
      <c r="F642" s="2" t="s">
        <v>4555</v>
      </c>
      <c r="G642" s="1">
        <v>1</v>
      </c>
      <c r="H642" s="1" t="s">
        <v>1656</v>
      </c>
      <c r="I642" s="1" t="s">
        <v>1657</v>
      </c>
      <c r="J642" s="1" t="s">
        <v>1658</v>
      </c>
      <c r="K642" s="1" t="s">
        <v>1658</v>
      </c>
      <c r="L642" s="1" t="s">
        <v>1658</v>
      </c>
      <c r="M642" s="1" t="s">
        <v>1658</v>
      </c>
      <c r="N642" s="1" t="s">
        <v>1658</v>
      </c>
      <c r="O642" s="1" t="s">
        <v>1658</v>
      </c>
      <c r="P642" s="1">
        <v>1</v>
      </c>
      <c r="Q642" s="1" t="s">
        <v>1658</v>
      </c>
      <c r="R642" s="1">
        <v>0</v>
      </c>
      <c r="S642" s="1" t="s">
        <v>4556</v>
      </c>
      <c r="T642" s="6" t="s">
        <v>4556</v>
      </c>
      <c r="U642" s="1" t="str">
        <f t="shared" ref="U642:U705" si="10">IF(S642=T642,"Yes","No")</f>
        <v>Yes</v>
      </c>
      <c r="W642" s="1" t="s">
        <v>4557</v>
      </c>
      <c r="X642" s="1" t="str">
        <f>IF(COUNTIF('MyWells Drilling Comp'!F:F,E642)=0,"Missing","Exist")</f>
        <v>Exist</v>
      </c>
    </row>
    <row r="643" hidden="1" spans="1:24">
      <c r="A643" s="1" t="s">
        <v>1652</v>
      </c>
      <c r="B643" s="1" t="s">
        <v>90</v>
      </c>
      <c r="C643" s="1" t="s">
        <v>4558</v>
      </c>
      <c r="D643" s="1" t="s">
        <v>4554</v>
      </c>
      <c r="E643" s="2" t="s">
        <v>1039</v>
      </c>
      <c r="F643" s="2" t="s">
        <v>4559</v>
      </c>
      <c r="G643" s="1">
        <v>1</v>
      </c>
      <c r="H643" s="1" t="s">
        <v>1663</v>
      </c>
      <c r="I643" s="1" t="s">
        <v>1657</v>
      </c>
      <c r="J643" s="1" t="s">
        <v>1658</v>
      </c>
      <c r="K643" s="1" t="s">
        <v>1658</v>
      </c>
      <c r="L643" s="1" t="s">
        <v>1658</v>
      </c>
      <c r="M643" s="1" t="s">
        <v>1658</v>
      </c>
      <c r="N643" s="1" t="s">
        <v>1658</v>
      </c>
      <c r="O643" s="1" t="s">
        <v>1658</v>
      </c>
      <c r="P643" s="1">
        <v>1</v>
      </c>
      <c r="Q643" s="1" t="s">
        <v>1658</v>
      </c>
      <c r="R643" s="1">
        <v>0</v>
      </c>
      <c r="S643" s="1" t="s">
        <v>4560</v>
      </c>
      <c r="T643" s="6" t="s">
        <v>4560</v>
      </c>
      <c r="U643" s="1" t="str">
        <f t="shared" si="10"/>
        <v>Yes</v>
      </c>
      <c r="W643" s="1" t="s">
        <v>4561</v>
      </c>
      <c r="X643" s="1" t="str">
        <f>IF(COUNTIF('MyWells Drilling Comp'!F:F,E643)=0,"Missing","Exist")</f>
        <v>Exist</v>
      </c>
    </row>
    <row r="644" hidden="1" spans="1:24">
      <c r="A644" s="1" t="s">
        <v>1652</v>
      </c>
      <c r="B644" s="1" t="s">
        <v>90</v>
      </c>
      <c r="C644" s="1" t="s">
        <v>4562</v>
      </c>
      <c r="D644" s="1" t="s">
        <v>4563</v>
      </c>
      <c r="E644" s="2" t="s">
        <v>1564</v>
      </c>
      <c r="F644" s="2" t="s">
        <v>4564</v>
      </c>
      <c r="G644" s="1">
        <v>1</v>
      </c>
      <c r="H644" s="1" t="s">
        <v>1663</v>
      </c>
      <c r="I644" s="1" t="s">
        <v>1657</v>
      </c>
      <c r="J644" s="1" t="s">
        <v>1658</v>
      </c>
      <c r="K644" s="1" t="s">
        <v>1658</v>
      </c>
      <c r="L644" s="1" t="s">
        <v>1658</v>
      </c>
      <c r="M644" s="1" t="s">
        <v>1658</v>
      </c>
      <c r="N644" s="1" t="s">
        <v>1658</v>
      </c>
      <c r="O644" s="1" t="s">
        <v>1658</v>
      </c>
      <c r="P644" s="1">
        <v>1</v>
      </c>
      <c r="Q644" s="1" t="s">
        <v>1658</v>
      </c>
      <c r="R644" s="1">
        <v>0</v>
      </c>
      <c r="S644" s="1" t="s">
        <v>3556</v>
      </c>
      <c r="T644" s="6"/>
      <c r="U644" s="1" t="str">
        <f t="shared" si="10"/>
        <v>No</v>
      </c>
      <c r="W644" s="1" t="s">
        <v>4565</v>
      </c>
      <c r="X644" s="1" t="str">
        <f>IF(COUNTIF('MyWells Drilling Comp'!F:F,E644)=0,"Missing","Exist")</f>
        <v>Exist</v>
      </c>
    </row>
    <row r="645" hidden="1" spans="1:24">
      <c r="A645" s="1" t="s">
        <v>1652</v>
      </c>
      <c r="B645" s="1" t="s">
        <v>90</v>
      </c>
      <c r="C645" s="1" t="s">
        <v>4566</v>
      </c>
      <c r="D645" s="1" t="s">
        <v>4563</v>
      </c>
      <c r="E645" s="2" t="s">
        <v>1564</v>
      </c>
      <c r="F645" s="2" t="s">
        <v>4567</v>
      </c>
      <c r="G645" s="1">
        <v>1</v>
      </c>
      <c r="H645" s="1" t="s">
        <v>1656</v>
      </c>
      <c r="I645" s="1" t="s">
        <v>1657</v>
      </c>
      <c r="J645" s="1" t="s">
        <v>1658</v>
      </c>
      <c r="K645" s="1" t="s">
        <v>1658</v>
      </c>
      <c r="L645" s="1" t="s">
        <v>1658</v>
      </c>
      <c r="M645" s="1" t="s">
        <v>1658</v>
      </c>
      <c r="N645" s="1" t="s">
        <v>1658</v>
      </c>
      <c r="O645" s="1" t="s">
        <v>1658</v>
      </c>
      <c r="P645" s="1">
        <v>1</v>
      </c>
      <c r="Q645" s="1" t="s">
        <v>1658</v>
      </c>
      <c r="R645" s="1">
        <v>0</v>
      </c>
      <c r="S645" s="1" t="s">
        <v>3552</v>
      </c>
      <c r="T645" s="6"/>
      <c r="U645" s="1" t="str">
        <f t="shared" si="10"/>
        <v>No</v>
      </c>
      <c r="W645" s="1" t="s">
        <v>4568</v>
      </c>
      <c r="X645" s="1" t="str">
        <f>IF(COUNTIF('MyWells Drilling Comp'!F:F,E645)=0,"Missing","Exist")</f>
        <v>Exist</v>
      </c>
    </row>
    <row r="646" hidden="1" spans="1:24">
      <c r="A646" s="1" t="s">
        <v>1652</v>
      </c>
      <c r="B646" s="1" t="s">
        <v>90</v>
      </c>
      <c r="C646" s="1" t="s">
        <v>4569</v>
      </c>
      <c r="D646" s="1" t="s">
        <v>4570</v>
      </c>
      <c r="E646" s="2" t="s">
        <v>784</v>
      </c>
      <c r="F646" s="2" t="s">
        <v>4571</v>
      </c>
      <c r="G646" s="1">
        <v>1</v>
      </c>
      <c r="H646" s="1" t="s">
        <v>1663</v>
      </c>
      <c r="I646" s="1" t="s">
        <v>1657</v>
      </c>
      <c r="J646" s="1" t="s">
        <v>1658</v>
      </c>
      <c r="K646" s="1" t="s">
        <v>1658</v>
      </c>
      <c r="L646" s="1" t="s">
        <v>1658</v>
      </c>
      <c r="M646" s="1" t="s">
        <v>1658</v>
      </c>
      <c r="N646" s="1" t="s">
        <v>1658</v>
      </c>
      <c r="O646" s="1" t="s">
        <v>1658</v>
      </c>
      <c r="P646" s="1">
        <v>1</v>
      </c>
      <c r="Q646" s="1" t="s">
        <v>1658</v>
      </c>
      <c r="R646" s="1">
        <v>0</v>
      </c>
      <c r="S646" s="1" t="s">
        <v>4572</v>
      </c>
      <c r="T646" s="6" t="s">
        <v>4572</v>
      </c>
      <c r="U646" s="1" t="str">
        <f t="shared" si="10"/>
        <v>Yes</v>
      </c>
      <c r="W646" s="1" t="s">
        <v>4573</v>
      </c>
      <c r="X646" s="1" t="str">
        <f>IF(COUNTIF('MyWells Drilling Comp'!F:F,E646)=0,"Missing","Exist")</f>
        <v>Exist</v>
      </c>
    </row>
    <row r="647" hidden="1" spans="1:24">
      <c r="A647" s="1" t="s">
        <v>1652</v>
      </c>
      <c r="B647" s="1" t="s">
        <v>90</v>
      </c>
      <c r="C647" s="1" t="s">
        <v>4574</v>
      </c>
      <c r="D647" s="1" t="s">
        <v>4570</v>
      </c>
      <c r="E647" s="2" t="s">
        <v>784</v>
      </c>
      <c r="F647" s="2" t="s">
        <v>4575</v>
      </c>
      <c r="G647" s="1">
        <v>1</v>
      </c>
      <c r="H647" s="1" t="s">
        <v>1656</v>
      </c>
      <c r="I647" s="1" t="s">
        <v>1657</v>
      </c>
      <c r="J647" s="1" t="s">
        <v>1658</v>
      </c>
      <c r="K647" s="1" t="s">
        <v>1658</v>
      </c>
      <c r="L647" s="1" t="s">
        <v>1658</v>
      </c>
      <c r="M647" s="1" t="s">
        <v>1658</v>
      </c>
      <c r="N647" s="1" t="s">
        <v>1658</v>
      </c>
      <c r="O647" s="1" t="s">
        <v>1658</v>
      </c>
      <c r="P647" s="1">
        <v>1</v>
      </c>
      <c r="Q647" s="1" t="s">
        <v>1658</v>
      </c>
      <c r="R647" s="1">
        <v>0</v>
      </c>
      <c r="S647" s="1" t="s">
        <v>4576</v>
      </c>
      <c r="T647" s="6" t="s">
        <v>4576</v>
      </c>
      <c r="U647" s="1" t="str">
        <f t="shared" si="10"/>
        <v>Yes</v>
      </c>
      <c r="W647" s="1" t="s">
        <v>4577</v>
      </c>
      <c r="X647" s="1" t="str">
        <f>IF(COUNTIF('MyWells Drilling Comp'!F:F,E647)=0,"Missing","Exist")</f>
        <v>Exist</v>
      </c>
    </row>
    <row r="648" hidden="1" spans="1:24">
      <c r="A648" s="1" t="s">
        <v>1652</v>
      </c>
      <c r="B648" s="1" t="s">
        <v>90</v>
      </c>
      <c r="C648" s="1" t="s">
        <v>4578</v>
      </c>
      <c r="D648" s="1" t="s">
        <v>4579</v>
      </c>
      <c r="E648" s="2" t="s">
        <v>1134</v>
      </c>
      <c r="F648" s="2" t="s">
        <v>4580</v>
      </c>
      <c r="G648" s="1">
        <v>1</v>
      </c>
      <c r="H648" s="1" t="s">
        <v>1656</v>
      </c>
      <c r="I648" s="1" t="s">
        <v>1657</v>
      </c>
      <c r="J648" s="1" t="s">
        <v>1658</v>
      </c>
      <c r="K648" s="1" t="s">
        <v>1658</v>
      </c>
      <c r="L648" s="1" t="s">
        <v>1658</v>
      </c>
      <c r="M648" s="1" t="s">
        <v>1658</v>
      </c>
      <c r="N648" s="1" t="s">
        <v>1658</v>
      </c>
      <c r="O648" s="1" t="s">
        <v>1658</v>
      </c>
      <c r="P648" s="1">
        <v>1</v>
      </c>
      <c r="Q648" s="1" t="s">
        <v>1658</v>
      </c>
      <c r="R648" s="1">
        <v>0</v>
      </c>
      <c r="S648" s="1" t="s">
        <v>4581</v>
      </c>
      <c r="T648" s="6" t="s">
        <v>4582</v>
      </c>
      <c r="U648" s="1" t="str">
        <f t="shared" si="10"/>
        <v>No</v>
      </c>
      <c r="W648" s="1" t="s">
        <v>4583</v>
      </c>
      <c r="X648" s="1" t="str">
        <f>IF(COUNTIF('MyWells Drilling Comp'!F:F,E648)=0,"Missing","Exist")</f>
        <v>Exist</v>
      </c>
    </row>
    <row r="649" hidden="1" spans="1:24">
      <c r="A649" s="1" t="s">
        <v>1652</v>
      </c>
      <c r="B649" s="1" t="s">
        <v>90</v>
      </c>
      <c r="C649" s="1" t="s">
        <v>4584</v>
      </c>
      <c r="D649" s="1" t="s">
        <v>4579</v>
      </c>
      <c r="E649" s="2" t="s">
        <v>1134</v>
      </c>
      <c r="F649" s="2" t="s">
        <v>4585</v>
      </c>
      <c r="G649" s="1">
        <v>1</v>
      </c>
      <c r="H649" s="1" t="s">
        <v>1663</v>
      </c>
      <c r="I649" s="1" t="s">
        <v>1657</v>
      </c>
      <c r="J649" s="1" t="s">
        <v>1658</v>
      </c>
      <c r="K649" s="1" t="s">
        <v>1658</v>
      </c>
      <c r="L649" s="1" t="s">
        <v>1658</v>
      </c>
      <c r="M649" s="1" t="s">
        <v>1658</v>
      </c>
      <c r="N649" s="1" t="s">
        <v>1658</v>
      </c>
      <c r="O649" s="1" t="s">
        <v>1658</v>
      </c>
      <c r="P649" s="1">
        <v>1</v>
      </c>
      <c r="Q649" s="1" t="s">
        <v>1658</v>
      </c>
      <c r="R649" s="1">
        <v>0</v>
      </c>
      <c r="S649" s="1" t="s">
        <v>4586</v>
      </c>
      <c r="T649" s="6" t="s">
        <v>4586</v>
      </c>
      <c r="U649" s="1" t="str">
        <f t="shared" si="10"/>
        <v>Yes</v>
      </c>
      <c r="W649" s="1" t="s">
        <v>4587</v>
      </c>
      <c r="X649" s="1" t="str">
        <f>IF(COUNTIF('MyWells Drilling Comp'!F:F,E649)=0,"Missing","Exist")</f>
        <v>Exist</v>
      </c>
    </row>
    <row r="650" hidden="1" spans="1:24">
      <c r="A650" s="1" t="s">
        <v>1652</v>
      </c>
      <c r="B650" s="1" t="s">
        <v>90</v>
      </c>
      <c r="C650" s="1" t="s">
        <v>4588</v>
      </c>
      <c r="D650" s="1" t="s">
        <v>4589</v>
      </c>
      <c r="E650" s="2" t="s">
        <v>887</v>
      </c>
      <c r="F650" s="2" t="s">
        <v>4590</v>
      </c>
      <c r="G650" s="1">
        <v>1</v>
      </c>
      <c r="H650" s="1" t="s">
        <v>1656</v>
      </c>
      <c r="I650" s="1" t="s">
        <v>1657</v>
      </c>
      <c r="J650" s="1" t="s">
        <v>1658</v>
      </c>
      <c r="K650" s="1" t="s">
        <v>1658</v>
      </c>
      <c r="L650" s="1" t="s">
        <v>1658</v>
      </c>
      <c r="M650" s="1" t="s">
        <v>1658</v>
      </c>
      <c r="N650" s="1" t="s">
        <v>1658</v>
      </c>
      <c r="O650" s="1" t="s">
        <v>1658</v>
      </c>
      <c r="P650" s="1">
        <v>1</v>
      </c>
      <c r="Q650" s="1" t="s">
        <v>1658</v>
      </c>
      <c r="R650" s="1">
        <v>0</v>
      </c>
      <c r="S650" s="1" t="s">
        <v>4591</v>
      </c>
      <c r="T650" s="6" t="s">
        <v>4591</v>
      </c>
      <c r="U650" s="1" t="str">
        <f t="shared" si="10"/>
        <v>Yes</v>
      </c>
      <c r="W650" s="1" t="s">
        <v>4592</v>
      </c>
      <c r="X650" s="1" t="str">
        <f>IF(COUNTIF('MyWells Drilling Comp'!F:F,E650)=0,"Missing","Exist")</f>
        <v>Exist</v>
      </c>
    </row>
    <row r="651" hidden="1" spans="1:24">
      <c r="A651" s="1" t="s">
        <v>1652</v>
      </c>
      <c r="B651" s="1" t="s">
        <v>90</v>
      </c>
      <c r="C651" s="1" t="s">
        <v>4593</v>
      </c>
      <c r="D651" s="1" t="s">
        <v>4589</v>
      </c>
      <c r="E651" s="2" t="s">
        <v>887</v>
      </c>
      <c r="F651" s="2" t="s">
        <v>4594</v>
      </c>
      <c r="G651" s="1">
        <v>1</v>
      </c>
      <c r="H651" s="1" t="s">
        <v>1663</v>
      </c>
      <c r="I651" s="1" t="s">
        <v>1657</v>
      </c>
      <c r="J651" s="1" t="s">
        <v>1658</v>
      </c>
      <c r="K651" s="1" t="s">
        <v>1658</v>
      </c>
      <c r="L651" s="1" t="s">
        <v>1658</v>
      </c>
      <c r="M651" s="1" t="s">
        <v>1658</v>
      </c>
      <c r="N651" s="1" t="s">
        <v>1658</v>
      </c>
      <c r="O651" s="1" t="s">
        <v>1658</v>
      </c>
      <c r="P651" s="1">
        <v>1</v>
      </c>
      <c r="Q651" s="1" t="s">
        <v>1658</v>
      </c>
      <c r="R651" s="1">
        <v>0</v>
      </c>
      <c r="S651" s="1" t="s">
        <v>4595</v>
      </c>
      <c r="T651" s="6" t="s">
        <v>4595</v>
      </c>
      <c r="U651" s="1" t="str">
        <f t="shared" si="10"/>
        <v>Yes</v>
      </c>
      <c r="W651" s="1" t="s">
        <v>4596</v>
      </c>
      <c r="X651" s="1" t="str">
        <f>IF(COUNTIF('MyWells Drilling Comp'!F:F,E651)=0,"Missing","Exist")</f>
        <v>Exist</v>
      </c>
    </row>
    <row r="652" hidden="1" spans="1:24">
      <c r="A652" s="1" t="s">
        <v>1652</v>
      </c>
      <c r="B652" s="1" t="s">
        <v>90</v>
      </c>
      <c r="C652" s="1" t="s">
        <v>4597</v>
      </c>
      <c r="D652" s="1" t="s">
        <v>4598</v>
      </c>
      <c r="E652" s="2" t="s">
        <v>167</v>
      </c>
      <c r="F652" s="2" t="s">
        <v>4599</v>
      </c>
      <c r="G652" s="1">
        <v>1</v>
      </c>
      <c r="H652" s="1" t="s">
        <v>1663</v>
      </c>
      <c r="I652" s="1" t="s">
        <v>1657</v>
      </c>
      <c r="J652" s="1" t="s">
        <v>1658</v>
      </c>
      <c r="K652" s="1" t="s">
        <v>1658</v>
      </c>
      <c r="L652" s="1" t="s">
        <v>1658</v>
      </c>
      <c r="M652" s="1" t="s">
        <v>1658</v>
      </c>
      <c r="N652" s="1" t="s">
        <v>1658</v>
      </c>
      <c r="O652" s="1" t="s">
        <v>1658</v>
      </c>
      <c r="P652" s="1">
        <v>1</v>
      </c>
      <c r="Q652" s="1" t="s">
        <v>1658</v>
      </c>
      <c r="R652" s="1">
        <v>0</v>
      </c>
      <c r="S652" s="1" t="s">
        <v>4600</v>
      </c>
      <c r="T652" s="6" t="s">
        <v>4601</v>
      </c>
      <c r="U652" s="1" t="str">
        <f t="shared" si="10"/>
        <v>No</v>
      </c>
      <c r="W652" s="1" t="s">
        <v>4602</v>
      </c>
      <c r="X652" s="1" t="str">
        <f>IF(COUNTIF('MyWells Drilling Comp'!F:F,E652)=0,"Missing","Exist")</f>
        <v>Exist</v>
      </c>
    </row>
    <row r="653" hidden="1" spans="1:24">
      <c r="A653" s="1" t="s">
        <v>1652</v>
      </c>
      <c r="B653" s="1" t="s">
        <v>90</v>
      </c>
      <c r="C653" s="1" t="s">
        <v>4603</v>
      </c>
      <c r="D653" s="1" t="s">
        <v>4598</v>
      </c>
      <c r="E653" s="2" t="s">
        <v>167</v>
      </c>
      <c r="F653" s="2" t="s">
        <v>4604</v>
      </c>
      <c r="G653" s="1">
        <v>1</v>
      </c>
      <c r="H653" s="1" t="s">
        <v>1656</v>
      </c>
      <c r="I653" s="1" t="s">
        <v>1657</v>
      </c>
      <c r="J653" s="1" t="s">
        <v>1658</v>
      </c>
      <c r="K653" s="1" t="s">
        <v>1658</v>
      </c>
      <c r="L653" s="1" t="s">
        <v>1658</v>
      </c>
      <c r="M653" s="1" t="s">
        <v>1658</v>
      </c>
      <c r="N653" s="1" t="s">
        <v>1658</v>
      </c>
      <c r="O653" s="1" t="s">
        <v>1658</v>
      </c>
      <c r="P653" s="1">
        <v>1</v>
      </c>
      <c r="Q653" s="1" t="s">
        <v>1658</v>
      </c>
      <c r="R653" s="1">
        <v>0</v>
      </c>
      <c r="S653" s="1" t="s">
        <v>4605</v>
      </c>
      <c r="T653" s="6" t="s">
        <v>4605</v>
      </c>
      <c r="U653" s="1" t="str">
        <f t="shared" si="10"/>
        <v>Yes</v>
      </c>
      <c r="W653" s="1" t="s">
        <v>4606</v>
      </c>
      <c r="X653" s="1" t="str">
        <f>IF(COUNTIF('MyWells Drilling Comp'!F:F,E653)=0,"Missing","Exist")</f>
        <v>Exist</v>
      </c>
    </row>
    <row r="654" hidden="1" spans="1:24">
      <c r="A654" s="1" t="s">
        <v>1652</v>
      </c>
      <c r="B654" s="1" t="s">
        <v>90</v>
      </c>
      <c r="C654" s="1" t="s">
        <v>4607</v>
      </c>
      <c r="D654" s="1" t="s">
        <v>4608</v>
      </c>
      <c r="E654" s="2" t="s">
        <v>1496</v>
      </c>
      <c r="F654" s="2" t="s">
        <v>4609</v>
      </c>
      <c r="G654" s="1">
        <v>1</v>
      </c>
      <c r="H654" s="1" t="s">
        <v>1663</v>
      </c>
      <c r="I654" s="1" t="s">
        <v>1657</v>
      </c>
      <c r="J654" s="1" t="s">
        <v>1658</v>
      </c>
      <c r="K654" s="1" t="s">
        <v>1658</v>
      </c>
      <c r="L654" s="1" t="s">
        <v>1658</v>
      </c>
      <c r="M654" s="1" t="s">
        <v>1658</v>
      </c>
      <c r="N654" s="1" t="s">
        <v>1658</v>
      </c>
      <c r="O654" s="1" t="s">
        <v>1658</v>
      </c>
      <c r="P654" s="1">
        <v>1</v>
      </c>
      <c r="Q654" s="1" t="s">
        <v>1658</v>
      </c>
      <c r="R654" s="1">
        <v>0</v>
      </c>
      <c r="S654" s="1" t="s">
        <v>4610</v>
      </c>
      <c r="T654" s="6" t="s">
        <v>4610</v>
      </c>
      <c r="U654" s="1" t="str">
        <f t="shared" si="10"/>
        <v>Yes</v>
      </c>
      <c r="W654" s="1" t="s">
        <v>4611</v>
      </c>
      <c r="X654" s="1" t="str">
        <f>IF(COUNTIF('MyWells Drilling Comp'!F:F,E654)=0,"Missing","Exist")</f>
        <v>Exist</v>
      </c>
    </row>
    <row r="655" hidden="1" spans="1:24">
      <c r="A655" s="1" t="s">
        <v>1652</v>
      </c>
      <c r="B655" s="1" t="s">
        <v>90</v>
      </c>
      <c r="C655" s="1" t="s">
        <v>4612</v>
      </c>
      <c r="D655" s="1" t="s">
        <v>4608</v>
      </c>
      <c r="E655" s="2" t="s">
        <v>1496</v>
      </c>
      <c r="F655" s="2" t="s">
        <v>4613</v>
      </c>
      <c r="G655" s="1">
        <v>1</v>
      </c>
      <c r="H655" s="1" t="s">
        <v>1656</v>
      </c>
      <c r="I655" s="1" t="s">
        <v>1657</v>
      </c>
      <c r="J655" s="1" t="s">
        <v>1658</v>
      </c>
      <c r="K655" s="1" t="s">
        <v>1658</v>
      </c>
      <c r="L655" s="1" t="s">
        <v>1658</v>
      </c>
      <c r="M655" s="1" t="s">
        <v>1658</v>
      </c>
      <c r="N655" s="1" t="s">
        <v>1658</v>
      </c>
      <c r="O655" s="1" t="s">
        <v>1658</v>
      </c>
      <c r="P655" s="1">
        <v>1</v>
      </c>
      <c r="Q655" s="1" t="s">
        <v>1658</v>
      </c>
      <c r="R655" s="1">
        <v>0</v>
      </c>
      <c r="S655" s="1" t="s">
        <v>4614</v>
      </c>
      <c r="T655" s="6" t="s">
        <v>4614</v>
      </c>
      <c r="U655" s="1" t="str">
        <f t="shared" si="10"/>
        <v>Yes</v>
      </c>
      <c r="W655" s="1" t="s">
        <v>4615</v>
      </c>
      <c r="X655" s="1" t="str">
        <f>IF(COUNTIF('MyWells Drilling Comp'!F:F,E655)=0,"Missing","Exist")</f>
        <v>Exist</v>
      </c>
    </row>
    <row r="656" hidden="1" spans="1:24">
      <c r="A656" s="1" t="s">
        <v>1652</v>
      </c>
      <c r="B656" s="1" t="s">
        <v>90</v>
      </c>
      <c r="C656" s="1" t="s">
        <v>4616</v>
      </c>
      <c r="D656" s="1" t="s">
        <v>4617</v>
      </c>
      <c r="E656" s="2" t="s">
        <v>1183</v>
      </c>
      <c r="F656" s="2" t="s">
        <v>4618</v>
      </c>
      <c r="G656" s="1">
        <v>1</v>
      </c>
      <c r="H656" s="1" t="s">
        <v>1663</v>
      </c>
      <c r="I656" s="1" t="s">
        <v>1657</v>
      </c>
      <c r="J656" s="1" t="s">
        <v>1658</v>
      </c>
      <c r="K656" s="1" t="s">
        <v>1658</v>
      </c>
      <c r="L656" s="1" t="s">
        <v>1658</v>
      </c>
      <c r="M656" s="1" t="s">
        <v>1658</v>
      </c>
      <c r="N656" s="1" t="s">
        <v>1658</v>
      </c>
      <c r="O656" s="1" t="s">
        <v>1658</v>
      </c>
      <c r="P656" s="1">
        <v>1</v>
      </c>
      <c r="Q656" s="1" t="s">
        <v>1658</v>
      </c>
      <c r="R656" s="1">
        <v>0</v>
      </c>
      <c r="S656" s="1" t="s">
        <v>4619</v>
      </c>
      <c r="T656" s="6" t="s">
        <v>4619</v>
      </c>
      <c r="U656" s="1" t="str">
        <f t="shared" si="10"/>
        <v>Yes</v>
      </c>
      <c r="W656" s="1" t="s">
        <v>4620</v>
      </c>
      <c r="X656" s="1" t="str">
        <f>IF(COUNTIF('MyWells Drilling Comp'!F:F,E656)=0,"Missing","Exist")</f>
        <v>Exist</v>
      </c>
    </row>
    <row r="657" hidden="1" spans="1:24">
      <c r="A657" s="1" t="s">
        <v>1652</v>
      </c>
      <c r="B657" s="1" t="s">
        <v>90</v>
      </c>
      <c r="C657" s="7" t="s">
        <v>4621</v>
      </c>
      <c r="D657" s="1" t="s">
        <v>4617</v>
      </c>
      <c r="E657" s="2" t="s">
        <v>1183</v>
      </c>
      <c r="F657" s="2" t="s">
        <v>4622</v>
      </c>
      <c r="G657" s="1">
        <v>1</v>
      </c>
      <c r="H657" s="1" t="s">
        <v>1656</v>
      </c>
      <c r="I657" s="1" t="s">
        <v>1657</v>
      </c>
      <c r="J657" s="1" t="s">
        <v>1658</v>
      </c>
      <c r="K657" s="1" t="s">
        <v>1658</v>
      </c>
      <c r="L657" s="1" t="s">
        <v>1658</v>
      </c>
      <c r="M657" s="1" t="s">
        <v>1658</v>
      </c>
      <c r="N657" s="1" t="s">
        <v>1658</v>
      </c>
      <c r="O657" s="1" t="s">
        <v>1658</v>
      </c>
      <c r="P657" s="1">
        <v>1</v>
      </c>
      <c r="Q657" s="1" t="s">
        <v>1658</v>
      </c>
      <c r="R657" s="1">
        <v>0</v>
      </c>
      <c r="S657" s="1" t="s">
        <v>4623</v>
      </c>
      <c r="T657" s="6" t="s">
        <v>4623</v>
      </c>
      <c r="U657" s="1" t="str">
        <f t="shared" si="10"/>
        <v>Yes</v>
      </c>
      <c r="W657" s="1" t="s">
        <v>4624</v>
      </c>
      <c r="X657" s="1" t="str">
        <f>IF(COUNTIF('MyWells Drilling Comp'!F:F,E657)=0,"Missing","Exist")</f>
        <v>Exist</v>
      </c>
    </row>
    <row r="658" hidden="1" spans="1:24">
      <c r="A658" s="1" t="s">
        <v>1652</v>
      </c>
      <c r="B658" s="1" t="s">
        <v>90</v>
      </c>
      <c r="C658" s="1" t="s">
        <v>4625</v>
      </c>
      <c r="D658" s="1" t="s">
        <v>4626</v>
      </c>
      <c r="E658" s="2" t="s">
        <v>549</v>
      </c>
      <c r="F658" s="2" t="s">
        <v>4627</v>
      </c>
      <c r="G658" s="1">
        <v>1</v>
      </c>
      <c r="H658" s="1" t="s">
        <v>1663</v>
      </c>
      <c r="I658" s="1" t="s">
        <v>1657</v>
      </c>
      <c r="J658" s="1" t="s">
        <v>1658</v>
      </c>
      <c r="K658" s="1" t="s">
        <v>1658</v>
      </c>
      <c r="L658" s="1" t="s">
        <v>1658</v>
      </c>
      <c r="M658" s="1" t="s">
        <v>1658</v>
      </c>
      <c r="N658" s="1" t="s">
        <v>1658</v>
      </c>
      <c r="O658" s="1" t="s">
        <v>1658</v>
      </c>
      <c r="P658" s="1">
        <v>1</v>
      </c>
      <c r="Q658" s="1" t="s">
        <v>1658</v>
      </c>
      <c r="R658" s="1">
        <v>0</v>
      </c>
      <c r="S658" s="1" t="s">
        <v>4628</v>
      </c>
      <c r="T658" s="6" t="s">
        <v>4628</v>
      </c>
      <c r="U658" s="1" t="str">
        <f t="shared" si="10"/>
        <v>Yes</v>
      </c>
      <c r="W658" s="1" t="s">
        <v>4629</v>
      </c>
      <c r="X658" s="1" t="str">
        <f>IF(COUNTIF('MyWells Drilling Comp'!F:F,E658)=0,"Missing","Exist")</f>
        <v>Exist</v>
      </c>
    </row>
    <row r="659" hidden="1" spans="1:24">
      <c r="A659" s="1" t="s">
        <v>1652</v>
      </c>
      <c r="B659" s="1" t="s">
        <v>90</v>
      </c>
      <c r="C659" s="1" t="s">
        <v>4630</v>
      </c>
      <c r="D659" s="1" t="s">
        <v>4626</v>
      </c>
      <c r="E659" s="2" t="s">
        <v>549</v>
      </c>
      <c r="F659" s="2" t="s">
        <v>4631</v>
      </c>
      <c r="G659" s="1">
        <v>1</v>
      </c>
      <c r="H659" s="1" t="s">
        <v>1656</v>
      </c>
      <c r="I659" s="1" t="s">
        <v>1657</v>
      </c>
      <c r="J659" s="1" t="s">
        <v>1658</v>
      </c>
      <c r="K659" s="1" t="s">
        <v>1658</v>
      </c>
      <c r="L659" s="1" t="s">
        <v>1658</v>
      </c>
      <c r="M659" s="1" t="s">
        <v>1658</v>
      </c>
      <c r="N659" s="1" t="s">
        <v>1658</v>
      </c>
      <c r="O659" s="1" t="s">
        <v>1658</v>
      </c>
      <c r="P659" s="1">
        <v>1</v>
      </c>
      <c r="Q659" s="1" t="s">
        <v>1658</v>
      </c>
      <c r="R659" s="1">
        <v>0</v>
      </c>
      <c r="S659" s="1" t="s">
        <v>4632</v>
      </c>
      <c r="T659" s="6" t="s">
        <v>4632</v>
      </c>
      <c r="U659" s="1" t="str">
        <f t="shared" si="10"/>
        <v>Yes</v>
      </c>
      <c r="W659" s="1" t="s">
        <v>4633</v>
      </c>
      <c r="X659" s="1" t="str">
        <f>IF(COUNTIF('MyWells Drilling Comp'!F:F,E659)=0,"Missing","Exist")</f>
        <v>Exist</v>
      </c>
    </row>
    <row r="660" hidden="1" spans="1:24">
      <c r="A660" s="1" t="s">
        <v>1652</v>
      </c>
      <c r="B660" s="1" t="s">
        <v>90</v>
      </c>
      <c r="C660" s="1" t="s">
        <v>4634</v>
      </c>
      <c r="D660" s="1" t="s">
        <v>4635</v>
      </c>
      <c r="E660" s="2" t="s">
        <v>592</v>
      </c>
      <c r="F660" s="2" t="s">
        <v>4636</v>
      </c>
      <c r="G660" s="1">
        <v>1</v>
      </c>
      <c r="H660" s="1" t="s">
        <v>1663</v>
      </c>
      <c r="I660" s="1" t="s">
        <v>1657</v>
      </c>
      <c r="J660" s="1" t="s">
        <v>1658</v>
      </c>
      <c r="K660" s="1" t="s">
        <v>1658</v>
      </c>
      <c r="L660" s="1" t="s">
        <v>1658</v>
      </c>
      <c r="M660" s="1" t="s">
        <v>1658</v>
      </c>
      <c r="N660" s="1" t="s">
        <v>1658</v>
      </c>
      <c r="O660" s="1" t="s">
        <v>1658</v>
      </c>
      <c r="P660" s="1">
        <v>1</v>
      </c>
      <c r="Q660" s="1" t="s">
        <v>1658</v>
      </c>
      <c r="R660" s="1">
        <v>0</v>
      </c>
      <c r="S660" s="1" t="s">
        <v>4637</v>
      </c>
      <c r="T660" s="6"/>
      <c r="U660" s="1" t="str">
        <f t="shared" si="10"/>
        <v>No</v>
      </c>
      <c r="W660" s="1" t="s">
        <v>4638</v>
      </c>
      <c r="X660" s="1" t="str">
        <f>IF(COUNTIF('MyWells Drilling Comp'!F:F,E660)=0,"Missing","Exist")</f>
        <v>Exist</v>
      </c>
    </row>
    <row r="661" hidden="1" spans="1:24">
      <c r="A661" s="1" t="s">
        <v>1652</v>
      </c>
      <c r="B661" s="1" t="s">
        <v>90</v>
      </c>
      <c r="C661" s="7" t="s">
        <v>4639</v>
      </c>
      <c r="D661" s="1" t="s">
        <v>4635</v>
      </c>
      <c r="E661" s="2" t="s">
        <v>592</v>
      </c>
      <c r="F661" s="2" t="s">
        <v>4640</v>
      </c>
      <c r="G661" s="1">
        <v>1</v>
      </c>
      <c r="H661" s="1" t="s">
        <v>1656</v>
      </c>
      <c r="I661" s="1" t="s">
        <v>1657</v>
      </c>
      <c r="J661" s="1" t="s">
        <v>1658</v>
      </c>
      <c r="K661" s="1" t="s">
        <v>1658</v>
      </c>
      <c r="L661" s="1" t="s">
        <v>1658</v>
      </c>
      <c r="M661" s="1" t="s">
        <v>1658</v>
      </c>
      <c r="N661" s="1" t="s">
        <v>1658</v>
      </c>
      <c r="O661" s="1" t="s">
        <v>1658</v>
      </c>
      <c r="P661" s="1">
        <v>1</v>
      </c>
      <c r="Q661" s="1" t="s">
        <v>1658</v>
      </c>
      <c r="R661" s="1">
        <v>0</v>
      </c>
      <c r="S661" s="1" t="s">
        <v>4641</v>
      </c>
      <c r="T661" s="6"/>
      <c r="U661" s="1" t="str">
        <f t="shared" si="10"/>
        <v>No</v>
      </c>
      <c r="W661" s="1" t="s">
        <v>4642</v>
      </c>
      <c r="X661" s="1" t="str">
        <f>IF(COUNTIF('MyWells Drilling Comp'!F:F,E661)=0,"Missing","Exist")</f>
        <v>Exist</v>
      </c>
    </row>
    <row r="662" hidden="1" spans="1:24">
      <c r="A662" s="1" t="s">
        <v>1652</v>
      </c>
      <c r="B662" s="1" t="s">
        <v>90</v>
      </c>
      <c r="C662" s="1" t="s">
        <v>4643</v>
      </c>
      <c r="D662" s="1" t="s">
        <v>4644</v>
      </c>
      <c r="E662" s="2" t="s">
        <v>1340</v>
      </c>
      <c r="F662" s="2" t="s">
        <v>4645</v>
      </c>
      <c r="G662" s="1">
        <v>1</v>
      </c>
      <c r="H662" s="1" t="s">
        <v>1663</v>
      </c>
      <c r="I662" s="1" t="s">
        <v>1657</v>
      </c>
      <c r="J662" s="1" t="s">
        <v>1658</v>
      </c>
      <c r="K662" s="1" t="s">
        <v>1658</v>
      </c>
      <c r="L662" s="1" t="s">
        <v>1658</v>
      </c>
      <c r="M662" s="1" t="s">
        <v>1658</v>
      </c>
      <c r="N662" s="1" t="s">
        <v>1658</v>
      </c>
      <c r="O662" s="1" t="s">
        <v>1658</v>
      </c>
      <c r="P662" s="1">
        <v>1</v>
      </c>
      <c r="Q662" s="1" t="s">
        <v>1658</v>
      </c>
      <c r="R662" s="1">
        <v>0</v>
      </c>
      <c r="S662" s="1" t="s">
        <v>4646</v>
      </c>
      <c r="T662" s="6" t="s">
        <v>4646</v>
      </c>
      <c r="U662" s="1" t="str">
        <f t="shared" si="10"/>
        <v>Yes</v>
      </c>
      <c r="W662" s="1" t="s">
        <v>4647</v>
      </c>
      <c r="X662" s="1" t="str">
        <f>IF(COUNTIF('MyWells Drilling Comp'!F:F,E662)=0,"Missing","Exist")</f>
        <v>Exist</v>
      </c>
    </row>
    <row r="663" hidden="1" spans="1:24">
      <c r="A663" s="1" t="s">
        <v>1652</v>
      </c>
      <c r="B663" s="1" t="s">
        <v>90</v>
      </c>
      <c r="C663" s="1" t="s">
        <v>4648</v>
      </c>
      <c r="D663" s="1" t="s">
        <v>4644</v>
      </c>
      <c r="E663" s="2" t="s">
        <v>1340</v>
      </c>
      <c r="F663" s="2" t="s">
        <v>4649</v>
      </c>
      <c r="G663" s="1">
        <v>1</v>
      </c>
      <c r="H663" s="1" t="s">
        <v>1656</v>
      </c>
      <c r="I663" s="1" t="s">
        <v>1657</v>
      </c>
      <c r="J663" s="1" t="s">
        <v>1658</v>
      </c>
      <c r="K663" s="1" t="s">
        <v>1658</v>
      </c>
      <c r="L663" s="1" t="s">
        <v>1658</v>
      </c>
      <c r="M663" s="1" t="s">
        <v>1658</v>
      </c>
      <c r="N663" s="1" t="s">
        <v>1658</v>
      </c>
      <c r="O663" s="1" t="s">
        <v>1658</v>
      </c>
      <c r="P663" s="1">
        <v>1</v>
      </c>
      <c r="Q663" s="1" t="s">
        <v>1658</v>
      </c>
      <c r="R663" s="1">
        <v>0</v>
      </c>
      <c r="S663" s="1" t="s">
        <v>4650</v>
      </c>
      <c r="T663" s="6"/>
      <c r="U663" s="1" t="str">
        <f t="shared" si="10"/>
        <v>No</v>
      </c>
      <c r="W663" s="1" t="s">
        <v>4651</v>
      </c>
      <c r="X663" s="1" t="str">
        <f>IF(COUNTIF('MyWells Drilling Comp'!F:F,E663)=0,"Missing","Exist")</f>
        <v>Exist</v>
      </c>
    </row>
    <row r="664" hidden="1" spans="1:24">
      <c r="A664" s="1" t="s">
        <v>1652</v>
      </c>
      <c r="B664" s="1" t="s">
        <v>90</v>
      </c>
      <c r="C664" s="1" t="s">
        <v>4652</v>
      </c>
      <c r="D664" s="1" t="s">
        <v>4653</v>
      </c>
      <c r="E664" s="2" t="s">
        <v>488</v>
      </c>
      <c r="F664" s="2" t="s">
        <v>4654</v>
      </c>
      <c r="G664" s="1">
        <v>1</v>
      </c>
      <c r="H664" s="1" t="s">
        <v>1656</v>
      </c>
      <c r="I664" s="1" t="s">
        <v>1657</v>
      </c>
      <c r="J664" s="1" t="s">
        <v>1658</v>
      </c>
      <c r="K664" s="1" t="s">
        <v>1658</v>
      </c>
      <c r="L664" s="1" t="s">
        <v>1658</v>
      </c>
      <c r="M664" s="1" t="s">
        <v>1658</v>
      </c>
      <c r="N664" s="1" t="s">
        <v>1658</v>
      </c>
      <c r="O664" s="1" t="s">
        <v>1658</v>
      </c>
      <c r="P664" s="1">
        <v>1</v>
      </c>
      <c r="Q664" s="1" t="s">
        <v>1658</v>
      </c>
      <c r="R664" s="1">
        <v>0</v>
      </c>
      <c r="S664" s="1" t="s">
        <v>4655</v>
      </c>
      <c r="T664" s="6" t="s">
        <v>4655</v>
      </c>
      <c r="U664" s="1" t="str">
        <f t="shared" si="10"/>
        <v>Yes</v>
      </c>
      <c r="W664" s="1" t="s">
        <v>4656</v>
      </c>
      <c r="X664" s="1" t="str">
        <f>IF(COUNTIF('MyWells Drilling Comp'!F:F,E664)=0,"Missing","Exist")</f>
        <v>Exist</v>
      </c>
    </row>
    <row r="665" hidden="1" spans="1:24">
      <c r="A665" s="1" t="s">
        <v>1652</v>
      </c>
      <c r="B665" s="1" t="s">
        <v>90</v>
      </c>
      <c r="C665" s="1" t="s">
        <v>4657</v>
      </c>
      <c r="D665" s="1" t="s">
        <v>4653</v>
      </c>
      <c r="E665" s="2" t="s">
        <v>488</v>
      </c>
      <c r="F665" s="2" t="s">
        <v>4658</v>
      </c>
      <c r="G665" s="1">
        <v>1</v>
      </c>
      <c r="H665" s="1" t="s">
        <v>1663</v>
      </c>
      <c r="I665" s="1" t="s">
        <v>1657</v>
      </c>
      <c r="J665" s="1" t="s">
        <v>1658</v>
      </c>
      <c r="K665" s="1" t="s">
        <v>1658</v>
      </c>
      <c r="L665" s="1" t="s">
        <v>1658</v>
      </c>
      <c r="M665" s="1" t="s">
        <v>1658</v>
      </c>
      <c r="N665" s="1" t="s">
        <v>1658</v>
      </c>
      <c r="O665" s="1" t="s">
        <v>1658</v>
      </c>
      <c r="P665" s="1">
        <v>1</v>
      </c>
      <c r="Q665" s="1" t="s">
        <v>1658</v>
      </c>
      <c r="R665" s="1">
        <v>0</v>
      </c>
      <c r="S665" s="1" t="s">
        <v>4659</v>
      </c>
      <c r="T665" s="6" t="s">
        <v>4659</v>
      </c>
      <c r="U665" s="1" t="str">
        <f t="shared" si="10"/>
        <v>Yes</v>
      </c>
      <c r="W665" s="1" t="s">
        <v>4660</v>
      </c>
      <c r="X665" s="1" t="str">
        <f>IF(COUNTIF('MyWells Drilling Comp'!F:F,E665)=0,"Missing","Exist")</f>
        <v>Exist</v>
      </c>
    </row>
    <row r="666" hidden="1" spans="1:24">
      <c r="A666" s="1" t="s">
        <v>1652</v>
      </c>
      <c r="B666" s="1" t="s">
        <v>90</v>
      </c>
      <c r="C666" s="1" t="s">
        <v>4661</v>
      </c>
      <c r="D666" s="1" t="s">
        <v>4662</v>
      </c>
      <c r="E666" s="1" t="s">
        <v>834</v>
      </c>
      <c r="F666" s="1" t="s">
        <v>4663</v>
      </c>
      <c r="G666" s="1">
        <v>1</v>
      </c>
      <c r="H666" s="1" t="s">
        <v>1663</v>
      </c>
      <c r="I666" s="1" t="s">
        <v>1657</v>
      </c>
      <c r="J666" s="1" t="s">
        <v>1658</v>
      </c>
      <c r="K666" s="1" t="s">
        <v>1658</v>
      </c>
      <c r="L666" s="1" t="s">
        <v>1658</v>
      </c>
      <c r="M666" s="1" t="s">
        <v>1658</v>
      </c>
      <c r="N666" s="1" t="s">
        <v>1658</v>
      </c>
      <c r="O666" s="1" t="s">
        <v>1658</v>
      </c>
      <c r="P666" s="1">
        <v>1</v>
      </c>
      <c r="Q666" s="1" t="s">
        <v>1658</v>
      </c>
      <c r="R666" s="1">
        <v>0</v>
      </c>
      <c r="S666" s="1" t="s">
        <v>4664</v>
      </c>
      <c r="T666" s="6"/>
      <c r="U666" s="1" t="str">
        <f t="shared" si="10"/>
        <v>No</v>
      </c>
      <c r="W666" s="1" t="s">
        <v>4665</v>
      </c>
      <c r="X666" s="1" t="str">
        <f>IF(COUNTIF('MyWells Drilling Comp'!F:F,E666)=0,"Missing","Exist")</f>
        <v>Exist</v>
      </c>
    </row>
    <row r="667" hidden="1" spans="1:24">
      <c r="A667" s="1" t="s">
        <v>1652</v>
      </c>
      <c r="B667" s="1" t="s">
        <v>90</v>
      </c>
      <c r="C667" s="1" t="s">
        <v>4666</v>
      </c>
      <c r="D667" s="1" t="s">
        <v>4662</v>
      </c>
      <c r="E667" s="1" t="s">
        <v>834</v>
      </c>
      <c r="F667" s="1" t="s">
        <v>4667</v>
      </c>
      <c r="G667" s="1">
        <v>1</v>
      </c>
      <c r="H667" s="1" t="s">
        <v>1656</v>
      </c>
      <c r="I667" s="1" t="s">
        <v>1657</v>
      </c>
      <c r="J667" s="1" t="s">
        <v>1658</v>
      </c>
      <c r="K667" s="1" t="s">
        <v>1658</v>
      </c>
      <c r="L667" s="1" t="s">
        <v>1658</v>
      </c>
      <c r="M667" s="1" t="s">
        <v>1658</v>
      </c>
      <c r="N667" s="1" t="s">
        <v>1658</v>
      </c>
      <c r="O667" s="1" t="s">
        <v>1658</v>
      </c>
      <c r="P667" s="1">
        <v>1</v>
      </c>
      <c r="Q667" s="1" t="s">
        <v>1658</v>
      </c>
      <c r="R667" s="1">
        <v>0</v>
      </c>
      <c r="S667" s="1" t="s">
        <v>4668</v>
      </c>
      <c r="T667" s="6"/>
      <c r="U667" s="1" t="str">
        <f t="shared" si="10"/>
        <v>No</v>
      </c>
      <c r="W667" s="1" t="s">
        <v>4669</v>
      </c>
      <c r="X667" s="1" t="str">
        <f>IF(COUNTIF('MyWells Drilling Comp'!F:F,E667)=0,"Missing","Exist")</f>
        <v>Exist</v>
      </c>
    </row>
    <row r="668" hidden="1" spans="1:24">
      <c r="A668" s="1" t="s">
        <v>1652</v>
      </c>
      <c r="B668" s="1" t="s">
        <v>90</v>
      </c>
      <c r="C668" s="1" t="s">
        <v>4670</v>
      </c>
      <c r="D668" s="1" t="s">
        <v>4671</v>
      </c>
      <c r="E668" s="2" t="s">
        <v>1306</v>
      </c>
      <c r="F668" s="2" t="s">
        <v>4672</v>
      </c>
      <c r="G668" s="1">
        <v>1</v>
      </c>
      <c r="H668" s="1" t="s">
        <v>1656</v>
      </c>
      <c r="I668" s="1" t="s">
        <v>1657</v>
      </c>
      <c r="J668" s="1" t="s">
        <v>1658</v>
      </c>
      <c r="K668" s="1" t="s">
        <v>1658</v>
      </c>
      <c r="L668" s="1" t="s">
        <v>1658</v>
      </c>
      <c r="M668" s="1" t="s">
        <v>1658</v>
      </c>
      <c r="N668" s="1" t="s">
        <v>1658</v>
      </c>
      <c r="O668" s="1" t="s">
        <v>1658</v>
      </c>
      <c r="P668" s="1">
        <v>1</v>
      </c>
      <c r="Q668" s="1" t="s">
        <v>1658</v>
      </c>
      <c r="R668" s="1">
        <v>0</v>
      </c>
      <c r="S668" s="1" t="s">
        <v>4673</v>
      </c>
      <c r="T668" s="6" t="s">
        <v>4673</v>
      </c>
      <c r="U668" s="1" t="str">
        <f t="shared" si="10"/>
        <v>Yes</v>
      </c>
      <c r="W668" s="1" t="s">
        <v>4674</v>
      </c>
      <c r="X668" s="1" t="str">
        <f>IF(COUNTIF('MyWells Drilling Comp'!F:F,E668)=0,"Missing","Exist")</f>
        <v>Exist</v>
      </c>
    </row>
    <row r="669" hidden="1" spans="1:24">
      <c r="A669" s="1" t="s">
        <v>1652</v>
      </c>
      <c r="B669" s="1" t="s">
        <v>90</v>
      </c>
      <c r="C669" s="1" t="s">
        <v>4675</v>
      </c>
      <c r="D669" s="1" t="s">
        <v>4671</v>
      </c>
      <c r="E669" s="2" t="s">
        <v>1306</v>
      </c>
      <c r="F669" s="2" t="s">
        <v>4676</v>
      </c>
      <c r="G669" s="1">
        <v>1</v>
      </c>
      <c r="H669" s="1" t="s">
        <v>1663</v>
      </c>
      <c r="I669" s="1" t="s">
        <v>1657</v>
      </c>
      <c r="J669" s="1" t="s">
        <v>1658</v>
      </c>
      <c r="K669" s="1" t="s">
        <v>1658</v>
      </c>
      <c r="L669" s="1" t="s">
        <v>1658</v>
      </c>
      <c r="M669" s="1" t="s">
        <v>1658</v>
      </c>
      <c r="N669" s="1" t="s">
        <v>1658</v>
      </c>
      <c r="O669" s="1" t="s">
        <v>1658</v>
      </c>
      <c r="P669" s="1">
        <v>1</v>
      </c>
      <c r="Q669" s="1" t="s">
        <v>1658</v>
      </c>
      <c r="R669" s="1">
        <v>0</v>
      </c>
      <c r="S669" s="1" t="s">
        <v>4677</v>
      </c>
      <c r="T669" s="6" t="s">
        <v>4677</v>
      </c>
      <c r="U669" s="1" t="str">
        <f t="shared" si="10"/>
        <v>Yes</v>
      </c>
      <c r="W669" s="1" t="s">
        <v>4678</v>
      </c>
      <c r="X669" s="1" t="str">
        <f>IF(COUNTIF('MyWells Drilling Comp'!F:F,E669)=0,"Missing","Exist")</f>
        <v>Exist</v>
      </c>
    </row>
    <row r="670" hidden="1" spans="1:24">
      <c r="A670" s="1" t="s">
        <v>1652</v>
      </c>
      <c r="B670" s="1" t="s">
        <v>90</v>
      </c>
      <c r="C670" s="1" t="s">
        <v>4679</v>
      </c>
      <c r="D670" s="1" t="s">
        <v>4680</v>
      </c>
      <c r="E670" s="2" t="s">
        <v>1299</v>
      </c>
      <c r="F670" s="2" t="s">
        <v>4681</v>
      </c>
      <c r="G670" s="1">
        <v>1</v>
      </c>
      <c r="H670" s="1" t="s">
        <v>1656</v>
      </c>
      <c r="I670" s="1" t="s">
        <v>1657</v>
      </c>
      <c r="J670" s="1" t="s">
        <v>1658</v>
      </c>
      <c r="K670" s="1" t="s">
        <v>1658</v>
      </c>
      <c r="L670" s="1" t="s">
        <v>1658</v>
      </c>
      <c r="M670" s="1" t="s">
        <v>1658</v>
      </c>
      <c r="N670" s="1" t="s">
        <v>1658</v>
      </c>
      <c r="O670" s="1" t="s">
        <v>1658</v>
      </c>
      <c r="P670" s="1">
        <v>1</v>
      </c>
      <c r="Q670" s="1" t="s">
        <v>1658</v>
      </c>
      <c r="R670" s="1">
        <v>0</v>
      </c>
      <c r="S670" s="1" t="s">
        <v>4682</v>
      </c>
      <c r="T670" s="6" t="s">
        <v>4683</v>
      </c>
      <c r="U670" s="1" t="str">
        <f t="shared" si="10"/>
        <v>No</v>
      </c>
      <c r="W670" s="1" t="s">
        <v>4684</v>
      </c>
      <c r="X670" s="1" t="str">
        <f>IF(COUNTIF('MyWells Drilling Comp'!F:F,E670)=0,"Missing","Exist")</f>
        <v>Exist</v>
      </c>
    </row>
    <row r="671" hidden="1" spans="1:24">
      <c r="A671" s="1" t="s">
        <v>1652</v>
      </c>
      <c r="B671" s="1" t="s">
        <v>90</v>
      </c>
      <c r="C671" s="1" t="s">
        <v>4685</v>
      </c>
      <c r="D671" s="1" t="s">
        <v>4680</v>
      </c>
      <c r="E671" s="2" t="s">
        <v>1299</v>
      </c>
      <c r="F671" s="2" t="s">
        <v>4686</v>
      </c>
      <c r="G671" s="1">
        <v>1</v>
      </c>
      <c r="H671" s="1" t="s">
        <v>1663</v>
      </c>
      <c r="I671" s="1" t="s">
        <v>1657</v>
      </c>
      <c r="J671" s="1" t="s">
        <v>1658</v>
      </c>
      <c r="K671" s="1" t="s">
        <v>1658</v>
      </c>
      <c r="L671" s="1" t="s">
        <v>1658</v>
      </c>
      <c r="M671" s="1" t="s">
        <v>1658</v>
      </c>
      <c r="N671" s="1" t="s">
        <v>1658</v>
      </c>
      <c r="O671" s="1" t="s">
        <v>1658</v>
      </c>
      <c r="P671" s="1">
        <v>1</v>
      </c>
      <c r="Q671" s="1" t="s">
        <v>1658</v>
      </c>
      <c r="R671" s="1">
        <v>0</v>
      </c>
      <c r="S671" s="1" t="s">
        <v>4687</v>
      </c>
      <c r="T671" s="6" t="s">
        <v>4687</v>
      </c>
      <c r="U671" s="1" t="str">
        <f t="shared" si="10"/>
        <v>Yes</v>
      </c>
      <c r="W671" s="1" t="s">
        <v>4688</v>
      </c>
      <c r="X671" s="1" t="str">
        <f>IF(COUNTIF('MyWells Drilling Comp'!F:F,E671)=0,"Missing","Exist")</f>
        <v>Exist</v>
      </c>
    </row>
    <row r="672" hidden="1" spans="1:24">
      <c r="A672" s="1" t="s">
        <v>1652</v>
      </c>
      <c r="B672" s="1" t="s">
        <v>90</v>
      </c>
      <c r="C672" s="1" t="s">
        <v>4689</v>
      </c>
      <c r="D672" s="1" t="s">
        <v>4690</v>
      </c>
      <c r="E672" s="2" t="s">
        <v>107</v>
      </c>
      <c r="F672" s="2" t="s">
        <v>4691</v>
      </c>
      <c r="G672" s="1">
        <v>1</v>
      </c>
      <c r="H672" s="1" t="s">
        <v>1656</v>
      </c>
      <c r="I672" s="1" t="s">
        <v>1657</v>
      </c>
      <c r="J672" s="1" t="s">
        <v>1658</v>
      </c>
      <c r="K672" s="1" t="s">
        <v>1658</v>
      </c>
      <c r="L672" s="1" t="s">
        <v>1658</v>
      </c>
      <c r="M672" s="1" t="s">
        <v>1658</v>
      </c>
      <c r="N672" s="1" t="s">
        <v>1658</v>
      </c>
      <c r="O672" s="1" t="s">
        <v>1658</v>
      </c>
      <c r="P672" s="1">
        <v>1</v>
      </c>
      <c r="Q672" s="1" t="s">
        <v>1658</v>
      </c>
      <c r="R672" s="1">
        <v>0</v>
      </c>
      <c r="S672" s="1" t="s">
        <v>4692</v>
      </c>
      <c r="T672" s="6"/>
      <c r="U672" s="1" t="str">
        <f t="shared" si="10"/>
        <v>No</v>
      </c>
      <c r="W672" s="1" t="s">
        <v>4693</v>
      </c>
      <c r="X672" s="1" t="str">
        <f>IF(COUNTIF('MyWells Drilling Comp'!F:F,E672)=0,"Missing","Exist")</f>
        <v>Exist</v>
      </c>
    </row>
    <row r="673" hidden="1" spans="1:24">
      <c r="A673" s="1" t="s">
        <v>1652</v>
      </c>
      <c r="B673" s="1" t="s">
        <v>90</v>
      </c>
      <c r="C673" s="1" t="s">
        <v>4694</v>
      </c>
      <c r="D673" s="1" t="s">
        <v>4690</v>
      </c>
      <c r="E673" s="2" t="s">
        <v>107</v>
      </c>
      <c r="F673" s="2" t="s">
        <v>4695</v>
      </c>
      <c r="G673" s="1">
        <v>1</v>
      </c>
      <c r="H673" s="1" t="s">
        <v>1663</v>
      </c>
      <c r="I673" s="1" t="s">
        <v>1657</v>
      </c>
      <c r="J673" s="1" t="s">
        <v>1658</v>
      </c>
      <c r="K673" s="1" t="s">
        <v>1658</v>
      </c>
      <c r="L673" s="1" t="s">
        <v>1658</v>
      </c>
      <c r="M673" s="1" t="s">
        <v>1658</v>
      </c>
      <c r="N673" s="1" t="s">
        <v>1658</v>
      </c>
      <c r="O673" s="1" t="s">
        <v>1658</v>
      </c>
      <c r="P673" s="1">
        <v>1</v>
      </c>
      <c r="Q673" s="1" t="s">
        <v>1658</v>
      </c>
      <c r="R673" s="1">
        <v>0</v>
      </c>
      <c r="S673" s="1" t="s">
        <v>4696</v>
      </c>
      <c r="T673" s="6" t="s">
        <v>4696</v>
      </c>
      <c r="U673" s="1" t="str">
        <f t="shared" si="10"/>
        <v>Yes</v>
      </c>
      <c r="W673" s="1" t="s">
        <v>4697</v>
      </c>
      <c r="X673" s="1" t="str">
        <f>IF(COUNTIF('MyWells Drilling Comp'!F:F,E673)=0,"Missing","Exist")</f>
        <v>Exist</v>
      </c>
    </row>
    <row r="674" hidden="1" spans="1:24">
      <c r="A674" s="1" t="s">
        <v>1652</v>
      </c>
      <c r="B674" s="1" t="s">
        <v>90</v>
      </c>
      <c r="C674" s="1" t="s">
        <v>4698</v>
      </c>
      <c r="D674" s="7" t="s">
        <v>4699</v>
      </c>
      <c r="E674" s="2" t="s">
        <v>1614</v>
      </c>
      <c r="F674" s="2" t="s">
        <v>4700</v>
      </c>
      <c r="G674" s="1">
        <v>1</v>
      </c>
      <c r="H674" s="1" t="s">
        <v>1663</v>
      </c>
      <c r="I674" s="1" t="s">
        <v>1657</v>
      </c>
      <c r="J674" s="1" t="s">
        <v>1658</v>
      </c>
      <c r="K674" s="1" t="s">
        <v>1658</v>
      </c>
      <c r="L674" s="1" t="s">
        <v>1658</v>
      </c>
      <c r="M674" s="1" t="s">
        <v>1658</v>
      </c>
      <c r="N674" s="1" t="s">
        <v>1658</v>
      </c>
      <c r="O674" s="1" t="s">
        <v>1658</v>
      </c>
      <c r="P674" s="1">
        <v>1</v>
      </c>
      <c r="Q674" s="1" t="s">
        <v>1658</v>
      </c>
      <c r="R674" s="1">
        <v>0</v>
      </c>
      <c r="S674" s="1" t="s">
        <v>4701</v>
      </c>
      <c r="T674" s="6" t="s">
        <v>4701</v>
      </c>
      <c r="U674" s="1" t="str">
        <f t="shared" si="10"/>
        <v>Yes</v>
      </c>
      <c r="W674" s="1" t="s">
        <v>4702</v>
      </c>
      <c r="X674" s="1" t="str">
        <f>IF(COUNTIF('MyWells Drilling Comp'!F:F,E674)=0,"Missing","Exist")</f>
        <v>Exist</v>
      </c>
    </row>
    <row r="675" hidden="1" spans="1:24">
      <c r="A675" s="1" t="s">
        <v>1652</v>
      </c>
      <c r="B675" s="1" t="s">
        <v>90</v>
      </c>
      <c r="C675" s="1" t="s">
        <v>4703</v>
      </c>
      <c r="D675" s="7" t="s">
        <v>4699</v>
      </c>
      <c r="E675" s="2" t="s">
        <v>1614</v>
      </c>
      <c r="F675" s="2" t="s">
        <v>4704</v>
      </c>
      <c r="G675" s="1">
        <v>1</v>
      </c>
      <c r="H675" s="1" t="s">
        <v>1656</v>
      </c>
      <c r="I675" s="1" t="s">
        <v>1657</v>
      </c>
      <c r="J675" s="1" t="s">
        <v>1658</v>
      </c>
      <c r="K675" s="1" t="s">
        <v>1658</v>
      </c>
      <c r="L675" s="1" t="s">
        <v>1658</v>
      </c>
      <c r="M675" s="1" t="s">
        <v>1658</v>
      </c>
      <c r="N675" s="1" t="s">
        <v>1658</v>
      </c>
      <c r="O675" s="1" t="s">
        <v>1658</v>
      </c>
      <c r="P675" s="1">
        <v>1</v>
      </c>
      <c r="Q675" s="1" t="s">
        <v>1658</v>
      </c>
      <c r="R675" s="1">
        <v>0</v>
      </c>
      <c r="S675" s="1" t="s">
        <v>4705</v>
      </c>
      <c r="T675" s="6" t="s">
        <v>4705</v>
      </c>
      <c r="U675" s="1" t="str">
        <f t="shared" si="10"/>
        <v>Yes</v>
      </c>
      <c r="W675" s="1" t="s">
        <v>4706</v>
      </c>
      <c r="X675" s="1" t="str">
        <f>IF(COUNTIF('MyWells Drilling Comp'!F:F,E675)=0,"Missing","Exist")</f>
        <v>Exist</v>
      </c>
    </row>
    <row r="676" hidden="1" spans="1:24">
      <c r="A676" s="1" t="s">
        <v>1652</v>
      </c>
      <c r="B676" s="1" t="s">
        <v>90</v>
      </c>
      <c r="C676" s="1" t="s">
        <v>4707</v>
      </c>
      <c r="D676" s="1" t="s">
        <v>4708</v>
      </c>
      <c r="E676" s="2" t="s">
        <v>102</v>
      </c>
      <c r="F676" s="2" t="s">
        <v>4709</v>
      </c>
      <c r="G676" s="1">
        <v>1</v>
      </c>
      <c r="H676" s="1" t="s">
        <v>1656</v>
      </c>
      <c r="I676" s="1" t="s">
        <v>1657</v>
      </c>
      <c r="J676" s="1" t="s">
        <v>1658</v>
      </c>
      <c r="K676" s="1" t="s">
        <v>1658</v>
      </c>
      <c r="L676" s="1" t="s">
        <v>1658</v>
      </c>
      <c r="M676" s="1" t="s">
        <v>1658</v>
      </c>
      <c r="N676" s="1" t="s">
        <v>1658</v>
      </c>
      <c r="O676" s="1" t="s">
        <v>1658</v>
      </c>
      <c r="P676" s="1">
        <v>1</v>
      </c>
      <c r="Q676" s="1" t="s">
        <v>1658</v>
      </c>
      <c r="R676" s="1">
        <v>0</v>
      </c>
      <c r="S676" s="1" t="s">
        <v>4710</v>
      </c>
      <c r="T676" s="6" t="s">
        <v>4710</v>
      </c>
      <c r="U676" s="1" t="str">
        <f t="shared" si="10"/>
        <v>Yes</v>
      </c>
      <c r="W676" s="1" t="s">
        <v>4711</v>
      </c>
      <c r="X676" s="1" t="str">
        <f>IF(COUNTIF('MyWells Drilling Comp'!F:F,E676)=0,"Missing","Exist")</f>
        <v>Exist</v>
      </c>
    </row>
    <row r="677" hidden="1" spans="1:24">
      <c r="A677" s="1" t="s">
        <v>1652</v>
      </c>
      <c r="B677" s="1" t="s">
        <v>90</v>
      </c>
      <c r="C677" s="1" t="s">
        <v>4712</v>
      </c>
      <c r="D677" s="1" t="s">
        <v>4708</v>
      </c>
      <c r="E677" s="2" t="s">
        <v>102</v>
      </c>
      <c r="F677" s="2" t="s">
        <v>4713</v>
      </c>
      <c r="G677" s="1">
        <v>1</v>
      </c>
      <c r="H677" s="1" t="s">
        <v>1663</v>
      </c>
      <c r="I677" s="1" t="s">
        <v>1657</v>
      </c>
      <c r="J677" s="1" t="s">
        <v>1658</v>
      </c>
      <c r="K677" s="1" t="s">
        <v>1658</v>
      </c>
      <c r="L677" s="1" t="s">
        <v>1658</v>
      </c>
      <c r="M677" s="1" t="s">
        <v>1658</v>
      </c>
      <c r="N677" s="1" t="s">
        <v>1658</v>
      </c>
      <c r="O677" s="1" t="s">
        <v>1658</v>
      </c>
      <c r="P677" s="1">
        <v>1</v>
      </c>
      <c r="Q677" s="1" t="s">
        <v>1658</v>
      </c>
      <c r="R677" s="1">
        <v>0</v>
      </c>
      <c r="S677" s="1" t="s">
        <v>4714</v>
      </c>
      <c r="T677" s="6" t="s">
        <v>4714</v>
      </c>
      <c r="U677" s="1" t="str">
        <f t="shared" si="10"/>
        <v>Yes</v>
      </c>
      <c r="W677" s="1" t="s">
        <v>4715</v>
      </c>
      <c r="X677" s="1" t="str">
        <f>IF(COUNTIF('MyWells Drilling Comp'!F:F,E677)=0,"Missing","Exist")</f>
        <v>Exist</v>
      </c>
    </row>
    <row r="678" hidden="1" spans="1:24">
      <c r="A678" s="1" t="s">
        <v>1652</v>
      </c>
      <c r="B678" s="1" t="s">
        <v>90</v>
      </c>
      <c r="C678" s="1" t="s">
        <v>4716</v>
      </c>
      <c r="D678" s="1" t="s">
        <v>4717</v>
      </c>
      <c r="E678" s="2" t="s">
        <v>661</v>
      </c>
      <c r="F678" s="2" t="s">
        <v>4718</v>
      </c>
      <c r="G678" s="1">
        <v>1</v>
      </c>
      <c r="H678" s="1" t="s">
        <v>1663</v>
      </c>
      <c r="I678" s="1" t="s">
        <v>1657</v>
      </c>
      <c r="J678" s="1" t="s">
        <v>1658</v>
      </c>
      <c r="K678" s="1" t="s">
        <v>1658</v>
      </c>
      <c r="L678" s="1" t="s">
        <v>1658</v>
      </c>
      <c r="M678" s="1" t="s">
        <v>1658</v>
      </c>
      <c r="N678" s="1" t="s">
        <v>1658</v>
      </c>
      <c r="O678" s="1" t="s">
        <v>1658</v>
      </c>
      <c r="P678" s="1">
        <v>1</v>
      </c>
      <c r="Q678" s="1" t="s">
        <v>1658</v>
      </c>
      <c r="R678" s="1">
        <v>0</v>
      </c>
      <c r="S678" s="1" t="s">
        <v>4719</v>
      </c>
      <c r="T678" s="6" t="s">
        <v>4719</v>
      </c>
      <c r="U678" s="1" t="str">
        <f t="shared" si="10"/>
        <v>Yes</v>
      </c>
      <c r="W678" s="1" t="s">
        <v>4720</v>
      </c>
      <c r="X678" s="1" t="str">
        <f>IF(COUNTIF('MyWells Drilling Comp'!F:F,E678)=0,"Missing","Exist")</f>
        <v>Exist</v>
      </c>
    </row>
    <row r="679" hidden="1" spans="1:24">
      <c r="A679" s="1" t="s">
        <v>1652</v>
      </c>
      <c r="B679" s="1" t="s">
        <v>90</v>
      </c>
      <c r="C679" s="1" t="s">
        <v>4721</v>
      </c>
      <c r="D679" s="1" t="s">
        <v>4717</v>
      </c>
      <c r="E679" s="2" t="s">
        <v>661</v>
      </c>
      <c r="F679" s="2" t="s">
        <v>4722</v>
      </c>
      <c r="G679" s="1">
        <v>1</v>
      </c>
      <c r="H679" s="1" t="s">
        <v>1656</v>
      </c>
      <c r="I679" s="1" t="s">
        <v>1657</v>
      </c>
      <c r="J679" s="1" t="s">
        <v>1658</v>
      </c>
      <c r="K679" s="1" t="s">
        <v>1658</v>
      </c>
      <c r="L679" s="1" t="s">
        <v>1658</v>
      </c>
      <c r="M679" s="1" t="s">
        <v>1658</v>
      </c>
      <c r="N679" s="1" t="s">
        <v>1658</v>
      </c>
      <c r="O679" s="1" t="s">
        <v>1658</v>
      </c>
      <c r="P679" s="1">
        <v>1</v>
      </c>
      <c r="Q679" s="1" t="s">
        <v>1658</v>
      </c>
      <c r="R679" s="1">
        <v>0</v>
      </c>
      <c r="S679" s="1" t="s">
        <v>4723</v>
      </c>
      <c r="T679" s="6" t="s">
        <v>4723</v>
      </c>
      <c r="U679" s="1" t="str">
        <f t="shared" si="10"/>
        <v>Yes</v>
      </c>
      <c r="W679" s="1" t="s">
        <v>4724</v>
      </c>
      <c r="X679" s="1" t="str">
        <f>IF(COUNTIF('MyWells Drilling Comp'!F:F,E679)=0,"Missing","Exist")</f>
        <v>Exist</v>
      </c>
    </row>
    <row r="680" hidden="1" spans="1:24">
      <c r="A680" s="1" t="s">
        <v>1652</v>
      </c>
      <c r="B680" s="1" t="s">
        <v>90</v>
      </c>
      <c r="C680" s="1" t="s">
        <v>4725</v>
      </c>
      <c r="D680" s="1" t="s">
        <v>4726</v>
      </c>
      <c r="E680" s="2" t="s">
        <v>1338</v>
      </c>
      <c r="F680" s="2" t="s">
        <v>4727</v>
      </c>
      <c r="G680" s="1">
        <v>1</v>
      </c>
      <c r="H680" s="1" t="s">
        <v>1656</v>
      </c>
      <c r="I680" s="1" t="s">
        <v>1657</v>
      </c>
      <c r="J680" s="1" t="s">
        <v>1658</v>
      </c>
      <c r="K680" s="1" t="s">
        <v>1658</v>
      </c>
      <c r="L680" s="1" t="s">
        <v>1658</v>
      </c>
      <c r="M680" s="1" t="s">
        <v>1658</v>
      </c>
      <c r="N680" s="1" t="s">
        <v>1658</v>
      </c>
      <c r="O680" s="1" t="s">
        <v>1658</v>
      </c>
      <c r="P680" s="1">
        <v>1</v>
      </c>
      <c r="Q680" s="1" t="s">
        <v>1658</v>
      </c>
      <c r="R680" s="1">
        <v>0</v>
      </c>
      <c r="S680" s="1" t="s">
        <v>4728</v>
      </c>
      <c r="T680" s="6"/>
      <c r="U680" s="1" t="str">
        <f t="shared" si="10"/>
        <v>No</v>
      </c>
      <c r="W680" s="1" t="s">
        <v>4729</v>
      </c>
      <c r="X680" s="1" t="str">
        <f>IF(COUNTIF('MyWells Drilling Comp'!F:F,E680)=0,"Missing","Exist")</f>
        <v>Exist</v>
      </c>
    </row>
    <row r="681" hidden="1" spans="1:24">
      <c r="A681" s="1" t="s">
        <v>1652</v>
      </c>
      <c r="B681" s="1" t="s">
        <v>90</v>
      </c>
      <c r="C681" s="1" t="s">
        <v>4730</v>
      </c>
      <c r="D681" s="1" t="s">
        <v>4726</v>
      </c>
      <c r="E681" s="2" t="s">
        <v>1338</v>
      </c>
      <c r="F681" s="2" t="s">
        <v>4731</v>
      </c>
      <c r="G681" s="1">
        <v>1</v>
      </c>
      <c r="H681" s="1" t="s">
        <v>1663</v>
      </c>
      <c r="I681" s="1" t="s">
        <v>1657</v>
      </c>
      <c r="J681" s="1" t="s">
        <v>1658</v>
      </c>
      <c r="K681" s="1" t="s">
        <v>1658</v>
      </c>
      <c r="L681" s="1" t="s">
        <v>1658</v>
      </c>
      <c r="M681" s="1" t="s">
        <v>1658</v>
      </c>
      <c r="N681" s="1" t="s">
        <v>1658</v>
      </c>
      <c r="O681" s="1" t="s">
        <v>1658</v>
      </c>
      <c r="P681" s="1">
        <v>1</v>
      </c>
      <c r="Q681" s="1" t="s">
        <v>1658</v>
      </c>
      <c r="R681" s="1">
        <v>0</v>
      </c>
      <c r="S681" s="1" t="s">
        <v>4732</v>
      </c>
      <c r="T681" s="6"/>
      <c r="U681" s="1" t="str">
        <f t="shared" si="10"/>
        <v>No</v>
      </c>
      <c r="W681" s="1" t="s">
        <v>4733</v>
      </c>
      <c r="X681" s="1" t="str">
        <f>IF(COUNTIF('MyWells Drilling Comp'!F:F,E681)=0,"Missing","Exist")</f>
        <v>Exist</v>
      </c>
    </row>
    <row r="682" hidden="1" spans="1:24">
      <c r="A682" s="1" t="s">
        <v>1652</v>
      </c>
      <c r="B682" s="1" t="s">
        <v>90</v>
      </c>
      <c r="C682" s="7" t="s">
        <v>4734</v>
      </c>
      <c r="D682" s="1" t="s">
        <v>4735</v>
      </c>
      <c r="E682" s="2" t="s">
        <v>1000</v>
      </c>
      <c r="F682" s="2" t="s">
        <v>4736</v>
      </c>
      <c r="G682" s="1">
        <v>1</v>
      </c>
      <c r="H682" s="1" t="s">
        <v>1663</v>
      </c>
      <c r="I682" s="1" t="s">
        <v>1657</v>
      </c>
      <c r="J682" s="1" t="s">
        <v>1658</v>
      </c>
      <c r="K682" s="1" t="s">
        <v>1658</v>
      </c>
      <c r="L682" s="1" t="s">
        <v>1658</v>
      </c>
      <c r="M682" s="1" t="s">
        <v>1658</v>
      </c>
      <c r="N682" s="1" t="s">
        <v>1658</v>
      </c>
      <c r="O682" s="1" t="s">
        <v>1658</v>
      </c>
      <c r="P682" s="1">
        <v>1</v>
      </c>
      <c r="Q682" s="1" t="s">
        <v>1658</v>
      </c>
      <c r="R682" s="1">
        <v>0</v>
      </c>
      <c r="S682" s="1" t="s">
        <v>4737</v>
      </c>
      <c r="T682" s="6" t="s">
        <v>4737</v>
      </c>
      <c r="U682" s="1" t="str">
        <f t="shared" si="10"/>
        <v>Yes</v>
      </c>
      <c r="W682" s="1" t="s">
        <v>4738</v>
      </c>
      <c r="X682" s="1" t="str">
        <f>IF(COUNTIF('MyWells Drilling Comp'!F:F,E682)=0,"Missing","Exist")</f>
        <v>Exist</v>
      </c>
    </row>
    <row r="683" hidden="1" spans="1:24">
      <c r="A683" s="1" t="s">
        <v>1652</v>
      </c>
      <c r="B683" s="1" t="s">
        <v>90</v>
      </c>
      <c r="C683" s="1" t="s">
        <v>4739</v>
      </c>
      <c r="D683" s="1" t="s">
        <v>4735</v>
      </c>
      <c r="E683" s="2" t="s">
        <v>1000</v>
      </c>
      <c r="F683" s="2" t="s">
        <v>4740</v>
      </c>
      <c r="G683" s="1">
        <v>1</v>
      </c>
      <c r="H683" s="1" t="s">
        <v>1656</v>
      </c>
      <c r="I683" s="1" t="s">
        <v>1657</v>
      </c>
      <c r="J683" s="1" t="s">
        <v>1658</v>
      </c>
      <c r="K683" s="1" t="s">
        <v>1658</v>
      </c>
      <c r="L683" s="1" t="s">
        <v>1658</v>
      </c>
      <c r="M683" s="1" t="s">
        <v>1658</v>
      </c>
      <c r="N683" s="1" t="s">
        <v>1658</v>
      </c>
      <c r="O683" s="1" t="s">
        <v>1658</v>
      </c>
      <c r="P683" s="1">
        <v>1</v>
      </c>
      <c r="Q683" s="1" t="s">
        <v>1658</v>
      </c>
      <c r="R683" s="1">
        <v>0</v>
      </c>
      <c r="S683" s="1" t="s">
        <v>4741</v>
      </c>
      <c r="T683" s="6"/>
      <c r="U683" s="1" t="str">
        <f t="shared" si="10"/>
        <v>No</v>
      </c>
      <c r="W683" s="1" t="s">
        <v>4742</v>
      </c>
      <c r="X683" s="1" t="str">
        <f>IF(COUNTIF('MyWells Drilling Comp'!F:F,E683)=0,"Missing","Exist")</f>
        <v>Exist</v>
      </c>
    </row>
    <row r="684" hidden="1" spans="1:24">
      <c r="A684" s="1" t="s">
        <v>1652</v>
      </c>
      <c r="B684" s="1" t="s">
        <v>90</v>
      </c>
      <c r="C684" s="1" t="s">
        <v>4743</v>
      </c>
      <c r="D684" s="1" t="s">
        <v>4744</v>
      </c>
      <c r="E684" s="2" t="s">
        <v>1130</v>
      </c>
      <c r="F684" s="2" t="s">
        <v>4745</v>
      </c>
      <c r="G684" s="1">
        <v>1</v>
      </c>
      <c r="H684" s="1" t="s">
        <v>1656</v>
      </c>
      <c r="I684" s="1" t="s">
        <v>1657</v>
      </c>
      <c r="J684" s="1" t="s">
        <v>1658</v>
      </c>
      <c r="K684" s="1" t="s">
        <v>1658</v>
      </c>
      <c r="L684" s="1" t="s">
        <v>1658</v>
      </c>
      <c r="M684" s="1" t="s">
        <v>1658</v>
      </c>
      <c r="N684" s="1" t="s">
        <v>1658</v>
      </c>
      <c r="O684" s="1" t="s">
        <v>1658</v>
      </c>
      <c r="P684" s="1">
        <v>1</v>
      </c>
      <c r="Q684" s="1" t="s">
        <v>1658</v>
      </c>
      <c r="R684" s="1">
        <v>0</v>
      </c>
      <c r="S684" s="1" t="s">
        <v>4746</v>
      </c>
      <c r="T684" s="6" t="s">
        <v>4746</v>
      </c>
      <c r="U684" s="1" t="str">
        <f t="shared" si="10"/>
        <v>Yes</v>
      </c>
      <c r="W684" s="1" t="s">
        <v>4747</v>
      </c>
      <c r="X684" s="1" t="str">
        <f>IF(COUNTIF('MyWells Drilling Comp'!F:F,E684)=0,"Missing","Exist")</f>
        <v>Exist</v>
      </c>
    </row>
    <row r="685" hidden="1" spans="1:24">
      <c r="A685" s="1" t="s">
        <v>1652</v>
      </c>
      <c r="B685" s="1" t="s">
        <v>90</v>
      </c>
      <c r="C685" s="1" t="s">
        <v>4748</v>
      </c>
      <c r="D685" s="1" t="s">
        <v>4744</v>
      </c>
      <c r="E685" s="2" t="s">
        <v>1130</v>
      </c>
      <c r="F685" s="2" t="s">
        <v>4749</v>
      </c>
      <c r="G685" s="1">
        <v>1</v>
      </c>
      <c r="H685" s="1" t="s">
        <v>1663</v>
      </c>
      <c r="I685" s="1" t="s">
        <v>1657</v>
      </c>
      <c r="J685" s="1" t="s">
        <v>1658</v>
      </c>
      <c r="K685" s="1" t="s">
        <v>1658</v>
      </c>
      <c r="L685" s="1" t="s">
        <v>1658</v>
      </c>
      <c r="M685" s="1" t="s">
        <v>1658</v>
      </c>
      <c r="N685" s="1" t="s">
        <v>1658</v>
      </c>
      <c r="O685" s="1" t="s">
        <v>1658</v>
      </c>
      <c r="P685" s="1">
        <v>1</v>
      </c>
      <c r="Q685" s="1" t="s">
        <v>1658</v>
      </c>
      <c r="R685" s="1">
        <v>0</v>
      </c>
      <c r="S685" s="1" t="s">
        <v>4750</v>
      </c>
      <c r="T685" s="6" t="s">
        <v>4750</v>
      </c>
      <c r="U685" s="1" t="str">
        <f t="shared" si="10"/>
        <v>Yes</v>
      </c>
      <c r="W685" s="1" t="s">
        <v>4751</v>
      </c>
      <c r="X685" s="1" t="str">
        <f>IF(COUNTIF('MyWells Drilling Comp'!F:F,E685)=0,"Missing","Exist")</f>
        <v>Exist</v>
      </c>
    </row>
    <row r="686" hidden="1" spans="1:24">
      <c r="A686" s="1" t="s">
        <v>1652</v>
      </c>
      <c r="B686" s="1" t="s">
        <v>90</v>
      </c>
      <c r="C686" s="1" t="s">
        <v>4752</v>
      </c>
      <c r="D686" s="1" t="s">
        <v>4753</v>
      </c>
      <c r="E686" s="2" t="s">
        <v>580</v>
      </c>
      <c r="F686" s="2" t="s">
        <v>4754</v>
      </c>
      <c r="G686" s="1">
        <v>1</v>
      </c>
      <c r="H686" s="1" t="s">
        <v>1663</v>
      </c>
      <c r="I686" s="1" t="s">
        <v>1657</v>
      </c>
      <c r="J686" s="1" t="s">
        <v>1658</v>
      </c>
      <c r="K686" s="1" t="s">
        <v>1658</v>
      </c>
      <c r="L686" s="1" t="s">
        <v>1658</v>
      </c>
      <c r="M686" s="1" t="s">
        <v>1658</v>
      </c>
      <c r="N686" s="1" t="s">
        <v>1658</v>
      </c>
      <c r="O686" s="1" t="s">
        <v>1658</v>
      </c>
      <c r="P686" s="1">
        <v>1</v>
      </c>
      <c r="Q686" s="1" t="s">
        <v>1658</v>
      </c>
      <c r="R686" s="1">
        <v>0</v>
      </c>
      <c r="S686" s="1" t="s">
        <v>4755</v>
      </c>
      <c r="T686" s="6" t="s">
        <v>4755</v>
      </c>
      <c r="U686" s="1" t="str">
        <f t="shared" si="10"/>
        <v>Yes</v>
      </c>
      <c r="W686" s="1" t="s">
        <v>4756</v>
      </c>
      <c r="X686" s="1" t="str">
        <f>IF(COUNTIF('MyWells Drilling Comp'!F:F,E686)=0,"Missing","Exist")</f>
        <v>Exist</v>
      </c>
    </row>
    <row r="687" hidden="1" spans="1:24">
      <c r="A687" s="1" t="s">
        <v>1652</v>
      </c>
      <c r="B687" s="1" t="s">
        <v>90</v>
      </c>
      <c r="C687" s="1" t="s">
        <v>4757</v>
      </c>
      <c r="D687" s="1" t="s">
        <v>4753</v>
      </c>
      <c r="E687" s="2" t="s">
        <v>580</v>
      </c>
      <c r="F687" s="8" t="s">
        <v>4758</v>
      </c>
      <c r="G687" s="1">
        <v>1</v>
      </c>
      <c r="H687" s="1" t="s">
        <v>1656</v>
      </c>
      <c r="I687" s="1" t="s">
        <v>1657</v>
      </c>
      <c r="J687" s="1" t="s">
        <v>1658</v>
      </c>
      <c r="K687" s="1" t="s">
        <v>1658</v>
      </c>
      <c r="L687" s="1" t="s">
        <v>1658</v>
      </c>
      <c r="M687" s="1" t="s">
        <v>1658</v>
      </c>
      <c r="N687" s="1" t="s">
        <v>1658</v>
      </c>
      <c r="O687" s="1" t="s">
        <v>1658</v>
      </c>
      <c r="P687" s="1">
        <v>1</v>
      </c>
      <c r="Q687" s="1" t="s">
        <v>1658</v>
      </c>
      <c r="R687" s="1">
        <v>0</v>
      </c>
      <c r="S687" s="1" t="s">
        <v>4759</v>
      </c>
      <c r="T687" s="6" t="s">
        <v>4759</v>
      </c>
      <c r="U687" s="1" t="str">
        <f t="shared" si="10"/>
        <v>Yes</v>
      </c>
      <c r="W687" s="1" t="s">
        <v>4760</v>
      </c>
      <c r="X687" s="1" t="str">
        <f>IF(COUNTIF('MyWells Drilling Comp'!F:F,E687)=0,"Missing","Exist")</f>
        <v>Exist</v>
      </c>
    </row>
    <row r="688" hidden="1" spans="1:24">
      <c r="A688" s="1" t="s">
        <v>1652</v>
      </c>
      <c r="B688" s="1" t="s">
        <v>90</v>
      </c>
      <c r="C688" s="1" t="s">
        <v>4761</v>
      </c>
      <c r="D688" s="1" t="s">
        <v>4762</v>
      </c>
      <c r="E688" s="2" t="s">
        <v>1022</v>
      </c>
      <c r="F688" s="2" t="s">
        <v>4763</v>
      </c>
      <c r="G688" s="1">
        <v>1</v>
      </c>
      <c r="H688" s="1" t="s">
        <v>1663</v>
      </c>
      <c r="I688" s="1" t="s">
        <v>1657</v>
      </c>
      <c r="J688" s="1" t="s">
        <v>1658</v>
      </c>
      <c r="K688" s="1" t="s">
        <v>1658</v>
      </c>
      <c r="L688" s="1" t="s">
        <v>1658</v>
      </c>
      <c r="M688" s="1" t="s">
        <v>1658</v>
      </c>
      <c r="N688" s="1" t="s">
        <v>1658</v>
      </c>
      <c r="O688" s="1" t="s">
        <v>1658</v>
      </c>
      <c r="P688" s="1">
        <v>1</v>
      </c>
      <c r="Q688" s="1" t="s">
        <v>1658</v>
      </c>
      <c r="R688" s="1">
        <v>0</v>
      </c>
      <c r="S688" s="1" t="s">
        <v>4764</v>
      </c>
      <c r="T688" s="6" t="s">
        <v>4764</v>
      </c>
      <c r="U688" s="1" t="str">
        <f t="shared" si="10"/>
        <v>Yes</v>
      </c>
      <c r="W688" s="1" t="s">
        <v>4765</v>
      </c>
      <c r="X688" s="1" t="str">
        <f>IF(COUNTIF('MyWells Drilling Comp'!F:F,E688)=0,"Missing","Exist")</f>
        <v>Exist</v>
      </c>
    </row>
    <row r="689" hidden="1" spans="1:24">
      <c r="A689" s="1" t="s">
        <v>1652</v>
      </c>
      <c r="B689" s="1" t="s">
        <v>90</v>
      </c>
      <c r="C689" s="1" t="s">
        <v>4766</v>
      </c>
      <c r="D689" s="1" t="s">
        <v>4762</v>
      </c>
      <c r="E689" s="2" t="s">
        <v>1022</v>
      </c>
      <c r="F689" s="2" t="s">
        <v>4767</v>
      </c>
      <c r="G689" s="1">
        <v>1</v>
      </c>
      <c r="H689" s="1" t="s">
        <v>1656</v>
      </c>
      <c r="I689" s="1" t="s">
        <v>1657</v>
      </c>
      <c r="J689" s="1" t="s">
        <v>1658</v>
      </c>
      <c r="K689" s="1" t="s">
        <v>1658</v>
      </c>
      <c r="L689" s="1" t="s">
        <v>1658</v>
      </c>
      <c r="M689" s="1" t="s">
        <v>1658</v>
      </c>
      <c r="N689" s="1" t="s">
        <v>1658</v>
      </c>
      <c r="O689" s="1" t="s">
        <v>1658</v>
      </c>
      <c r="P689" s="1">
        <v>1</v>
      </c>
      <c r="Q689" s="1" t="s">
        <v>1658</v>
      </c>
      <c r="R689" s="1">
        <v>0</v>
      </c>
      <c r="S689" s="1" t="s">
        <v>4768</v>
      </c>
      <c r="T689" s="6" t="s">
        <v>4768</v>
      </c>
      <c r="U689" s="1" t="str">
        <f t="shared" si="10"/>
        <v>Yes</v>
      </c>
      <c r="W689" s="1" t="s">
        <v>4769</v>
      </c>
      <c r="X689" s="1" t="str">
        <f>IF(COUNTIF('MyWells Drilling Comp'!F:F,E689)=0,"Missing","Exist")</f>
        <v>Exist</v>
      </c>
    </row>
    <row r="690" hidden="1" spans="1:24">
      <c r="A690" s="1" t="s">
        <v>1652</v>
      </c>
      <c r="B690" s="1" t="s">
        <v>90</v>
      </c>
      <c r="C690" s="1" t="s">
        <v>4770</v>
      </c>
      <c r="D690" s="1" t="s">
        <v>4771</v>
      </c>
      <c r="E690" s="2" t="s">
        <v>903</v>
      </c>
      <c r="F690" s="2" t="s">
        <v>4772</v>
      </c>
      <c r="G690" s="1">
        <v>1</v>
      </c>
      <c r="H690" s="1" t="s">
        <v>1656</v>
      </c>
      <c r="I690" s="1" t="s">
        <v>1657</v>
      </c>
      <c r="J690" s="1" t="s">
        <v>1658</v>
      </c>
      <c r="K690" s="1" t="s">
        <v>1658</v>
      </c>
      <c r="L690" s="1" t="s">
        <v>1658</v>
      </c>
      <c r="M690" s="1" t="s">
        <v>1658</v>
      </c>
      <c r="N690" s="1" t="s">
        <v>1658</v>
      </c>
      <c r="O690" s="1" t="s">
        <v>1658</v>
      </c>
      <c r="P690" s="1">
        <v>1</v>
      </c>
      <c r="Q690" s="1" t="s">
        <v>1658</v>
      </c>
      <c r="R690" s="1">
        <v>0</v>
      </c>
      <c r="S690" s="1" t="s">
        <v>4773</v>
      </c>
      <c r="T690" s="6" t="s">
        <v>4773</v>
      </c>
      <c r="U690" s="1" t="str">
        <f t="shared" si="10"/>
        <v>Yes</v>
      </c>
      <c r="W690" s="1" t="s">
        <v>4774</v>
      </c>
      <c r="X690" s="1" t="str">
        <f>IF(COUNTIF('MyWells Drilling Comp'!F:F,E690)=0,"Missing","Exist")</f>
        <v>Exist</v>
      </c>
    </row>
    <row r="691" hidden="1" spans="1:24">
      <c r="A691" s="1" t="s">
        <v>1652</v>
      </c>
      <c r="B691" s="1" t="s">
        <v>90</v>
      </c>
      <c r="C691" s="1" t="s">
        <v>4775</v>
      </c>
      <c r="D691" s="1" t="s">
        <v>4771</v>
      </c>
      <c r="E691" s="2" t="s">
        <v>903</v>
      </c>
      <c r="F691" s="2" t="s">
        <v>4776</v>
      </c>
      <c r="G691" s="1">
        <v>1</v>
      </c>
      <c r="H691" s="1" t="s">
        <v>1663</v>
      </c>
      <c r="I691" s="1" t="s">
        <v>1657</v>
      </c>
      <c r="J691" s="1" t="s">
        <v>1658</v>
      </c>
      <c r="K691" s="1" t="s">
        <v>1658</v>
      </c>
      <c r="L691" s="1" t="s">
        <v>1658</v>
      </c>
      <c r="M691" s="1" t="s">
        <v>1658</v>
      </c>
      <c r="N691" s="1" t="s">
        <v>1658</v>
      </c>
      <c r="O691" s="1" t="s">
        <v>1658</v>
      </c>
      <c r="P691" s="1">
        <v>1</v>
      </c>
      <c r="Q691" s="1" t="s">
        <v>1658</v>
      </c>
      <c r="R691" s="1">
        <v>0</v>
      </c>
      <c r="S691" s="1" t="s">
        <v>4777</v>
      </c>
      <c r="T691" s="6" t="s">
        <v>4777</v>
      </c>
      <c r="U691" s="1" t="str">
        <f t="shared" si="10"/>
        <v>Yes</v>
      </c>
      <c r="W691" s="1" t="s">
        <v>4778</v>
      </c>
      <c r="X691" s="1" t="str">
        <f>IF(COUNTIF('MyWells Drilling Comp'!F:F,E691)=0,"Missing","Exist")</f>
        <v>Exist</v>
      </c>
    </row>
    <row r="692" hidden="1" spans="1:24">
      <c r="A692" s="1" t="s">
        <v>1652</v>
      </c>
      <c r="B692" s="1" t="s">
        <v>90</v>
      </c>
      <c r="C692" s="1" t="s">
        <v>4779</v>
      </c>
      <c r="D692" s="1" t="s">
        <v>4780</v>
      </c>
      <c r="E692" s="2" t="s">
        <v>1079</v>
      </c>
      <c r="F692" s="2" t="s">
        <v>4781</v>
      </c>
      <c r="G692" s="1">
        <v>1</v>
      </c>
      <c r="H692" s="1" t="s">
        <v>1656</v>
      </c>
      <c r="I692" s="1" t="s">
        <v>1657</v>
      </c>
      <c r="J692" s="1" t="s">
        <v>1658</v>
      </c>
      <c r="K692" s="1" t="s">
        <v>1658</v>
      </c>
      <c r="L692" s="1" t="s">
        <v>1658</v>
      </c>
      <c r="M692" s="1" t="s">
        <v>1658</v>
      </c>
      <c r="N692" s="1" t="s">
        <v>1658</v>
      </c>
      <c r="O692" s="1" t="s">
        <v>1658</v>
      </c>
      <c r="P692" s="1">
        <v>1</v>
      </c>
      <c r="Q692" s="1" t="s">
        <v>1658</v>
      </c>
      <c r="R692" s="1">
        <v>0</v>
      </c>
      <c r="S692" s="1" t="s">
        <v>4782</v>
      </c>
      <c r="T692" s="6"/>
      <c r="U692" s="1" t="str">
        <f t="shared" si="10"/>
        <v>No</v>
      </c>
      <c r="W692" s="1" t="s">
        <v>4783</v>
      </c>
      <c r="X692" s="1" t="str">
        <f>IF(COUNTIF('MyWells Drilling Comp'!F:F,E692)=0,"Missing","Exist")</f>
        <v>Exist</v>
      </c>
    </row>
    <row r="693" hidden="1" spans="1:24">
      <c r="A693" s="1" t="s">
        <v>1652</v>
      </c>
      <c r="B693" s="1" t="s">
        <v>90</v>
      </c>
      <c r="C693" s="1" t="s">
        <v>4784</v>
      </c>
      <c r="D693" s="1" t="s">
        <v>4780</v>
      </c>
      <c r="E693" s="2" t="s">
        <v>1079</v>
      </c>
      <c r="F693" s="2" t="s">
        <v>4785</v>
      </c>
      <c r="G693" s="1">
        <v>1</v>
      </c>
      <c r="H693" s="1" t="s">
        <v>1663</v>
      </c>
      <c r="I693" s="1" t="s">
        <v>1657</v>
      </c>
      <c r="J693" s="1" t="s">
        <v>1658</v>
      </c>
      <c r="K693" s="1" t="s">
        <v>1658</v>
      </c>
      <c r="L693" s="1" t="s">
        <v>1658</v>
      </c>
      <c r="M693" s="1" t="s">
        <v>1658</v>
      </c>
      <c r="N693" s="1" t="s">
        <v>1658</v>
      </c>
      <c r="O693" s="1" t="s">
        <v>1658</v>
      </c>
      <c r="P693" s="1">
        <v>1</v>
      </c>
      <c r="Q693" s="1" t="s">
        <v>1658</v>
      </c>
      <c r="R693" s="1">
        <v>0</v>
      </c>
      <c r="S693" s="1" t="s">
        <v>4786</v>
      </c>
      <c r="T693" s="6" t="s">
        <v>4786</v>
      </c>
      <c r="U693" s="1" t="str">
        <f t="shared" si="10"/>
        <v>Yes</v>
      </c>
      <c r="W693" s="1" t="s">
        <v>4787</v>
      </c>
      <c r="X693" s="1" t="str">
        <f>IF(COUNTIF('MyWells Drilling Comp'!F:F,E693)=0,"Missing","Exist")</f>
        <v>Exist</v>
      </c>
    </row>
    <row r="694" hidden="1" spans="1:24">
      <c r="A694" s="1" t="s">
        <v>1652</v>
      </c>
      <c r="B694" s="1" t="s">
        <v>90</v>
      </c>
      <c r="C694" s="1" t="s">
        <v>4788</v>
      </c>
      <c r="D694" s="1" t="s">
        <v>4789</v>
      </c>
      <c r="E694" s="2" t="s">
        <v>1549</v>
      </c>
      <c r="F694" s="2" t="s">
        <v>4790</v>
      </c>
      <c r="G694" s="1">
        <v>1</v>
      </c>
      <c r="H694" s="1" t="s">
        <v>1663</v>
      </c>
      <c r="I694" s="1" t="s">
        <v>1657</v>
      </c>
      <c r="J694" s="1" t="s">
        <v>1658</v>
      </c>
      <c r="K694" s="1" t="s">
        <v>1658</v>
      </c>
      <c r="L694" s="1" t="s">
        <v>1658</v>
      </c>
      <c r="M694" s="1" t="s">
        <v>1658</v>
      </c>
      <c r="N694" s="1" t="s">
        <v>1658</v>
      </c>
      <c r="O694" s="1" t="s">
        <v>1658</v>
      </c>
      <c r="P694" s="1">
        <v>1</v>
      </c>
      <c r="Q694" s="1" t="s">
        <v>1658</v>
      </c>
      <c r="R694" s="1">
        <v>0</v>
      </c>
      <c r="S694" s="1" t="s">
        <v>4791</v>
      </c>
      <c r="T694" s="6"/>
      <c r="U694" s="1" t="str">
        <f t="shared" si="10"/>
        <v>No</v>
      </c>
      <c r="W694" s="1" t="s">
        <v>4792</v>
      </c>
      <c r="X694" s="1" t="str">
        <f>IF(COUNTIF('MyWells Drilling Comp'!F:F,E694)=0,"Missing","Exist")</f>
        <v>Exist</v>
      </c>
    </row>
    <row r="695" hidden="1" spans="1:24">
      <c r="A695" s="1" t="s">
        <v>1652</v>
      </c>
      <c r="B695" s="1" t="s">
        <v>90</v>
      </c>
      <c r="C695" s="1" t="s">
        <v>4793</v>
      </c>
      <c r="D695" s="1" t="s">
        <v>4789</v>
      </c>
      <c r="E695" s="2" t="s">
        <v>1549</v>
      </c>
      <c r="F695" s="2" t="s">
        <v>4794</v>
      </c>
      <c r="G695" s="1">
        <v>1</v>
      </c>
      <c r="H695" s="1" t="s">
        <v>1656</v>
      </c>
      <c r="I695" s="1" t="s">
        <v>1657</v>
      </c>
      <c r="J695" s="1" t="s">
        <v>1658</v>
      </c>
      <c r="K695" s="1" t="s">
        <v>1658</v>
      </c>
      <c r="L695" s="1" t="s">
        <v>1658</v>
      </c>
      <c r="M695" s="1" t="s">
        <v>1658</v>
      </c>
      <c r="N695" s="1" t="s">
        <v>1658</v>
      </c>
      <c r="O695" s="1" t="s">
        <v>1658</v>
      </c>
      <c r="P695" s="1">
        <v>1</v>
      </c>
      <c r="Q695" s="1" t="s">
        <v>1658</v>
      </c>
      <c r="R695" s="1">
        <v>0</v>
      </c>
      <c r="S695" s="1" t="s">
        <v>4795</v>
      </c>
      <c r="T695" s="6" t="s">
        <v>4795</v>
      </c>
      <c r="U695" s="1" t="str">
        <f t="shared" si="10"/>
        <v>Yes</v>
      </c>
      <c r="W695" s="1" t="s">
        <v>4796</v>
      </c>
      <c r="X695" s="1" t="str">
        <f>IF(COUNTIF('MyWells Drilling Comp'!F:F,E695)=0,"Missing","Exist")</f>
        <v>Exist</v>
      </c>
    </row>
    <row r="696" hidden="1" spans="1:24">
      <c r="A696" s="1" t="s">
        <v>1652</v>
      </c>
      <c r="B696" s="1" t="s">
        <v>90</v>
      </c>
      <c r="C696" s="1" t="s">
        <v>4797</v>
      </c>
      <c r="D696" s="1" t="s">
        <v>4798</v>
      </c>
      <c r="E696" s="2" t="s">
        <v>104</v>
      </c>
      <c r="F696" s="2" t="s">
        <v>4799</v>
      </c>
      <c r="G696" s="1">
        <v>1</v>
      </c>
      <c r="H696" s="1" t="s">
        <v>1663</v>
      </c>
      <c r="I696" s="1" t="s">
        <v>1657</v>
      </c>
      <c r="J696" s="1" t="s">
        <v>1658</v>
      </c>
      <c r="K696" s="1" t="s">
        <v>1658</v>
      </c>
      <c r="L696" s="1" t="s">
        <v>1658</v>
      </c>
      <c r="M696" s="1" t="s">
        <v>1658</v>
      </c>
      <c r="N696" s="1" t="s">
        <v>1658</v>
      </c>
      <c r="O696" s="1" t="s">
        <v>1658</v>
      </c>
      <c r="P696" s="1">
        <v>1</v>
      </c>
      <c r="Q696" s="1" t="s">
        <v>1658</v>
      </c>
      <c r="R696" s="1">
        <v>0</v>
      </c>
      <c r="S696" s="1" t="s">
        <v>2879</v>
      </c>
      <c r="T696" s="6" t="s">
        <v>4800</v>
      </c>
      <c r="U696" s="1" t="str">
        <f t="shared" si="10"/>
        <v>No</v>
      </c>
      <c r="W696" s="1" t="s">
        <v>4801</v>
      </c>
      <c r="X696" s="1" t="str">
        <f>IF(COUNTIF('MyWells Drilling Comp'!F:F,E696)=0,"Missing","Exist")</f>
        <v>Exist</v>
      </c>
    </row>
    <row r="697" hidden="1" spans="1:24">
      <c r="A697" s="1" t="s">
        <v>1652</v>
      </c>
      <c r="B697" s="1" t="s">
        <v>90</v>
      </c>
      <c r="C697" s="1" t="s">
        <v>4802</v>
      </c>
      <c r="D697" s="1" t="s">
        <v>4798</v>
      </c>
      <c r="E697" s="2" t="s">
        <v>104</v>
      </c>
      <c r="F697" s="2" t="s">
        <v>4803</v>
      </c>
      <c r="G697" s="1">
        <v>1</v>
      </c>
      <c r="H697" s="1" t="s">
        <v>1656</v>
      </c>
      <c r="I697" s="1" t="s">
        <v>1657</v>
      </c>
      <c r="J697" s="1" t="s">
        <v>1658</v>
      </c>
      <c r="K697" s="1" t="s">
        <v>1658</v>
      </c>
      <c r="L697" s="1" t="s">
        <v>1658</v>
      </c>
      <c r="M697" s="1" t="s">
        <v>1658</v>
      </c>
      <c r="N697" s="1" t="s">
        <v>1658</v>
      </c>
      <c r="O697" s="1" t="s">
        <v>1658</v>
      </c>
      <c r="P697" s="1">
        <v>1</v>
      </c>
      <c r="Q697" s="1" t="s">
        <v>1658</v>
      </c>
      <c r="R697" s="1">
        <v>0</v>
      </c>
      <c r="S697" s="1" t="s">
        <v>2875</v>
      </c>
      <c r="T697" s="6" t="s">
        <v>4804</v>
      </c>
      <c r="U697" s="1" t="str">
        <f t="shared" si="10"/>
        <v>No</v>
      </c>
      <c r="W697" s="1" t="s">
        <v>4805</v>
      </c>
      <c r="X697" s="1" t="str">
        <f>IF(COUNTIF('MyWells Drilling Comp'!F:F,E697)=0,"Missing","Exist")</f>
        <v>Exist</v>
      </c>
    </row>
    <row r="698" hidden="1" spans="1:24">
      <c r="A698" s="1" t="s">
        <v>1652</v>
      </c>
      <c r="B698" s="1" t="s">
        <v>90</v>
      </c>
      <c r="C698" s="1" t="s">
        <v>4806</v>
      </c>
      <c r="D698" s="1" t="s">
        <v>4807</v>
      </c>
      <c r="E698" s="2" t="s">
        <v>176</v>
      </c>
      <c r="F698" s="2" t="s">
        <v>4808</v>
      </c>
      <c r="G698" s="1">
        <v>1</v>
      </c>
      <c r="H698" s="1" t="s">
        <v>1663</v>
      </c>
      <c r="I698" s="1" t="s">
        <v>1657</v>
      </c>
      <c r="J698" s="1" t="s">
        <v>1658</v>
      </c>
      <c r="K698" s="1" t="s">
        <v>1658</v>
      </c>
      <c r="L698" s="1" t="s">
        <v>1658</v>
      </c>
      <c r="M698" s="1" t="s">
        <v>1658</v>
      </c>
      <c r="N698" s="1" t="s">
        <v>1658</v>
      </c>
      <c r="O698" s="1" t="s">
        <v>1658</v>
      </c>
      <c r="P698" s="1">
        <v>1</v>
      </c>
      <c r="Q698" s="1" t="s">
        <v>1658</v>
      </c>
      <c r="R698" s="1">
        <v>0</v>
      </c>
      <c r="S698" s="1" t="s">
        <v>4809</v>
      </c>
      <c r="T698" s="6" t="s">
        <v>4809</v>
      </c>
      <c r="U698" s="1" t="str">
        <f t="shared" si="10"/>
        <v>Yes</v>
      </c>
      <c r="W698" s="1" t="s">
        <v>4810</v>
      </c>
      <c r="X698" s="1" t="str">
        <f>IF(COUNTIF('MyWells Drilling Comp'!F:F,E698)=0,"Missing","Exist")</f>
        <v>Exist</v>
      </c>
    </row>
    <row r="699" hidden="1" spans="1:24">
      <c r="A699" s="1" t="s">
        <v>1652</v>
      </c>
      <c r="B699" s="1" t="s">
        <v>90</v>
      </c>
      <c r="C699" s="1" t="s">
        <v>4811</v>
      </c>
      <c r="D699" s="1" t="s">
        <v>4807</v>
      </c>
      <c r="E699" s="2" t="s">
        <v>176</v>
      </c>
      <c r="F699" s="2" t="s">
        <v>4812</v>
      </c>
      <c r="G699" s="1">
        <v>1</v>
      </c>
      <c r="H699" s="1" t="s">
        <v>1656</v>
      </c>
      <c r="I699" s="1" t="s">
        <v>1657</v>
      </c>
      <c r="J699" s="1" t="s">
        <v>1658</v>
      </c>
      <c r="K699" s="1" t="s">
        <v>1658</v>
      </c>
      <c r="L699" s="1" t="s">
        <v>1658</v>
      </c>
      <c r="M699" s="1" t="s">
        <v>1658</v>
      </c>
      <c r="N699" s="1" t="s">
        <v>1658</v>
      </c>
      <c r="O699" s="1" t="s">
        <v>1658</v>
      </c>
      <c r="P699" s="1">
        <v>1</v>
      </c>
      <c r="Q699" s="1" t="s">
        <v>1658</v>
      </c>
      <c r="R699" s="1">
        <v>0</v>
      </c>
      <c r="S699" s="1" t="s">
        <v>4813</v>
      </c>
      <c r="T699" s="6" t="s">
        <v>4813</v>
      </c>
      <c r="U699" s="1" t="str">
        <f t="shared" si="10"/>
        <v>Yes</v>
      </c>
      <c r="W699" s="1" t="s">
        <v>4814</v>
      </c>
      <c r="X699" s="1" t="str">
        <f>IF(COUNTIF('MyWells Drilling Comp'!F:F,E699)=0,"Missing","Exist")</f>
        <v>Exist</v>
      </c>
    </row>
    <row r="700" hidden="1" spans="1:24">
      <c r="A700" s="1" t="s">
        <v>1652</v>
      </c>
      <c r="B700" s="1" t="s">
        <v>90</v>
      </c>
      <c r="C700" s="1" t="s">
        <v>4815</v>
      </c>
      <c r="D700" s="1" t="s">
        <v>4816</v>
      </c>
      <c r="E700" s="2" t="s">
        <v>698</v>
      </c>
      <c r="F700" s="2" t="s">
        <v>4817</v>
      </c>
      <c r="G700" s="1">
        <v>1</v>
      </c>
      <c r="H700" s="1" t="s">
        <v>1656</v>
      </c>
      <c r="I700" s="1" t="s">
        <v>1657</v>
      </c>
      <c r="J700" s="1" t="s">
        <v>1658</v>
      </c>
      <c r="K700" s="1" t="s">
        <v>1658</v>
      </c>
      <c r="L700" s="1" t="s">
        <v>1658</v>
      </c>
      <c r="M700" s="1" t="s">
        <v>1658</v>
      </c>
      <c r="N700" s="1" t="s">
        <v>1658</v>
      </c>
      <c r="O700" s="1" t="s">
        <v>1658</v>
      </c>
      <c r="P700" s="1">
        <v>1</v>
      </c>
      <c r="Q700" s="1" t="s">
        <v>1658</v>
      </c>
      <c r="R700" s="1">
        <v>0</v>
      </c>
      <c r="S700" s="1" t="s">
        <v>4818</v>
      </c>
      <c r="T700" s="6"/>
      <c r="U700" s="1" t="str">
        <f t="shared" si="10"/>
        <v>No</v>
      </c>
      <c r="W700" s="1" t="s">
        <v>4819</v>
      </c>
      <c r="X700" s="1" t="str">
        <f>IF(COUNTIF('MyWells Drilling Comp'!F:F,E700)=0,"Missing","Exist")</f>
        <v>Exist</v>
      </c>
    </row>
    <row r="701" hidden="1" spans="1:24">
      <c r="A701" s="1" t="s">
        <v>1652</v>
      </c>
      <c r="B701" s="1" t="s">
        <v>90</v>
      </c>
      <c r="C701" s="1" t="s">
        <v>4820</v>
      </c>
      <c r="D701" s="1" t="s">
        <v>4816</v>
      </c>
      <c r="E701" s="2" t="s">
        <v>698</v>
      </c>
      <c r="F701" s="2" t="s">
        <v>4821</v>
      </c>
      <c r="G701" s="1">
        <v>1</v>
      </c>
      <c r="H701" s="1" t="s">
        <v>1663</v>
      </c>
      <c r="I701" s="1" t="s">
        <v>1657</v>
      </c>
      <c r="J701" s="1" t="s">
        <v>1658</v>
      </c>
      <c r="K701" s="1" t="s">
        <v>1658</v>
      </c>
      <c r="L701" s="1" t="s">
        <v>1658</v>
      </c>
      <c r="M701" s="1" t="s">
        <v>1658</v>
      </c>
      <c r="N701" s="1" t="s">
        <v>1658</v>
      </c>
      <c r="O701" s="1" t="s">
        <v>1658</v>
      </c>
      <c r="P701" s="1">
        <v>1</v>
      </c>
      <c r="Q701" s="1" t="s">
        <v>1658</v>
      </c>
      <c r="R701" s="1">
        <v>0</v>
      </c>
      <c r="S701" s="1" t="s">
        <v>4822</v>
      </c>
      <c r="T701" s="6" t="s">
        <v>4822</v>
      </c>
      <c r="U701" s="1" t="str">
        <f t="shared" si="10"/>
        <v>Yes</v>
      </c>
      <c r="W701" s="1" t="s">
        <v>4823</v>
      </c>
      <c r="X701" s="1" t="str">
        <f>IF(COUNTIF('MyWells Drilling Comp'!F:F,E701)=0,"Missing","Exist")</f>
        <v>Exist</v>
      </c>
    </row>
    <row r="702" hidden="1" spans="1:24">
      <c r="A702" s="1" t="s">
        <v>1652</v>
      </c>
      <c r="B702" s="1" t="s">
        <v>90</v>
      </c>
      <c r="C702" s="1" t="s">
        <v>4824</v>
      </c>
      <c r="D702" s="1" t="s">
        <v>4825</v>
      </c>
      <c r="E702" s="2" t="s">
        <v>579</v>
      </c>
      <c r="F702" s="2" t="s">
        <v>4826</v>
      </c>
      <c r="G702" s="1">
        <v>1</v>
      </c>
      <c r="H702" s="1" t="s">
        <v>1663</v>
      </c>
      <c r="I702" s="1" t="s">
        <v>1657</v>
      </c>
      <c r="J702" s="1" t="s">
        <v>1658</v>
      </c>
      <c r="K702" s="1" t="s">
        <v>1658</v>
      </c>
      <c r="L702" s="1" t="s">
        <v>1658</v>
      </c>
      <c r="M702" s="1" t="s">
        <v>1658</v>
      </c>
      <c r="N702" s="1" t="s">
        <v>1658</v>
      </c>
      <c r="O702" s="1" t="s">
        <v>1658</v>
      </c>
      <c r="P702" s="1">
        <v>1</v>
      </c>
      <c r="Q702" s="1" t="s">
        <v>1658</v>
      </c>
      <c r="R702" s="1">
        <v>0</v>
      </c>
      <c r="S702" s="1" t="s">
        <v>4827</v>
      </c>
      <c r="T702" s="6" t="s">
        <v>4827</v>
      </c>
      <c r="U702" s="1" t="str">
        <f t="shared" si="10"/>
        <v>Yes</v>
      </c>
      <c r="W702" s="1" t="s">
        <v>4828</v>
      </c>
      <c r="X702" s="1" t="str">
        <f>IF(COUNTIF('MyWells Drilling Comp'!F:F,E702)=0,"Missing","Exist")</f>
        <v>Exist</v>
      </c>
    </row>
    <row r="703" hidden="1" spans="1:24">
      <c r="A703" s="1" t="s">
        <v>1652</v>
      </c>
      <c r="B703" s="1" t="s">
        <v>90</v>
      </c>
      <c r="C703" s="1" t="s">
        <v>4829</v>
      </c>
      <c r="D703" s="1" t="s">
        <v>4825</v>
      </c>
      <c r="E703" s="2" t="s">
        <v>579</v>
      </c>
      <c r="F703" s="2" t="s">
        <v>4830</v>
      </c>
      <c r="G703" s="1">
        <v>1</v>
      </c>
      <c r="H703" s="1" t="s">
        <v>1656</v>
      </c>
      <c r="I703" s="1" t="s">
        <v>1657</v>
      </c>
      <c r="J703" s="1" t="s">
        <v>1658</v>
      </c>
      <c r="K703" s="1" t="s">
        <v>1658</v>
      </c>
      <c r="L703" s="1" t="s">
        <v>1658</v>
      </c>
      <c r="M703" s="1" t="s">
        <v>1658</v>
      </c>
      <c r="N703" s="1" t="s">
        <v>1658</v>
      </c>
      <c r="O703" s="1" t="s">
        <v>1658</v>
      </c>
      <c r="P703" s="1">
        <v>1</v>
      </c>
      <c r="Q703" s="1" t="s">
        <v>1658</v>
      </c>
      <c r="R703" s="1">
        <v>0</v>
      </c>
      <c r="S703" s="1" t="s">
        <v>4831</v>
      </c>
      <c r="T703" s="6" t="s">
        <v>4831</v>
      </c>
      <c r="U703" s="1" t="str">
        <f t="shared" si="10"/>
        <v>Yes</v>
      </c>
      <c r="W703" s="1" t="s">
        <v>4832</v>
      </c>
      <c r="X703" s="1" t="str">
        <f>IF(COUNTIF('MyWells Drilling Comp'!F:F,E703)=0,"Missing","Exist")</f>
        <v>Exist</v>
      </c>
    </row>
    <row r="704" hidden="1" spans="1:24">
      <c r="A704" s="1" t="s">
        <v>1652</v>
      </c>
      <c r="B704" s="1" t="s">
        <v>90</v>
      </c>
      <c r="C704" s="1" t="s">
        <v>4833</v>
      </c>
      <c r="D704" s="1" t="s">
        <v>4834</v>
      </c>
      <c r="E704" s="2" t="s">
        <v>1121</v>
      </c>
      <c r="F704" s="2" t="s">
        <v>4835</v>
      </c>
      <c r="G704" s="1">
        <v>1</v>
      </c>
      <c r="H704" s="1" t="s">
        <v>1656</v>
      </c>
      <c r="I704" s="1" t="s">
        <v>1657</v>
      </c>
      <c r="J704" s="1" t="s">
        <v>1658</v>
      </c>
      <c r="K704" s="1" t="s">
        <v>1658</v>
      </c>
      <c r="L704" s="1" t="s">
        <v>1658</v>
      </c>
      <c r="M704" s="1" t="s">
        <v>1658</v>
      </c>
      <c r="N704" s="1" t="s">
        <v>1658</v>
      </c>
      <c r="O704" s="1" t="s">
        <v>1658</v>
      </c>
      <c r="P704" s="1">
        <v>1</v>
      </c>
      <c r="Q704" s="1" t="s">
        <v>1658</v>
      </c>
      <c r="R704" s="1">
        <v>0</v>
      </c>
      <c r="S704" s="1" t="s">
        <v>4836</v>
      </c>
      <c r="T704" s="6" t="s">
        <v>4836</v>
      </c>
      <c r="U704" s="1" t="str">
        <f t="shared" si="10"/>
        <v>Yes</v>
      </c>
      <c r="W704" s="1" t="s">
        <v>4837</v>
      </c>
      <c r="X704" s="1" t="str">
        <f>IF(COUNTIF('MyWells Drilling Comp'!F:F,E704)=0,"Missing","Exist")</f>
        <v>Exist</v>
      </c>
    </row>
    <row r="705" hidden="1" spans="1:24">
      <c r="A705" s="1" t="s">
        <v>1652</v>
      </c>
      <c r="B705" s="1" t="s">
        <v>90</v>
      </c>
      <c r="C705" s="7" t="s">
        <v>4838</v>
      </c>
      <c r="D705" s="1" t="s">
        <v>4834</v>
      </c>
      <c r="E705" s="2" t="s">
        <v>1121</v>
      </c>
      <c r="F705" s="2" t="s">
        <v>4839</v>
      </c>
      <c r="G705" s="1">
        <v>1</v>
      </c>
      <c r="H705" s="1" t="s">
        <v>1663</v>
      </c>
      <c r="I705" s="1" t="s">
        <v>1657</v>
      </c>
      <c r="J705" s="1" t="s">
        <v>1658</v>
      </c>
      <c r="K705" s="1" t="s">
        <v>1658</v>
      </c>
      <c r="L705" s="1" t="s">
        <v>1658</v>
      </c>
      <c r="M705" s="1" t="s">
        <v>1658</v>
      </c>
      <c r="N705" s="1" t="s">
        <v>1658</v>
      </c>
      <c r="O705" s="1" t="s">
        <v>1658</v>
      </c>
      <c r="P705" s="1">
        <v>1</v>
      </c>
      <c r="Q705" s="1" t="s">
        <v>1658</v>
      </c>
      <c r="R705" s="1">
        <v>0</v>
      </c>
      <c r="S705" s="1" t="s">
        <v>4840</v>
      </c>
      <c r="T705" s="6" t="s">
        <v>4840</v>
      </c>
      <c r="U705" s="1" t="str">
        <f t="shared" si="10"/>
        <v>Yes</v>
      </c>
      <c r="W705" s="1" t="s">
        <v>4841</v>
      </c>
      <c r="X705" s="1" t="str">
        <f>IF(COUNTIF('MyWells Drilling Comp'!F:F,E705)=0,"Missing","Exist")</f>
        <v>Exist</v>
      </c>
    </row>
    <row r="706" hidden="1" spans="1:24">
      <c r="A706" s="1" t="s">
        <v>1652</v>
      </c>
      <c r="B706" s="1" t="s">
        <v>90</v>
      </c>
      <c r="C706" s="1" t="s">
        <v>4842</v>
      </c>
      <c r="D706" s="1" t="s">
        <v>4843</v>
      </c>
      <c r="E706" s="2" t="s">
        <v>970</v>
      </c>
      <c r="F706" s="2" t="s">
        <v>4844</v>
      </c>
      <c r="G706" s="1">
        <v>1</v>
      </c>
      <c r="H706" s="1" t="s">
        <v>1663</v>
      </c>
      <c r="I706" s="1" t="s">
        <v>1657</v>
      </c>
      <c r="J706" s="1" t="s">
        <v>1658</v>
      </c>
      <c r="K706" s="1" t="s">
        <v>1658</v>
      </c>
      <c r="L706" s="1" t="s">
        <v>1658</v>
      </c>
      <c r="M706" s="1" t="s">
        <v>1658</v>
      </c>
      <c r="N706" s="1" t="s">
        <v>1658</v>
      </c>
      <c r="O706" s="1" t="s">
        <v>1658</v>
      </c>
      <c r="P706" s="1">
        <v>1</v>
      </c>
      <c r="Q706" s="1" t="s">
        <v>1658</v>
      </c>
      <c r="R706" s="1">
        <v>0</v>
      </c>
      <c r="S706" s="1" t="s">
        <v>4845</v>
      </c>
      <c r="T706" s="6"/>
      <c r="U706" s="1" t="str">
        <f t="shared" ref="U706:U769" si="11">IF(S706=T706,"Yes","No")</f>
        <v>No</v>
      </c>
      <c r="W706" s="1" t="s">
        <v>4846</v>
      </c>
      <c r="X706" s="1" t="str">
        <f>IF(COUNTIF('MyWells Drilling Comp'!F:F,E706)=0,"Missing","Exist")</f>
        <v>Exist</v>
      </c>
    </row>
    <row r="707" hidden="1" spans="1:24">
      <c r="A707" s="1" t="s">
        <v>1652</v>
      </c>
      <c r="B707" s="1" t="s">
        <v>90</v>
      </c>
      <c r="C707" s="1" t="s">
        <v>4847</v>
      </c>
      <c r="D707" s="1" t="s">
        <v>4843</v>
      </c>
      <c r="E707" s="2" t="s">
        <v>970</v>
      </c>
      <c r="F707" s="2" t="s">
        <v>4848</v>
      </c>
      <c r="G707" s="1">
        <v>1</v>
      </c>
      <c r="H707" s="1" t="s">
        <v>1656</v>
      </c>
      <c r="I707" s="1" t="s">
        <v>1657</v>
      </c>
      <c r="J707" s="1" t="s">
        <v>1658</v>
      </c>
      <c r="K707" s="1" t="s">
        <v>1658</v>
      </c>
      <c r="L707" s="1" t="s">
        <v>1658</v>
      </c>
      <c r="M707" s="1" t="s">
        <v>1658</v>
      </c>
      <c r="N707" s="1" t="s">
        <v>1658</v>
      </c>
      <c r="O707" s="1" t="s">
        <v>1658</v>
      </c>
      <c r="P707" s="1">
        <v>1</v>
      </c>
      <c r="Q707" s="1" t="s">
        <v>1658</v>
      </c>
      <c r="R707" s="1">
        <v>0</v>
      </c>
      <c r="S707" s="1" t="s">
        <v>4849</v>
      </c>
      <c r="T707" s="6"/>
      <c r="U707" s="1" t="str">
        <f t="shared" si="11"/>
        <v>No</v>
      </c>
      <c r="W707" s="1" t="s">
        <v>4850</v>
      </c>
      <c r="X707" s="1" t="str">
        <f>IF(COUNTIF('MyWells Drilling Comp'!F:F,E707)=0,"Missing","Exist")</f>
        <v>Exist</v>
      </c>
    </row>
    <row r="708" hidden="1" spans="1:24">
      <c r="A708" s="1" t="s">
        <v>1652</v>
      </c>
      <c r="B708" s="1" t="s">
        <v>90</v>
      </c>
      <c r="C708" s="1" t="s">
        <v>4851</v>
      </c>
      <c r="D708" s="1" t="s">
        <v>4852</v>
      </c>
      <c r="E708" s="2" t="s">
        <v>955</v>
      </c>
      <c r="F708" s="2" t="s">
        <v>4853</v>
      </c>
      <c r="G708" s="1">
        <v>1</v>
      </c>
      <c r="H708" s="1" t="s">
        <v>1663</v>
      </c>
      <c r="I708" s="1" t="s">
        <v>1657</v>
      </c>
      <c r="J708" s="1" t="s">
        <v>1658</v>
      </c>
      <c r="K708" s="1" t="s">
        <v>1658</v>
      </c>
      <c r="L708" s="1" t="s">
        <v>1658</v>
      </c>
      <c r="M708" s="1" t="s">
        <v>1658</v>
      </c>
      <c r="N708" s="1" t="s">
        <v>1658</v>
      </c>
      <c r="O708" s="1" t="s">
        <v>1658</v>
      </c>
      <c r="P708" s="1">
        <v>1</v>
      </c>
      <c r="Q708" s="1" t="s">
        <v>1658</v>
      </c>
      <c r="R708" s="1">
        <v>0</v>
      </c>
      <c r="S708" s="1" t="s">
        <v>4854</v>
      </c>
      <c r="T708" s="6" t="s">
        <v>4854</v>
      </c>
      <c r="U708" s="1" t="str">
        <f t="shared" si="11"/>
        <v>Yes</v>
      </c>
      <c r="W708" s="1" t="s">
        <v>4855</v>
      </c>
      <c r="X708" s="1" t="str">
        <f>IF(COUNTIF('MyWells Drilling Comp'!F:F,E708)=0,"Missing","Exist")</f>
        <v>Exist</v>
      </c>
    </row>
    <row r="709" hidden="1" spans="1:24">
      <c r="A709" s="1" t="s">
        <v>1652</v>
      </c>
      <c r="B709" s="1" t="s">
        <v>90</v>
      </c>
      <c r="C709" s="1" t="s">
        <v>4856</v>
      </c>
      <c r="D709" s="1" t="s">
        <v>4852</v>
      </c>
      <c r="E709" s="2" t="s">
        <v>955</v>
      </c>
      <c r="F709" s="2" t="s">
        <v>4857</v>
      </c>
      <c r="G709" s="1">
        <v>1</v>
      </c>
      <c r="H709" s="1" t="s">
        <v>1656</v>
      </c>
      <c r="I709" s="1" t="s">
        <v>1657</v>
      </c>
      <c r="J709" s="1" t="s">
        <v>1658</v>
      </c>
      <c r="K709" s="1" t="s">
        <v>1658</v>
      </c>
      <c r="L709" s="1" t="s">
        <v>1658</v>
      </c>
      <c r="M709" s="1" t="s">
        <v>1658</v>
      </c>
      <c r="N709" s="1" t="s">
        <v>1658</v>
      </c>
      <c r="O709" s="1" t="s">
        <v>1658</v>
      </c>
      <c r="P709" s="1">
        <v>1</v>
      </c>
      <c r="Q709" s="1" t="s">
        <v>1658</v>
      </c>
      <c r="R709" s="1">
        <v>0</v>
      </c>
      <c r="S709" s="1" t="s">
        <v>4858</v>
      </c>
      <c r="T709" s="6" t="s">
        <v>4858</v>
      </c>
      <c r="U709" s="1" t="str">
        <f t="shared" si="11"/>
        <v>Yes</v>
      </c>
      <c r="W709" s="1" t="s">
        <v>4859</v>
      </c>
      <c r="X709" s="1" t="str">
        <f>IF(COUNTIF('MyWells Drilling Comp'!F:F,E709)=0,"Missing","Exist")</f>
        <v>Exist</v>
      </c>
    </row>
    <row r="710" hidden="1" spans="1:24">
      <c r="A710" s="1" t="s">
        <v>1652</v>
      </c>
      <c r="B710" s="1" t="s">
        <v>90</v>
      </c>
      <c r="C710" s="1" t="s">
        <v>4860</v>
      </c>
      <c r="D710" s="1" t="s">
        <v>4861</v>
      </c>
      <c r="E710" s="2" t="s">
        <v>1510</v>
      </c>
      <c r="F710" s="2" t="s">
        <v>4862</v>
      </c>
      <c r="G710" s="1">
        <v>1</v>
      </c>
      <c r="H710" s="1" t="s">
        <v>1656</v>
      </c>
      <c r="I710" s="1" t="s">
        <v>1657</v>
      </c>
      <c r="J710" s="1" t="s">
        <v>1658</v>
      </c>
      <c r="K710" s="1" t="s">
        <v>1658</v>
      </c>
      <c r="L710" s="1" t="s">
        <v>1658</v>
      </c>
      <c r="M710" s="1" t="s">
        <v>1658</v>
      </c>
      <c r="N710" s="1" t="s">
        <v>1658</v>
      </c>
      <c r="O710" s="1" t="s">
        <v>1658</v>
      </c>
      <c r="P710" s="1">
        <v>1</v>
      </c>
      <c r="Q710" s="1" t="s">
        <v>1658</v>
      </c>
      <c r="R710" s="1">
        <v>0</v>
      </c>
      <c r="S710" s="1" t="s">
        <v>4863</v>
      </c>
      <c r="T710" s="6" t="s">
        <v>4863</v>
      </c>
      <c r="U710" s="1" t="str">
        <f t="shared" si="11"/>
        <v>Yes</v>
      </c>
      <c r="W710" s="1" t="s">
        <v>4864</v>
      </c>
      <c r="X710" s="1" t="str">
        <f>IF(COUNTIF('MyWells Drilling Comp'!F:F,E710)=0,"Missing","Exist")</f>
        <v>Exist</v>
      </c>
    </row>
    <row r="711" hidden="1" spans="1:24">
      <c r="A711" s="1" t="s">
        <v>1652</v>
      </c>
      <c r="B711" s="1" t="s">
        <v>90</v>
      </c>
      <c r="C711" s="1" t="s">
        <v>4865</v>
      </c>
      <c r="D711" s="1" t="s">
        <v>4861</v>
      </c>
      <c r="E711" s="2" t="s">
        <v>1510</v>
      </c>
      <c r="F711" s="2" t="s">
        <v>4866</v>
      </c>
      <c r="G711" s="1">
        <v>1</v>
      </c>
      <c r="H711" s="1" t="s">
        <v>1663</v>
      </c>
      <c r="I711" s="1" t="s">
        <v>1657</v>
      </c>
      <c r="J711" s="1" t="s">
        <v>1658</v>
      </c>
      <c r="K711" s="1" t="s">
        <v>1658</v>
      </c>
      <c r="L711" s="1" t="s">
        <v>1658</v>
      </c>
      <c r="M711" s="1" t="s">
        <v>1658</v>
      </c>
      <c r="N711" s="1" t="s">
        <v>1658</v>
      </c>
      <c r="O711" s="1" t="s">
        <v>1658</v>
      </c>
      <c r="P711" s="1">
        <v>1</v>
      </c>
      <c r="Q711" s="1" t="s">
        <v>1658</v>
      </c>
      <c r="R711" s="1">
        <v>0</v>
      </c>
      <c r="S711" s="1" t="s">
        <v>4867</v>
      </c>
      <c r="T711" s="6" t="s">
        <v>4867</v>
      </c>
      <c r="U711" s="1" t="str">
        <f t="shared" si="11"/>
        <v>Yes</v>
      </c>
      <c r="W711" s="1" t="s">
        <v>4868</v>
      </c>
      <c r="X711" s="1" t="str">
        <f>IF(COUNTIF('MyWells Drilling Comp'!F:F,E711)=0,"Missing","Exist")</f>
        <v>Exist</v>
      </c>
    </row>
    <row r="712" hidden="1" spans="1:24">
      <c r="A712" s="1" t="s">
        <v>1652</v>
      </c>
      <c r="B712" s="1" t="s">
        <v>90</v>
      </c>
      <c r="C712" s="1" t="s">
        <v>4869</v>
      </c>
      <c r="D712" s="1" t="s">
        <v>4870</v>
      </c>
      <c r="E712" s="2" t="s">
        <v>1570</v>
      </c>
      <c r="F712" s="2" t="s">
        <v>4871</v>
      </c>
      <c r="G712" s="1">
        <v>1</v>
      </c>
      <c r="H712" s="1" t="s">
        <v>1663</v>
      </c>
      <c r="I712" s="1" t="s">
        <v>1657</v>
      </c>
      <c r="J712" s="1" t="s">
        <v>1658</v>
      </c>
      <c r="K712" s="1" t="s">
        <v>1658</v>
      </c>
      <c r="L712" s="1" t="s">
        <v>1658</v>
      </c>
      <c r="M712" s="1" t="s">
        <v>1658</v>
      </c>
      <c r="N712" s="1" t="s">
        <v>1658</v>
      </c>
      <c r="O712" s="1" t="s">
        <v>1658</v>
      </c>
      <c r="P712" s="1">
        <v>1</v>
      </c>
      <c r="Q712" s="1" t="s">
        <v>1658</v>
      </c>
      <c r="R712" s="1">
        <v>0</v>
      </c>
      <c r="S712" s="1" t="s">
        <v>4872</v>
      </c>
      <c r="T712" s="6" t="s">
        <v>4872</v>
      </c>
      <c r="U712" s="1" t="str">
        <f t="shared" si="11"/>
        <v>Yes</v>
      </c>
      <c r="W712" s="1" t="s">
        <v>4873</v>
      </c>
      <c r="X712" s="1" t="str">
        <f>IF(COUNTIF('MyWells Drilling Comp'!F:F,E712)=0,"Missing","Exist")</f>
        <v>Exist</v>
      </c>
    </row>
    <row r="713" hidden="1" spans="1:24">
      <c r="A713" s="1" t="s">
        <v>1652</v>
      </c>
      <c r="B713" s="1" t="s">
        <v>90</v>
      </c>
      <c r="C713" s="1" t="s">
        <v>4874</v>
      </c>
      <c r="D713" s="1" t="s">
        <v>4870</v>
      </c>
      <c r="E713" s="2" t="s">
        <v>1570</v>
      </c>
      <c r="F713" s="2" t="s">
        <v>4875</v>
      </c>
      <c r="G713" s="1">
        <v>1</v>
      </c>
      <c r="H713" s="1" t="s">
        <v>1656</v>
      </c>
      <c r="I713" s="1" t="s">
        <v>1657</v>
      </c>
      <c r="J713" s="1" t="s">
        <v>1658</v>
      </c>
      <c r="K713" s="1" t="s">
        <v>1658</v>
      </c>
      <c r="L713" s="1" t="s">
        <v>1658</v>
      </c>
      <c r="M713" s="1" t="s">
        <v>1658</v>
      </c>
      <c r="N713" s="1" t="s">
        <v>1658</v>
      </c>
      <c r="O713" s="1" t="s">
        <v>1658</v>
      </c>
      <c r="P713" s="1">
        <v>1</v>
      </c>
      <c r="Q713" s="1" t="s">
        <v>1658</v>
      </c>
      <c r="R713" s="1">
        <v>0</v>
      </c>
      <c r="S713" s="1" t="s">
        <v>4876</v>
      </c>
      <c r="T713" s="6" t="s">
        <v>4876</v>
      </c>
      <c r="U713" s="1" t="str">
        <f t="shared" si="11"/>
        <v>Yes</v>
      </c>
      <c r="W713" s="1" t="s">
        <v>4877</v>
      </c>
      <c r="X713" s="1" t="str">
        <f>IF(COUNTIF('MyWells Drilling Comp'!F:F,E713)=0,"Missing","Exist")</f>
        <v>Exist</v>
      </c>
    </row>
    <row r="714" hidden="1" spans="1:24">
      <c r="A714" s="1" t="s">
        <v>1652</v>
      </c>
      <c r="B714" s="1" t="s">
        <v>90</v>
      </c>
      <c r="C714" s="1" t="s">
        <v>4878</v>
      </c>
      <c r="D714" s="1" t="s">
        <v>4879</v>
      </c>
      <c r="E714" s="2" t="s">
        <v>563</v>
      </c>
      <c r="F714" s="2" t="s">
        <v>4880</v>
      </c>
      <c r="G714" s="1">
        <v>1</v>
      </c>
      <c r="H714" s="1" t="s">
        <v>1656</v>
      </c>
      <c r="I714" s="1" t="s">
        <v>1657</v>
      </c>
      <c r="J714" s="1" t="s">
        <v>1658</v>
      </c>
      <c r="K714" s="1" t="s">
        <v>1658</v>
      </c>
      <c r="L714" s="1" t="s">
        <v>1658</v>
      </c>
      <c r="M714" s="1" t="s">
        <v>1658</v>
      </c>
      <c r="N714" s="1" t="s">
        <v>1658</v>
      </c>
      <c r="O714" s="1" t="s">
        <v>1658</v>
      </c>
      <c r="P714" s="1">
        <v>1</v>
      </c>
      <c r="Q714" s="1" t="s">
        <v>1658</v>
      </c>
      <c r="R714" s="1">
        <v>0</v>
      </c>
      <c r="S714" s="1" t="s">
        <v>4881</v>
      </c>
      <c r="T714" s="6" t="s">
        <v>4881</v>
      </c>
      <c r="U714" s="1" t="str">
        <f t="shared" si="11"/>
        <v>Yes</v>
      </c>
      <c r="W714" s="1" t="s">
        <v>4882</v>
      </c>
      <c r="X714" s="1" t="str">
        <f>IF(COUNTIF('MyWells Drilling Comp'!F:F,E714)=0,"Missing","Exist")</f>
        <v>Exist</v>
      </c>
    </row>
    <row r="715" hidden="1" spans="1:24">
      <c r="A715" s="1" t="s">
        <v>1652</v>
      </c>
      <c r="B715" s="1" t="s">
        <v>90</v>
      </c>
      <c r="C715" s="1" t="s">
        <v>4883</v>
      </c>
      <c r="D715" s="1" t="s">
        <v>4879</v>
      </c>
      <c r="E715" s="2" t="s">
        <v>563</v>
      </c>
      <c r="F715" s="2" t="s">
        <v>4884</v>
      </c>
      <c r="G715" s="1">
        <v>1</v>
      </c>
      <c r="H715" s="1" t="s">
        <v>1663</v>
      </c>
      <c r="I715" s="1" t="s">
        <v>1657</v>
      </c>
      <c r="J715" s="1" t="s">
        <v>1658</v>
      </c>
      <c r="K715" s="1" t="s">
        <v>1658</v>
      </c>
      <c r="L715" s="1" t="s">
        <v>1658</v>
      </c>
      <c r="M715" s="1" t="s">
        <v>1658</v>
      </c>
      <c r="N715" s="1" t="s">
        <v>1658</v>
      </c>
      <c r="O715" s="1" t="s">
        <v>1658</v>
      </c>
      <c r="P715" s="1">
        <v>1</v>
      </c>
      <c r="Q715" s="1" t="s">
        <v>1658</v>
      </c>
      <c r="R715" s="1">
        <v>0</v>
      </c>
      <c r="S715" s="1" t="s">
        <v>4885</v>
      </c>
      <c r="T715" s="6" t="s">
        <v>4885</v>
      </c>
      <c r="U715" s="1" t="str">
        <f t="shared" si="11"/>
        <v>Yes</v>
      </c>
      <c r="W715" s="1" t="s">
        <v>4886</v>
      </c>
      <c r="X715" s="1" t="str">
        <f>IF(COUNTIF('MyWells Drilling Comp'!F:F,E715)=0,"Missing","Exist")</f>
        <v>Exist</v>
      </c>
    </row>
    <row r="716" hidden="1" spans="1:24">
      <c r="A716" s="1" t="s">
        <v>1652</v>
      </c>
      <c r="B716" s="1" t="s">
        <v>90</v>
      </c>
      <c r="C716" s="1" t="s">
        <v>4887</v>
      </c>
      <c r="D716" s="1" t="s">
        <v>4888</v>
      </c>
      <c r="E716" s="2" t="s">
        <v>1320</v>
      </c>
      <c r="F716" s="2" t="s">
        <v>4889</v>
      </c>
      <c r="G716" s="1">
        <v>1</v>
      </c>
      <c r="H716" s="1" t="s">
        <v>1663</v>
      </c>
      <c r="I716" s="1" t="s">
        <v>1657</v>
      </c>
      <c r="J716" s="1" t="s">
        <v>1658</v>
      </c>
      <c r="K716" s="1" t="s">
        <v>1658</v>
      </c>
      <c r="L716" s="1" t="s">
        <v>1658</v>
      </c>
      <c r="M716" s="1" t="s">
        <v>1658</v>
      </c>
      <c r="N716" s="1" t="s">
        <v>1658</v>
      </c>
      <c r="O716" s="1" t="s">
        <v>1658</v>
      </c>
      <c r="P716" s="1">
        <v>1</v>
      </c>
      <c r="Q716" s="1" t="s">
        <v>1658</v>
      </c>
      <c r="R716" s="1">
        <v>0</v>
      </c>
      <c r="S716" s="1" t="s">
        <v>4890</v>
      </c>
      <c r="T716" s="6" t="s">
        <v>4890</v>
      </c>
      <c r="U716" s="1" t="str">
        <f t="shared" si="11"/>
        <v>Yes</v>
      </c>
      <c r="W716" s="1" t="s">
        <v>4891</v>
      </c>
      <c r="X716" s="1" t="str">
        <f>IF(COUNTIF('MyWells Drilling Comp'!F:F,E716)=0,"Missing","Exist")</f>
        <v>Exist</v>
      </c>
    </row>
    <row r="717" hidden="1" spans="1:24">
      <c r="A717" s="1" t="s">
        <v>1652</v>
      </c>
      <c r="B717" s="1" t="s">
        <v>90</v>
      </c>
      <c r="C717" s="1" t="s">
        <v>4892</v>
      </c>
      <c r="D717" s="1" t="s">
        <v>4888</v>
      </c>
      <c r="E717" s="2" t="s">
        <v>1320</v>
      </c>
      <c r="F717" s="2" t="s">
        <v>4893</v>
      </c>
      <c r="G717" s="1">
        <v>1</v>
      </c>
      <c r="H717" s="1" t="s">
        <v>1656</v>
      </c>
      <c r="I717" s="1" t="s">
        <v>1657</v>
      </c>
      <c r="J717" s="1" t="s">
        <v>1658</v>
      </c>
      <c r="K717" s="1" t="s">
        <v>1658</v>
      </c>
      <c r="L717" s="1" t="s">
        <v>1658</v>
      </c>
      <c r="M717" s="1" t="s">
        <v>1658</v>
      </c>
      <c r="N717" s="1" t="s">
        <v>1658</v>
      </c>
      <c r="O717" s="1" t="s">
        <v>1658</v>
      </c>
      <c r="P717" s="1">
        <v>1</v>
      </c>
      <c r="Q717" s="1" t="s">
        <v>1658</v>
      </c>
      <c r="R717" s="1">
        <v>0</v>
      </c>
      <c r="S717" s="1" t="s">
        <v>4894</v>
      </c>
      <c r="T717" s="6" t="s">
        <v>4894</v>
      </c>
      <c r="U717" s="1" t="str">
        <f t="shared" si="11"/>
        <v>Yes</v>
      </c>
      <c r="W717" s="1" t="s">
        <v>4895</v>
      </c>
      <c r="X717" s="1" t="str">
        <f>IF(COUNTIF('MyWells Drilling Comp'!F:F,E717)=0,"Missing","Exist")</f>
        <v>Exist</v>
      </c>
    </row>
    <row r="718" hidden="1" spans="1:24">
      <c r="A718" s="1" t="s">
        <v>1652</v>
      </c>
      <c r="B718" s="1" t="s">
        <v>90</v>
      </c>
      <c r="C718" s="1" t="s">
        <v>4896</v>
      </c>
      <c r="D718" s="1" t="s">
        <v>4897</v>
      </c>
      <c r="E718" s="2" t="s">
        <v>464</v>
      </c>
      <c r="F718" s="2" t="s">
        <v>4898</v>
      </c>
      <c r="G718" s="1">
        <v>1</v>
      </c>
      <c r="H718" s="1" t="s">
        <v>1663</v>
      </c>
      <c r="I718" s="1" t="s">
        <v>1657</v>
      </c>
      <c r="J718" s="1" t="s">
        <v>1658</v>
      </c>
      <c r="K718" s="1" t="s">
        <v>1658</v>
      </c>
      <c r="L718" s="1" t="s">
        <v>1658</v>
      </c>
      <c r="M718" s="1" t="s">
        <v>1658</v>
      </c>
      <c r="N718" s="1" t="s">
        <v>1658</v>
      </c>
      <c r="O718" s="1" t="s">
        <v>1658</v>
      </c>
      <c r="P718" s="1">
        <v>1</v>
      </c>
      <c r="Q718" s="1" t="s">
        <v>1658</v>
      </c>
      <c r="R718" s="1">
        <v>0</v>
      </c>
      <c r="S718" s="1" t="s">
        <v>4899</v>
      </c>
      <c r="T718" s="6" t="s">
        <v>4899</v>
      </c>
      <c r="U718" s="1" t="str">
        <f t="shared" si="11"/>
        <v>Yes</v>
      </c>
      <c r="W718" s="1" t="s">
        <v>4900</v>
      </c>
      <c r="X718" s="1" t="str">
        <f>IF(COUNTIF('MyWells Drilling Comp'!F:F,E718)=0,"Missing","Exist")</f>
        <v>Exist</v>
      </c>
    </row>
    <row r="719" hidden="1" spans="1:24">
      <c r="A719" s="1" t="s">
        <v>1652</v>
      </c>
      <c r="B719" s="1" t="s">
        <v>90</v>
      </c>
      <c r="C719" s="1" t="s">
        <v>4901</v>
      </c>
      <c r="D719" s="1" t="s">
        <v>4897</v>
      </c>
      <c r="E719" s="2" t="s">
        <v>464</v>
      </c>
      <c r="F719" s="2" t="s">
        <v>4902</v>
      </c>
      <c r="G719" s="1">
        <v>1</v>
      </c>
      <c r="H719" s="1" t="s">
        <v>1656</v>
      </c>
      <c r="I719" s="1" t="s">
        <v>1657</v>
      </c>
      <c r="J719" s="1" t="s">
        <v>1658</v>
      </c>
      <c r="K719" s="1" t="s">
        <v>1658</v>
      </c>
      <c r="L719" s="1" t="s">
        <v>1658</v>
      </c>
      <c r="M719" s="1" t="s">
        <v>1658</v>
      </c>
      <c r="N719" s="1" t="s">
        <v>1658</v>
      </c>
      <c r="O719" s="1" t="s">
        <v>1658</v>
      </c>
      <c r="P719" s="1">
        <v>1</v>
      </c>
      <c r="Q719" s="1" t="s">
        <v>1658</v>
      </c>
      <c r="R719" s="1">
        <v>0</v>
      </c>
      <c r="S719" s="1" t="s">
        <v>4903</v>
      </c>
      <c r="T719" s="6"/>
      <c r="U719" s="1" t="str">
        <f t="shared" si="11"/>
        <v>No</v>
      </c>
      <c r="W719" s="1" t="s">
        <v>4904</v>
      </c>
      <c r="X719" s="1" t="str">
        <f>IF(COUNTIF('MyWells Drilling Comp'!F:F,E719)=0,"Missing","Exist")</f>
        <v>Exist</v>
      </c>
    </row>
    <row r="720" hidden="1" spans="1:24">
      <c r="A720" s="1" t="s">
        <v>1652</v>
      </c>
      <c r="B720" s="1" t="s">
        <v>90</v>
      </c>
      <c r="C720" s="1" t="s">
        <v>4905</v>
      </c>
      <c r="D720" s="1" t="s">
        <v>4906</v>
      </c>
      <c r="E720" s="2" t="s">
        <v>886</v>
      </c>
      <c r="F720" s="2" t="s">
        <v>4907</v>
      </c>
      <c r="G720" s="1">
        <v>1</v>
      </c>
      <c r="H720" s="1" t="s">
        <v>1663</v>
      </c>
      <c r="I720" s="1" t="s">
        <v>1657</v>
      </c>
      <c r="J720" s="1" t="s">
        <v>1658</v>
      </c>
      <c r="K720" s="1" t="s">
        <v>1658</v>
      </c>
      <c r="L720" s="1" t="s">
        <v>1658</v>
      </c>
      <c r="M720" s="1" t="s">
        <v>1658</v>
      </c>
      <c r="N720" s="1" t="s">
        <v>1658</v>
      </c>
      <c r="O720" s="1" t="s">
        <v>1658</v>
      </c>
      <c r="P720" s="1">
        <v>1</v>
      </c>
      <c r="Q720" s="1" t="s">
        <v>1658</v>
      </c>
      <c r="R720" s="1">
        <v>0</v>
      </c>
      <c r="S720" s="1" t="s">
        <v>4908</v>
      </c>
      <c r="T720" s="6" t="s">
        <v>4908</v>
      </c>
      <c r="U720" s="1" t="str">
        <f t="shared" si="11"/>
        <v>Yes</v>
      </c>
      <c r="W720" s="1" t="s">
        <v>4909</v>
      </c>
      <c r="X720" s="1" t="str">
        <f>IF(COUNTIF('MyWells Drilling Comp'!F:F,E720)=0,"Missing","Exist")</f>
        <v>Exist</v>
      </c>
    </row>
    <row r="721" hidden="1" spans="1:24">
      <c r="A721" s="1" t="s">
        <v>1652</v>
      </c>
      <c r="B721" s="1" t="s">
        <v>90</v>
      </c>
      <c r="C721" s="1" t="s">
        <v>4910</v>
      </c>
      <c r="D721" s="1" t="s">
        <v>4906</v>
      </c>
      <c r="E721" s="2" t="s">
        <v>886</v>
      </c>
      <c r="F721" s="2" t="s">
        <v>4911</v>
      </c>
      <c r="G721" s="1">
        <v>1</v>
      </c>
      <c r="H721" s="1" t="s">
        <v>1656</v>
      </c>
      <c r="I721" s="1" t="s">
        <v>1657</v>
      </c>
      <c r="J721" s="1" t="s">
        <v>1658</v>
      </c>
      <c r="K721" s="1" t="s">
        <v>1658</v>
      </c>
      <c r="L721" s="1" t="s">
        <v>1658</v>
      </c>
      <c r="M721" s="1" t="s">
        <v>1658</v>
      </c>
      <c r="N721" s="1" t="s">
        <v>1658</v>
      </c>
      <c r="O721" s="1" t="s">
        <v>1658</v>
      </c>
      <c r="P721" s="1">
        <v>1</v>
      </c>
      <c r="Q721" s="1" t="s">
        <v>1658</v>
      </c>
      <c r="R721" s="1">
        <v>0</v>
      </c>
      <c r="S721" s="1" t="s">
        <v>4912</v>
      </c>
      <c r="T721" s="6" t="s">
        <v>4912</v>
      </c>
      <c r="U721" s="1" t="str">
        <f t="shared" si="11"/>
        <v>Yes</v>
      </c>
      <c r="W721" s="1" t="s">
        <v>4913</v>
      </c>
      <c r="X721" s="1" t="str">
        <f>IF(COUNTIF('MyWells Drilling Comp'!F:F,E721)=0,"Missing","Exist")</f>
        <v>Exist</v>
      </c>
    </row>
    <row r="722" hidden="1" spans="1:24">
      <c r="A722" s="1" t="s">
        <v>1652</v>
      </c>
      <c r="B722" s="1" t="s">
        <v>90</v>
      </c>
      <c r="C722" s="1" t="s">
        <v>4914</v>
      </c>
      <c r="D722" s="1" t="s">
        <v>4915</v>
      </c>
      <c r="E722" s="2" t="s">
        <v>1187</v>
      </c>
      <c r="F722" s="2" t="s">
        <v>4916</v>
      </c>
      <c r="G722" s="1">
        <v>1</v>
      </c>
      <c r="H722" s="1" t="s">
        <v>1656</v>
      </c>
      <c r="I722" s="1" t="s">
        <v>1657</v>
      </c>
      <c r="J722" s="1" t="s">
        <v>1658</v>
      </c>
      <c r="K722" s="1" t="s">
        <v>1658</v>
      </c>
      <c r="L722" s="1" t="s">
        <v>1658</v>
      </c>
      <c r="M722" s="1" t="s">
        <v>1658</v>
      </c>
      <c r="N722" s="1" t="s">
        <v>1658</v>
      </c>
      <c r="O722" s="1" t="s">
        <v>1658</v>
      </c>
      <c r="P722" s="1">
        <v>1</v>
      </c>
      <c r="Q722" s="1" t="s">
        <v>1658</v>
      </c>
      <c r="R722" s="1">
        <v>0</v>
      </c>
      <c r="S722" s="1" t="s">
        <v>4917</v>
      </c>
      <c r="T722" s="6" t="s">
        <v>4917</v>
      </c>
      <c r="U722" s="1" t="str">
        <f t="shared" si="11"/>
        <v>Yes</v>
      </c>
      <c r="W722" s="1" t="s">
        <v>4918</v>
      </c>
      <c r="X722" s="1" t="str">
        <f>IF(COUNTIF('MyWells Drilling Comp'!F:F,E722)=0,"Missing","Exist")</f>
        <v>Exist</v>
      </c>
    </row>
    <row r="723" hidden="1" spans="1:24">
      <c r="A723" s="1" t="s">
        <v>1652</v>
      </c>
      <c r="B723" s="1" t="s">
        <v>90</v>
      </c>
      <c r="C723" s="1" t="s">
        <v>4919</v>
      </c>
      <c r="D723" s="1" t="s">
        <v>4915</v>
      </c>
      <c r="E723" s="2" t="s">
        <v>1187</v>
      </c>
      <c r="F723" s="2" t="s">
        <v>4920</v>
      </c>
      <c r="G723" s="1">
        <v>1</v>
      </c>
      <c r="H723" s="1" t="s">
        <v>1663</v>
      </c>
      <c r="I723" s="1" t="s">
        <v>1657</v>
      </c>
      <c r="J723" s="1" t="s">
        <v>1658</v>
      </c>
      <c r="K723" s="1" t="s">
        <v>1658</v>
      </c>
      <c r="L723" s="1" t="s">
        <v>1658</v>
      </c>
      <c r="M723" s="1" t="s">
        <v>1658</v>
      </c>
      <c r="N723" s="1" t="s">
        <v>1658</v>
      </c>
      <c r="O723" s="1" t="s">
        <v>1658</v>
      </c>
      <c r="P723" s="1">
        <v>1</v>
      </c>
      <c r="Q723" s="1" t="s">
        <v>1658</v>
      </c>
      <c r="R723" s="1">
        <v>0</v>
      </c>
      <c r="S723" s="1" t="s">
        <v>4921</v>
      </c>
      <c r="T723" s="6" t="s">
        <v>4921</v>
      </c>
      <c r="U723" s="1" t="str">
        <f t="shared" si="11"/>
        <v>Yes</v>
      </c>
      <c r="W723" s="1" t="s">
        <v>4922</v>
      </c>
      <c r="X723" s="1" t="str">
        <f>IF(COUNTIF('MyWells Drilling Comp'!F:F,E723)=0,"Missing","Exist")</f>
        <v>Exist</v>
      </c>
    </row>
    <row r="724" hidden="1" spans="1:24">
      <c r="A724" s="1" t="s">
        <v>1652</v>
      </c>
      <c r="B724" s="1" t="s">
        <v>90</v>
      </c>
      <c r="C724" s="1" t="s">
        <v>4923</v>
      </c>
      <c r="D724" s="1" t="s">
        <v>4924</v>
      </c>
      <c r="E724" s="2" t="s">
        <v>753</v>
      </c>
      <c r="F724" s="2" t="s">
        <v>4925</v>
      </c>
      <c r="G724" s="1">
        <v>1</v>
      </c>
      <c r="H724" s="1" t="s">
        <v>1663</v>
      </c>
      <c r="I724" s="1" t="s">
        <v>1657</v>
      </c>
      <c r="J724" s="1" t="s">
        <v>1658</v>
      </c>
      <c r="K724" s="1" t="s">
        <v>1658</v>
      </c>
      <c r="L724" s="1" t="s">
        <v>1658</v>
      </c>
      <c r="M724" s="1" t="s">
        <v>1658</v>
      </c>
      <c r="N724" s="1" t="s">
        <v>1658</v>
      </c>
      <c r="O724" s="1" t="s">
        <v>1658</v>
      </c>
      <c r="P724" s="1">
        <v>1</v>
      </c>
      <c r="Q724" s="1" t="s">
        <v>1658</v>
      </c>
      <c r="R724" s="1">
        <v>0</v>
      </c>
      <c r="S724" s="1" t="s">
        <v>4926</v>
      </c>
      <c r="T724" s="6" t="s">
        <v>4926</v>
      </c>
      <c r="U724" s="1" t="str">
        <f t="shared" si="11"/>
        <v>Yes</v>
      </c>
      <c r="W724" s="1" t="s">
        <v>4927</v>
      </c>
      <c r="X724" s="1" t="str">
        <f>IF(COUNTIF('MyWells Drilling Comp'!F:F,E724)=0,"Missing","Exist")</f>
        <v>Exist</v>
      </c>
    </row>
    <row r="725" hidden="1" spans="1:24">
      <c r="A725" s="1" t="s">
        <v>1652</v>
      </c>
      <c r="B725" s="1" t="s">
        <v>90</v>
      </c>
      <c r="C725" s="1" t="s">
        <v>4928</v>
      </c>
      <c r="D725" s="1" t="s">
        <v>4924</v>
      </c>
      <c r="E725" s="2" t="s">
        <v>753</v>
      </c>
      <c r="F725" s="2" t="s">
        <v>4929</v>
      </c>
      <c r="G725" s="1">
        <v>1</v>
      </c>
      <c r="H725" s="1" t="s">
        <v>1656</v>
      </c>
      <c r="I725" s="1" t="s">
        <v>1657</v>
      </c>
      <c r="J725" s="1" t="s">
        <v>1658</v>
      </c>
      <c r="K725" s="1" t="s">
        <v>1658</v>
      </c>
      <c r="L725" s="1" t="s">
        <v>1658</v>
      </c>
      <c r="M725" s="1" t="s">
        <v>1658</v>
      </c>
      <c r="N725" s="1" t="s">
        <v>1658</v>
      </c>
      <c r="O725" s="1" t="s">
        <v>1658</v>
      </c>
      <c r="P725" s="1">
        <v>1</v>
      </c>
      <c r="Q725" s="1" t="s">
        <v>1658</v>
      </c>
      <c r="R725" s="1">
        <v>0</v>
      </c>
      <c r="S725" s="1" t="s">
        <v>4930</v>
      </c>
      <c r="T725" s="6" t="s">
        <v>4930</v>
      </c>
      <c r="U725" s="1" t="str">
        <f t="shared" si="11"/>
        <v>Yes</v>
      </c>
      <c r="W725" s="1" t="s">
        <v>4931</v>
      </c>
      <c r="X725" s="1" t="str">
        <f>IF(COUNTIF('MyWells Drilling Comp'!F:F,E725)=0,"Missing","Exist")</f>
        <v>Exist</v>
      </c>
    </row>
    <row r="726" hidden="1" spans="1:24">
      <c r="A726" s="1" t="s">
        <v>1652</v>
      </c>
      <c r="B726" s="1" t="s">
        <v>90</v>
      </c>
      <c r="C726" s="1" t="s">
        <v>4932</v>
      </c>
      <c r="D726" s="1" t="s">
        <v>4933</v>
      </c>
      <c r="E726" s="2" t="s">
        <v>1372</v>
      </c>
      <c r="F726" s="2" t="s">
        <v>4934</v>
      </c>
      <c r="G726" s="1">
        <v>1</v>
      </c>
      <c r="H726" s="1" t="s">
        <v>1663</v>
      </c>
      <c r="I726" s="1" t="s">
        <v>1657</v>
      </c>
      <c r="J726" s="1" t="s">
        <v>1658</v>
      </c>
      <c r="K726" s="1" t="s">
        <v>1658</v>
      </c>
      <c r="L726" s="1" t="s">
        <v>1658</v>
      </c>
      <c r="M726" s="1" t="s">
        <v>1658</v>
      </c>
      <c r="N726" s="1" t="s">
        <v>1658</v>
      </c>
      <c r="O726" s="1" t="s">
        <v>1658</v>
      </c>
      <c r="P726" s="1">
        <v>1</v>
      </c>
      <c r="Q726" s="1" t="s">
        <v>1658</v>
      </c>
      <c r="R726" s="1">
        <v>0</v>
      </c>
      <c r="S726" s="1" t="s">
        <v>4935</v>
      </c>
      <c r="T726" s="6"/>
      <c r="U726" s="1" t="str">
        <f t="shared" si="11"/>
        <v>No</v>
      </c>
      <c r="W726" s="1" t="s">
        <v>4936</v>
      </c>
      <c r="X726" s="1" t="str">
        <f>IF(COUNTIF('MyWells Drilling Comp'!F:F,E726)=0,"Missing","Exist")</f>
        <v>Exist</v>
      </c>
    </row>
    <row r="727" hidden="1" spans="1:24">
      <c r="A727" s="1" t="s">
        <v>1652</v>
      </c>
      <c r="B727" s="1" t="s">
        <v>90</v>
      </c>
      <c r="C727" s="1" t="s">
        <v>4937</v>
      </c>
      <c r="D727" s="1" t="s">
        <v>4933</v>
      </c>
      <c r="E727" s="2" t="s">
        <v>1372</v>
      </c>
      <c r="F727" s="2" t="s">
        <v>4938</v>
      </c>
      <c r="G727" s="1">
        <v>1</v>
      </c>
      <c r="H727" s="1" t="s">
        <v>1656</v>
      </c>
      <c r="I727" s="1" t="s">
        <v>1657</v>
      </c>
      <c r="J727" s="1" t="s">
        <v>1658</v>
      </c>
      <c r="K727" s="1" t="s">
        <v>1658</v>
      </c>
      <c r="L727" s="1" t="s">
        <v>1658</v>
      </c>
      <c r="M727" s="1" t="s">
        <v>1658</v>
      </c>
      <c r="N727" s="1" t="s">
        <v>1658</v>
      </c>
      <c r="O727" s="1" t="s">
        <v>1658</v>
      </c>
      <c r="P727" s="1">
        <v>1</v>
      </c>
      <c r="Q727" s="1" t="s">
        <v>1658</v>
      </c>
      <c r="R727" s="1">
        <v>0</v>
      </c>
      <c r="S727" s="1" t="s">
        <v>4939</v>
      </c>
      <c r="T727" s="6"/>
      <c r="U727" s="1" t="str">
        <f t="shared" si="11"/>
        <v>No</v>
      </c>
      <c r="W727" s="1" t="s">
        <v>4940</v>
      </c>
      <c r="X727" s="1" t="str">
        <f>IF(COUNTIF('MyWells Drilling Comp'!F:F,E727)=0,"Missing","Exist")</f>
        <v>Exist</v>
      </c>
    </row>
    <row r="728" hidden="1" spans="1:24">
      <c r="A728" s="1" t="s">
        <v>1652</v>
      </c>
      <c r="B728" s="1" t="s">
        <v>90</v>
      </c>
      <c r="C728" s="1" t="s">
        <v>4941</v>
      </c>
      <c r="D728" s="1" t="s">
        <v>4942</v>
      </c>
      <c r="E728" s="2" t="s">
        <v>1317</v>
      </c>
      <c r="F728" s="2" t="s">
        <v>4943</v>
      </c>
      <c r="G728" s="1">
        <v>1</v>
      </c>
      <c r="H728" s="1" t="s">
        <v>1663</v>
      </c>
      <c r="I728" s="1" t="s">
        <v>1657</v>
      </c>
      <c r="J728" s="1" t="s">
        <v>1658</v>
      </c>
      <c r="K728" s="1" t="s">
        <v>1658</v>
      </c>
      <c r="L728" s="1" t="s">
        <v>1658</v>
      </c>
      <c r="M728" s="1" t="s">
        <v>1658</v>
      </c>
      <c r="N728" s="1" t="s">
        <v>1658</v>
      </c>
      <c r="O728" s="1" t="s">
        <v>1658</v>
      </c>
      <c r="P728" s="1">
        <v>1</v>
      </c>
      <c r="Q728" s="1" t="s">
        <v>1658</v>
      </c>
      <c r="R728" s="1">
        <v>0</v>
      </c>
      <c r="S728" s="1" t="s">
        <v>4944</v>
      </c>
      <c r="T728" s="6"/>
      <c r="U728" s="1" t="str">
        <f t="shared" si="11"/>
        <v>No</v>
      </c>
      <c r="W728" s="1" t="s">
        <v>4945</v>
      </c>
      <c r="X728" s="1" t="str">
        <f>IF(COUNTIF('MyWells Drilling Comp'!F:F,E728)=0,"Missing","Exist")</f>
        <v>Exist</v>
      </c>
    </row>
    <row r="729" hidden="1" spans="1:24">
      <c r="A729" s="1" t="s">
        <v>1652</v>
      </c>
      <c r="B729" s="1" t="s">
        <v>90</v>
      </c>
      <c r="C729" s="1" t="s">
        <v>4946</v>
      </c>
      <c r="D729" s="1" t="s">
        <v>4942</v>
      </c>
      <c r="E729" s="2" t="s">
        <v>1317</v>
      </c>
      <c r="F729" s="2" t="s">
        <v>4947</v>
      </c>
      <c r="G729" s="1">
        <v>1</v>
      </c>
      <c r="H729" s="1" t="s">
        <v>1656</v>
      </c>
      <c r="I729" s="1" t="s">
        <v>1657</v>
      </c>
      <c r="J729" s="1" t="s">
        <v>1658</v>
      </c>
      <c r="K729" s="1" t="s">
        <v>1658</v>
      </c>
      <c r="L729" s="1" t="s">
        <v>1658</v>
      </c>
      <c r="M729" s="1" t="s">
        <v>1658</v>
      </c>
      <c r="N729" s="1" t="s">
        <v>1658</v>
      </c>
      <c r="O729" s="1" t="s">
        <v>1658</v>
      </c>
      <c r="P729" s="1">
        <v>1</v>
      </c>
      <c r="Q729" s="1" t="s">
        <v>1658</v>
      </c>
      <c r="R729" s="1">
        <v>0</v>
      </c>
      <c r="S729" s="1" t="s">
        <v>4948</v>
      </c>
      <c r="T729" s="6"/>
      <c r="U729" s="1" t="str">
        <f t="shared" si="11"/>
        <v>No</v>
      </c>
      <c r="W729" s="1" t="s">
        <v>4949</v>
      </c>
      <c r="X729" s="1" t="str">
        <f>IF(COUNTIF('MyWells Drilling Comp'!F:F,E729)=0,"Missing","Exist")</f>
        <v>Exist</v>
      </c>
    </row>
    <row r="730" hidden="1" spans="1:24">
      <c r="A730" s="1" t="s">
        <v>1652</v>
      </c>
      <c r="B730" s="1" t="s">
        <v>90</v>
      </c>
      <c r="C730" s="1" t="s">
        <v>4950</v>
      </c>
      <c r="D730" s="1" t="s">
        <v>4951</v>
      </c>
      <c r="E730" s="2" t="s">
        <v>1491</v>
      </c>
      <c r="F730" s="2" t="s">
        <v>4952</v>
      </c>
      <c r="G730" s="1">
        <v>1</v>
      </c>
      <c r="H730" s="1" t="s">
        <v>1663</v>
      </c>
      <c r="I730" s="1" t="s">
        <v>1657</v>
      </c>
      <c r="J730" s="1" t="s">
        <v>1658</v>
      </c>
      <c r="K730" s="1" t="s">
        <v>1658</v>
      </c>
      <c r="L730" s="1" t="s">
        <v>1658</v>
      </c>
      <c r="M730" s="1" t="s">
        <v>1658</v>
      </c>
      <c r="N730" s="1" t="s">
        <v>1658</v>
      </c>
      <c r="O730" s="1" t="s">
        <v>1658</v>
      </c>
      <c r="P730" s="1">
        <v>1</v>
      </c>
      <c r="Q730" s="1" t="s">
        <v>1658</v>
      </c>
      <c r="R730" s="1">
        <v>0</v>
      </c>
      <c r="S730" s="1" t="s">
        <v>4953</v>
      </c>
      <c r="T730" s="6" t="s">
        <v>4953</v>
      </c>
      <c r="U730" s="1" t="str">
        <f t="shared" si="11"/>
        <v>Yes</v>
      </c>
      <c r="W730" s="1" t="s">
        <v>4954</v>
      </c>
      <c r="X730" s="1" t="str">
        <f>IF(COUNTIF('MyWells Drilling Comp'!F:F,E730)=0,"Missing","Exist")</f>
        <v>Exist</v>
      </c>
    </row>
    <row r="731" hidden="1" spans="1:24">
      <c r="A731" s="1" t="s">
        <v>1652</v>
      </c>
      <c r="B731" s="1" t="s">
        <v>90</v>
      </c>
      <c r="C731" s="1" t="s">
        <v>4955</v>
      </c>
      <c r="D731" s="1" t="s">
        <v>4951</v>
      </c>
      <c r="E731" s="2" t="s">
        <v>1491</v>
      </c>
      <c r="F731" s="2" t="s">
        <v>4956</v>
      </c>
      <c r="G731" s="1">
        <v>1</v>
      </c>
      <c r="H731" s="1" t="s">
        <v>1656</v>
      </c>
      <c r="I731" s="1" t="s">
        <v>1657</v>
      </c>
      <c r="J731" s="1" t="s">
        <v>1658</v>
      </c>
      <c r="K731" s="1" t="s">
        <v>1658</v>
      </c>
      <c r="L731" s="1" t="s">
        <v>1658</v>
      </c>
      <c r="M731" s="1" t="s">
        <v>1658</v>
      </c>
      <c r="N731" s="1" t="s">
        <v>1658</v>
      </c>
      <c r="O731" s="1" t="s">
        <v>1658</v>
      </c>
      <c r="P731" s="1">
        <v>1</v>
      </c>
      <c r="Q731" s="1" t="s">
        <v>1658</v>
      </c>
      <c r="R731" s="1">
        <v>0</v>
      </c>
      <c r="S731" s="1" t="s">
        <v>4957</v>
      </c>
      <c r="T731" s="6" t="s">
        <v>4957</v>
      </c>
      <c r="U731" s="1" t="str">
        <f t="shared" si="11"/>
        <v>Yes</v>
      </c>
      <c r="W731" s="1" t="s">
        <v>4958</v>
      </c>
      <c r="X731" s="1" t="str">
        <f>IF(COUNTIF('MyWells Drilling Comp'!F:F,E731)=0,"Missing","Exist")</f>
        <v>Exist</v>
      </c>
    </row>
    <row r="732" hidden="1" spans="1:24">
      <c r="A732" s="1" t="s">
        <v>1652</v>
      </c>
      <c r="B732" s="1" t="s">
        <v>90</v>
      </c>
      <c r="C732" s="1" t="s">
        <v>4959</v>
      </c>
      <c r="D732" s="1" t="s">
        <v>4960</v>
      </c>
      <c r="E732" s="2" t="s">
        <v>712</v>
      </c>
      <c r="F732" s="2" t="s">
        <v>4961</v>
      </c>
      <c r="G732" s="1">
        <v>1</v>
      </c>
      <c r="H732" s="1" t="s">
        <v>1663</v>
      </c>
      <c r="I732" s="1" t="s">
        <v>1657</v>
      </c>
      <c r="J732" s="1" t="s">
        <v>1658</v>
      </c>
      <c r="K732" s="1" t="s">
        <v>1658</v>
      </c>
      <c r="L732" s="1" t="s">
        <v>1658</v>
      </c>
      <c r="M732" s="1" t="s">
        <v>1658</v>
      </c>
      <c r="N732" s="1" t="s">
        <v>1658</v>
      </c>
      <c r="O732" s="1" t="s">
        <v>1658</v>
      </c>
      <c r="P732" s="1">
        <v>1</v>
      </c>
      <c r="Q732" s="1" t="s">
        <v>1658</v>
      </c>
      <c r="R732" s="1">
        <v>0</v>
      </c>
      <c r="S732" s="1" t="s">
        <v>4962</v>
      </c>
      <c r="T732" s="6" t="s">
        <v>4962</v>
      </c>
      <c r="U732" s="1" t="str">
        <f t="shared" si="11"/>
        <v>Yes</v>
      </c>
      <c r="W732" s="1" t="s">
        <v>4963</v>
      </c>
      <c r="X732" s="1" t="str">
        <f>IF(COUNTIF('MyWells Drilling Comp'!F:F,E732)=0,"Missing","Exist")</f>
        <v>Exist</v>
      </c>
    </row>
    <row r="733" hidden="1" spans="1:24">
      <c r="A733" s="1" t="s">
        <v>1652</v>
      </c>
      <c r="B733" s="1" t="s">
        <v>90</v>
      </c>
      <c r="C733" s="1" t="s">
        <v>4964</v>
      </c>
      <c r="D733" s="1" t="s">
        <v>4960</v>
      </c>
      <c r="E733" s="2" t="s">
        <v>712</v>
      </c>
      <c r="F733" s="2" t="s">
        <v>4965</v>
      </c>
      <c r="G733" s="1">
        <v>1</v>
      </c>
      <c r="H733" s="1" t="s">
        <v>1656</v>
      </c>
      <c r="I733" s="1" t="s">
        <v>1657</v>
      </c>
      <c r="J733" s="1" t="s">
        <v>1658</v>
      </c>
      <c r="K733" s="1" t="s">
        <v>1658</v>
      </c>
      <c r="L733" s="1" t="s">
        <v>1658</v>
      </c>
      <c r="M733" s="1" t="s">
        <v>1658</v>
      </c>
      <c r="N733" s="1" t="s">
        <v>1658</v>
      </c>
      <c r="O733" s="1" t="s">
        <v>1658</v>
      </c>
      <c r="P733" s="1">
        <v>1</v>
      </c>
      <c r="Q733" s="1" t="s">
        <v>1658</v>
      </c>
      <c r="R733" s="1">
        <v>0</v>
      </c>
      <c r="S733" s="1" t="s">
        <v>4966</v>
      </c>
      <c r="T733" s="6" t="s">
        <v>4966</v>
      </c>
      <c r="U733" s="1" t="str">
        <f t="shared" si="11"/>
        <v>Yes</v>
      </c>
      <c r="W733" s="1" t="s">
        <v>4967</v>
      </c>
      <c r="X733" s="1" t="str">
        <f>IF(COUNTIF('MyWells Drilling Comp'!F:F,E733)=0,"Missing","Exist")</f>
        <v>Exist</v>
      </c>
    </row>
    <row r="734" hidden="1" spans="1:24">
      <c r="A734" s="1" t="s">
        <v>1652</v>
      </c>
      <c r="B734" s="1" t="s">
        <v>90</v>
      </c>
      <c r="C734" s="1" t="s">
        <v>4968</v>
      </c>
      <c r="D734" s="1" t="s">
        <v>4969</v>
      </c>
      <c r="E734" s="2" t="s">
        <v>493</v>
      </c>
      <c r="F734" s="2" t="s">
        <v>4970</v>
      </c>
      <c r="G734" s="1">
        <v>1</v>
      </c>
      <c r="H734" s="1" t="s">
        <v>1663</v>
      </c>
      <c r="I734" s="1" t="s">
        <v>1657</v>
      </c>
      <c r="J734" s="1" t="s">
        <v>1658</v>
      </c>
      <c r="K734" s="1" t="s">
        <v>1658</v>
      </c>
      <c r="L734" s="1" t="s">
        <v>1658</v>
      </c>
      <c r="M734" s="1" t="s">
        <v>1658</v>
      </c>
      <c r="N734" s="1" t="s">
        <v>1658</v>
      </c>
      <c r="O734" s="1" t="s">
        <v>1658</v>
      </c>
      <c r="P734" s="1">
        <v>1</v>
      </c>
      <c r="Q734" s="1" t="s">
        <v>1658</v>
      </c>
      <c r="R734" s="1">
        <v>0</v>
      </c>
      <c r="S734" s="1" t="s">
        <v>4971</v>
      </c>
      <c r="T734" s="6" t="s">
        <v>4971</v>
      </c>
      <c r="U734" s="1" t="str">
        <f t="shared" si="11"/>
        <v>Yes</v>
      </c>
      <c r="W734" s="1" t="s">
        <v>4972</v>
      </c>
      <c r="X734" s="1" t="str">
        <f>IF(COUNTIF('MyWells Drilling Comp'!F:F,E734)=0,"Missing","Exist")</f>
        <v>Exist</v>
      </c>
    </row>
    <row r="735" hidden="1" spans="1:24">
      <c r="A735" s="1" t="s">
        <v>1652</v>
      </c>
      <c r="B735" s="1" t="s">
        <v>90</v>
      </c>
      <c r="C735" s="1" t="s">
        <v>4973</v>
      </c>
      <c r="D735" s="1" t="s">
        <v>4969</v>
      </c>
      <c r="E735" s="2" t="s">
        <v>493</v>
      </c>
      <c r="F735" s="2" t="s">
        <v>4974</v>
      </c>
      <c r="G735" s="1">
        <v>1</v>
      </c>
      <c r="H735" s="1" t="s">
        <v>1656</v>
      </c>
      <c r="I735" s="1" t="s">
        <v>1657</v>
      </c>
      <c r="J735" s="1" t="s">
        <v>1658</v>
      </c>
      <c r="K735" s="1" t="s">
        <v>1658</v>
      </c>
      <c r="L735" s="1" t="s">
        <v>1658</v>
      </c>
      <c r="M735" s="1" t="s">
        <v>1658</v>
      </c>
      <c r="N735" s="1" t="s">
        <v>1658</v>
      </c>
      <c r="O735" s="1" t="s">
        <v>1658</v>
      </c>
      <c r="P735" s="1">
        <v>1</v>
      </c>
      <c r="Q735" s="1" t="s">
        <v>1658</v>
      </c>
      <c r="R735" s="1">
        <v>0</v>
      </c>
      <c r="S735" s="1" t="s">
        <v>4975</v>
      </c>
      <c r="T735" s="6" t="s">
        <v>4975</v>
      </c>
      <c r="U735" s="1" t="str">
        <f t="shared" si="11"/>
        <v>Yes</v>
      </c>
      <c r="W735" s="1" t="s">
        <v>4976</v>
      </c>
      <c r="X735" s="1" t="str">
        <f>IF(COUNTIF('MyWells Drilling Comp'!F:F,E735)=0,"Missing","Exist")</f>
        <v>Exist</v>
      </c>
    </row>
    <row r="736" hidden="1" spans="1:24">
      <c r="A736" s="1" t="s">
        <v>1652</v>
      </c>
      <c r="B736" s="1" t="s">
        <v>90</v>
      </c>
      <c r="C736" s="1" t="s">
        <v>4977</v>
      </c>
      <c r="D736" s="1" t="s">
        <v>4978</v>
      </c>
      <c r="E736" s="2" t="s">
        <v>917</v>
      </c>
      <c r="F736" s="2" t="s">
        <v>4979</v>
      </c>
      <c r="G736" s="1">
        <v>1</v>
      </c>
      <c r="H736" s="1" t="s">
        <v>1656</v>
      </c>
      <c r="I736" s="1" t="s">
        <v>1657</v>
      </c>
      <c r="J736" s="1" t="s">
        <v>1658</v>
      </c>
      <c r="K736" s="1" t="s">
        <v>1658</v>
      </c>
      <c r="L736" s="1" t="s">
        <v>1658</v>
      </c>
      <c r="M736" s="1" t="s">
        <v>1658</v>
      </c>
      <c r="N736" s="1" t="s">
        <v>1658</v>
      </c>
      <c r="O736" s="1" t="s">
        <v>1658</v>
      </c>
      <c r="P736" s="1">
        <v>1</v>
      </c>
      <c r="Q736" s="1" t="s">
        <v>1658</v>
      </c>
      <c r="R736" s="1">
        <v>0</v>
      </c>
      <c r="S736" s="1" t="s">
        <v>4980</v>
      </c>
      <c r="T736" s="6" t="s">
        <v>4980</v>
      </c>
      <c r="U736" s="1" t="str">
        <f t="shared" si="11"/>
        <v>Yes</v>
      </c>
      <c r="W736" s="1" t="s">
        <v>4981</v>
      </c>
      <c r="X736" s="1" t="str">
        <f>IF(COUNTIF('MyWells Drilling Comp'!F:F,E736)=0,"Missing","Exist")</f>
        <v>Exist</v>
      </c>
    </row>
    <row r="737" hidden="1" spans="1:24">
      <c r="A737" s="1" t="s">
        <v>1652</v>
      </c>
      <c r="B737" s="1" t="s">
        <v>90</v>
      </c>
      <c r="C737" s="1" t="s">
        <v>4982</v>
      </c>
      <c r="D737" s="1" t="s">
        <v>4978</v>
      </c>
      <c r="E737" s="2" t="s">
        <v>917</v>
      </c>
      <c r="F737" s="2" t="s">
        <v>4983</v>
      </c>
      <c r="G737" s="1">
        <v>1</v>
      </c>
      <c r="H737" s="1" t="s">
        <v>1663</v>
      </c>
      <c r="I737" s="1" t="s">
        <v>1657</v>
      </c>
      <c r="J737" s="1" t="s">
        <v>1658</v>
      </c>
      <c r="K737" s="1" t="s">
        <v>1658</v>
      </c>
      <c r="L737" s="1" t="s">
        <v>1658</v>
      </c>
      <c r="M737" s="1" t="s">
        <v>1658</v>
      </c>
      <c r="N737" s="1" t="s">
        <v>1658</v>
      </c>
      <c r="O737" s="1" t="s">
        <v>1658</v>
      </c>
      <c r="P737" s="1">
        <v>1</v>
      </c>
      <c r="Q737" s="1" t="s">
        <v>1658</v>
      </c>
      <c r="R737" s="1">
        <v>0</v>
      </c>
      <c r="S737" s="1" t="s">
        <v>4984</v>
      </c>
      <c r="T737" s="6" t="s">
        <v>4984</v>
      </c>
      <c r="U737" s="1" t="str">
        <f t="shared" si="11"/>
        <v>Yes</v>
      </c>
      <c r="W737" s="1" t="s">
        <v>4985</v>
      </c>
      <c r="X737" s="1" t="str">
        <f>IF(COUNTIF('MyWells Drilling Comp'!F:F,E737)=0,"Missing","Exist")</f>
        <v>Exist</v>
      </c>
    </row>
    <row r="738" hidden="1" spans="1:24">
      <c r="A738" s="1" t="s">
        <v>1652</v>
      </c>
      <c r="B738" s="1" t="s">
        <v>90</v>
      </c>
      <c r="C738" s="1" t="s">
        <v>4986</v>
      </c>
      <c r="D738" s="1" t="s">
        <v>4987</v>
      </c>
      <c r="E738" s="2" t="s">
        <v>977</v>
      </c>
      <c r="F738" s="2" t="s">
        <v>4988</v>
      </c>
      <c r="G738" s="1">
        <v>1</v>
      </c>
      <c r="H738" s="1" t="s">
        <v>1663</v>
      </c>
      <c r="I738" s="1" t="s">
        <v>1657</v>
      </c>
      <c r="J738" s="1" t="s">
        <v>1658</v>
      </c>
      <c r="K738" s="1" t="s">
        <v>1658</v>
      </c>
      <c r="L738" s="1" t="s">
        <v>1658</v>
      </c>
      <c r="M738" s="1" t="s">
        <v>1658</v>
      </c>
      <c r="N738" s="1" t="s">
        <v>1658</v>
      </c>
      <c r="O738" s="1" t="s">
        <v>1658</v>
      </c>
      <c r="P738" s="1">
        <v>1</v>
      </c>
      <c r="Q738" s="1" t="s">
        <v>1658</v>
      </c>
      <c r="R738" s="1">
        <v>0</v>
      </c>
      <c r="S738" s="1" t="s">
        <v>4989</v>
      </c>
      <c r="T738" s="6" t="s">
        <v>4989</v>
      </c>
      <c r="U738" s="1" t="str">
        <f t="shared" si="11"/>
        <v>Yes</v>
      </c>
      <c r="W738" s="1" t="s">
        <v>4990</v>
      </c>
      <c r="X738" s="1" t="str">
        <f>IF(COUNTIF('MyWells Drilling Comp'!F:F,E738)=0,"Missing","Exist")</f>
        <v>Exist</v>
      </c>
    </row>
    <row r="739" hidden="1" spans="1:24">
      <c r="A739" s="1" t="s">
        <v>1652</v>
      </c>
      <c r="B739" s="1" t="s">
        <v>90</v>
      </c>
      <c r="C739" s="1" t="s">
        <v>4991</v>
      </c>
      <c r="D739" s="1" t="s">
        <v>4987</v>
      </c>
      <c r="E739" s="2" t="s">
        <v>977</v>
      </c>
      <c r="F739" s="2" t="s">
        <v>4992</v>
      </c>
      <c r="G739" s="1">
        <v>1</v>
      </c>
      <c r="H739" s="1" t="s">
        <v>1656</v>
      </c>
      <c r="I739" s="1" t="s">
        <v>1657</v>
      </c>
      <c r="J739" s="1" t="s">
        <v>1658</v>
      </c>
      <c r="K739" s="1" t="s">
        <v>1658</v>
      </c>
      <c r="L739" s="1" t="s">
        <v>1658</v>
      </c>
      <c r="M739" s="1" t="s">
        <v>1658</v>
      </c>
      <c r="N739" s="1" t="s">
        <v>1658</v>
      </c>
      <c r="O739" s="1" t="s">
        <v>1658</v>
      </c>
      <c r="P739" s="1">
        <v>1</v>
      </c>
      <c r="Q739" s="1" t="s">
        <v>1658</v>
      </c>
      <c r="R739" s="1">
        <v>0</v>
      </c>
      <c r="S739" s="1" t="s">
        <v>4993</v>
      </c>
      <c r="T739" s="6" t="s">
        <v>4993</v>
      </c>
      <c r="U739" s="1" t="str">
        <f t="shared" si="11"/>
        <v>Yes</v>
      </c>
      <c r="W739" s="1" t="s">
        <v>4994</v>
      </c>
      <c r="X739" s="1" t="str">
        <f>IF(COUNTIF('MyWells Drilling Comp'!F:F,E739)=0,"Missing","Exist")</f>
        <v>Exist</v>
      </c>
    </row>
    <row r="740" hidden="1" spans="1:24">
      <c r="A740" s="1" t="s">
        <v>1652</v>
      </c>
      <c r="B740" s="1" t="s">
        <v>90</v>
      </c>
      <c r="C740" s="1" t="s">
        <v>4995</v>
      </c>
      <c r="D740" s="1" t="s">
        <v>4996</v>
      </c>
      <c r="E740" s="2" t="s">
        <v>1396</v>
      </c>
      <c r="F740" s="2" t="s">
        <v>4997</v>
      </c>
      <c r="G740" s="1">
        <v>1</v>
      </c>
      <c r="H740" s="1" t="s">
        <v>1663</v>
      </c>
      <c r="I740" s="1" t="s">
        <v>1657</v>
      </c>
      <c r="J740" s="1" t="s">
        <v>1658</v>
      </c>
      <c r="K740" s="1" t="s">
        <v>1658</v>
      </c>
      <c r="L740" s="1" t="s">
        <v>1658</v>
      </c>
      <c r="M740" s="1" t="s">
        <v>1658</v>
      </c>
      <c r="N740" s="1" t="s">
        <v>1658</v>
      </c>
      <c r="O740" s="1" t="s">
        <v>1658</v>
      </c>
      <c r="P740" s="1">
        <v>1</v>
      </c>
      <c r="Q740" s="1" t="s">
        <v>1658</v>
      </c>
      <c r="R740" s="1">
        <v>0</v>
      </c>
      <c r="S740" s="1" t="s">
        <v>4998</v>
      </c>
      <c r="T740" s="6" t="s">
        <v>4998</v>
      </c>
      <c r="U740" s="1" t="str">
        <f t="shared" si="11"/>
        <v>Yes</v>
      </c>
      <c r="W740" s="1" t="s">
        <v>4999</v>
      </c>
      <c r="X740" s="1" t="str">
        <f>IF(COUNTIF('MyWells Drilling Comp'!F:F,E740)=0,"Missing","Exist")</f>
        <v>Exist</v>
      </c>
    </row>
    <row r="741" hidden="1" spans="1:24">
      <c r="A741" s="1" t="s">
        <v>1652</v>
      </c>
      <c r="B741" s="1" t="s">
        <v>90</v>
      </c>
      <c r="C741" s="1" t="s">
        <v>5000</v>
      </c>
      <c r="D741" s="1" t="s">
        <v>4996</v>
      </c>
      <c r="E741" s="2" t="s">
        <v>1396</v>
      </c>
      <c r="F741" s="2" t="s">
        <v>5001</v>
      </c>
      <c r="G741" s="1">
        <v>1</v>
      </c>
      <c r="H741" s="1" t="s">
        <v>1656</v>
      </c>
      <c r="I741" s="1" t="s">
        <v>1657</v>
      </c>
      <c r="J741" s="1" t="s">
        <v>1658</v>
      </c>
      <c r="K741" s="1" t="s">
        <v>1658</v>
      </c>
      <c r="L741" s="1" t="s">
        <v>1658</v>
      </c>
      <c r="M741" s="1" t="s">
        <v>1658</v>
      </c>
      <c r="N741" s="1" t="s">
        <v>1658</v>
      </c>
      <c r="O741" s="1" t="s">
        <v>1658</v>
      </c>
      <c r="P741" s="1">
        <v>1</v>
      </c>
      <c r="Q741" s="1" t="s">
        <v>1658</v>
      </c>
      <c r="R741" s="1">
        <v>0</v>
      </c>
      <c r="S741" s="1" t="s">
        <v>5002</v>
      </c>
      <c r="T741" s="6" t="s">
        <v>5002</v>
      </c>
      <c r="U741" s="1" t="str">
        <f t="shared" si="11"/>
        <v>Yes</v>
      </c>
      <c r="W741" s="1" t="s">
        <v>5003</v>
      </c>
      <c r="X741" s="1" t="str">
        <f>IF(COUNTIF('MyWells Drilling Comp'!F:F,E741)=0,"Missing","Exist")</f>
        <v>Exist</v>
      </c>
    </row>
    <row r="742" hidden="1" spans="1:24">
      <c r="A742" s="1" t="s">
        <v>1652</v>
      </c>
      <c r="B742" s="1" t="s">
        <v>90</v>
      </c>
      <c r="C742" s="1" t="s">
        <v>5004</v>
      </c>
      <c r="D742" s="1" t="s">
        <v>5005</v>
      </c>
      <c r="E742" s="2" t="s">
        <v>939</v>
      </c>
      <c r="F742" s="2" t="s">
        <v>5006</v>
      </c>
      <c r="G742" s="1">
        <v>1</v>
      </c>
      <c r="H742" s="1" t="s">
        <v>1656</v>
      </c>
      <c r="I742" s="1" t="s">
        <v>1657</v>
      </c>
      <c r="J742" s="1" t="s">
        <v>1658</v>
      </c>
      <c r="K742" s="1" t="s">
        <v>1658</v>
      </c>
      <c r="L742" s="1" t="s">
        <v>1658</v>
      </c>
      <c r="M742" s="1" t="s">
        <v>1658</v>
      </c>
      <c r="N742" s="1" t="s">
        <v>1658</v>
      </c>
      <c r="O742" s="1" t="s">
        <v>1658</v>
      </c>
      <c r="P742" s="1">
        <v>1</v>
      </c>
      <c r="Q742" s="1" t="s">
        <v>1658</v>
      </c>
      <c r="R742" s="1">
        <v>0</v>
      </c>
      <c r="S742" s="1" t="s">
        <v>5007</v>
      </c>
      <c r="T742" s="6" t="s">
        <v>5007</v>
      </c>
      <c r="U742" s="1" t="str">
        <f t="shared" si="11"/>
        <v>Yes</v>
      </c>
      <c r="W742" s="1" t="s">
        <v>5008</v>
      </c>
      <c r="X742" s="1" t="str">
        <f>IF(COUNTIF('MyWells Drilling Comp'!F:F,E742)=0,"Missing","Exist")</f>
        <v>Exist</v>
      </c>
    </row>
    <row r="743" hidden="1" spans="1:24">
      <c r="A743" s="1" t="s">
        <v>1652</v>
      </c>
      <c r="B743" s="1" t="s">
        <v>90</v>
      </c>
      <c r="C743" s="1" t="s">
        <v>5009</v>
      </c>
      <c r="D743" s="1" t="s">
        <v>5005</v>
      </c>
      <c r="E743" s="2" t="s">
        <v>939</v>
      </c>
      <c r="F743" s="2" t="s">
        <v>5010</v>
      </c>
      <c r="G743" s="1">
        <v>1</v>
      </c>
      <c r="H743" s="1" t="s">
        <v>1663</v>
      </c>
      <c r="I743" s="1" t="s">
        <v>1657</v>
      </c>
      <c r="J743" s="1" t="s">
        <v>1658</v>
      </c>
      <c r="K743" s="1" t="s">
        <v>1658</v>
      </c>
      <c r="L743" s="1" t="s">
        <v>1658</v>
      </c>
      <c r="M743" s="1" t="s">
        <v>1658</v>
      </c>
      <c r="N743" s="1" t="s">
        <v>1658</v>
      </c>
      <c r="O743" s="1" t="s">
        <v>1658</v>
      </c>
      <c r="P743" s="1">
        <v>1</v>
      </c>
      <c r="Q743" s="1" t="s">
        <v>1658</v>
      </c>
      <c r="R743" s="1">
        <v>0</v>
      </c>
      <c r="S743" s="1" t="s">
        <v>5011</v>
      </c>
      <c r="T743" s="6" t="s">
        <v>5011</v>
      </c>
      <c r="U743" s="1" t="str">
        <f t="shared" si="11"/>
        <v>Yes</v>
      </c>
      <c r="W743" s="1" t="s">
        <v>5012</v>
      </c>
      <c r="X743" s="1" t="str">
        <f>IF(COUNTIF('MyWells Drilling Comp'!F:F,E743)=0,"Missing","Exist")</f>
        <v>Exist</v>
      </c>
    </row>
    <row r="744" hidden="1" spans="1:24">
      <c r="A744" s="1" t="s">
        <v>1652</v>
      </c>
      <c r="B744" s="1" t="s">
        <v>90</v>
      </c>
      <c r="C744" s="1" t="s">
        <v>5013</v>
      </c>
      <c r="D744" s="1" t="s">
        <v>5014</v>
      </c>
      <c r="E744" s="2" t="s">
        <v>916</v>
      </c>
      <c r="F744" s="2" t="s">
        <v>5015</v>
      </c>
      <c r="G744" s="1">
        <v>1</v>
      </c>
      <c r="H744" s="1" t="s">
        <v>1656</v>
      </c>
      <c r="I744" s="1" t="s">
        <v>1657</v>
      </c>
      <c r="J744" s="1" t="s">
        <v>1658</v>
      </c>
      <c r="K744" s="1" t="s">
        <v>1658</v>
      </c>
      <c r="L744" s="1" t="s">
        <v>1658</v>
      </c>
      <c r="M744" s="1" t="s">
        <v>1658</v>
      </c>
      <c r="N744" s="1" t="s">
        <v>1658</v>
      </c>
      <c r="O744" s="1" t="s">
        <v>1658</v>
      </c>
      <c r="P744" s="1">
        <v>1</v>
      </c>
      <c r="Q744" s="1" t="s">
        <v>1658</v>
      </c>
      <c r="R744" s="1">
        <v>0</v>
      </c>
      <c r="S744" s="1" t="s">
        <v>5016</v>
      </c>
      <c r="T744" s="6" t="s">
        <v>5016</v>
      </c>
      <c r="U744" s="1" t="str">
        <f t="shared" si="11"/>
        <v>Yes</v>
      </c>
      <c r="W744" s="1" t="s">
        <v>5017</v>
      </c>
      <c r="X744" s="1" t="str">
        <f>IF(COUNTIF('MyWells Drilling Comp'!F:F,E744)=0,"Missing","Exist")</f>
        <v>Exist</v>
      </c>
    </row>
    <row r="745" hidden="1" spans="1:24">
      <c r="A745" s="1" t="s">
        <v>1652</v>
      </c>
      <c r="B745" s="1" t="s">
        <v>90</v>
      </c>
      <c r="C745" s="1" t="s">
        <v>5018</v>
      </c>
      <c r="D745" s="1" t="s">
        <v>5014</v>
      </c>
      <c r="E745" s="2" t="s">
        <v>916</v>
      </c>
      <c r="F745" s="2" t="s">
        <v>5019</v>
      </c>
      <c r="G745" s="1">
        <v>1</v>
      </c>
      <c r="H745" s="1" t="s">
        <v>1663</v>
      </c>
      <c r="I745" s="1" t="s">
        <v>1657</v>
      </c>
      <c r="J745" s="1" t="s">
        <v>1658</v>
      </c>
      <c r="K745" s="1" t="s">
        <v>1658</v>
      </c>
      <c r="L745" s="1" t="s">
        <v>1658</v>
      </c>
      <c r="M745" s="1" t="s">
        <v>1658</v>
      </c>
      <c r="N745" s="1" t="s">
        <v>1658</v>
      </c>
      <c r="O745" s="1" t="s">
        <v>1658</v>
      </c>
      <c r="P745" s="1">
        <v>1</v>
      </c>
      <c r="Q745" s="1" t="s">
        <v>1658</v>
      </c>
      <c r="R745" s="1">
        <v>0</v>
      </c>
      <c r="S745" s="1" t="s">
        <v>5020</v>
      </c>
      <c r="T745" s="6" t="s">
        <v>5020</v>
      </c>
      <c r="U745" s="1" t="str">
        <f t="shared" si="11"/>
        <v>Yes</v>
      </c>
      <c r="W745" s="1" t="s">
        <v>5021</v>
      </c>
      <c r="X745" s="1" t="str">
        <f>IF(COUNTIF('MyWells Drilling Comp'!F:F,E745)=0,"Missing","Exist")</f>
        <v>Exist</v>
      </c>
    </row>
    <row r="746" hidden="1" spans="1:24">
      <c r="A746" s="1" t="s">
        <v>1652</v>
      </c>
      <c r="B746" s="1" t="s">
        <v>90</v>
      </c>
      <c r="C746" s="1" t="s">
        <v>5022</v>
      </c>
      <c r="D746" s="1" t="s">
        <v>5023</v>
      </c>
      <c r="E746" s="2" t="s">
        <v>222</v>
      </c>
      <c r="F746" s="2" t="s">
        <v>5024</v>
      </c>
      <c r="G746" s="1">
        <v>1</v>
      </c>
      <c r="H746" s="1" t="s">
        <v>1663</v>
      </c>
      <c r="I746" s="1" t="s">
        <v>1657</v>
      </c>
      <c r="J746" s="1" t="s">
        <v>1658</v>
      </c>
      <c r="K746" s="1" t="s">
        <v>1658</v>
      </c>
      <c r="L746" s="1" t="s">
        <v>1658</v>
      </c>
      <c r="M746" s="1" t="s">
        <v>1658</v>
      </c>
      <c r="N746" s="1" t="s">
        <v>1658</v>
      </c>
      <c r="O746" s="1" t="s">
        <v>1658</v>
      </c>
      <c r="P746" s="1">
        <v>1</v>
      </c>
      <c r="Q746" s="1" t="s">
        <v>1658</v>
      </c>
      <c r="R746" s="1">
        <v>0</v>
      </c>
      <c r="S746" s="1" t="s">
        <v>5025</v>
      </c>
      <c r="T746" s="6" t="s">
        <v>5025</v>
      </c>
      <c r="U746" s="1" t="str">
        <f t="shared" si="11"/>
        <v>Yes</v>
      </c>
      <c r="W746" s="1" t="s">
        <v>5026</v>
      </c>
      <c r="X746" s="1" t="str">
        <f>IF(COUNTIF('MyWells Drilling Comp'!F:F,E746)=0,"Missing","Exist")</f>
        <v>Exist</v>
      </c>
    </row>
    <row r="747" hidden="1" spans="1:24">
      <c r="A747" s="1" t="s">
        <v>1652</v>
      </c>
      <c r="B747" s="1" t="s">
        <v>90</v>
      </c>
      <c r="C747" s="1" t="s">
        <v>5027</v>
      </c>
      <c r="D747" s="1" t="s">
        <v>5023</v>
      </c>
      <c r="E747" s="2" t="s">
        <v>222</v>
      </c>
      <c r="F747" s="2" t="s">
        <v>5028</v>
      </c>
      <c r="G747" s="1">
        <v>1</v>
      </c>
      <c r="H747" s="1" t="s">
        <v>1656</v>
      </c>
      <c r="I747" s="1" t="s">
        <v>1657</v>
      </c>
      <c r="J747" s="1" t="s">
        <v>1658</v>
      </c>
      <c r="K747" s="1" t="s">
        <v>1658</v>
      </c>
      <c r="L747" s="1" t="s">
        <v>1658</v>
      </c>
      <c r="M747" s="1" t="s">
        <v>1658</v>
      </c>
      <c r="N747" s="1" t="s">
        <v>1658</v>
      </c>
      <c r="O747" s="1" t="s">
        <v>1658</v>
      </c>
      <c r="P747" s="1">
        <v>1</v>
      </c>
      <c r="Q747" s="1" t="s">
        <v>1658</v>
      </c>
      <c r="R747" s="1">
        <v>0</v>
      </c>
      <c r="S747" s="1" t="s">
        <v>5029</v>
      </c>
      <c r="T747" s="6" t="s">
        <v>5029</v>
      </c>
      <c r="U747" s="1" t="str">
        <f t="shared" si="11"/>
        <v>Yes</v>
      </c>
      <c r="W747" s="1" t="s">
        <v>5030</v>
      </c>
      <c r="X747" s="1" t="str">
        <f>IF(COUNTIF('MyWells Drilling Comp'!F:F,E747)=0,"Missing","Exist")</f>
        <v>Exist</v>
      </c>
    </row>
    <row r="748" hidden="1" spans="1:24">
      <c r="A748" s="1" t="s">
        <v>1652</v>
      </c>
      <c r="B748" s="1" t="s">
        <v>90</v>
      </c>
      <c r="C748" s="1" t="s">
        <v>5031</v>
      </c>
      <c r="D748" s="1" t="s">
        <v>5032</v>
      </c>
      <c r="E748" s="2" t="s">
        <v>1253</v>
      </c>
      <c r="F748" s="2" t="s">
        <v>5033</v>
      </c>
      <c r="G748" s="1">
        <v>1</v>
      </c>
      <c r="H748" s="1" t="s">
        <v>1656</v>
      </c>
      <c r="I748" s="1" t="s">
        <v>1657</v>
      </c>
      <c r="J748" s="1" t="s">
        <v>1658</v>
      </c>
      <c r="K748" s="1" t="s">
        <v>1658</v>
      </c>
      <c r="L748" s="1" t="s">
        <v>1658</v>
      </c>
      <c r="M748" s="1" t="s">
        <v>1658</v>
      </c>
      <c r="N748" s="1" t="s">
        <v>1658</v>
      </c>
      <c r="O748" s="1" t="s">
        <v>1658</v>
      </c>
      <c r="P748" s="1">
        <v>1</v>
      </c>
      <c r="Q748" s="1" t="s">
        <v>1658</v>
      </c>
      <c r="R748" s="1">
        <v>0</v>
      </c>
      <c r="S748" s="1" t="s">
        <v>5034</v>
      </c>
      <c r="T748" s="6" t="s">
        <v>5034</v>
      </c>
      <c r="U748" s="1" t="str">
        <f t="shared" si="11"/>
        <v>Yes</v>
      </c>
      <c r="W748" s="1" t="s">
        <v>5035</v>
      </c>
      <c r="X748" s="1" t="str">
        <f>IF(COUNTIF('MyWells Drilling Comp'!F:F,E748)=0,"Missing","Exist")</f>
        <v>Exist</v>
      </c>
    </row>
    <row r="749" hidden="1" spans="1:24">
      <c r="A749" s="1" t="s">
        <v>1652</v>
      </c>
      <c r="B749" s="1" t="s">
        <v>90</v>
      </c>
      <c r="C749" s="1" t="s">
        <v>5036</v>
      </c>
      <c r="D749" s="1" t="s">
        <v>5032</v>
      </c>
      <c r="E749" s="2" t="s">
        <v>1253</v>
      </c>
      <c r="F749" s="2" t="s">
        <v>5037</v>
      </c>
      <c r="G749" s="1">
        <v>1</v>
      </c>
      <c r="H749" s="1" t="s">
        <v>1663</v>
      </c>
      <c r="I749" s="1" t="s">
        <v>1657</v>
      </c>
      <c r="J749" s="1" t="s">
        <v>1658</v>
      </c>
      <c r="K749" s="1" t="s">
        <v>1658</v>
      </c>
      <c r="L749" s="1" t="s">
        <v>1658</v>
      </c>
      <c r="M749" s="1" t="s">
        <v>1658</v>
      </c>
      <c r="N749" s="1" t="s">
        <v>1658</v>
      </c>
      <c r="O749" s="1" t="s">
        <v>1658</v>
      </c>
      <c r="P749" s="1">
        <v>1</v>
      </c>
      <c r="Q749" s="1" t="s">
        <v>1658</v>
      </c>
      <c r="R749" s="1">
        <v>0</v>
      </c>
      <c r="S749" s="1" t="s">
        <v>5038</v>
      </c>
      <c r="T749" s="6" t="s">
        <v>5038</v>
      </c>
      <c r="U749" s="1" t="str">
        <f t="shared" si="11"/>
        <v>Yes</v>
      </c>
      <c r="W749" s="1" t="s">
        <v>5039</v>
      </c>
      <c r="X749" s="1" t="str">
        <f>IF(COUNTIF('MyWells Drilling Comp'!F:F,E749)=0,"Missing","Exist")</f>
        <v>Exist</v>
      </c>
    </row>
    <row r="750" hidden="1" spans="1:24">
      <c r="A750" s="1" t="s">
        <v>1652</v>
      </c>
      <c r="B750" s="1" t="s">
        <v>90</v>
      </c>
      <c r="C750" s="1" t="s">
        <v>5040</v>
      </c>
      <c r="D750" s="1" t="s">
        <v>5041</v>
      </c>
      <c r="E750" s="2" t="s">
        <v>1431</v>
      </c>
      <c r="F750" s="2" t="s">
        <v>5042</v>
      </c>
      <c r="G750" s="1">
        <v>1</v>
      </c>
      <c r="H750" s="1" t="s">
        <v>1656</v>
      </c>
      <c r="I750" s="1" t="s">
        <v>1657</v>
      </c>
      <c r="J750" s="1" t="s">
        <v>1658</v>
      </c>
      <c r="K750" s="1" t="s">
        <v>1658</v>
      </c>
      <c r="L750" s="1" t="s">
        <v>1658</v>
      </c>
      <c r="M750" s="1" t="s">
        <v>1658</v>
      </c>
      <c r="N750" s="1" t="s">
        <v>1658</v>
      </c>
      <c r="O750" s="1" t="s">
        <v>1658</v>
      </c>
      <c r="P750" s="1">
        <v>1</v>
      </c>
      <c r="Q750" s="1" t="s">
        <v>1658</v>
      </c>
      <c r="R750" s="1">
        <v>0</v>
      </c>
      <c r="S750" s="1" t="s">
        <v>5043</v>
      </c>
      <c r="T750" s="6" t="s">
        <v>5043</v>
      </c>
      <c r="U750" s="1" t="str">
        <f t="shared" si="11"/>
        <v>Yes</v>
      </c>
      <c r="W750" s="1" t="s">
        <v>5044</v>
      </c>
      <c r="X750" s="1" t="str">
        <f>IF(COUNTIF('MyWells Drilling Comp'!F:F,E750)=0,"Missing","Exist")</f>
        <v>Exist</v>
      </c>
    </row>
    <row r="751" hidden="1" spans="1:24">
      <c r="A751" s="1" t="s">
        <v>1652</v>
      </c>
      <c r="B751" s="1" t="s">
        <v>90</v>
      </c>
      <c r="C751" s="1" t="s">
        <v>5045</v>
      </c>
      <c r="D751" s="1" t="s">
        <v>5041</v>
      </c>
      <c r="E751" s="2" t="s">
        <v>1431</v>
      </c>
      <c r="F751" s="2" t="s">
        <v>5046</v>
      </c>
      <c r="G751" s="1">
        <v>1</v>
      </c>
      <c r="H751" s="1" t="s">
        <v>1663</v>
      </c>
      <c r="I751" s="1" t="s">
        <v>1657</v>
      </c>
      <c r="J751" s="1" t="s">
        <v>1658</v>
      </c>
      <c r="K751" s="1" t="s">
        <v>1658</v>
      </c>
      <c r="L751" s="1" t="s">
        <v>1658</v>
      </c>
      <c r="M751" s="1" t="s">
        <v>1658</v>
      </c>
      <c r="N751" s="1" t="s">
        <v>1658</v>
      </c>
      <c r="O751" s="1" t="s">
        <v>1658</v>
      </c>
      <c r="P751" s="1">
        <v>1</v>
      </c>
      <c r="Q751" s="1" t="s">
        <v>1658</v>
      </c>
      <c r="R751" s="1">
        <v>0</v>
      </c>
      <c r="S751" s="1" t="s">
        <v>5047</v>
      </c>
      <c r="T751" s="6" t="s">
        <v>5047</v>
      </c>
      <c r="U751" s="1" t="str">
        <f t="shared" si="11"/>
        <v>Yes</v>
      </c>
      <c r="W751" s="1" t="s">
        <v>5048</v>
      </c>
      <c r="X751" s="1" t="str">
        <f>IF(COUNTIF('MyWells Drilling Comp'!F:F,E751)=0,"Missing","Exist")</f>
        <v>Exist</v>
      </c>
    </row>
    <row r="752" hidden="1" spans="1:24">
      <c r="A752" s="1" t="s">
        <v>1652</v>
      </c>
      <c r="B752" s="1" t="s">
        <v>90</v>
      </c>
      <c r="C752" s="1" t="s">
        <v>5049</v>
      </c>
      <c r="D752" s="1" t="s">
        <v>5050</v>
      </c>
      <c r="E752" s="2" t="s">
        <v>660</v>
      </c>
      <c r="F752" s="2" t="s">
        <v>5051</v>
      </c>
      <c r="G752" s="1">
        <v>1</v>
      </c>
      <c r="H752" s="1" t="s">
        <v>1663</v>
      </c>
      <c r="I752" s="1" t="s">
        <v>1657</v>
      </c>
      <c r="J752" s="1" t="s">
        <v>1658</v>
      </c>
      <c r="K752" s="1" t="s">
        <v>1658</v>
      </c>
      <c r="L752" s="1" t="s">
        <v>1658</v>
      </c>
      <c r="M752" s="1" t="s">
        <v>1658</v>
      </c>
      <c r="N752" s="1" t="s">
        <v>1658</v>
      </c>
      <c r="O752" s="1" t="s">
        <v>1658</v>
      </c>
      <c r="P752" s="1">
        <v>1</v>
      </c>
      <c r="Q752" s="1" t="s">
        <v>1658</v>
      </c>
      <c r="R752" s="1">
        <v>0</v>
      </c>
      <c r="S752" s="1" t="s">
        <v>5052</v>
      </c>
      <c r="T752" s="6" t="s">
        <v>5052</v>
      </c>
      <c r="U752" s="1" t="str">
        <f t="shared" si="11"/>
        <v>Yes</v>
      </c>
      <c r="W752" s="1" t="s">
        <v>5053</v>
      </c>
      <c r="X752" s="1" t="str">
        <f>IF(COUNTIF('MyWells Drilling Comp'!F:F,E752)=0,"Missing","Exist")</f>
        <v>Exist</v>
      </c>
    </row>
    <row r="753" hidden="1" spans="1:24">
      <c r="A753" s="1" t="s">
        <v>1652</v>
      </c>
      <c r="B753" s="1" t="s">
        <v>90</v>
      </c>
      <c r="C753" s="7" t="s">
        <v>5054</v>
      </c>
      <c r="D753" s="1" t="s">
        <v>5050</v>
      </c>
      <c r="E753" s="2" t="s">
        <v>660</v>
      </c>
      <c r="F753" s="2" t="s">
        <v>5055</v>
      </c>
      <c r="G753" s="1">
        <v>1</v>
      </c>
      <c r="H753" s="1" t="s">
        <v>1656</v>
      </c>
      <c r="I753" s="1" t="s">
        <v>1657</v>
      </c>
      <c r="J753" s="1" t="s">
        <v>1658</v>
      </c>
      <c r="K753" s="1" t="s">
        <v>1658</v>
      </c>
      <c r="L753" s="1" t="s">
        <v>1658</v>
      </c>
      <c r="M753" s="1" t="s">
        <v>1658</v>
      </c>
      <c r="N753" s="1" t="s">
        <v>1658</v>
      </c>
      <c r="O753" s="1" t="s">
        <v>1658</v>
      </c>
      <c r="P753" s="1">
        <v>1</v>
      </c>
      <c r="Q753" s="1" t="s">
        <v>1658</v>
      </c>
      <c r="R753" s="1">
        <v>0</v>
      </c>
      <c r="S753" s="1" t="s">
        <v>5056</v>
      </c>
      <c r="T753" s="6" t="s">
        <v>5056</v>
      </c>
      <c r="U753" s="1" t="str">
        <f t="shared" si="11"/>
        <v>Yes</v>
      </c>
      <c r="W753" s="1" t="s">
        <v>5057</v>
      </c>
      <c r="X753" s="1" t="str">
        <f>IF(COUNTIF('MyWells Drilling Comp'!F:F,E753)=0,"Missing","Exist")</f>
        <v>Exist</v>
      </c>
    </row>
    <row r="754" hidden="1" spans="1:24">
      <c r="A754" s="1" t="s">
        <v>1652</v>
      </c>
      <c r="B754" s="1" t="s">
        <v>90</v>
      </c>
      <c r="C754" s="1" t="s">
        <v>5058</v>
      </c>
      <c r="D754" s="1" t="s">
        <v>5059</v>
      </c>
      <c r="E754" s="2" t="s">
        <v>1246</v>
      </c>
      <c r="F754" s="2" t="s">
        <v>5060</v>
      </c>
      <c r="G754" s="1">
        <v>1</v>
      </c>
      <c r="H754" s="1" t="s">
        <v>1663</v>
      </c>
      <c r="I754" s="1" t="s">
        <v>1657</v>
      </c>
      <c r="J754" s="1" t="s">
        <v>1658</v>
      </c>
      <c r="K754" s="1" t="s">
        <v>1658</v>
      </c>
      <c r="L754" s="1" t="s">
        <v>1658</v>
      </c>
      <c r="M754" s="1" t="s">
        <v>1658</v>
      </c>
      <c r="N754" s="1" t="s">
        <v>1658</v>
      </c>
      <c r="O754" s="1" t="s">
        <v>1658</v>
      </c>
      <c r="P754" s="1">
        <v>1</v>
      </c>
      <c r="Q754" s="1" t="s">
        <v>1658</v>
      </c>
      <c r="R754" s="1">
        <v>0</v>
      </c>
      <c r="S754" s="1" t="s">
        <v>5061</v>
      </c>
      <c r="T754" s="6" t="s">
        <v>5061</v>
      </c>
      <c r="U754" s="1" t="str">
        <f t="shared" si="11"/>
        <v>Yes</v>
      </c>
      <c r="W754" s="1" t="s">
        <v>5062</v>
      </c>
      <c r="X754" s="1" t="str">
        <f>IF(COUNTIF('MyWells Drilling Comp'!F:F,E754)=0,"Missing","Exist")</f>
        <v>Exist</v>
      </c>
    </row>
    <row r="755" hidden="1" spans="1:24">
      <c r="A755" s="1" t="s">
        <v>1652</v>
      </c>
      <c r="B755" s="1" t="s">
        <v>90</v>
      </c>
      <c r="C755" s="1" t="s">
        <v>5063</v>
      </c>
      <c r="D755" s="1" t="s">
        <v>5059</v>
      </c>
      <c r="E755" s="2" t="s">
        <v>1246</v>
      </c>
      <c r="F755" s="2" t="s">
        <v>5064</v>
      </c>
      <c r="G755" s="1">
        <v>1</v>
      </c>
      <c r="H755" s="1" t="s">
        <v>1656</v>
      </c>
      <c r="I755" s="1" t="s">
        <v>1657</v>
      </c>
      <c r="J755" s="1" t="s">
        <v>1658</v>
      </c>
      <c r="K755" s="1" t="s">
        <v>1658</v>
      </c>
      <c r="L755" s="1" t="s">
        <v>1658</v>
      </c>
      <c r="M755" s="1" t="s">
        <v>1658</v>
      </c>
      <c r="N755" s="1" t="s">
        <v>1658</v>
      </c>
      <c r="O755" s="1" t="s">
        <v>1658</v>
      </c>
      <c r="P755" s="1">
        <v>1</v>
      </c>
      <c r="Q755" s="1" t="s">
        <v>1658</v>
      </c>
      <c r="R755" s="1">
        <v>0</v>
      </c>
      <c r="S755" s="1" t="s">
        <v>5065</v>
      </c>
      <c r="T755" s="6" t="s">
        <v>5066</v>
      </c>
      <c r="U755" s="1" t="str">
        <f t="shared" si="11"/>
        <v>No</v>
      </c>
      <c r="W755" s="1" t="s">
        <v>5067</v>
      </c>
      <c r="X755" s="1" t="str">
        <f>IF(COUNTIF('MyWells Drilling Comp'!F:F,E755)=0,"Missing","Exist")</f>
        <v>Exist</v>
      </c>
    </row>
    <row r="756" hidden="1" spans="1:24">
      <c r="A756" s="1" t="s">
        <v>1652</v>
      </c>
      <c r="B756" s="1" t="s">
        <v>90</v>
      </c>
      <c r="C756" s="1" t="s">
        <v>5068</v>
      </c>
      <c r="D756" s="1" t="s">
        <v>5069</v>
      </c>
      <c r="E756" s="2" t="s">
        <v>1530</v>
      </c>
      <c r="F756" s="2" t="s">
        <v>5070</v>
      </c>
      <c r="G756" s="1">
        <v>1</v>
      </c>
      <c r="H756" s="1" t="s">
        <v>1663</v>
      </c>
      <c r="I756" s="1" t="s">
        <v>1657</v>
      </c>
      <c r="J756" s="1" t="s">
        <v>1658</v>
      </c>
      <c r="K756" s="1" t="s">
        <v>1658</v>
      </c>
      <c r="L756" s="1" t="s">
        <v>1658</v>
      </c>
      <c r="M756" s="1" t="s">
        <v>1658</v>
      </c>
      <c r="N756" s="1" t="s">
        <v>1658</v>
      </c>
      <c r="O756" s="1" t="s">
        <v>1658</v>
      </c>
      <c r="P756" s="1">
        <v>1</v>
      </c>
      <c r="Q756" s="1" t="s">
        <v>1658</v>
      </c>
      <c r="R756" s="1">
        <v>0</v>
      </c>
      <c r="S756" s="1" t="s">
        <v>5071</v>
      </c>
      <c r="T756" s="6" t="s">
        <v>5071</v>
      </c>
      <c r="U756" s="1" t="str">
        <f t="shared" si="11"/>
        <v>Yes</v>
      </c>
      <c r="W756" s="1" t="s">
        <v>5072</v>
      </c>
      <c r="X756" s="1" t="str">
        <f>IF(COUNTIF('MyWells Drilling Comp'!F:F,E756)=0,"Missing","Exist")</f>
        <v>Exist</v>
      </c>
    </row>
    <row r="757" hidden="1" spans="1:24">
      <c r="A757" s="1" t="s">
        <v>1652</v>
      </c>
      <c r="B757" s="1" t="s">
        <v>90</v>
      </c>
      <c r="C757" s="1" t="s">
        <v>5073</v>
      </c>
      <c r="D757" s="1" t="s">
        <v>5069</v>
      </c>
      <c r="E757" s="2" t="s">
        <v>1530</v>
      </c>
      <c r="F757" s="2" t="s">
        <v>5074</v>
      </c>
      <c r="G757" s="1">
        <v>1</v>
      </c>
      <c r="H757" s="1" t="s">
        <v>1656</v>
      </c>
      <c r="I757" s="1" t="s">
        <v>1657</v>
      </c>
      <c r="J757" s="1" t="s">
        <v>1658</v>
      </c>
      <c r="K757" s="1" t="s">
        <v>1658</v>
      </c>
      <c r="L757" s="1" t="s">
        <v>1658</v>
      </c>
      <c r="M757" s="1" t="s">
        <v>1658</v>
      </c>
      <c r="N757" s="1" t="s">
        <v>1658</v>
      </c>
      <c r="O757" s="1" t="s">
        <v>1658</v>
      </c>
      <c r="P757" s="1">
        <v>1</v>
      </c>
      <c r="Q757" s="1" t="s">
        <v>1658</v>
      </c>
      <c r="R757" s="1">
        <v>0</v>
      </c>
      <c r="S757" s="1" t="s">
        <v>5075</v>
      </c>
      <c r="T757" s="6" t="s">
        <v>5075</v>
      </c>
      <c r="U757" s="1" t="str">
        <f t="shared" si="11"/>
        <v>Yes</v>
      </c>
      <c r="W757" s="1" t="s">
        <v>5076</v>
      </c>
      <c r="X757" s="1" t="str">
        <f>IF(COUNTIF('MyWells Drilling Comp'!F:F,E757)=0,"Missing","Exist")</f>
        <v>Exist</v>
      </c>
    </row>
    <row r="758" hidden="1" spans="1:24">
      <c r="A758" s="1" t="s">
        <v>1652</v>
      </c>
      <c r="B758" s="1" t="s">
        <v>90</v>
      </c>
      <c r="C758" s="1" t="s">
        <v>5077</v>
      </c>
      <c r="D758" s="1" t="s">
        <v>5078</v>
      </c>
      <c r="E758" s="2" t="s">
        <v>153</v>
      </c>
      <c r="F758" s="2" t="s">
        <v>5079</v>
      </c>
      <c r="G758" s="1">
        <v>1</v>
      </c>
      <c r="H758" s="1" t="s">
        <v>1656</v>
      </c>
      <c r="I758" s="1" t="s">
        <v>1657</v>
      </c>
      <c r="J758" s="1" t="s">
        <v>1658</v>
      </c>
      <c r="K758" s="1" t="s">
        <v>1658</v>
      </c>
      <c r="L758" s="1" t="s">
        <v>1658</v>
      </c>
      <c r="M758" s="1" t="s">
        <v>1658</v>
      </c>
      <c r="N758" s="1" t="s">
        <v>1658</v>
      </c>
      <c r="O758" s="1" t="s">
        <v>1658</v>
      </c>
      <c r="P758" s="1">
        <v>1</v>
      </c>
      <c r="Q758" s="1" t="s">
        <v>1658</v>
      </c>
      <c r="R758" s="1">
        <v>0</v>
      </c>
      <c r="S758" s="1" t="s">
        <v>5080</v>
      </c>
      <c r="T758" s="6" t="s">
        <v>5080</v>
      </c>
      <c r="U758" s="1" t="str">
        <f t="shared" si="11"/>
        <v>Yes</v>
      </c>
      <c r="W758" s="1" t="s">
        <v>5081</v>
      </c>
      <c r="X758" s="1" t="str">
        <f>IF(COUNTIF('MyWells Drilling Comp'!F:F,E758)=0,"Missing","Exist")</f>
        <v>Exist</v>
      </c>
    </row>
    <row r="759" hidden="1" spans="1:24">
      <c r="A759" s="1" t="s">
        <v>1652</v>
      </c>
      <c r="B759" s="1" t="s">
        <v>90</v>
      </c>
      <c r="C759" s="1" t="s">
        <v>5082</v>
      </c>
      <c r="D759" s="1" t="s">
        <v>5078</v>
      </c>
      <c r="E759" s="2" t="s">
        <v>153</v>
      </c>
      <c r="F759" s="2" t="s">
        <v>5083</v>
      </c>
      <c r="G759" s="1">
        <v>1</v>
      </c>
      <c r="H759" s="1" t="s">
        <v>1663</v>
      </c>
      <c r="I759" s="1" t="s">
        <v>1657</v>
      </c>
      <c r="J759" s="1" t="s">
        <v>1658</v>
      </c>
      <c r="K759" s="1" t="s">
        <v>1658</v>
      </c>
      <c r="L759" s="1" t="s">
        <v>1658</v>
      </c>
      <c r="M759" s="1" t="s">
        <v>1658</v>
      </c>
      <c r="N759" s="1" t="s">
        <v>1658</v>
      </c>
      <c r="O759" s="1" t="s">
        <v>1658</v>
      </c>
      <c r="P759" s="1">
        <v>1</v>
      </c>
      <c r="Q759" s="1" t="s">
        <v>1658</v>
      </c>
      <c r="R759" s="1">
        <v>0</v>
      </c>
      <c r="S759" s="1" t="s">
        <v>5084</v>
      </c>
      <c r="T759" s="6" t="s">
        <v>5084</v>
      </c>
      <c r="U759" s="1" t="str">
        <f t="shared" si="11"/>
        <v>Yes</v>
      </c>
      <c r="W759" s="1" t="s">
        <v>5085</v>
      </c>
      <c r="X759" s="1" t="str">
        <f>IF(COUNTIF('MyWells Drilling Comp'!F:F,E759)=0,"Missing","Exist")</f>
        <v>Exist</v>
      </c>
    </row>
    <row r="760" hidden="1" spans="1:24">
      <c r="A760" s="1" t="s">
        <v>1652</v>
      </c>
      <c r="B760" s="1" t="s">
        <v>90</v>
      </c>
      <c r="C760" s="1" t="s">
        <v>5086</v>
      </c>
      <c r="D760" s="1" t="s">
        <v>5087</v>
      </c>
      <c r="E760" s="2" t="s">
        <v>581</v>
      </c>
      <c r="F760" s="2" t="s">
        <v>5088</v>
      </c>
      <c r="G760" s="1">
        <v>1</v>
      </c>
      <c r="H760" s="1" t="s">
        <v>1656</v>
      </c>
      <c r="I760" s="1" t="s">
        <v>1657</v>
      </c>
      <c r="J760" s="1" t="s">
        <v>1658</v>
      </c>
      <c r="K760" s="1" t="s">
        <v>1658</v>
      </c>
      <c r="L760" s="1" t="s">
        <v>1658</v>
      </c>
      <c r="M760" s="1" t="s">
        <v>1658</v>
      </c>
      <c r="N760" s="1" t="s">
        <v>1658</v>
      </c>
      <c r="O760" s="1" t="s">
        <v>1658</v>
      </c>
      <c r="P760" s="1">
        <v>1</v>
      </c>
      <c r="Q760" s="1" t="s">
        <v>1658</v>
      </c>
      <c r="R760" s="1">
        <v>0</v>
      </c>
      <c r="S760" s="1" t="s">
        <v>5089</v>
      </c>
      <c r="T760" s="6" t="s">
        <v>5089</v>
      </c>
      <c r="U760" s="1" t="str">
        <f t="shared" si="11"/>
        <v>Yes</v>
      </c>
      <c r="W760" s="1" t="s">
        <v>5090</v>
      </c>
      <c r="X760" s="1" t="str">
        <f>IF(COUNTIF('MyWells Drilling Comp'!F:F,E760)=0,"Missing","Exist")</f>
        <v>Exist</v>
      </c>
    </row>
    <row r="761" hidden="1" spans="1:24">
      <c r="A761" s="1" t="s">
        <v>1652</v>
      </c>
      <c r="B761" s="1" t="s">
        <v>90</v>
      </c>
      <c r="C761" s="1" t="s">
        <v>5091</v>
      </c>
      <c r="D761" s="1" t="s">
        <v>5087</v>
      </c>
      <c r="E761" s="2" t="s">
        <v>581</v>
      </c>
      <c r="F761" s="2" t="s">
        <v>5092</v>
      </c>
      <c r="G761" s="1">
        <v>1</v>
      </c>
      <c r="H761" s="1" t="s">
        <v>1663</v>
      </c>
      <c r="I761" s="1" t="s">
        <v>1657</v>
      </c>
      <c r="J761" s="1" t="s">
        <v>1658</v>
      </c>
      <c r="K761" s="1" t="s">
        <v>1658</v>
      </c>
      <c r="L761" s="1" t="s">
        <v>1658</v>
      </c>
      <c r="M761" s="1" t="s">
        <v>1658</v>
      </c>
      <c r="N761" s="1" t="s">
        <v>1658</v>
      </c>
      <c r="O761" s="1" t="s">
        <v>1658</v>
      </c>
      <c r="P761" s="1">
        <v>1</v>
      </c>
      <c r="Q761" s="1" t="s">
        <v>1658</v>
      </c>
      <c r="R761" s="1">
        <v>0</v>
      </c>
      <c r="S761" s="1" t="s">
        <v>5093</v>
      </c>
      <c r="T761" s="6" t="s">
        <v>5093</v>
      </c>
      <c r="U761" s="1" t="str">
        <f t="shared" si="11"/>
        <v>Yes</v>
      </c>
      <c r="W761" s="1" t="s">
        <v>5094</v>
      </c>
      <c r="X761" s="1" t="str">
        <f>IF(COUNTIF('MyWells Drilling Comp'!F:F,E761)=0,"Missing","Exist")</f>
        <v>Exist</v>
      </c>
    </row>
    <row r="762" hidden="1" spans="1:24">
      <c r="A762" s="1" t="s">
        <v>1652</v>
      </c>
      <c r="B762" s="1" t="s">
        <v>90</v>
      </c>
      <c r="C762" s="1" t="s">
        <v>5095</v>
      </c>
      <c r="D762" s="1" t="s">
        <v>5096</v>
      </c>
      <c r="E762" s="2" t="s">
        <v>989</v>
      </c>
      <c r="F762" s="2" t="s">
        <v>5097</v>
      </c>
      <c r="G762" s="1">
        <v>1</v>
      </c>
      <c r="H762" s="1" t="s">
        <v>1656</v>
      </c>
      <c r="I762" s="1" t="s">
        <v>1657</v>
      </c>
      <c r="J762" s="1" t="s">
        <v>1658</v>
      </c>
      <c r="K762" s="1" t="s">
        <v>1658</v>
      </c>
      <c r="L762" s="1" t="s">
        <v>1658</v>
      </c>
      <c r="M762" s="1" t="s">
        <v>1658</v>
      </c>
      <c r="N762" s="1" t="s">
        <v>1658</v>
      </c>
      <c r="O762" s="1" t="s">
        <v>1658</v>
      </c>
      <c r="P762" s="1">
        <v>1</v>
      </c>
      <c r="Q762" s="1" t="s">
        <v>1658</v>
      </c>
      <c r="R762" s="1">
        <v>0</v>
      </c>
      <c r="S762" s="1" t="s">
        <v>5098</v>
      </c>
      <c r="T762" s="6" t="s">
        <v>5098</v>
      </c>
      <c r="U762" s="1" t="str">
        <f t="shared" si="11"/>
        <v>Yes</v>
      </c>
      <c r="W762" s="1" t="s">
        <v>5099</v>
      </c>
      <c r="X762" s="1" t="str">
        <f>IF(COUNTIF('MyWells Drilling Comp'!F:F,E762)=0,"Missing","Exist")</f>
        <v>Exist</v>
      </c>
    </row>
    <row r="763" hidden="1" spans="1:24">
      <c r="A763" s="1" t="s">
        <v>1652</v>
      </c>
      <c r="B763" s="1" t="s">
        <v>90</v>
      </c>
      <c r="C763" s="1" t="s">
        <v>5100</v>
      </c>
      <c r="D763" s="1" t="s">
        <v>5096</v>
      </c>
      <c r="E763" s="2" t="s">
        <v>989</v>
      </c>
      <c r="F763" s="2" t="s">
        <v>5101</v>
      </c>
      <c r="G763" s="1">
        <v>1</v>
      </c>
      <c r="H763" s="1" t="s">
        <v>1663</v>
      </c>
      <c r="I763" s="1" t="s">
        <v>1657</v>
      </c>
      <c r="J763" s="1" t="s">
        <v>1658</v>
      </c>
      <c r="K763" s="1" t="s">
        <v>1658</v>
      </c>
      <c r="L763" s="1" t="s">
        <v>1658</v>
      </c>
      <c r="M763" s="1" t="s">
        <v>1658</v>
      </c>
      <c r="N763" s="1" t="s">
        <v>1658</v>
      </c>
      <c r="O763" s="1" t="s">
        <v>1658</v>
      </c>
      <c r="P763" s="1">
        <v>1</v>
      </c>
      <c r="Q763" s="1" t="s">
        <v>1658</v>
      </c>
      <c r="R763" s="1">
        <v>0</v>
      </c>
      <c r="S763" s="1" t="s">
        <v>5102</v>
      </c>
      <c r="T763" s="6" t="s">
        <v>5102</v>
      </c>
      <c r="U763" s="1" t="str">
        <f t="shared" si="11"/>
        <v>Yes</v>
      </c>
      <c r="W763" s="1" t="s">
        <v>5103</v>
      </c>
      <c r="X763" s="1" t="str">
        <f>IF(COUNTIF('MyWells Drilling Comp'!F:F,E763)=0,"Missing","Exist")</f>
        <v>Exist</v>
      </c>
    </row>
    <row r="764" hidden="1" spans="1:24">
      <c r="A764" s="1" t="s">
        <v>1652</v>
      </c>
      <c r="B764" s="1" t="s">
        <v>90</v>
      </c>
      <c r="C764" s="1" t="s">
        <v>5104</v>
      </c>
      <c r="D764" s="1" t="s">
        <v>5105</v>
      </c>
      <c r="E764" s="2" t="s">
        <v>1415</v>
      </c>
      <c r="F764" s="2" t="s">
        <v>5106</v>
      </c>
      <c r="G764" s="1">
        <v>1</v>
      </c>
      <c r="H764" s="1" t="s">
        <v>1656</v>
      </c>
      <c r="I764" s="1" t="s">
        <v>1657</v>
      </c>
      <c r="J764" s="1" t="s">
        <v>1658</v>
      </c>
      <c r="K764" s="1" t="s">
        <v>1658</v>
      </c>
      <c r="L764" s="1" t="s">
        <v>1658</v>
      </c>
      <c r="M764" s="1" t="s">
        <v>1658</v>
      </c>
      <c r="N764" s="1" t="s">
        <v>1658</v>
      </c>
      <c r="O764" s="1" t="s">
        <v>1658</v>
      </c>
      <c r="P764" s="1">
        <v>1</v>
      </c>
      <c r="Q764" s="1" t="s">
        <v>1658</v>
      </c>
      <c r="R764" s="1">
        <v>0</v>
      </c>
      <c r="S764" s="1" t="s">
        <v>5107</v>
      </c>
      <c r="T764" s="6" t="s">
        <v>5107</v>
      </c>
      <c r="U764" s="1" t="str">
        <f t="shared" si="11"/>
        <v>Yes</v>
      </c>
      <c r="W764" s="1" t="s">
        <v>5108</v>
      </c>
      <c r="X764" s="1" t="str">
        <f>IF(COUNTIF('MyWells Drilling Comp'!F:F,E764)=0,"Missing","Exist")</f>
        <v>Exist</v>
      </c>
    </row>
    <row r="765" hidden="1" spans="1:24">
      <c r="A765" s="1" t="s">
        <v>1652</v>
      </c>
      <c r="B765" s="1" t="s">
        <v>90</v>
      </c>
      <c r="C765" s="1" t="s">
        <v>5109</v>
      </c>
      <c r="D765" s="1" t="s">
        <v>5105</v>
      </c>
      <c r="E765" s="2" t="s">
        <v>1415</v>
      </c>
      <c r="F765" s="2" t="s">
        <v>5110</v>
      </c>
      <c r="G765" s="1">
        <v>1</v>
      </c>
      <c r="H765" s="1" t="s">
        <v>1663</v>
      </c>
      <c r="I765" s="1" t="s">
        <v>1657</v>
      </c>
      <c r="J765" s="1" t="s">
        <v>1658</v>
      </c>
      <c r="K765" s="1" t="s">
        <v>1658</v>
      </c>
      <c r="L765" s="1" t="s">
        <v>1658</v>
      </c>
      <c r="M765" s="1" t="s">
        <v>1658</v>
      </c>
      <c r="N765" s="1" t="s">
        <v>1658</v>
      </c>
      <c r="O765" s="1" t="s">
        <v>1658</v>
      </c>
      <c r="P765" s="1">
        <v>1</v>
      </c>
      <c r="Q765" s="1" t="s">
        <v>1658</v>
      </c>
      <c r="R765" s="1">
        <v>0</v>
      </c>
      <c r="S765" s="1" t="s">
        <v>5111</v>
      </c>
      <c r="T765" s="6" t="s">
        <v>5111</v>
      </c>
      <c r="U765" s="1" t="str">
        <f t="shared" si="11"/>
        <v>Yes</v>
      </c>
      <c r="W765" s="1" t="s">
        <v>5112</v>
      </c>
      <c r="X765" s="1" t="str">
        <f>IF(COUNTIF('MyWells Drilling Comp'!F:F,E765)=0,"Missing","Exist")</f>
        <v>Exist</v>
      </c>
    </row>
    <row r="766" hidden="1" spans="1:24">
      <c r="A766" s="1" t="s">
        <v>1652</v>
      </c>
      <c r="B766" s="1" t="s">
        <v>90</v>
      </c>
      <c r="C766" s="1" t="s">
        <v>5113</v>
      </c>
      <c r="D766" s="1" t="s">
        <v>5114</v>
      </c>
      <c r="E766" s="2" t="s">
        <v>847</v>
      </c>
      <c r="F766" s="2" t="s">
        <v>5115</v>
      </c>
      <c r="G766" s="1">
        <v>1</v>
      </c>
      <c r="H766" s="1" t="s">
        <v>1663</v>
      </c>
      <c r="I766" s="1" t="s">
        <v>1657</v>
      </c>
      <c r="J766" s="1" t="s">
        <v>1658</v>
      </c>
      <c r="K766" s="1" t="s">
        <v>1658</v>
      </c>
      <c r="L766" s="1" t="s">
        <v>1658</v>
      </c>
      <c r="M766" s="1" t="s">
        <v>1658</v>
      </c>
      <c r="N766" s="1" t="s">
        <v>1658</v>
      </c>
      <c r="O766" s="1" t="s">
        <v>1658</v>
      </c>
      <c r="P766" s="1">
        <v>1</v>
      </c>
      <c r="Q766" s="1" t="s">
        <v>1658</v>
      </c>
      <c r="R766" s="1">
        <v>0</v>
      </c>
      <c r="S766" s="1" t="s">
        <v>5116</v>
      </c>
      <c r="T766" s="6" t="s">
        <v>5116</v>
      </c>
      <c r="U766" s="1" t="str">
        <f t="shared" si="11"/>
        <v>Yes</v>
      </c>
      <c r="W766" s="1" t="s">
        <v>5117</v>
      </c>
      <c r="X766" s="1" t="str">
        <f>IF(COUNTIF('MyWells Drilling Comp'!F:F,E766)=0,"Missing","Exist")</f>
        <v>Exist</v>
      </c>
    </row>
    <row r="767" hidden="1" spans="1:24">
      <c r="A767" s="1" t="s">
        <v>1652</v>
      </c>
      <c r="B767" s="1" t="s">
        <v>90</v>
      </c>
      <c r="C767" s="1" t="s">
        <v>5118</v>
      </c>
      <c r="D767" s="1" t="s">
        <v>5114</v>
      </c>
      <c r="E767" s="2" t="s">
        <v>847</v>
      </c>
      <c r="F767" s="2" t="s">
        <v>5119</v>
      </c>
      <c r="G767" s="1">
        <v>1</v>
      </c>
      <c r="H767" s="1" t="s">
        <v>1656</v>
      </c>
      <c r="I767" s="1" t="s">
        <v>1657</v>
      </c>
      <c r="J767" s="1" t="s">
        <v>1658</v>
      </c>
      <c r="K767" s="1" t="s">
        <v>1658</v>
      </c>
      <c r="L767" s="1" t="s">
        <v>1658</v>
      </c>
      <c r="M767" s="1" t="s">
        <v>1658</v>
      </c>
      <c r="N767" s="1" t="s">
        <v>1658</v>
      </c>
      <c r="O767" s="1" t="s">
        <v>1658</v>
      </c>
      <c r="P767" s="1">
        <v>1</v>
      </c>
      <c r="Q767" s="1" t="s">
        <v>1658</v>
      </c>
      <c r="R767" s="1">
        <v>0</v>
      </c>
      <c r="S767" s="1" t="s">
        <v>5120</v>
      </c>
      <c r="T767" s="6" t="s">
        <v>5120</v>
      </c>
      <c r="U767" s="1" t="str">
        <f t="shared" si="11"/>
        <v>Yes</v>
      </c>
      <c r="W767" s="1" t="s">
        <v>5121</v>
      </c>
      <c r="X767" s="1" t="str">
        <f>IF(COUNTIF('MyWells Drilling Comp'!F:F,E767)=0,"Missing","Exist")</f>
        <v>Exist</v>
      </c>
    </row>
    <row r="768" hidden="1" spans="1:24">
      <c r="A768" s="1" t="s">
        <v>1652</v>
      </c>
      <c r="B768" s="1" t="s">
        <v>90</v>
      </c>
      <c r="C768" s="1" t="s">
        <v>5122</v>
      </c>
      <c r="D768" s="1" t="s">
        <v>5123</v>
      </c>
      <c r="E768" s="2" t="s">
        <v>494</v>
      </c>
      <c r="F768" s="2" t="s">
        <v>5124</v>
      </c>
      <c r="G768" s="1">
        <v>1</v>
      </c>
      <c r="H768" s="1" t="s">
        <v>1663</v>
      </c>
      <c r="I768" s="1" t="s">
        <v>1657</v>
      </c>
      <c r="J768" s="1" t="s">
        <v>1658</v>
      </c>
      <c r="K768" s="1" t="s">
        <v>1658</v>
      </c>
      <c r="L768" s="1" t="s">
        <v>1658</v>
      </c>
      <c r="M768" s="1" t="s">
        <v>1658</v>
      </c>
      <c r="N768" s="1" t="s">
        <v>1658</v>
      </c>
      <c r="O768" s="1" t="s">
        <v>1658</v>
      </c>
      <c r="P768" s="1">
        <v>1</v>
      </c>
      <c r="Q768" s="1" t="s">
        <v>1658</v>
      </c>
      <c r="R768" s="1">
        <v>0</v>
      </c>
      <c r="S768" s="1" t="s">
        <v>5125</v>
      </c>
      <c r="T768" s="6" t="s">
        <v>5125</v>
      </c>
      <c r="U768" s="1" t="str">
        <f t="shared" si="11"/>
        <v>Yes</v>
      </c>
      <c r="W768" s="1" t="s">
        <v>5126</v>
      </c>
      <c r="X768" s="1" t="str">
        <f>IF(COUNTIF('MyWells Drilling Comp'!F:F,E768)=0,"Missing","Exist")</f>
        <v>Exist</v>
      </c>
    </row>
    <row r="769" hidden="1" spans="1:24">
      <c r="A769" s="1" t="s">
        <v>1652</v>
      </c>
      <c r="B769" s="1" t="s">
        <v>90</v>
      </c>
      <c r="C769" s="1" t="s">
        <v>5127</v>
      </c>
      <c r="D769" s="1" t="s">
        <v>5123</v>
      </c>
      <c r="E769" s="2" t="s">
        <v>494</v>
      </c>
      <c r="F769" s="2" t="s">
        <v>5128</v>
      </c>
      <c r="G769" s="1">
        <v>1</v>
      </c>
      <c r="H769" s="1" t="s">
        <v>1656</v>
      </c>
      <c r="I769" s="1" t="s">
        <v>1657</v>
      </c>
      <c r="J769" s="1" t="s">
        <v>1658</v>
      </c>
      <c r="K769" s="1" t="s">
        <v>1658</v>
      </c>
      <c r="L769" s="1" t="s">
        <v>1658</v>
      </c>
      <c r="M769" s="1" t="s">
        <v>1658</v>
      </c>
      <c r="N769" s="1" t="s">
        <v>1658</v>
      </c>
      <c r="O769" s="1" t="s">
        <v>1658</v>
      </c>
      <c r="P769" s="1">
        <v>1</v>
      </c>
      <c r="Q769" s="1" t="s">
        <v>1658</v>
      </c>
      <c r="R769" s="1">
        <v>0</v>
      </c>
      <c r="S769" s="1" t="s">
        <v>5129</v>
      </c>
      <c r="T769" s="6" t="s">
        <v>5129</v>
      </c>
      <c r="U769" s="1" t="str">
        <f t="shared" si="11"/>
        <v>Yes</v>
      </c>
      <c r="W769" s="1" t="s">
        <v>5130</v>
      </c>
      <c r="X769" s="1" t="str">
        <f>IF(COUNTIF('MyWells Drilling Comp'!F:F,E769)=0,"Missing","Exist")</f>
        <v>Exist</v>
      </c>
    </row>
    <row r="770" hidden="1" spans="1:24">
      <c r="A770" s="1" t="s">
        <v>1652</v>
      </c>
      <c r="B770" s="1" t="s">
        <v>90</v>
      </c>
      <c r="C770" s="1" t="s">
        <v>5131</v>
      </c>
      <c r="D770" s="1" t="s">
        <v>5132</v>
      </c>
      <c r="E770" s="2" t="s">
        <v>800</v>
      </c>
      <c r="F770" s="2" t="s">
        <v>5133</v>
      </c>
      <c r="G770" s="1">
        <v>1</v>
      </c>
      <c r="H770" s="1" t="s">
        <v>1656</v>
      </c>
      <c r="I770" s="1" t="s">
        <v>1657</v>
      </c>
      <c r="J770" s="1" t="s">
        <v>1658</v>
      </c>
      <c r="K770" s="1" t="s">
        <v>1658</v>
      </c>
      <c r="L770" s="1" t="s">
        <v>1658</v>
      </c>
      <c r="M770" s="1" t="s">
        <v>1658</v>
      </c>
      <c r="N770" s="1" t="s">
        <v>1658</v>
      </c>
      <c r="O770" s="1" t="s">
        <v>1658</v>
      </c>
      <c r="P770" s="1">
        <v>1</v>
      </c>
      <c r="Q770" s="1" t="s">
        <v>1658</v>
      </c>
      <c r="R770" s="1">
        <v>0</v>
      </c>
      <c r="S770" s="1" t="s">
        <v>5134</v>
      </c>
      <c r="T770" s="6" t="s">
        <v>5134</v>
      </c>
      <c r="U770" s="1" t="str">
        <f t="shared" ref="U770:U833" si="12">IF(S770=T770,"Yes","No")</f>
        <v>Yes</v>
      </c>
      <c r="W770" s="1" t="s">
        <v>5135</v>
      </c>
      <c r="X770" s="1" t="str">
        <f>IF(COUNTIF('MyWells Drilling Comp'!F:F,E770)=0,"Missing","Exist")</f>
        <v>Exist</v>
      </c>
    </row>
    <row r="771" hidden="1" spans="1:24">
      <c r="A771" s="1" t="s">
        <v>1652</v>
      </c>
      <c r="B771" s="1" t="s">
        <v>90</v>
      </c>
      <c r="C771" s="1" t="s">
        <v>5136</v>
      </c>
      <c r="D771" s="1" t="s">
        <v>5132</v>
      </c>
      <c r="E771" s="2" t="s">
        <v>800</v>
      </c>
      <c r="F771" s="2" t="s">
        <v>5137</v>
      </c>
      <c r="G771" s="1">
        <v>1</v>
      </c>
      <c r="H771" s="1" t="s">
        <v>1663</v>
      </c>
      <c r="I771" s="1" t="s">
        <v>1657</v>
      </c>
      <c r="J771" s="1" t="s">
        <v>1658</v>
      </c>
      <c r="K771" s="1" t="s">
        <v>1658</v>
      </c>
      <c r="L771" s="1" t="s">
        <v>1658</v>
      </c>
      <c r="M771" s="1" t="s">
        <v>1658</v>
      </c>
      <c r="N771" s="1" t="s">
        <v>1658</v>
      </c>
      <c r="O771" s="1" t="s">
        <v>1658</v>
      </c>
      <c r="P771" s="1">
        <v>1</v>
      </c>
      <c r="Q771" s="1" t="s">
        <v>1658</v>
      </c>
      <c r="R771" s="1">
        <v>0</v>
      </c>
      <c r="S771" s="1" t="s">
        <v>5138</v>
      </c>
      <c r="T771" s="6" t="s">
        <v>5138</v>
      </c>
      <c r="U771" s="1" t="str">
        <f t="shared" si="12"/>
        <v>Yes</v>
      </c>
      <c r="W771" s="1" t="s">
        <v>5139</v>
      </c>
      <c r="X771" s="1" t="str">
        <f>IF(COUNTIF('MyWells Drilling Comp'!F:F,E771)=0,"Missing","Exist")</f>
        <v>Exist</v>
      </c>
    </row>
    <row r="772" hidden="1" spans="1:24">
      <c r="A772" s="1" t="s">
        <v>1652</v>
      </c>
      <c r="B772" s="1" t="s">
        <v>90</v>
      </c>
      <c r="C772" s="1" t="s">
        <v>5140</v>
      </c>
      <c r="D772" s="1" t="s">
        <v>5141</v>
      </c>
      <c r="E772" s="2" t="s">
        <v>1117</v>
      </c>
      <c r="F772" s="2" t="s">
        <v>5142</v>
      </c>
      <c r="G772" s="1">
        <v>1</v>
      </c>
      <c r="H772" s="1" t="s">
        <v>1663</v>
      </c>
      <c r="I772" s="1" t="s">
        <v>1657</v>
      </c>
      <c r="J772" s="1" t="s">
        <v>1658</v>
      </c>
      <c r="K772" s="1" t="s">
        <v>1658</v>
      </c>
      <c r="L772" s="1" t="s">
        <v>1658</v>
      </c>
      <c r="M772" s="1" t="s">
        <v>1658</v>
      </c>
      <c r="N772" s="1" t="s">
        <v>1658</v>
      </c>
      <c r="O772" s="1" t="s">
        <v>1658</v>
      </c>
      <c r="P772" s="1">
        <v>1</v>
      </c>
      <c r="Q772" s="1" t="s">
        <v>1658</v>
      </c>
      <c r="R772" s="1">
        <v>0</v>
      </c>
      <c r="S772" s="1" t="s">
        <v>5143</v>
      </c>
      <c r="T772" s="6" t="s">
        <v>5143</v>
      </c>
      <c r="U772" s="1" t="str">
        <f t="shared" si="12"/>
        <v>Yes</v>
      </c>
      <c r="W772" s="1" t="s">
        <v>5144</v>
      </c>
      <c r="X772" s="1" t="str">
        <f>IF(COUNTIF('MyWells Drilling Comp'!F:F,E772)=0,"Missing","Exist")</f>
        <v>Exist</v>
      </c>
    </row>
    <row r="773" hidden="1" spans="1:24">
      <c r="A773" s="1" t="s">
        <v>1652</v>
      </c>
      <c r="B773" s="1" t="s">
        <v>90</v>
      </c>
      <c r="C773" s="1" t="s">
        <v>5145</v>
      </c>
      <c r="D773" s="1" t="s">
        <v>5141</v>
      </c>
      <c r="E773" s="2" t="s">
        <v>1117</v>
      </c>
      <c r="F773" s="2" t="s">
        <v>5146</v>
      </c>
      <c r="G773" s="1">
        <v>1</v>
      </c>
      <c r="H773" s="1" t="s">
        <v>1656</v>
      </c>
      <c r="I773" s="1" t="s">
        <v>1657</v>
      </c>
      <c r="J773" s="1" t="s">
        <v>1658</v>
      </c>
      <c r="K773" s="1" t="s">
        <v>1658</v>
      </c>
      <c r="L773" s="1" t="s">
        <v>1658</v>
      </c>
      <c r="M773" s="1" t="s">
        <v>1658</v>
      </c>
      <c r="N773" s="1" t="s">
        <v>1658</v>
      </c>
      <c r="O773" s="1" t="s">
        <v>1658</v>
      </c>
      <c r="P773" s="1">
        <v>1</v>
      </c>
      <c r="Q773" s="1" t="s">
        <v>1658</v>
      </c>
      <c r="R773" s="1">
        <v>0</v>
      </c>
      <c r="S773" s="1" t="s">
        <v>5147</v>
      </c>
      <c r="T773" s="6" t="s">
        <v>5147</v>
      </c>
      <c r="U773" s="1" t="str">
        <f t="shared" si="12"/>
        <v>Yes</v>
      </c>
      <c r="W773" s="1" t="s">
        <v>5148</v>
      </c>
      <c r="X773" s="1" t="str">
        <f>IF(COUNTIF('MyWells Drilling Comp'!F:F,E773)=0,"Missing","Exist")</f>
        <v>Exist</v>
      </c>
    </row>
    <row r="774" hidden="1" spans="1:24">
      <c r="A774" s="1" t="s">
        <v>1652</v>
      </c>
      <c r="B774" s="1" t="s">
        <v>90</v>
      </c>
      <c r="C774" s="1" t="s">
        <v>5149</v>
      </c>
      <c r="D774" s="1" t="s">
        <v>5150</v>
      </c>
      <c r="E774" s="2" t="s">
        <v>1102</v>
      </c>
      <c r="F774" s="2" t="s">
        <v>5151</v>
      </c>
      <c r="G774" s="1">
        <v>1</v>
      </c>
      <c r="H774" s="1" t="s">
        <v>1656</v>
      </c>
      <c r="I774" s="1" t="s">
        <v>1657</v>
      </c>
      <c r="J774" s="1" t="s">
        <v>1658</v>
      </c>
      <c r="K774" s="1" t="s">
        <v>1658</v>
      </c>
      <c r="L774" s="1" t="s">
        <v>1658</v>
      </c>
      <c r="M774" s="1" t="s">
        <v>1658</v>
      </c>
      <c r="N774" s="1" t="s">
        <v>1658</v>
      </c>
      <c r="O774" s="1" t="s">
        <v>1658</v>
      </c>
      <c r="P774" s="1">
        <v>1</v>
      </c>
      <c r="Q774" s="1" t="s">
        <v>1658</v>
      </c>
      <c r="R774" s="1">
        <v>0</v>
      </c>
      <c r="S774" s="1" t="s">
        <v>5152</v>
      </c>
      <c r="T774" s="6" t="s">
        <v>5152</v>
      </c>
      <c r="U774" s="1" t="str">
        <f t="shared" si="12"/>
        <v>Yes</v>
      </c>
      <c r="W774" s="1" t="s">
        <v>5153</v>
      </c>
      <c r="X774" s="1" t="str">
        <f>IF(COUNTIF('MyWells Drilling Comp'!F:F,E774)=0,"Missing","Exist")</f>
        <v>Exist</v>
      </c>
    </row>
    <row r="775" hidden="1" spans="1:24">
      <c r="A775" s="1" t="s">
        <v>1652</v>
      </c>
      <c r="B775" s="1" t="s">
        <v>90</v>
      </c>
      <c r="C775" s="1" t="s">
        <v>5154</v>
      </c>
      <c r="D775" s="1" t="s">
        <v>5150</v>
      </c>
      <c r="E775" s="2" t="s">
        <v>1102</v>
      </c>
      <c r="F775" s="2" t="s">
        <v>5155</v>
      </c>
      <c r="G775" s="1">
        <v>1</v>
      </c>
      <c r="H775" s="1" t="s">
        <v>1663</v>
      </c>
      <c r="I775" s="1" t="s">
        <v>1657</v>
      </c>
      <c r="J775" s="1" t="s">
        <v>1658</v>
      </c>
      <c r="K775" s="1" t="s">
        <v>1658</v>
      </c>
      <c r="L775" s="1" t="s">
        <v>1658</v>
      </c>
      <c r="M775" s="1" t="s">
        <v>1658</v>
      </c>
      <c r="N775" s="1" t="s">
        <v>1658</v>
      </c>
      <c r="O775" s="1" t="s">
        <v>1658</v>
      </c>
      <c r="P775" s="1">
        <v>1</v>
      </c>
      <c r="Q775" s="1" t="s">
        <v>1658</v>
      </c>
      <c r="R775" s="1">
        <v>0</v>
      </c>
      <c r="S775" s="1" t="s">
        <v>5156</v>
      </c>
      <c r="T775" s="6" t="s">
        <v>5156</v>
      </c>
      <c r="U775" s="1" t="str">
        <f t="shared" si="12"/>
        <v>Yes</v>
      </c>
      <c r="W775" s="1" t="s">
        <v>5157</v>
      </c>
      <c r="X775" s="1" t="str">
        <f>IF(COUNTIF('MyWells Drilling Comp'!F:F,E775)=0,"Missing","Exist")</f>
        <v>Exist</v>
      </c>
    </row>
    <row r="776" hidden="1" spans="1:24">
      <c r="A776" s="1" t="s">
        <v>1652</v>
      </c>
      <c r="B776" s="1" t="s">
        <v>90</v>
      </c>
      <c r="C776" s="1" t="s">
        <v>5158</v>
      </c>
      <c r="D776" s="1" t="s">
        <v>5159</v>
      </c>
      <c r="E776" s="2" t="s">
        <v>755</v>
      </c>
      <c r="F776" s="2" t="s">
        <v>5160</v>
      </c>
      <c r="G776" s="1">
        <v>1</v>
      </c>
      <c r="H776" s="1" t="s">
        <v>1656</v>
      </c>
      <c r="I776" s="1" t="s">
        <v>1657</v>
      </c>
      <c r="J776" s="1" t="s">
        <v>1658</v>
      </c>
      <c r="K776" s="1" t="s">
        <v>1658</v>
      </c>
      <c r="L776" s="1" t="s">
        <v>1658</v>
      </c>
      <c r="M776" s="1" t="s">
        <v>1658</v>
      </c>
      <c r="N776" s="1" t="s">
        <v>1658</v>
      </c>
      <c r="O776" s="1" t="s">
        <v>1658</v>
      </c>
      <c r="P776" s="1">
        <v>1</v>
      </c>
      <c r="Q776" s="1" t="s">
        <v>1658</v>
      </c>
      <c r="R776" s="1">
        <v>0</v>
      </c>
      <c r="S776" s="1" t="s">
        <v>5161</v>
      </c>
      <c r="T776" s="6" t="s">
        <v>5161</v>
      </c>
      <c r="U776" s="1" t="str">
        <f t="shared" si="12"/>
        <v>Yes</v>
      </c>
      <c r="W776" s="1" t="s">
        <v>5162</v>
      </c>
      <c r="X776" s="1" t="str">
        <f>IF(COUNTIF('MyWells Drilling Comp'!F:F,E776)=0,"Missing","Exist")</f>
        <v>Exist</v>
      </c>
    </row>
    <row r="777" hidden="1" spans="1:24">
      <c r="A777" s="1" t="s">
        <v>1652</v>
      </c>
      <c r="B777" s="1" t="s">
        <v>90</v>
      </c>
      <c r="C777" s="1" t="s">
        <v>5163</v>
      </c>
      <c r="D777" s="1" t="s">
        <v>5159</v>
      </c>
      <c r="E777" s="2" t="s">
        <v>755</v>
      </c>
      <c r="F777" s="2" t="s">
        <v>5164</v>
      </c>
      <c r="G777" s="1">
        <v>1</v>
      </c>
      <c r="H777" s="1" t="s">
        <v>1663</v>
      </c>
      <c r="I777" s="1" t="s">
        <v>1657</v>
      </c>
      <c r="J777" s="1" t="s">
        <v>1658</v>
      </c>
      <c r="K777" s="1" t="s">
        <v>1658</v>
      </c>
      <c r="L777" s="1" t="s">
        <v>1658</v>
      </c>
      <c r="M777" s="1" t="s">
        <v>1658</v>
      </c>
      <c r="N777" s="1" t="s">
        <v>1658</v>
      </c>
      <c r="O777" s="1" t="s">
        <v>1658</v>
      </c>
      <c r="P777" s="1">
        <v>1</v>
      </c>
      <c r="Q777" s="1" t="s">
        <v>1658</v>
      </c>
      <c r="R777" s="1">
        <v>0</v>
      </c>
      <c r="S777" s="1" t="s">
        <v>5165</v>
      </c>
      <c r="T777" s="6" t="s">
        <v>5165</v>
      </c>
      <c r="U777" s="1" t="str">
        <f t="shared" si="12"/>
        <v>Yes</v>
      </c>
      <c r="W777" s="1" t="s">
        <v>5166</v>
      </c>
      <c r="X777" s="1" t="str">
        <f>IF(COUNTIF('MyWells Drilling Comp'!F:F,E777)=0,"Missing","Exist")</f>
        <v>Exist</v>
      </c>
    </row>
    <row r="778" hidden="1" spans="1:24">
      <c r="A778" s="1" t="s">
        <v>1652</v>
      </c>
      <c r="B778" s="1" t="s">
        <v>90</v>
      </c>
      <c r="C778" s="1" t="s">
        <v>5167</v>
      </c>
      <c r="D778" s="1" t="s">
        <v>5168</v>
      </c>
      <c r="E778" s="2" t="s">
        <v>1343</v>
      </c>
      <c r="F778" s="2" t="s">
        <v>5169</v>
      </c>
      <c r="G778" s="1">
        <v>1</v>
      </c>
      <c r="H778" s="1" t="s">
        <v>1656</v>
      </c>
      <c r="I778" s="1" t="s">
        <v>1657</v>
      </c>
      <c r="J778" s="1" t="s">
        <v>1658</v>
      </c>
      <c r="K778" s="1" t="s">
        <v>1658</v>
      </c>
      <c r="L778" s="1" t="s">
        <v>1658</v>
      </c>
      <c r="M778" s="1" t="s">
        <v>1658</v>
      </c>
      <c r="N778" s="1" t="s">
        <v>1658</v>
      </c>
      <c r="O778" s="1" t="s">
        <v>1658</v>
      </c>
      <c r="P778" s="1">
        <v>1</v>
      </c>
      <c r="Q778" s="1" t="s">
        <v>1658</v>
      </c>
      <c r="R778" s="1">
        <v>0</v>
      </c>
      <c r="S778" s="1" t="s">
        <v>5170</v>
      </c>
      <c r="T778" s="6" t="s">
        <v>5170</v>
      </c>
      <c r="U778" s="1" t="str">
        <f t="shared" si="12"/>
        <v>Yes</v>
      </c>
      <c r="W778" s="1" t="s">
        <v>5171</v>
      </c>
      <c r="X778" s="1" t="str">
        <f>IF(COUNTIF('MyWells Drilling Comp'!F:F,E778)=0,"Missing","Exist")</f>
        <v>Exist</v>
      </c>
    </row>
    <row r="779" hidden="1" spans="1:24">
      <c r="A779" s="1" t="s">
        <v>1652</v>
      </c>
      <c r="B779" s="1" t="s">
        <v>90</v>
      </c>
      <c r="C779" s="1" t="s">
        <v>5172</v>
      </c>
      <c r="D779" s="1" t="s">
        <v>5168</v>
      </c>
      <c r="E779" s="2" t="s">
        <v>1343</v>
      </c>
      <c r="F779" s="2" t="s">
        <v>5173</v>
      </c>
      <c r="G779" s="1">
        <v>1</v>
      </c>
      <c r="H779" s="1" t="s">
        <v>1663</v>
      </c>
      <c r="I779" s="1" t="s">
        <v>1657</v>
      </c>
      <c r="J779" s="1" t="s">
        <v>1658</v>
      </c>
      <c r="K779" s="1" t="s">
        <v>1658</v>
      </c>
      <c r="L779" s="1" t="s">
        <v>1658</v>
      </c>
      <c r="M779" s="1" t="s">
        <v>1658</v>
      </c>
      <c r="N779" s="1" t="s">
        <v>1658</v>
      </c>
      <c r="O779" s="1" t="s">
        <v>1658</v>
      </c>
      <c r="P779" s="1">
        <v>1</v>
      </c>
      <c r="Q779" s="1" t="s">
        <v>1658</v>
      </c>
      <c r="R779" s="1">
        <v>0</v>
      </c>
      <c r="S779" s="1" t="s">
        <v>5174</v>
      </c>
      <c r="T779" s="6" t="s">
        <v>5174</v>
      </c>
      <c r="U779" s="1" t="str">
        <f t="shared" si="12"/>
        <v>Yes</v>
      </c>
      <c r="W779" s="1" t="s">
        <v>5175</v>
      </c>
      <c r="X779" s="1" t="str">
        <f>IF(COUNTIF('MyWells Drilling Comp'!F:F,E779)=0,"Missing","Exist")</f>
        <v>Exist</v>
      </c>
    </row>
    <row r="780" hidden="1" spans="1:24">
      <c r="A780" s="1" t="s">
        <v>1652</v>
      </c>
      <c r="B780" s="1" t="s">
        <v>90</v>
      </c>
      <c r="C780" s="7" t="s">
        <v>5176</v>
      </c>
      <c r="D780" s="1" t="s">
        <v>5177</v>
      </c>
      <c r="E780" s="2" t="s">
        <v>1023</v>
      </c>
      <c r="F780" s="2" t="s">
        <v>5178</v>
      </c>
      <c r="G780" s="1">
        <v>1</v>
      </c>
      <c r="H780" s="1" t="s">
        <v>1656</v>
      </c>
      <c r="I780" s="1" t="s">
        <v>1657</v>
      </c>
      <c r="J780" s="1" t="s">
        <v>1658</v>
      </c>
      <c r="K780" s="1" t="s">
        <v>1658</v>
      </c>
      <c r="L780" s="1" t="s">
        <v>1658</v>
      </c>
      <c r="M780" s="1" t="s">
        <v>1658</v>
      </c>
      <c r="N780" s="1" t="s">
        <v>1658</v>
      </c>
      <c r="O780" s="1" t="s">
        <v>1658</v>
      </c>
      <c r="P780" s="1">
        <v>1</v>
      </c>
      <c r="Q780" s="1" t="s">
        <v>1658</v>
      </c>
      <c r="R780" s="1">
        <v>0</v>
      </c>
      <c r="S780" s="1" t="s">
        <v>5179</v>
      </c>
      <c r="T780" s="6" t="s">
        <v>5179</v>
      </c>
      <c r="U780" s="1" t="str">
        <f t="shared" si="12"/>
        <v>Yes</v>
      </c>
      <c r="W780" s="1" t="s">
        <v>5180</v>
      </c>
      <c r="X780" s="1" t="str">
        <f>IF(COUNTIF('MyWells Drilling Comp'!F:F,E780)=0,"Missing","Exist")</f>
        <v>Exist</v>
      </c>
    </row>
    <row r="781" hidden="1" spans="1:24">
      <c r="A781" s="1" t="s">
        <v>1652</v>
      </c>
      <c r="B781" s="1" t="s">
        <v>90</v>
      </c>
      <c r="C781" s="1" t="s">
        <v>5181</v>
      </c>
      <c r="D781" s="1" t="s">
        <v>5177</v>
      </c>
      <c r="E781" s="2" t="s">
        <v>1023</v>
      </c>
      <c r="F781" s="2" t="s">
        <v>5182</v>
      </c>
      <c r="G781" s="1">
        <v>1</v>
      </c>
      <c r="H781" s="1" t="s">
        <v>1663</v>
      </c>
      <c r="I781" s="1" t="s">
        <v>1657</v>
      </c>
      <c r="J781" s="1" t="s">
        <v>1658</v>
      </c>
      <c r="K781" s="1" t="s">
        <v>1658</v>
      </c>
      <c r="L781" s="1" t="s">
        <v>1658</v>
      </c>
      <c r="M781" s="1" t="s">
        <v>1658</v>
      </c>
      <c r="N781" s="1" t="s">
        <v>1658</v>
      </c>
      <c r="O781" s="1" t="s">
        <v>1658</v>
      </c>
      <c r="P781" s="1">
        <v>1</v>
      </c>
      <c r="Q781" s="1" t="s">
        <v>1658</v>
      </c>
      <c r="R781" s="1">
        <v>0</v>
      </c>
      <c r="S781" s="1" t="s">
        <v>5183</v>
      </c>
      <c r="T781" s="6" t="s">
        <v>5183</v>
      </c>
      <c r="U781" s="1" t="str">
        <f t="shared" si="12"/>
        <v>Yes</v>
      </c>
      <c r="W781" s="1" t="s">
        <v>5184</v>
      </c>
      <c r="X781" s="1" t="str">
        <f>IF(COUNTIF('MyWells Drilling Comp'!F:F,E781)=0,"Missing","Exist")</f>
        <v>Exist</v>
      </c>
    </row>
    <row r="782" hidden="1" spans="1:24">
      <c r="A782" s="1" t="s">
        <v>1652</v>
      </c>
      <c r="B782" s="1" t="s">
        <v>90</v>
      </c>
      <c r="C782" s="1" t="s">
        <v>5185</v>
      </c>
      <c r="D782" s="1" t="s">
        <v>5186</v>
      </c>
      <c r="E782" s="2" t="s">
        <v>941</v>
      </c>
      <c r="F782" s="2" t="s">
        <v>5187</v>
      </c>
      <c r="G782" s="1">
        <v>1</v>
      </c>
      <c r="H782" s="1" t="s">
        <v>1663</v>
      </c>
      <c r="I782" s="1" t="s">
        <v>1657</v>
      </c>
      <c r="J782" s="1" t="s">
        <v>1658</v>
      </c>
      <c r="K782" s="1" t="s">
        <v>1658</v>
      </c>
      <c r="L782" s="1" t="s">
        <v>1658</v>
      </c>
      <c r="M782" s="1" t="s">
        <v>1658</v>
      </c>
      <c r="N782" s="1" t="s">
        <v>1658</v>
      </c>
      <c r="O782" s="1" t="s">
        <v>1658</v>
      </c>
      <c r="P782" s="1">
        <v>1</v>
      </c>
      <c r="Q782" s="1" t="s">
        <v>1658</v>
      </c>
      <c r="R782" s="1">
        <v>0</v>
      </c>
      <c r="S782" s="1" t="s">
        <v>5188</v>
      </c>
      <c r="T782" s="6" t="s">
        <v>5188</v>
      </c>
      <c r="U782" s="1" t="str">
        <f t="shared" si="12"/>
        <v>Yes</v>
      </c>
      <c r="W782" s="1" t="s">
        <v>5189</v>
      </c>
      <c r="X782" s="1" t="str">
        <f>IF(COUNTIF('MyWells Drilling Comp'!F:F,E782)=0,"Missing","Exist")</f>
        <v>Exist</v>
      </c>
    </row>
    <row r="783" hidden="1" spans="1:24">
      <c r="A783" s="1" t="s">
        <v>1652</v>
      </c>
      <c r="B783" s="1" t="s">
        <v>90</v>
      </c>
      <c r="C783" s="7" t="s">
        <v>5190</v>
      </c>
      <c r="D783" s="1" t="s">
        <v>5186</v>
      </c>
      <c r="E783" s="2" t="s">
        <v>941</v>
      </c>
      <c r="F783" s="2" t="s">
        <v>5191</v>
      </c>
      <c r="G783" s="1">
        <v>1</v>
      </c>
      <c r="H783" s="1" t="s">
        <v>1656</v>
      </c>
      <c r="I783" s="1" t="s">
        <v>1657</v>
      </c>
      <c r="J783" s="1" t="s">
        <v>1658</v>
      </c>
      <c r="K783" s="1" t="s">
        <v>1658</v>
      </c>
      <c r="L783" s="1" t="s">
        <v>1658</v>
      </c>
      <c r="M783" s="1" t="s">
        <v>1658</v>
      </c>
      <c r="N783" s="1" t="s">
        <v>1658</v>
      </c>
      <c r="O783" s="1" t="s">
        <v>1658</v>
      </c>
      <c r="P783" s="1">
        <v>1</v>
      </c>
      <c r="Q783" s="1" t="s">
        <v>1658</v>
      </c>
      <c r="R783" s="1">
        <v>0</v>
      </c>
      <c r="S783" s="1" t="s">
        <v>5192</v>
      </c>
      <c r="T783" s="6" t="s">
        <v>5192</v>
      </c>
      <c r="U783" s="1" t="str">
        <f t="shared" si="12"/>
        <v>Yes</v>
      </c>
      <c r="W783" s="1" t="s">
        <v>5193</v>
      </c>
      <c r="X783" s="1" t="str">
        <f>IF(COUNTIF('MyWells Drilling Comp'!F:F,E783)=0,"Missing","Exist")</f>
        <v>Exist</v>
      </c>
    </row>
    <row r="784" hidden="1" spans="1:24">
      <c r="A784" s="1" t="s">
        <v>1652</v>
      </c>
      <c r="B784" s="1" t="s">
        <v>90</v>
      </c>
      <c r="C784" s="1" t="s">
        <v>5194</v>
      </c>
      <c r="D784" s="1" t="s">
        <v>5195</v>
      </c>
      <c r="E784" s="2" t="s">
        <v>1040</v>
      </c>
      <c r="F784" s="2" t="s">
        <v>5196</v>
      </c>
      <c r="G784" s="1">
        <v>1</v>
      </c>
      <c r="H784" s="1" t="s">
        <v>1663</v>
      </c>
      <c r="I784" s="1" t="s">
        <v>1657</v>
      </c>
      <c r="J784" s="1" t="s">
        <v>1658</v>
      </c>
      <c r="K784" s="1" t="s">
        <v>1658</v>
      </c>
      <c r="L784" s="1" t="s">
        <v>1658</v>
      </c>
      <c r="M784" s="1" t="s">
        <v>1658</v>
      </c>
      <c r="N784" s="1" t="s">
        <v>1658</v>
      </c>
      <c r="O784" s="1" t="s">
        <v>1658</v>
      </c>
      <c r="P784" s="1">
        <v>1</v>
      </c>
      <c r="Q784" s="1" t="s">
        <v>1658</v>
      </c>
      <c r="R784" s="1">
        <v>0</v>
      </c>
      <c r="S784" s="1" t="s">
        <v>5197</v>
      </c>
      <c r="T784" s="6" t="s">
        <v>5197</v>
      </c>
      <c r="U784" s="1" t="str">
        <f t="shared" si="12"/>
        <v>Yes</v>
      </c>
      <c r="W784" s="1" t="s">
        <v>5198</v>
      </c>
      <c r="X784" s="1" t="str">
        <f>IF(COUNTIF('MyWells Drilling Comp'!F:F,E784)=0,"Missing","Exist")</f>
        <v>Exist</v>
      </c>
    </row>
    <row r="785" hidden="1" spans="1:24">
      <c r="A785" s="1" t="s">
        <v>1652</v>
      </c>
      <c r="B785" s="1" t="s">
        <v>90</v>
      </c>
      <c r="C785" s="1" t="s">
        <v>5199</v>
      </c>
      <c r="D785" s="1" t="s">
        <v>5195</v>
      </c>
      <c r="E785" s="2" t="s">
        <v>1040</v>
      </c>
      <c r="F785" s="2" t="s">
        <v>5200</v>
      </c>
      <c r="G785" s="1">
        <v>1</v>
      </c>
      <c r="H785" s="1" t="s">
        <v>1656</v>
      </c>
      <c r="I785" s="1" t="s">
        <v>1657</v>
      </c>
      <c r="J785" s="1" t="s">
        <v>1658</v>
      </c>
      <c r="K785" s="1" t="s">
        <v>1658</v>
      </c>
      <c r="L785" s="1" t="s">
        <v>1658</v>
      </c>
      <c r="M785" s="1" t="s">
        <v>1658</v>
      </c>
      <c r="N785" s="1" t="s">
        <v>1658</v>
      </c>
      <c r="O785" s="1" t="s">
        <v>1658</v>
      </c>
      <c r="P785" s="1">
        <v>1</v>
      </c>
      <c r="Q785" s="1" t="s">
        <v>1658</v>
      </c>
      <c r="R785" s="1">
        <v>0</v>
      </c>
      <c r="S785" s="1" t="s">
        <v>5201</v>
      </c>
      <c r="T785" s="6" t="s">
        <v>5201</v>
      </c>
      <c r="U785" s="1" t="str">
        <f t="shared" si="12"/>
        <v>Yes</v>
      </c>
      <c r="W785" s="1" t="s">
        <v>5202</v>
      </c>
      <c r="X785" s="1" t="str">
        <f>IF(COUNTIF('MyWells Drilling Comp'!F:F,E785)=0,"Missing","Exist")</f>
        <v>Exist</v>
      </c>
    </row>
    <row r="786" hidden="1" spans="1:24">
      <c r="A786" s="1" t="s">
        <v>1652</v>
      </c>
      <c r="B786" s="1" t="s">
        <v>90</v>
      </c>
      <c r="C786" s="1" t="s">
        <v>5203</v>
      </c>
      <c r="D786" s="1" t="s">
        <v>5204</v>
      </c>
      <c r="E786" s="2" t="s">
        <v>1009</v>
      </c>
      <c r="F786" s="2" t="s">
        <v>5205</v>
      </c>
      <c r="G786" s="1">
        <v>1</v>
      </c>
      <c r="H786" s="1" t="s">
        <v>1656</v>
      </c>
      <c r="I786" s="1" t="s">
        <v>1657</v>
      </c>
      <c r="J786" s="1" t="s">
        <v>1658</v>
      </c>
      <c r="K786" s="1" t="s">
        <v>1658</v>
      </c>
      <c r="L786" s="1" t="s">
        <v>1658</v>
      </c>
      <c r="M786" s="1" t="s">
        <v>1658</v>
      </c>
      <c r="N786" s="1" t="s">
        <v>1658</v>
      </c>
      <c r="O786" s="1" t="s">
        <v>1658</v>
      </c>
      <c r="P786" s="1">
        <v>1</v>
      </c>
      <c r="Q786" s="1" t="s">
        <v>1658</v>
      </c>
      <c r="R786" s="1">
        <v>0</v>
      </c>
      <c r="S786" s="1" t="s">
        <v>5206</v>
      </c>
      <c r="T786" s="6" t="s">
        <v>5206</v>
      </c>
      <c r="U786" s="1" t="str">
        <f t="shared" si="12"/>
        <v>Yes</v>
      </c>
      <c r="W786" s="1" t="s">
        <v>5207</v>
      </c>
      <c r="X786" s="1" t="str">
        <f>IF(COUNTIF('MyWells Drilling Comp'!F:F,E786)=0,"Missing","Exist")</f>
        <v>Exist</v>
      </c>
    </row>
    <row r="787" hidden="1" spans="1:24">
      <c r="A787" s="1" t="s">
        <v>1652</v>
      </c>
      <c r="B787" s="1" t="s">
        <v>90</v>
      </c>
      <c r="C787" s="1" t="s">
        <v>5208</v>
      </c>
      <c r="D787" s="1" t="s">
        <v>5204</v>
      </c>
      <c r="E787" s="2" t="s">
        <v>1009</v>
      </c>
      <c r="F787" s="2" t="s">
        <v>5209</v>
      </c>
      <c r="G787" s="1">
        <v>1</v>
      </c>
      <c r="H787" s="1" t="s">
        <v>1663</v>
      </c>
      <c r="I787" s="1" t="s">
        <v>1657</v>
      </c>
      <c r="J787" s="1" t="s">
        <v>1658</v>
      </c>
      <c r="K787" s="1" t="s">
        <v>1658</v>
      </c>
      <c r="L787" s="1" t="s">
        <v>1658</v>
      </c>
      <c r="M787" s="1" t="s">
        <v>1658</v>
      </c>
      <c r="N787" s="1" t="s">
        <v>1658</v>
      </c>
      <c r="O787" s="1" t="s">
        <v>1658</v>
      </c>
      <c r="P787" s="1">
        <v>1</v>
      </c>
      <c r="Q787" s="1" t="s">
        <v>1658</v>
      </c>
      <c r="R787" s="1">
        <v>0</v>
      </c>
      <c r="S787" s="1" t="s">
        <v>5210</v>
      </c>
      <c r="T787" s="6" t="s">
        <v>5210</v>
      </c>
      <c r="U787" s="1" t="str">
        <f t="shared" si="12"/>
        <v>Yes</v>
      </c>
      <c r="W787" s="1" t="s">
        <v>5211</v>
      </c>
      <c r="X787" s="1" t="str">
        <f>IF(COUNTIF('MyWells Drilling Comp'!F:F,E787)=0,"Missing","Exist")</f>
        <v>Exist</v>
      </c>
    </row>
    <row r="788" hidden="1" spans="1:24">
      <c r="A788" s="1" t="s">
        <v>1652</v>
      </c>
      <c r="B788" s="1" t="s">
        <v>90</v>
      </c>
      <c r="C788" s="1" t="s">
        <v>5212</v>
      </c>
      <c r="D788" s="1" t="s">
        <v>5213</v>
      </c>
      <c r="E788" s="2" t="s">
        <v>1624</v>
      </c>
      <c r="F788" s="2" t="s">
        <v>5214</v>
      </c>
      <c r="G788" s="1">
        <v>1</v>
      </c>
      <c r="H788" s="1" t="s">
        <v>1656</v>
      </c>
      <c r="I788" s="1" t="s">
        <v>1657</v>
      </c>
      <c r="J788" s="1" t="s">
        <v>1658</v>
      </c>
      <c r="K788" s="1" t="s">
        <v>1658</v>
      </c>
      <c r="L788" s="1" t="s">
        <v>1658</v>
      </c>
      <c r="M788" s="1" t="s">
        <v>1658</v>
      </c>
      <c r="N788" s="1" t="s">
        <v>1658</v>
      </c>
      <c r="O788" s="1" t="s">
        <v>1658</v>
      </c>
      <c r="P788" s="1">
        <v>1</v>
      </c>
      <c r="Q788" s="1" t="s">
        <v>1658</v>
      </c>
      <c r="R788" s="1">
        <v>0</v>
      </c>
      <c r="S788" s="1" t="s">
        <v>5215</v>
      </c>
      <c r="T788" s="6" t="s">
        <v>5215</v>
      </c>
      <c r="U788" s="1" t="str">
        <f t="shared" si="12"/>
        <v>Yes</v>
      </c>
      <c r="W788" s="1" t="s">
        <v>5216</v>
      </c>
      <c r="X788" s="1" t="str">
        <f>IF(COUNTIF('MyWells Drilling Comp'!F:F,E788)=0,"Missing","Exist")</f>
        <v>Exist</v>
      </c>
    </row>
    <row r="789" hidden="1" spans="1:24">
      <c r="A789" s="1" t="s">
        <v>1652</v>
      </c>
      <c r="B789" s="1" t="s">
        <v>90</v>
      </c>
      <c r="C789" s="1" t="s">
        <v>5217</v>
      </c>
      <c r="D789" s="1" t="s">
        <v>5213</v>
      </c>
      <c r="E789" s="2" t="s">
        <v>1624</v>
      </c>
      <c r="F789" s="2" t="s">
        <v>5218</v>
      </c>
      <c r="G789" s="1">
        <v>1</v>
      </c>
      <c r="H789" s="1" t="s">
        <v>1663</v>
      </c>
      <c r="I789" s="1" t="s">
        <v>1657</v>
      </c>
      <c r="J789" s="1" t="s">
        <v>1658</v>
      </c>
      <c r="K789" s="1" t="s">
        <v>1658</v>
      </c>
      <c r="L789" s="1" t="s">
        <v>1658</v>
      </c>
      <c r="M789" s="1" t="s">
        <v>1658</v>
      </c>
      <c r="N789" s="1" t="s">
        <v>1658</v>
      </c>
      <c r="O789" s="1" t="s">
        <v>1658</v>
      </c>
      <c r="P789" s="1">
        <v>1</v>
      </c>
      <c r="Q789" s="1" t="s">
        <v>1658</v>
      </c>
      <c r="R789" s="1">
        <v>0</v>
      </c>
      <c r="S789" s="1" t="s">
        <v>5219</v>
      </c>
      <c r="T789" s="6" t="s">
        <v>5219</v>
      </c>
      <c r="U789" s="1" t="str">
        <f t="shared" si="12"/>
        <v>Yes</v>
      </c>
      <c r="W789" s="1" t="s">
        <v>5220</v>
      </c>
      <c r="X789" s="1" t="str">
        <f>IF(COUNTIF('MyWells Drilling Comp'!F:F,E789)=0,"Missing","Exist")</f>
        <v>Exist</v>
      </c>
    </row>
    <row r="790" hidden="1" spans="1:24">
      <c r="A790" s="1" t="s">
        <v>1652</v>
      </c>
      <c r="B790" s="1" t="s">
        <v>90</v>
      </c>
      <c r="C790" s="1" t="s">
        <v>5221</v>
      </c>
      <c r="D790" s="1" t="s">
        <v>5222</v>
      </c>
      <c r="E790" s="2" t="s">
        <v>524</v>
      </c>
      <c r="F790" s="2" t="s">
        <v>5223</v>
      </c>
      <c r="G790" s="1">
        <v>1</v>
      </c>
      <c r="H790" s="1" t="s">
        <v>1656</v>
      </c>
      <c r="I790" s="1" t="s">
        <v>1657</v>
      </c>
      <c r="J790" s="1" t="s">
        <v>1658</v>
      </c>
      <c r="K790" s="1" t="s">
        <v>1658</v>
      </c>
      <c r="L790" s="1" t="s">
        <v>1658</v>
      </c>
      <c r="M790" s="1" t="s">
        <v>1658</v>
      </c>
      <c r="N790" s="1" t="s">
        <v>1658</v>
      </c>
      <c r="O790" s="1" t="s">
        <v>1658</v>
      </c>
      <c r="P790" s="1">
        <v>1</v>
      </c>
      <c r="Q790" s="1" t="s">
        <v>1658</v>
      </c>
      <c r="R790" s="1">
        <v>0</v>
      </c>
      <c r="S790" s="1" t="s">
        <v>2384</v>
      </c>
      <c r="T790" s="6" t="s">
        <v>2384</v>
      </c>
      <c r="U790" s="1" t="str">
        <f t="shared" si="12"/>
        <v>Yes</v>
      </c>
      <c r="W790" s="1" t="s">
        <v>5224</v>
      </c>
      <c r="X790" s="1" t="str">
        <f>IF(COUNTIF('MyWells Drilling Comp'!F:F,E790)=0,"Missing","Exist")</f>
        <v>Exist</v>
      </c>
    </row>
    <row r="791" hidden="1" spans="1:24">
      <c r="A791" s="1" t="s">
        <v>1652</v>
      </c>
      <c r="B791" s="1" t="s">
        <v>90</v>
      </c>
      <c r="C791" s="1" t="s">
        <v>5225</v>
      </c>
      <c r="D791" s="1" t="s">
        <v>5222</v>
      </c>
      <c r="E791" s="2" t="s">
        <v>524</v>
      </c>
      <c r="F791" s="2" t="s">
        <v>5226</v>
      </c>
      <c r="G791" s="1">
        <v>1</v>
      </c>
      <c r="H791" s="1" t="s">
        <v>1663</v>
      </c>
      <c r="I791" s="1" t="s">
        <v>1657</v>
      </c>
      <c r="J791" s="1" t="s">
        <v>1658</v>
      </c>
      <c r="K791" s="1" t="s">
        <v>1658</v>
      </c>
      <c r="L791" s="1" t="s">
        <v>1658</v>
      </c>
      <c r="M791" s="1" t="s">
        <v>1658</v>
      </c>
      <c r="N791" s="1" t="s">
        <v>1658</v>
      </c>
      <c r="O791" s="1" t="s">
        <v>1658</v>
      </c>
      <c r="P791" s="1">
        <v>1</v>
      </c>
      <c r="Q791" s="1" t="s">
        <v>1658</v>
      </c>
      <c r="R791" s="1">
        <v>0</v>
      </c>
      <c r="S791" s="1" t="s">
        <v>5227</v>
      </c>
      <c r="T791" s="6" t="s">
        <v>5227</v>
      </c>
      <c r="U791" s="1" t="str">
        <f t="shared" si="12"/>
        <v>Yes</v>
      </c>
      <c r="W791" s="1" t="s">
        <v>5228</v>
      </c>
      <c r="X791" s="1" t="str">
        <f>IF(COUNTIF('MyWells Drilling Comp'!F:F,E791)=0,"Missing","Exist")</f>
        <v>Exist</v>
      </c>
    </row>
    <row r="792" hidden="1" spans="1:24">
      <c r="A792" s="1" t="s">
        <v>1652</v>
      </c>
      <c r="B792" s="1" t="s">
        <v>90</v>
      </c>
      <c r="C792" s="1" t="s">
        <v>5229</v>
      </c>
      <c r="D792" s="1" t="s">
        <v>5230</v>
      </c>
      <c r="E792" s="2" t="s">
        <v>507</v>
      </c>
      <c r="F792" s="2" t="s">
        <v>5231</v>
      </c>
      <c r="G792" s="1">
        <v>1</v>
      </c>
      <c r="H792" s="1" t="s">
        <v>1656</v>
      </c>
      <c r="I792" s="1" t="s">
        <v>1657</v>
      </c>
      <c r="J792" s="1" t="s">
        <v>1658</v>
      </c>
      <c r="K792" s="1" t="s">
        <v>1658</v>
      </c>
      <c r="L792" s="1" t="s">
        <v>1658</v>
      </c>
      <c r="M792" s="1" t="s">
        <v>1658</v>
      </c>
      <c r="N792" s="1" t="s">
        <v>1658</v>
      </c>
      <c r="O792" s="1" t="s">
        <v>1658</v>
      </c>
      <c r="P792" s="1">
        <v>1</v>
      </c>
      <c r="Q792" s="1" t="s">
        <v>1658</v>
      </c>
      <c r="R792" s="1">
        <v>0</v>
      </c>
      <c r="S792" s="1" t="s">
        <v>5232</v>
      </c>
      <c r="T792" s="6" t="s">
        <v>5232</v>
      </c>
      <c r="U792" s="1" t="str">
        <f t="shared" si="12"/>
        <v>Yes</v>
      </c>
      <c r="W792" s="1" t="s">
        <v>5233</v>
      </c>
      <c r="X792" s="1" t="str">
        <f>IF(COUNTIF('MyWells Drilling Comp'!F:F,E792)=0,"Missing","Exist")</f>
        <v>Exist</v>
      </c>
    </row>
    <row r="793" hidden="1" spans="1:24">
      <c r="A793" s="1" t="s">
        <v>1652</v>
      </c>
      <c r="B793" s="1" t="s">
        <v>90</v>
      </c>
      <c r="C793" s="1" t="s">
        <v>5234</v>
      </c>
      <c r="D793" s="1" t="s">
        <v>5230</v>
      </c>
      <c r="E793" s="2" t="s">
        <v>507</v>
      </c>
      <c r="F793" s="2" t="s">
        <v>5235</v>
      </c>
      <c r="G793" s="1">
        <v>1</v>
      </c>
      <c r="H793" s="1" t="s">
        <v>1663</v>
      </c>
      <c r="I793" s="1" t="s">
        <v>1657</v>
      </c>
      <c r="J793" s="1" t="s">
        <v>1658</v>
      </c>
      <c r="K793" s="1" t="s">
        <v>1658</v>
      </c>
      <c r="L793" s="1" t="s">
        <v>1658</v>
      </c>
      <c r="M793" s="1" t="s">
        <v>1658</v>
      </c>
      <c r="N793" s="1" t="s">
        <v>1658</v>
      </c>
      <c r="O793" s="1" t="s">
        <v>1658</v>
      </c>
      <c r="P793" s="1">
        <v>1</v>
      </c>
      <c r="Q793" s="1" t="s">
        <v>1658</v>
      </c>
      <c r="R793" s="1">
        <v>0</v>
      </c>
      <c r="S793" s="1" t="s">
        <v>5236</v>
      </c>
      <c r="T793" s="6" t="s">
        <v>5236</v>
      </c>
      <c r="U793" s="1" t="str">
        <f t="shared" si="12"/>
        <v>Yes</v>
      </c>
      <c r="W793" s="1" t="s">
        <v>5237</v>
      </c>
      <c r="X793" s="1" t="str">
        <f>IF(COUNTIF('MyWells Drilling Comp'!F:F,E793)=0,"Missing","Exist")</f>
        <v>Exist</v>
      </c>
    </row>
    <row r="794" hidden="1" spans="1:24">
      <c r="A794" s="1" t="s">
        <v>1652</v>
      </c>
      <c r="B794" s="1" t="s">
        <v>90</v>
      </c>
      <c r="C794" s="1" t="s">
        <v>5238</v>
      </c>
      <c r="D794" s="1" t="s">
        <v>5239</v>
      </c>
      <c r="E794" s="2" t="s">
        <v>839</v>
      </c>
      <c r="F794" s="2" t="s">
        <v>5240</v>
      </c>
      <c r="G794" s="1">
        <v>1</v>
      </c>
      <c r="H794" s="1" t="s">
        <v>1656</v>
      </c>
      <c r="I794" s="1" t="s">
        <v>1657</v>
      </c>
      <c r="J794" s="1" t="s">
        <v>1658</v>
      </c>
      <c r="K794" s="1" t="s">
        <v>1658</v>
      </c>
      <c r="L794" s="1" t="s">
        <v>1658</v>
      </c>
      <c r="M794" s="1" t="s">
        <v>1658</v>
      </c>
      <c r="N794" s="1" t="s">
        <v>1658</v>
      </c>
      <c r="O794" s="1" t="s">
        <v>1658</v>
      </c>
      <c r="P794" s="1">
        <v>1</v>
      </c>
      <c r="Q794" s="1" t="s">
        <v>1658</v>
      </c>
      <c r="R794" s="1">
        <v>0</v>
      </c>
      <c r="S794" s="1" t="s">
        <v>5241</v>
      </c>
      <c r="T794" s="6" t="s">
        <v>5241</v>
      </c>
      <c r="U794" s="1" t="str">
        <f t="shared" si="12"/>
        <v>Yes</v>
      </c>
      <c r="W794" s="1" t="s">
        <v>5242</v>
      </c>
      <c r="X794" s="1" t="str">
        <f>IF(COUNTIF('MyWells Drilling Comp'!F:F,E794)=0,"Missing","Exist")</f>
        <v>Exist</v>
      </c>
    </row>
    <row r="795" hidden="1" spans="1:24">
      <c r="A795" s="1" t="s">
        <v>1652</v>
      </c>
      <c r="B795" s="1" t="s">
        <v>90</v>
      </c>
      <c r="C795" s="1" t="s">
        <v>5243</v>
      </c>
      <c r="D795" s="1" t="s">
        <v>5239</v>
      </c>
      <c r="E795" s="2" t="s">
        <v>839</v>
      </c>
      <c r="F795" s="2" t="s">
        <v>5244</v>
      </c>
      <c r="G795" s="1">
        <v>1</v>
      </c>
      <c r="H795" s="1" t="s">
        <v>1663</v>
      </c>
      <c r="I795" s="1" t="s">
        <v>1657</v>
      </c>
      <c r="J795" s="1" t="s">
        <v>1658</v>
      </c>
      <c r="K795" s="1" t="s">
        <v>1658</v>
      </c>
      <c r="L795" s="1" t="s">
        <v>1658</v>
      </c>
      <c r="M795" s="1" t="s">
        <v>1658</v>
      </c>
      <c r="N795" s="1" t="s">
        <v>1658</v>
      </c>
      <c r="O795" s="1" t="s">
        <v>1658</v>
      </c>
      <c r="P795" s="1">
        <v>1</v>
      </c>
      <c r="Q795" s="1" t="s">
        <v>1658</v>
      </c>
      <c r="R795" s="1">
        <v>0</v>
      </c>
      <c r="S795" s="1" t="s">
        <v>5245</v>
      </c>
      <c r="T795" s="6" t="s">
        <v>5245</v>
      </c>
      <c r="U795" s="1" t="str">
        <f t="shared" si="12"/>
        <v>Yes</v>
      </c>
      <c r="W795" s="1" t="s">
        <v>5246</v>
      </c>
      <c r="X795" s="1" t="str">
        <f>IF(COUNTIF('MyWells Drilling Comp'!F:F,E795)=0,"Missing","Exist")</f>
        <v>Exist</v>
      </c>
    </row>
    <row r="796" hidden="1" spans="1:24">
      <c r="A796" s="1" t="s">
        <v>1652</v>
      </c>
      <c r="B796" s="1" t="s">
        <v>90</v>
      </c>
      <c r="C796" s="1" t="s">
        <v>5247</v>
      </c>
      <c r="D796" s="1" t="s">
        <v>5248</v>
      </c>
      <c r="E796" s="2" t="s">
        <v>720</v>
      </c>
      <c r="F796" s="2" t="s">
        <v>5249</v>
      </c>
      <c r="G796" s="1">
        <v>1</v>
      </c>
      <c r="H796" s="1" t="s">
        <v>1656</v>
      </c>
      <c r="I796" s="1" t="s">
        <v>1657</v>
      </c>
      <c r="J796" s="1" t="s">
        <v>1658</v>
      </c>
      <c r="K796" s="1" t="s">
        <v>1658</v>
      </c>
      <c r="L796" s="1" t="s">
        <v>1658</v>
      </c>
      <c r="M796" s="1" t="s">
        <v>1658</v>
      </c>
      <c r="N796" s="1" t="s">
        <v>1658</v>
      </c>
      <c r="O796" s="1" t="s">
        <v>1658</v>
      </c>
      <c r="P796" s="1">
        <v>1</v>
      </c>
      <c r="Q796" s="1" t="s">
        <v>1658</v>
      </c>
      <c r="R796" s="1">
        <v>0</v>
      </c>
      <c r="S796" s="1" t="s">
        <v>5250</v>
      </c>
      <c r="T796" s="6" t="s">
        <v>5250</v>
      </c>
      <c r="U796" s="1" t="str">
        <f t="shared" si="12"/>
        <v>Yes</v>
      </c>
      <c r="W796" s="1" t="s">
        <v>5251</v>
      </c>
      <c r="X796" s="1" t="str">
        <f>IF(COUNTIF('MyWells Drilling Comp'!F:F,E796)=0,"Missing","Exist")</f>
        <v>Exist</v>
      </c>
    </row>
    <row r="797" hidden="1" spans="1:24">
      <c r="A797" s="1" t="s">
        <v>1652</v>
      </c>
      <c r="B797" s="1" t="s">
        <v>90</v>
      </c>
      <c r="C797" s="1" t="s">
        <v>5252</v>
      </c>
      <c r="D797" s="1" t="s">
        <v>5248</v>
      </c>
      <c r="E797" s="2" t="s">
        <v>720</v>
      </c>
      <c r="F797" s="2" t="s">
        <v>5253</v>
      </c>
      <c r="G797" s="1">
        <v>1</v>
      </c>
      <c r="H797" s="1" t="s">
        <v>1663</v>
      </c>
      <c r="I797" s="1" t="s">
        <v>1657</v>
      </c>
      <c r="J797" s="1" t="s">
        <v>1658</v>
      </c>
      <c r="K797" s="1" t="s">
        <v>1658</v>
      </c>
      <c r="L797" s="1" t="s">
        <v>1658</v>
      </c>
      <c r="M797" s="1" t="s">
        <v>1658</v>
      </c>
      <c r="N797" s="1" t="s">
        <v>1658</v>
      </c>
      <c r="O797" s="1" t="s">
        <v>1658</v>
      </c>
      <c r="P797" s="1">
        <v>1</v>
      </c>
      <c r="Q797" s="1" t="s">
        <v>1658</v>
      </c>
      <c r="R797" s="1">
        <v>0</v>
      </c>
      <c r="S797" s="1" t="s">
        <v>5254</v>
      </c>
      <c r="T797" s="6" t="s">
        <v>5254</v>
      </c>
      <c r="U797" s="1" t="str">
        <f t="shared" si="12"/>
        <v>Yes</v>
      </c>
      <c r="W797" s="1" t="s">
        <v>5255</v>
      </c>
      <c r="X797" s="1" t="str">
        <f>IF(COUNTIF('MyWells Drilling Comp'!F:F,E797)=0,"Missing","Exist")</f>
        <v>Exist</v>
      </c>
    </row>
    <row r="798" hidden="1" spans="1:24">
      <c r="A798" s="1" t="s">
        <v>1652</v>
      </c>
      <c r="B798" s="1" t="s">
        <v>90</v>
      </c>
      <c r="C798" s="1" t="s">
        <v>5256</v>
      </c>
      <c r="D798" s="1" t="s">
        <v>5257</v>
      </c>
      <c r="E798" s="2" t="s">
        <v>1116</v>
      </c>
      <c r="F798" s="2" t="s">
        <v>5258</v>
      </c>
      <c r="G798" s="1">
        <v>1</v>
      </c>
      <c r="H798" s="1" t="s">
        <v>1663</v>
      </c>
      <c r="I798" s="1" t="s">
        <v>1657</v>
      </c>
      <c r="J798" s="1" t="s">
        <v>1658</v>
      </c>
      <c r="K798" s="1" t="s">
        <v>1658</v>
      </c>
      <c r="L798" s="1" t="s">
        <v>1658</v>
      </c>
      <c r="M798" s="1" t="s">
        <v>1658</v>
      </c>
      <c r="N798" s="1" t="s">
        <v>1658</v>
      </c>
      <c r="O798" s="1" t="s">
        <v>1658</v>
      </c>
      <c r="P798" s="1">
        <v>1</v>
      </c>
      <c r="Q798" s="1" t="s">
        <v>1658</v>
      </c>
      <c r="R798" s="1">
        <v>0</v>
      </c>
      <c r="S798" s="1" t="s">
        <v>5259</v>
      </c>
      <c r="T798" s="6" t="s">
        <v>5259</v>
      </c>
      <c r="U798" s="1" t="str">
        <f t="shared" si="12"/>
        <v>Yes</v>
      </c>
      <c r="W798" s="1" t="s">
        <v>5260</v>
      </c>
      <c r="X798" s="1" t="str">
        <f>IF(COUNTIF('MyWells Drilling Comp'!F:F,E798)=0,"Missing","Exist")</f>
        <v>Exist</v>
      </c>
    </row>
    <row r="799" hidden="1" spans="1:24">
      <c r="A799" s="1" t="s">
        <v>1652</v>
      </c>
      <c r="B799" s="1" t="s">
        <v>90</v>
      </c>
      <c r="C799" s="1" t="s">
        <v>5261</v>
      </c>
      <c r="D799" s="1" t="s">
        <v>5257</v>
      </c>
      <c r="E799" s="2" t="s">
        <v>1116</v>
      </c>
      <c r="F799" s="2" t="s">
        <v>5262</v>
      </c>
      <c r="G799" s="1">
        <v>1</v>
      </c>
      <c r="H799" s="1" t="s">
        <v>1656</v>
      </c>
      <c r="I799" s="1" t="s">
        <v>1657</v>
      </c>
      <c r="J799" s="1" t="s">
        <v>1658</v>
      </c>
      <c r="K799" s="1" t="s">
        <v>1658</v>
      </c>
      <c r="L799" s="1" t="s">
        <v>1658</v>
      </c>
      <c r="M799" s="1" t="s">
        <v>1658</v>
      </c>
      <c r="N799" s="1" t="s">
        <v>1658</v>
      </c>
      <c r="O799" s="1" t="s">
        <v>1658</v>
      </c>
      <c r="P799" s="1">
        <v>1</v>
      </c>
      <c r="Q799" s="1" t="s">
        <v>1658</v>
      </c>
      <c r="R799" s="1">
        <v>0</v>
      </c>
      <c r="S799" s="1" t="s">
        <v>5263</v>
      </c>
      <c r="T799" s="6" t="s">
        <v>5263</v>
      </c>
      <c r="U799" s="1" t="str">
        <f t="shared" si="12"/>
        <v>Yes</v>
      </c>
      <c r="W799" s="1" t="s">
        <v>5264</v>
      </c>
      <c r="X799" s="1" t="str">
        <f>IF(COUNTIF('MyWells Drilling Comp'!F:F,E799)=0,"Missing","Exist")</f>
        <v>Exist</v>
      </c>
    </row>
    <row r="800" hidden="1" spans="1:24">
      <c r="A800" s="1" t="s">
        <v>5265</v>
      </c>
      <c r="B800" s="1" t="s">
        <v>90</v>
      </c>
      <c r="C800" s="1" t="s">
        <v>5266</v>
      </c>
      <c r="D800" s="1" t="s">
        <v>5267</v>
      </c>
      <c r="E800" s="2" t="s">
        <v>607</v>
      </c>
      <c r="F800" s="2" t="s">
        <v>5268</v>
      </c>
      <c r="G800" s="1">
        <v>1</v>
      </c>
      <c r="H800" s="1" t="s">
        <v>1656</v>
      </c>
      <c r="I800" s="1" t="s">
        <v>1657</v>
      </c>
      <c r="J800" s="1" t="s">
        <v>1658</v>
      </c>
      <c r="K800" s="1" t="s">
        <v>1658</v>
      </c>
      <c r="L800" s="1" t="s">
        <v>1658</v>
      </c>
      <c r="M800" s="1" t="s">
        <v>1658</v>
      </c>
      <c r="N800" s="1" t="s">
        <v>1658</v>
      </c>
      <c r="O800" s="1" t="s">
        <v>1658</v>
      </c>
      <c r="P800" s="1">
        <v>1</v>
      </c>
      <c r="Q800" s="1" t="s">
        <v>1658</v>
      </c>
      <c r="R800" s="1">
        <v>0</v>
      </c>
      <c r="S800" s="1" t="s">
        <v>5269</v>
      </c>
      <c r="T800" s="6" t="s">
        <v>5269</v>
      </c>
      <c r="U800" s="1" t="str">
        <f t="shared" si="12"/>
        <v>Yes</v>
      </c>
      <c r="W800" s="1" t="s">
        <v>5270</v>
      </c>
      <c r="X800" s="1" t="str">
        <f>IF(COUNTIF('MyWells Drilling Comp'!F:F,E800)=0,"Missing","Exist")</f>
        <v>Exist</v>
      </c>
    </row>
    <row r="801" hidden="1" spans="1:24">
      <c r="A801" s="1" t="s">
        <v>5265</v>
      </c>
      <c r="B801" s="1" t="s">
        <v>90</v>
      </c>
      <c r="C801" s="1" t="s">
        <v>5271</v>
      </c>
      <c r="D801" s="1" t="s">
        <v>5267</v>
      </c>
      <c r="E801" s="2" t="s">
        <v>607</v>
      </c>
      <c r="F801" s="2" t="s">
        <v>5272</v>
      </c>
      <c r="G801" s="1">
        <v>1</v>
      </c>
      <c r="H801" s="1" t="s">
        <v>1663</v>
      </c>
      <c r="I801" s="1" t="s">
        <v>1657</v>
      </c>
      <c r="J801" s="1" t="s">
        <v>1658</v>
      </c>
      <c r="K801" s="1" t="s">
        <v>1658</v>
      </c>
      <c r="L801" s="1" t="s">
        <v>1658</v>
      </c>
      <c r="M801" s="1" t="s">
        <v>1658</v>
      </c>
      <c r="N801" s="1" t="s">
        <v>1658</v>
      </c>
      <c r="O801" s="1" t="s">
        <v>1658</v>
      </c>
      <c r="P801" s="1">
        <v>1</v>
      </c>
      <c r="Q801" s="1" t="s">
        <v>1658</v>
      </c>
      <c r="R801" s="1">
        <v>0</v>
      </c>
      <c r="S801" s="1" t="s">
        <v>5273</v>
      </c>
      <c r="T801" s="6" t="s">
        <v>5273</v>
      </c>
      <c r="U801" s="1" t="str">
        <f t="shared" si="12"/>
        <v>Yes</v>
      </c>
      <c r="W801" s="1" t="s">
        <v>5274</v>
      </c>
      <c r="X801" s="1" t="str">
        <f>IF(COUNTIF('MyWells Drilling Comp'!F:F,E801)=0,"Missing","Exist")</f>
        <v>Exist</v>
      </c>
    </row>
    <row r="802" spans="1:24">
      <c r="A802" s="1" t="s">
        <v>5265</v>
      </c>
      <c r="B802" s="1" t="s">
        <v>90</v>
      </c>
      <c r="C802" s="1" t="s">
        <v>5275</v>
      </c>
      <c r="D802" s="1" t="s">
        <v>5276</v>
      </c>
      <c r="E802" s="2" t="s">
        <v>5277</v>
      </c>
      <c r="F802" s="2" t="s">
        <v>5278</v>
      </c>
      <c r="G802" s="1">
        <v>1</v>
      </c>
      <c r="H802" s="1" t="s">
        <v>1663</v>
      </c>
      <c r="I802" s="1" t="s">
        <v>1657</v>
      </c>
      <c r="J802" s="1" t="s">
        <v>1658</v>
      </c>
      <c r="K802" s="1" t="s">
        <v>1658</v>
      </c>
      <c r="L802" s="1" t="s">
        <v>1658</v>
      </c>
      <c r="M802" s="1" t="s">
        <v>1658</v>
      </c>
      <c r="N802" s="1" t="s">
        <v>1658</v>
      </c>
      <c r="O802" s="1" t="s">
        <v>1658</v>
      </c>
      <c r="P802" s="1">
        <v>1</v>
      </c>
      <c r="Q802" s="1" t="s">
        <v>1658</v>
      </c>
      <c r="R802" s="1">
        <v>0</v>
      </c>
      <c r="S802" s="1" t="s">
        <v>5279</v>
      </c>
      <c r="T802" s="6" t="s">
        <v>5279</v>
      </c>
      <c r="U802" s="1" t="str">
        <f t="shared" si="12"/>
        <v>Yes</v>
      </c>
      <c r="W802" s="1" t="s">
        <v>5280</v>
      </c>
      <c r="X802" s="1" t="str">
        <f>IF(COUNTIF('MyWells Drilling Comp'!F:F,E802)=0,"Missing","Exist")</f>
        <v>Missing</v>
      </c>
    </row>
    <row r="803" hidden="1" spans="1:24">
      <c r="A803" s="1" t="s">
        <v>5265</v>
      </c>
      <c r="B803" s="1" t="s">
        <v>90</v>
      </c>
      <c r="C803" s="1" t="s">
        <v>5281</v>
      </c>
      <c r="D803" s="1" t="s">
        <v>5276</v>
      </c>
      <c r="E803" s="2" t="s">
        <v>5277</v>
      </c>
      <c r="F803" s="2" t="s">
        <v>5282</v>
      </c>
      <c r="G803" s="1">
        <v>1</v>
      </c>
      <c r="H803" s="1" t="s">
        <v>1656</v>
      </c>
      <c r="I803" s="1" t="s">
        <v>1657</v>
      </c>
      <c r="J803" s="1" t="s">
        <v>1658</v>
      </c>
      <c r="K803" s="1" t="s">
        <v>1658</v>
      </c>
      <c r="L803" s="1" t="s">
        <v>1658</v>
      </c>
      <c r="M803" s="1" t="s">
        <v>1658</v>
      </c>
      <c r="N803" s="1" t="s">
        <v>1658</v>
      </c>
      <c r="O803" s="1" t="s">
        <v>1658</v>
      </c>
      <c r="P803" s="1">
        <v>1</v>
      </c>
      <c r="Q803" s="1" t="s">
        <v>1658</v>
      </c>
      <c r="R803" s="1">
        <v>0</v>
      </c>
      <c r="S803" s="1" t="s">
        <v>5283</v>
      </c>
      <c r="T803" s="6" t="s">
        <v>5283</v>
      </c>
      <c r="U803" s="1" t="str">
        <f t="shared" si="12"/>
        <v>Yes</v>
      </c>
      <c r="W803" s="1" t="s">
        <v>5284</v>
      </c>
      <c r="X803" s="1" t="str">
        <f>IF(COUNTIF('MyWells Drilling Comp'!F:F,E803)=0,"Missing","Exist")</f>
        <v>Missing</v>
      </c>
    </row>
    <row r="804" hidden="1" spans="1:24">
      <c r="A804" s="1" t="s">
        <v>5265</v>
      </c>
      <c r="B804" s="1" t="s">
        <v>90</v>
      </c>
      <c r="C804" s="1" t="s">
        <v>5285</v>
      </c>
      <c r="D804" s="1" t="s">
        <v>5286</v>
      </c>
      <c r="E804" s="2" t="s">
        <v>1557</v>
      </c>
      <c r="F804" s="2" t="s">
        <v>5287</v>
      </c>
      <c r="G804" s="1">
        <v>1</v>
      </c>
      <c r="H804" s="1" t="s">
        <v>1663</v>
      </c>
      <c r="I804" s="1" t="s">
        <v>1657</v>
      </c>
      <c r="J804" s="1" t="s">
        <v>1658</v>
      </c>
      <c r="K804" s="1" t="s">
        <v>1658</v>
      </c>
      <c r="L804" s="1" t="s">
        <v>1658</v>
      </c>
      <c r="M804" s="1" t="s">
        <v>1658</v>
      </c>
      <c r="N804" s="1" t="s">
        <v>1658</v>
      </c>
      <c r="O804" s="1" t="s">
        <v>1658</v>
      </c>
      <c r="P804" s="1">
        <v>1</v>
      </c>
      <c r="Q804" s="1" t="s">
        <v>1658</v>
      </c>
      <c r="R804" s="1">
        <v>0</v>
      </c>
      <c r="S804" s="1" t="s">
        <v>5288</v>
      </c>
      <c r="T804" s="6" t="s">
        <v>5288</v>
      </c>
      <c r="U804" s="1" t="str">
        <f t="shared" si="12"/>
        <v>Yes</v>
      </c>
      <c r="W804" s="1" t="s">
        <v>5289</v>
      </c>
      <c r="X804" s="1" t="str">
        <f>IF(COUNTIF('MyWells Drilling Comp'!F:F,E804)=0,"Missing","Exist")</f>
        <v>Exist</v>
      </c>
    </row>
    <row r="805" hidden="1" spans="1:24">
      <c r="A805" s="1" t="s">
        <v>5265</v>
      </c>
      <c r="B805" s="1" t="s">
        <v>90</v>
      </c>
      <c r="C805" s="1" t="s">
        <v>5290</v>
      </c>
      <c r="D805" s="1" t="s">
        <v>5286</v>
      </c>
      <c r="E805" s="2" t="s">
        <v>1557</v>
      </c>
      <c r="F805" s="2" t="s">
        <v>5291</v>
      </c>
      <c r="G805" s="1">
        <v>1</v>
      </c>
      <c r="H805" s="1" t="s">
        <v>1656</v>
      </c>
      <c r="I805" s="1" t="s">
        <v>1657</v>
      </c>
      <c r="J805" s="1" t="s">
        <v>1658</v>
      </c>
      <c r="K805" s="1" t="s">
        <v>1658</v>
      </c>
      <c r="L805" s="1" t="s">
        <v>1658</v>
      </c>
      <c r="M805" s="1" t="s">
        <v>1658</v>
      </c>
      <c r="N805" s="1" t="s">
        <v>1658</v>
      </c>
      <c r="O805" s="1" t="s">
        <v>1658</v>
      </c>
      <c r="P805" s="1">
        <v>1</v>
      </c>
      <c r="Q805" s="1" t="s">
        <v>1658</v>
      </c>
      <c r="R805" s="1">
        <v>0</v>
      </c>
      <c r="S805" s="1" t="s">
        <v>5292</v>
      </c>
      <c r="T805" s="6" t="s">
        <v>5292</v>
      </c>
      <c r="U805" s="1" t="str">
        <f t="shared" si="12"/>
        <v>Yes</v>
      </c>
      <c r="W805" s="1" t="s">
        <v>5293</v>
      </c>
      <c r="X805" s="1" t="str">
        <f>IF(COUNTIF('MyWells Drilling Comp'!F:F,E805)=0,"Missing","Exist")</f>
        <v>Exist</v>
      </c>
    </row>
    <row r="806" hidden="1" spans="1:24">
      <c r="A806" s="1" t="s">
        <v>5265</v>
      </c>
      <c r="B806" s="1" t="s">
        <v>90</v>
      </c>
      <c r="C806" s="1" t="s">
        <v>5294</v>
      </c>
      <c r="D806" s="1" t="s">
        <v>5295</v>
      </c>
      <c r="E806" s="2" t="s">
        <v>568</v>
      </c>
      <c r="F806" s="2" t="s">
        <v>5296</v>
      </c>
      <c r="G806" s="1">
        <v>1</v>
      </c>
      <c r="H806" s="1" t="s">
        <v>1663</v>
      </c>
      <c r="I806" s="1" t="s">
        <v>1657</v>
      </c>
      <c r="J806" s="1" t="s">
        <v>1658</v>
      </c>
      <c r="K806" s="1" t="s">
        <v>1658</v>
      </c>
      <c r="L806" s="1" t="s">
        <v>1658</v>
      </c>
      <c r="M806" s="1" t="s">
        <v>1658</v>
      </c>
      <c r="N806" s="1" t="s">
        <v>1658</v>
      </c>
      <c r="O806" s="1" t="s">
        <v>1658</v>
      </c>
      <c r="P806" s="1">
        <v>1</v>
      </c>
      <c r="Q806" s="1" t="s">
        <v>1658</v>
      </c>
      <c r="R806" s="1">
        <v>0</v>
      </c>
      <c r="S806" s="1" t="s">
        <v>5297</v>
      </c>
      <c r="T806" s="6" t="s">
        <v>5297</v>
      </c>
      <c r="U806" s="1" t="str">
        <f t="shared" si="12"/>
        <v>Yes</v>
      </c>
      <c r="W806" s="1" t="s">
        <v>5298</v>
      </c>
      <c r="X806" s="1" t="str">
        <f>IF(COUNTIF('MyWells Drilling Comp'!F:F,E806)=0,"Missing","Exist")</f>
        <v>Exist</v>
      </c>
    </row>
    <row r="807" hidden="1" spans="1:24">
      <c r="A807" s="1" t="s">
        <v>5265</v>
      </c>
      <c r="B807" s="1" t="s">
        <v>90</v>
      </c>
      <c r="C807" s="1" t="s">
        <v>5299</v>
      </c>
      <c r="D807" s="1" t="s">
        <v>5295</v>
      </c>
      <c r="E807" s="2" t="s">
        <v>568</v>
      </c>
      <c r="F807" s="2" t="s">
        <v>5300</v>
      </c>
      <c r="G807" s="1">
        <v>1</v>
      </c>
      <c r="H807" s="1" t="s">
        <v>1656</v>
      </c>
      <c r="I807" s="1" t="s">
        <v>1657</v>
      </c>
      <c r="J807" s="1" t="s">
        <v>1658</v>
      </c>
      <c r="K807" s="1" t="s">
        <v>1658</v>
      </c>
      <c r="L807" s="1" t="s">
        <v>1658</v>
      </c>
      <c r="M807" s="1" t="s">
        <v>1658</v>
      </c>
      <c r="N807" s="1" t="s">
        <v>1658</v>
      </c>
      <c r="O807" s="1" t="s">
        <v>1658</v>
      </c>
      <c r="P807" s="1">
        <v>1</v>
      </c>
      <c r="Q807" s="1" t="s">
        <v>1658</v>
      </c>
      <c r="R807" s="1">
        <v>0</v>
      </c>
      <c r="S807" s="1" t="s">
        <v>5301</v>
      </c>
      <c r="T807" s="6" t="s">
        <v>5301</v>
      </c>
      <c r="U807" s="1" t="str">
        <f t="shared" si="12"/>
        <v>Yes</v>
      </c>
      <c r="W807" s="1" t="s">
        <v>5302</v>
      </c>
      <c r="X807" s="1" t="str">
        <f>IF(COUNTIF('MyWells Drilling Comp'!F:F,E807)=0,"Missing","Exist")</f>
        <v>Exist</v>
      </c>
    </row>
    <row r="808" hidden="1" spans="1:24">
      <c r="A808" s="1" t="s">
        <v>5265</v>
      </c>
      <c r="B808" s="1" t="s">
        <v>90</v>
      </c>
      <c r="C808" s="1" t="s">
        <v>5303</v>
      </c>
      <c r="D808" s="1" t="s">
        <v>5304</v>
      </c>
      <c r="E808" s="2" t="s">
        <v>476</v>
      </c>
      <c r="F808" s="2" t="s">
        <v>5305</v>
      </c>
      <c r="G808" s="1">
        <v>1</v>
      </c>
      <c r="H808" s="1" t="s">
        <v>1656</v>
      </c>
      <c r="I808" s="1" t="s">
        <v>1657</v>
      </c>
      <c r="J808" s="1" t="s">
        <v>1658</v>
      </c>
      <c r="K808" s="1" t="s">
        <v>1658</v>
      </c>
      <c r="L808" s="1" t="s">
        <v>1658</v>
      </c>
      <c r="M808" s="1" t="s">
        <v>1658</v>
      </c>
      <c r="N808" s="1" t="s">
        <v>1658</v>
      </c>
      <c r="O808" s="1" t="s">
        <v>1658</v>
      </c>
      <c r="P808" s="1">
        <v>1</v>
      </c>
      <c r="Q808" s="1" t="s">
        <v>1658</v>
      </c>
      <c r="R808" s="1">
        <v>0</v>
      </c>
      <c r="S808" s="1" t="s">
        <v>5306</v>
      </c>
      <c r="T808" s="6" t="s">
        <v>5306</v>
      </c>
      <c r="U808" s="1" t="str">
        <f t="shared" si="12"/>
        <v>Yes</v>
      </c>
      <c r="W808" s="1" t="s">
        <v>5307</v>
      </c>
      <c r="X808" s="1" t="str">
        <f>IF(COUNTIF('MyWells Drilling Comp'!F:F,E808)=0,"Missing","Exist")</f>
        <v>Exist</v>
      </c>
    </row>
    <row r="809" hidden="1" spans="1:24">
      <c r="A809" s="1" t="s">
        <v>5265</v>
      </c>
      <c r="B809" s="1" t="s">
        <v>90</v>
      </c>
      <c r="C809" s="1" t="s">
        <v>5308</v>
      </c>
      <c r="D809" s="1" t="s">
        <v>5304</v>
      </c>
      <c r="E809" s="2" t="s">
        <v>476</v>
      </c>
      <c r="F809" s="2" t="s">
        <v>5309</v>
      </c>
      <c r="G809" s="1">
        <v>1</v>
      </c>
      <c r="H809" s="1" t="s">
        <v>1663</v>
      </c>
      <c r="I809" s="1" t="s">
        <v>1657</v>
      </c>
      <c r="J809" s="1" t="s">
        <v>1658</v>
      </c>
      <c r="K809" s="1" t="s">
        <v>1658</v>
      </c>
      <c r="L809" s="1" t="s">
        <v>1658</v>
      </c>
      <c r="M809" s="1" t="s">
        <v>1658</v>
      </c>
      <c r="N809" s="1" t="s">
        <v>1658</v>
      </c>
      <c r="O809" s="1" t="s">
        <v>1658</v>
      </c>
      <c r="P809" s="1">
        <v>1</v>
      </c>
      <c r="Q809" s="1" t="s">
        <v>1658</v>
      </c>
      <c r="R809" s="1">
        <v>0</v>
      </c>
      <c r="S809" s="1" t="s">
        <v>5310</v>
      </c>
      <c r="T809" s="6" t="s">
        <v>5310</v>
      </c>
      <c r="U809" s="1" t="str">
        <f t="shared" si="12"/>
        <v>Yes</v>
      </c>
      <c r="W809" s="1" t="s">
        <v>5311</v>
      </c>
      <c r="X809" s="1" t="str">
        <f>IF(COUNTIF('MyWells Drilling Comp'!F:F,E809)=0,"Missing","Exist")</f>
        <v>Exist</v>
      </c>
    </row>
    <row r="810" hidden="1" spans="1:24">
      <c r="A810" s="1" t="s">
        <v>5265</v>
      </c>
      <c r="B810" s="1" t="s">
        <v>90</v>
      </c>
      <c r="C810" s="1" t="s">
        <v>5312</v>
      </c>
      <c r="D810" s="1" t="s">
        <v>5313</v>
      </c>
      <c r="E810" s="2" t="s">
        <v>483</v>
      </c>
      <c r="F810" s="2" t="s">
        <v>5314</v>
      </c>
      <c r="G810" s="1">
        <v>1</v>
      </c>
      <c r="H810" s="1" t="s">
        <v>1656</v>
      </c>
      <c r="I810" s="1" t="s">
        <v>1657</v>
      </c>
      <c r="J810" s="1" t="s">
        <v>1658</v>
      </c>
      <c r="K810" s="1" t="s">
        <v>1658</v>
      </c>
      <c r="L810" s="1" t="s">
        <v>1658</v>
      </c>
      <c r="M810" s="1" t="s">
        <v>1658</v>
      </c>
      <c r="N810" s="1" t="s">
        <v>1658</v>
      </c>
      <c r="O810" s="1" t="s">
        <v>1658</v>
      </c>
      <c r="P810" s="1">
        <v>1</v>
      </c>
      <c r="Q810" s="1" t="s">
        <v>1658</v>
      </c>
      <c r="R810" s="1">
        <v>0</v>
      </c>
      <c r="S810" s="1" t="s">
        <v>5315</v>
      </c>
      <c r="T810" s="6" t="s">
        <v>5315</v>
      </c>
      <c r="U810" s="1" t="str">
        <f t="shared" si="12"/>
        <v>Yes</v>
      </c>
      <c r="W810" s="1" t="s">
        <v>5316</v>
      </c>
      <c r="X810" s="1" t="str">
        <f>IF(COUNTIF('MyWells Drilling Comp'!F:F,E810)=0,"Missing","Exist")</f>
        <v>Exist</v>
      </c>
    </row>
    <row r="811" hidden="1" spans="1:24">
      <c r="A811" s="1" t="s">
        <v>5265</v>
      </c>
      <c r="B811" s="1" t="s">
        <v>90</v>
      </c>
      <c r="C811" s="1" t="s">
        <v>5317</v>
      </c>
      <c r="D811" s="1" t="s">
        <v>5313</v>
      </c>
      <c r="E811" s="2" t="s">
        <v>483</v>
      </c>
      <c r="F811" s="2" t="s">
        <v>5318</v>
      </c>
      <c r="G811" s="1">
        <v>1</v>
      </c>
      <c r="H811" s="1" t="s">
        <v>1663</v>
      </c>
      <c r="I811" s="1" t="s">
        <v>1657</v>
      </c>
      <c r="J811" s="1" t="s">
        <v>1658</v>
      </c>
      <c r="K811" s="1" t="s">
        <v>1658</v>
      </c>
      <c r="L811" s="1" t="s">
        <v>1658</v>
      </c>
      <c r="M811" s="1" t="s">
        <v>1658</v>
      </c>
      <c r="N811" s="1" t="s">
        <v>1658</v>
      </c>
      <c r="O811" s="1" t="s">
        <v>1658</v>
      </c>
      <c r="P811" s="1">
        <v>1</v>
      </c>
      <c r="Q811" s="1" t="s">
        <v>1658</v>
      </c>
      <c r="R811" s="1">
        <v>0</v>
      </c>
      <c r="S811" s="1" t="s">
        <v>5319</v>
      </c>
      <c r="T811" s="6" t="s">
        <v>5319</v>
      </c>
      <c r="U811" s="1" t="str">
        <f t="shared" si="12"/>
        <v>Yes</v>
      </c>
      <c r="W811" s="1" t="s">
        <v>5320</v>
      </c>
      <c r="X811" s="1" t="str">
        <f>IF(COUNTIF('MyWells Drilling Comp'!F:F,E811)=0,"Missing","Exist")</f>
        <v>Exist</v>
      </c>
    </row>
    <row r="812" hidden="1" spans="1:24">
      <c r="A812" s="1" t="s">
        <v>5265</v>
      </c>
      <c r="B812" s="1" t="s">
        <v>90</v>
      </c>
      <c r="C812" s="1" t="s">
        <v>5321</v>
      </c>
      <c r="D812" s="1" t="s">
        <v>5322</v>
      </c>
      <c r="E812" s="2" t="s">
        <v>1603</v>
      </c>
      <c r="F812" s="2" t="s">
        <v>5323</v>
      </c>
      <c r="G812" s="1">
        <v>1</v>
      </c>
      <c r="H812" s="1" t="s">
        <v>1656</v>
      </c>
      <c r="I812" s="1" t="s">
        <v>1657</v>
      </c>
      <c r="J812" s="1" t="s">
        <v>1658</v>
      </c>
      <c r="K812" s="1" t="s">
        <v>1658</v>
      </c>
      <c r="L812" s="1" t="s">
        <v>1658</v>
      </c>
      <c r="M812" s="1" t="s">
        <v>1658</v>
      </c>
      <c r="N812" s="1" t="s">
        <v>1658</v>
      </c>
      <c r="O812" s="1" t="s">
        <v>1658</v>
      </c>
      <c r="P812" s="1">
        <v>1</v>
      </c>
      <c r="Q812" s="1" t="s">
        <v>1658</v>
      </c>
      <c r="R812" s="1">
        <v>0</v>
      </c>
      <c r="S812" s="1" t="s">
        <v>5324</v>
      </c>
      <c r="T812" s="6" t="s">
        <v>5324</v>
      </c>
      <c r="U812" s="1" t="str">
        <f t="shared" si="12"/>
        <v>Yes</v>
      </c>
      <c r="W812" s="1" t="s">
        <v>5325</v>
      </c>
      <c r="X812" s="1" t="str">
        <f>IF(COUNTIF('MyWells Drilling Comp'!F:F,E812)=0,"Missing","Exist")</f>
        <v>Exist</v>
      </c>
    </row>
    <row r="813" hidden="1" spans="1:24">
      <c r="A813" s="1" t="s">
        <v>5265</v>
      </c>
      <c r="B813" s="1" t="s">
        <v>90</v>
      </c>
      <c r="C813" s="1" t="s">
        <v>5326</v>
      </c>
      <c r="D813" s="1" t="s">
        <v>5322</v>
      </c>
      <c r="E813" s="2" t="s">
        <v>1603</v>
      </c>
      <c r="F813" s="2" t="s">
        <v>5327</v>
      </c>
      <c r="G813" s="1">
        <v>1</v>
      </c>
      <c r="H813" s="1" t="s">
        <v>1663</v>
      </c>
      <c r="I813" s="1" t="s">
        <v>1657</v>
      </c>
      <c r="J813" s="1" t="s">
        <v>1658</v>
      </c>
      <c r="K813" s="1" t="s">
        <v>1658</v>
      </c>
      <c r="L813" s="1" t="s">
        <v>1658</v>
      </c>
      <c r="M813" s="1" t="s">
        <v>1658</v>
      </c>
      <c r="N813" s="1" t="s">
        <v>1658</v>
      </c>
      <c r="O813" s="1" t="s">
        <v>1658</v>
      </c>
      <c r="P813" s="1">
        <v>1</v>
      </c>
      <c r="Q813" s="1" t="s">
        <v>1658</v>
      </c>
      <c r="R813" s="1">
        <v>0</v>
      </c>
      <c r="S813" s="1" t="s">
        <v>5328</v>
      </c>
      <c r="T813" s="6" t="s">
        <v>5328</v>
      </c>
      <c r="U813" s="1" t="str">
        <f t="shared" si="12"/>
        <v>Yes</v>
      </c>
      <c r="W813" s="1" t="s">
        <v>5329</v>
      </c>
      <c r="X813" s="1" t="str">
        <f>IF(COUNTIF('MyWells Drilling Comp'!F:F,E813)=0,"Missing","Exist")</f>
        <v>Exist</v>
      </c>
    </row>
    <row r="814" hidden="1" spans="1:24">
      <c r="A814" s="1" t="s">
        <v>5265</v>
      </c>
      <c r="B814" s="1" t="s">
        <v>90</v>
      </c>
      <c r="C814" s="1" t="s">
        <v>5330</v>
      </c>
      <c r="D814" s="1" t="s">
        <v>5331</v>
      </c>
      <c r="E814" s="2" t="s">
        <v>958</v>
      </c>
      <c r="F814" s="2" t="s">
        <v>5332</v>
      </c>
      <c r="G814" s="1">
        <v>1</v>
      </c>
      <c r="H814" s="1" t="s">
        <v>1656</v>
      </c>
      <c r="I814" s="1" t="s">
        <v>1657</v>
      </c>
      <c r="J814" s="1" t="s">
        <v>1658</v>
      </c>
      <c r="K814" s="1" t="s">
        <v>1658</v>
      </c>
      <c r="L814" s="1" t="s">
        <v>1658</v>
      </c>
      <c r="M814" s="1" t="s">
        <v>1658</v>
      </c>
      <c r="N814" s="1" t="s">
        <v>1658</v>
      </c>
      <c r="O814" s="1" t="s">
        <v>1658</v>
      </c>
      <c r="P814" s="1">
        <v>1</v>
      </c>
      <c r="Q814" s="1" t="s">
        <v>1658</v>
      </c>
      <c r="R814" s="1">
        <v>0</v>
      </c>
      <c r="S814" s="1" t="s">
        <v>5333</v>
      </c>
      <c r="T814" s="6" t="s">
        <v>5333</v>
      </c>
      <c r="U814" s="1" t="str">
        <f t="shared" si="12"/>
        <v>Yes</v>
      </c>
      <c r="W814" s="1" t="s">
        <v>5334</v>
      </c>
      <c r="X814" s="1" t="str">
        <f>IF(COUNTIF('MyWells Drilling Comp'!F:F,E814)=0,"Missing","Exist")</f>
        <v>Exist</v>
      </c>
    </row>
    <row r="815" hidden="1" spans="1:24">
      <c r="A815" s="1" t="s">
        <v>5265</v>
      </c>
      <c r="B815" s="1" t="s">
        <v>90</v>
      </c>
      <c r="C815" s="1" t="s">
        <v>5335</v>
      </c>
      <c r="D815" s="1" t="s">
        <v>5331</v>
      </c>
      <c r="E815" s="2" t="s">
        <v>958</v>
      </c>
      <c r="F815" s="2" t="s">
        <v>5336</v>
      </c>
      <c r="G815" s="1">
        <v>1</v>
      </c>
      <c r="H815" s="1" t="s">
        <v>1663</v>
      </c>
      <c r="I815" s="1" t="s">
        <v>1657</v>
      </c>
      <c r="J815" s="1" t="s">
        <v>1658</v>
      </c>
      <c r="K815" s="1" t="s">
        <v>1658</v>
      </c>
      <c r="L815" s="1" t="s">
        <v>1658</v>
      </c>
      <c r="M815" s="1" t="s">
        <v>1658</v>
      </c>
      <c r="N815" s="1" t="s">
        <v>1658</v>
      </c>
      <c r="O815" s="1" t="s">
        <v>1658</v>
      </c>
      <c r="P815" s="1">
        <v>1</v>
      </c>
      <c r="Q815" s="1" t="s">
        <v>1658</v>
      </c>
      <c r="R815" s="1">
        <v>0</v>
      </c>
      <c r="S815" s="1" t="s">
        <v>5337</v>
      </c>
      <c r="T815" s="6" t="s">
        <v>5337</v>
      </c>
      <c r="U815" s="1" t="str">
        <f t="shared" si="12"/>
        <v>Yes</v>
      </c>
      <c r="W815" s="1" t="s">
        <v>5338</v>
      </c>
      <c r="X815" s="1" t="str">
        <f>IF(COUNTIF('MyWells Drilling Comp'!F:F,E815)=0,"Missing","Exist")</f>
        <v>Exist</v>
      </c>
    </row>
    <row r="816" hidden="1" spans="1:24">
      <c r="A816" s="1" t="s">
        <v>5265</v>
      </c>
      <c r="B816" s="1" t="s">
        <v>90</v>
      </c>
      <c r="C816" s="1" t="s">
        <v>5339</v>
      </c>
      <c r="D816" s="1" t="s">
        <v>5340</v>
      </c>
      <c r="E816" s="2" t="s">
        <v>769</v>
      </c>
      <c r="F816" s="2" t="s">
        <v>5341</v>
      </c>
      <c r="G816" s="1">
        <v>1</v>
      </c>
      <c r="H816" s="1" t="s">
        <v>1656</v>
      </c>
      <c r="I816" s="1" t="s">
        <v>1657</v>
      </c>
      <c r="J816" s="1" t="s">
        <v>1658</v>
      </c>
      <c r="K816" s="1" t="s">
        <v>1658</v>
      </c>
      <c r="L816" s="1" t="s">
        <v>1658</v>
      </c>
      <c r="M816" s="1" t="s">
        <v>1658</v>
      </c>
      <c r="N816" s="1" t="s">
        <v>1658</v>
      </c>
      <c r="O816" s="1" t="s">
        <v>1658</v>
      </c>
      <c r="P816" s="1">
        <v>1</v>
      </c>
      <c r="Q816" s="1" t="s">
        <v>1658</v>
      </c>
      <c r="R816" s="1">
        <v>0</v>
      </c>
      <c r="S816" s="1" t="s">
        <v>5342</v>
      </c>
      <c r="T816" s="6" t="s">
        <v>5342</v>
      </c>
      <c r="U816" s="1" t="str">
        <f t="shared" si="12"/>
        <v>Yes</v>
      </c>
      <c r="W816" s="1" t="s">
        <v>5343</v>
      </c>
      <c r="X816" s="1" t="str">
        <f>IF(COUNTIF('MyWells Drilling Comp'!F:F,E816)=0,"Missing","Exist")</f>
        <v>Exist</v>
      </c>
    </row>
    <row r="817" hidden="1" spans="1:24">
      <c r="A817" s="1" t="s">
        <v>5265</v>
      </c>
      <c r="B817" s="1" t="s">
        <v>90</v>
      </c>
      <c r="C817" s="1" t="s">
        <v>5344</v>
      </c>
      <c r="D817" s="1" t="s">
        <v>5340</v>
      </c>
      <c r="E817" s="2" t="s">
        <v>769</v>
      </c>
      <c r="F817" s="2" t="s">
        <v>5345</v>
      </c>
      <c r="G817" s="1">
        <v>1</v>
      </c>
      <c r="H817" s="1" t="s">
        <v>1663</v>
      </c>
      <c r="I817" s="1" t="s">
        <v>1657</v>
      </c>
      <c r="J817" s="1" t="s">
        <v>1658</v>
      </c>
      <c r="K817" s="1" t="s">
        <v>1658</v>
      </c>
      <c r="L817" s="1" t="s">
        <v>1658</v>
      </c>
      <c r="M817" s="1" t="s">
        <v>1658</v>
      </c>
      <c r="N817" s="1" t="s">
        <v>1658</v>
      </c>
      <c r="O817" s="1" t="s">
        <v>1658</v>
      </c>
      <c r="P817" s="1">
        <v>1</v>
      </c>
      <c r="Q817" s="1" t="s">
        <v>1658</v>
      </c>
      <c r="R817" s="1">
        <v>0</v>
      </c>
      <c r="S817" s="1" t="s">
        <v>5346</v>
      </c>
      <c r="T817" s="6" t="s">
        <v>5346</v>
      </c>
      <c r="U817" s="1" t="str">
        <f t="shared" si="12"/>
        <v>Yes</v>
      </c>
      <c r="W817" s="1" t="s">
        <v>5347</v>
      </c>
      <c r="X817" s="1" t="str">
        <f>IF(COUNTIF('MyWells Drilling Comp'!F:F,E817)=0,"Missing","Exist")</f>
        <v>Exist</v>
      </c>
    </row>
    <row r="818" hidden="1" spans="1:24">
      <c r="A818" s="1" t="s">
        <v>5265</v>
      </c>
      <c r="B818" s="1" t="s">
        <v>90</v>
      </c>
      <c r="C818" s="1" t="s">
        <v>5348</v>
      </c>
      <c r="D818" s="1" t="s">
        <v>5349</v>
      </c>
      <c r="E818" s="2" t="s">
        <v>674</v>
      </c>
      <c r="F818" s="2" t="s">
        <v>5350</v>
      </c>
      <c r="G818" s="1">
        <v>1</v>
      </c>
      <c r="H818" s="1" t="s">
        <v>1663</v>
      </c>
      <c r="I818" s="1" t="s">
        <v>1657</v>
      </c>
      <c r="J818" s="1" t="s">
        <v>1658</v>
      </c>
      <c r="K818" s="1" t="s">
        <v>1658</v>
      </c>
      <c r="L818" s="1" t="s">
        <v>1658</v>
      </c>
      <c r="M818" s="1" t="s">
        <v>1658</v>
      </c>
      <c r="N818" s="1" t="s">
        <v>1658</v>
      </c>
      <c r="O818" s="1" t="s">
        <v>1658</v>
      </c>
      <c r="P818" s="1">
        <v>1</v>
      </c>
      <c r="Q818" s="1" t="s">
        <v>1658</v>
      </c>
      <c r="R818" s="1">
        <v>0</v>
      </c>
      <c r="S818" s="1" t="s">
        <v>5351</v>
      </c>
      <c r="T818" s="6" t="s">
        <v>5351</v>
      </c>
      <c r="U818" s="1" t="str">
        <f t="shared" si="12"/>
        <v>Yes</v>
      </c>
      <c r="W818" s="1" t="s">
        <v>5352</v>
      </c>
      <c r="X818" s="1" t="str">
        <f>IF(COUNTIF('MyWells Drilling Comp'!F:F,E818)=0,"Missing","Exist")</f>
        <v>Exist</v>
      </c>
    </row>
    <row r="819" hidden="1" spans="1:24">
      <c r="A819" s="1" t="s">
        <v>5265</v>
      </c>
      <c r="B819" s="1" t="s">
        <v>90</v>
      </c>
      <c r="C819" s="1" t="s">
        <v>5353</v>
      </c>
      <c r="D819" s="1" t="s">
        <v>5349</v>
      </c>
      <c r="E819" s="2" t="s">
        <v>674</v>
      </c>
      <c r="F819" s="2" t="s">
        <v>5354</v>
      </c>
      <c r="G819" s="1">
        <v>1</v>
      </c>
      <c r="H819" s="1" t="s">
        <v>1656</v>
      </c>
      <c r="I819" s="1" t="s">
        <v>1657</v>
      </c>
      <c r="J819" s="1" t="s">
        <v>1658</v>
      </c>
      <c r="K819" s="1" t="s">
        <v>1658</v>
      </c>
      <c r="L819" s="1" t="s">
        <v>1658</v>
      </c>
      <c r="M819" s="1" t="s">
        <v>1658</v>
      </c>
      <c r="N819" s="1" t="s">
        <v>1658</v>
      </c>
      <c r="O819" s="1" t="s">
        <v>1658</v>
      </c>
      <c r="P819" s="1">
        <v>1</v>
      </c>
      <c r="Q819" s="1" t="s">
        <v>1658</v>
      </c>
      <c r="R819" s="1">
        <v>0</v>
      </c>
      <c r="S819" s="1" t="s">
        <v>5355</v>
      </c>
      <c r="T819" s="6" t="s">
        <v>5355</v>
      </c>
      <c r="U819" s="1" t="str">
        <f t="shared" si="12"/>
        <v>Yes</v>
      </c>
      <c r="W819" s="1" t="s">
        <v>5356</v>
      </c>
      <c r="X819" s="1" t="str">
        <f>IF(COUNTIF('MyWells Drilling Comp'!F:F,E819)=0,"Missing","Exist")</f>
        <v>Exist</v>
      </c>
    </row>
    <row r="820" hidden="1" spans="1:24">
      <c r="A820" s="1" t="s">
        <v>5265</v>
      </c>
      <c r="B820" s="1" t="s">
        <v>90</v>
      </c>
      <c r="C820" s="1" t="s">
        <v>5357</v>
      </c>
      <c r="D820" s="1" t="s">
        <v>5358</v>
      </c>
      <c r="E820" s="2" t="s">
        <v>1427</v>
      </c>
      <c r="F820" s="2" t="s">
        <v>5359</v>
      </c>
      <c r="G820" s="1">
        <v>1</v>
      </c>
      <c r="H820" s="1" t="s">
        <v>1656</v>
      </c>
      <c r="I820" s="1" t="s">
        <v>1657</v>
      </c>
      <c r="J820" s="1" t="s">
        <v>1658</v>
      </c>
      <c r="K820" s="1" t="s">
        <v>1658</v>
      </c>
      <c r="L820" s="1" t="s">
        <v>1658</v>
      </c>
      <c r="M820" s="1" t="s">
        <v>1658</v>
      </c>
      <c r="N820" s="1" t="s">
        <v>1658</v>
      </c>
      <c r="O820" s="1" t="s">
        <v>1658</v>
      </c>
      <c r="P820" s="1">
        <v>1</v>
      </c>
      <c r="Q820" s="1" t="s">
        <v>1658</v>
      </c>
      <c r="R820" s="1">
        <v>0</v>
      </c>
      <c r="S820" s="1" t="s">
        <v>5360</v>
      </c>
      <c r="T820" s="6" t="s">
        <v>5360</v>
      </c>
      <c r="U820" s="1" t="str">
        <f t="shared" si="12"/>
        <v>Yes</v>
      </c>
      <c r="W820" s="1" t="s">
        <v>5361</v>
      </c>
      <c r="X820" s="1" t="str">
        <f>IF(COUNTIF('MyWells Drilling Comp'!F:F,E820)=0,"Missing","Exist")</f>
        <v>Exist</v>
      </c>
    </row>
    <row r="821" hidden="1" spans="1:24">
      <c r="A821" s="1" t="s">
        <v>5265</v>
      </c>
      <c r="B821" s="1" t="s">
        <v>90</v>
      </c>
      <c r="C821" s="1" t="s">
        <v>5362</v>
      </c>
      <c r="D821" s="1" t="s">
        <v>5358</v>
      </c>
      <c r="E821" s="2" t="s">
        <v>1427</v>
      </c>
      <c r="F821" s="2" t="s">
        <v>5363</v>
      </c>
      <c r="G821" s="1">
        <v>1</v>
      </c>
      <c r="H821" s="1" t="s">
        <v>1663</v>
      </c>
      <c r="I821" s="1" t="s">
        <v>1657</v>
      </c>
      <c r="J821" s="1" t="s">
        <v>1658</v>
      </c>
      <c r="K821" s="1" t="s">
        <v>1658</v>
      </c>
      <c r="L821" s="1" t="s">
        <v>1658</v>
      </c>
      <c r="M821" s="1" t="s">
        <v>1658</v>
      </c>
      <c r="N821" s="1" t="s">
        <v>1658</v>
      </c>
      <c r="O821" s="1" t="s">
        <v>1658</v>
      </c>
      <c r="P821" s="1">
        <v>1</v>
      </c>
      <c r="Q821" s="1" t="s">
        <v>1658</v>
      </c>
      <c r="R821" s="1">
        <v>0</v>
      </c>
      <c r="S821" s="1" t="s">
        <v>5364</v>
      </c>
      <c r="T821" s="6" t="s">
        <v>5364</v>
      </c>
      <c r="U821" s="1" t="str">
        <f t="shared" si="12"/>
        <v>Yes</v>
      </c>
      <c r="W821" s="1" t="s">
        <v>5365</v>
      </c>
      <c r="X821" s="1" t="str">
        <f>IF(COUNTIF('MyWells Drilling Comp'!F:F,E821)=0,"Missing","Exist")</f>
        <v>Exist</v>
      </c>
    </row>
    <row r="822" hidden="1" spans="1:24">
      <c r="A822" s="1" t="s">
        <v>5265</v>
      </c>
      <c r="B822" s="1" t="s">
        <v>90</v>
      </c>
      <c r="C822" s="1" t="s">
        <v>5366</v>
      </c>
      <c r="D822" s="1" t="s">
        <v>5367</v>
      </c>
      <c r="E822" s="2" t="s">
        <v>1586</v>
      </c>
      <c r="F822" s="2" t="s">
        <v>5368</v>
      </c>
      <c r="G822" s="1">
        <v>1</v>
      </c>
      <c r="H822" s="1" t="s">
        <v>1663</v>
      </c>
      <c r="I822" s="1" t="s">
        <v>1657</v>
      </c>
      <c r="J822" s="1" t="s">
        <v>1658</v>
      </c>
      <c r="K822" s="1" t="s">
        <v>1658</v>
      </c>
      <c r="L822" s="1" t="s">
        <v>1658</v>
      </c>
      <c r="M822" s="1" t="s">
        <v>1658</v>
      </c>
      <c r="N822" s="1" t="s">
        <v>1658</v>
      </c>
      <c r="O822" s="1" t="s">
        <v>1658</v>
      </c>
      <c r="P822" s="1">
        <v>1</v>
      </c>
      <c r="Q822" s="1" t="s">
        <v>1658</v>
      </c>
      <c r="R822" s="1">
        <v>0</v>
      </c>
      <c r="S822" s="1" t="s">
        <v>5369</v>
      </c>
      <c r="T822" s="6" t="s">
        <v>5369</v>
      </c>
      <c r="U822" s="1" t="str">
        <f t="shared" si="12"/>
        <v>Yes</v>
      </c>
      <c r="W822" s="1" t="s">
        <v>5370</v>
      </c>
      <c r="X822" s="1" t="str">
        <f>IF(COUNTIF('MyWells Drilling Comp'!F:F,E822)=0,"Missing","Exist")</f>
        <v>Exist</v>
      </c>
    </row>
    <row r="823" hidden="1" spans="1:24">
      <c r="A823" s="1" t="s">
        <v>5265</v>
      </c>
      <c r="B823" s="1" t="s">
        <v>90</v>
      </c>
      <c r="C823" s="1" t="s">
        <v>5371</v>
      </c>
      <c r="D823" s="1" t="s">
        <v>5367</v>
      </c>
      <c r="E823" s="2" t="s">
        <v>1586</v>
      </c>
      <c r="F823" s="2" t="s">
        <v>5372</v>
      </c>
      <c r="G823" s="1">
        <v>1</v>
      </c>
      <c r="H823" s="1" t="s">
        <v>1656</v>
      </c>
      <c r="I823" s="1" t="s">
        <v>1657</v>
      </c>
      <c r="J823" s="1" t="s">
        <v>1658</v>
      </c>
      <c r="K823" s="1" t="s">
        <v>1658</v>
      </c>
      <c r="L823" s="1" t="s">
        <v>1658</v>
      </c>
      <c r="M823" s="1" t="s">
        <v>1658</v>
      </c>
      <c r="N823" s="1" t="s">
        <v>1658</v>
      </c>
      <c r="O823" s="1" t="s">
        <v>1658</v>
      </c>
      <c r="P823" s="1">
        <v>1</v>
      </c>
      <c r="Q823" s="1" t="s">
        <v>1658</v>
      </c>
      <c r="R823" s="1">
        <v>0</v>
      </c>
      <c r="S823" s="1" t="s">
        <v>5373</v>
      </c>
      <c r="T823" s="6" t="s">
        <v>5373</v>
      </c>
      <c r="U823" s="1" t="str">
        <f t="shared" si="12"/>
        <v>Yes</v>
      </c>
      <c r="W823" s="1" t="s">
        <v>5374</v>
      </c>
      <c r="X823" s="1" t="str">
        <f>IF(COUNTIF('MyWells Drilling Comp'!F:F,E823)=0,"Missing","Exist")</f>
        <v>Exist</v>
      </c>
    </row>
    <row r="824" hidden="1" spans="1:24">
      <c r="A824" s="1" t="s">
        <v>5265</v>
      </c>
      <c r="B824" s="1" t="s">
        <v>90</v>
      </c>
      <c r="C824" s="1" t="s">
        <v>5375</v>
      </c>
      <c r="D824" s="1" t="s">
        <v>5376</v>
      </c>
      <c r="E824" s="2" t="s">
        <v>1529</v>
      </c>
      <c r="F824" s="2" t="s">
        <v>5377</v>
      </c>
      <c r="G824" s="1">
        <v>1</v>
      </c>
      <c r="H824" s="1" t="s">
        <v>1656</v>
      </c>
      <c r="I824" s="1" t="s">
        <v>1657</v>
      </c>
      <c r="J824" s="1" t="s">
        <v>1658</v>
      </c>
      <c r="K824" s="1" t="s">
        <v>1658</v>
      </c>
      <c r="L824" s="1" t="s">
        <v>1658</v>
      </c>
      <c r="M824" s="1" t="s">
        <v>1658</v>
      </c>
      <c r="N824" s="1" t="s">
        <v>1658</v>
      </c>
      <c r="O824" s="1" t="s">
        <v>1658</v>
      </c>
      <c r="P824" s="1">
        <v>1</v>
      </c>
      <c r="Q824" s="1" t="s">
        <v>1658</v>
      </c>
      <c r="R824" s="1">
        <v>0</v>
      </c>
      <c r="S824" s="1" t="s">
        <v>5378</v>
      </c>
      <c r="T824" s="6" t="s">
        <v>5378</v>
      </c>
      <c r="U824" s="1" t="str">
        <f t="shared" si="12"/>
        <v>Yes</v>
      </c>
      <c r="W824" s="1" t="s">
        <v>5379</v>
      </c>
      <c r="X824" s="1" t="str">
        <f>IF(COUNTIF('MyWells Drilling Comp'!F:F,E824)=0,"Missing","Exist")</f>
        <v>Exist</v>
      </c>
    </row>
    <row r="825" hidden="1" spans="1:24">
      <c r="A825" s="1" t="s">
        <v>5265</v>
      </c>
      <c r="B825" s="1" t="s">
        <v>90</v>
      </c>
      <c r="C825" s="1" t="s">
        <v>5380</v>
      </c>
      <c r="D825" s="1" t="s">
        <v>5376</v>
      </c>
      <c r="E825" s="2" t="s">
        <v>1529</v>
      </c>
      <c r="F825" s="2" t="s">
        <v>5381</v>
      </c>
      <c r="G825" s="1">
        <v>1</v>
      </c>
      <c r="H825" s="1" t="s">
        <v>1663</v>
      </c>
      <c r="I825" s="1" t="s">
        <v>1657</v>
      </c>
      <c r="J825" s="1" t="s">
        <v>1658</v>
      </c>
      <c r="K825" s="1" t="s">
        <v>1658</v>
      </c>
      <c r="L825" s="1" t="s">
        <v>1658</v>
      </c>
      <c r="M825" s="1" t="s">
        <v>1658</v>
      </c>
      <c r="N825" s="1" t="s">
        <v>1658</v>
      </c>
      <c r="O825" s="1" t="s">
        <v>1658</v>
      </c>
      <c r="P825" s="1">
        <v>1</v>
      </c>
      <c r="Q825" s="1" t="s">
        <v>1658</v>
      </c>
      <c r="R825" s="1">
        <v>0</v>
      </c>
      <c r="S825" s="1" t="s">
        <v>5382</v>
      </c>
      <c r="T825" s="6" t="s">
        <v>5382</v>
      </c>
      <c r="U825" s="1" t="str">
        <f t="shared" si="12"/>
        <v>Yes</v>
      </c>
      <c r="W825" s="1" t="s">
        <v>5383</v>
      </c>
      <c r="X825" s="1" t="str">
        <f>IF(COUNTIF('MyWells Drilling Comp'!F:F,E825)=0,"Missing","Exist")</f>
        <v>Exist</v>
      </c>
    </row>
    <row r="826" hidden="1" spans="1:24">
      <c r="A826" s="1" t="s">
        <v>5265</v>
      </c>
      <c r="B826" s="1" t="s">
        <v>90</v>
      </c>
      <c r="C826" s="1" t="s">
        <v>5384</v>
      </c>
      <c r="D826" s="1" t="s">
        <v>5385</v>
      </c>
      <c r="E826" s="2" t="s">
        <v>1597</v>
      </c>
      <c r="F826" s="2" t="s">
        <v>5386</v>
      </c>
      <c r="G826" s="1">
        <v>1</v>
      </c>
      <c r="H826" s="1" t="s">
        <v>1656</v>
      </c>
      <c r="I826" s="1" t="s">
        <v>1657</v>
      </c>
      <c r="J826" s="1" t="s">
        <v>1658</v>
      </c>
      <c r="K826" s="1" t="s">
        <v>1658</v>
      </c>
      <c r="L826" s="1" t="s">
        <v>1658</v>
      </c>
      <c r="M826" s="1" t="s">
        <v>1658</v>
      </c>
      <c r="N826" s="1" t="s">
        <v>1658</v>
      </c>
      <c r="O826" s="1" t="s">
        <v>1658</v>
      </c>
      <c r="P826" s="1">
        <v>1</v>
      </c>
      <c r="Q826" s="1" t="s">
        <v>1658</v>
      </c>
      <c r="R826" s="1">
        <v>0</v>
      </c>
      <c r="S826" s="1" t="s">
        <v>5387</v>
      </c>
      <c r="T826" s="6" t="s">
        <v>5387</v>
      </c>
      <c r="U826" s="1" t="str">
        <f t="shared" si="12"/>
        <v>Yes</v>
      </c>
      <c r="W826" s="1" t="s">
        <v>5388</v>
      </c>
      <c r="X826" s="1" t="str">
        <f>IF(COUNTIF('MyWells Drilling Comp'!F:F,E826)=0,"Missing","Exist")</f>
        <v>Exist</v>
      </c>
    </row>
    <row r="827" hidden="1" spans="1:24">
      <c r="A827" s="1" t="s">
        <v>5265</v>
      </c>
      <c r="B827" s="1" t="s">
        <v>90</v>
      </c>
      <c r="C827" s="1" t="s">
        <v>5389</v>
      </c>
      <c r="D827" s="1" t="s">
        <v>5385</v>
      </c>
      <c r="E827" s="2" t="s">
        <v>1597</v>
      </c>
      <c r="F827" s="2" t="s">
        <v>5390</v>
      </c>
      <c r="G827" s="1">
        <v>1</v>
      </c>
      <c r="H827" s="1" t="s">
        <v>1663</v>
      </c>
      <c r="I827" s="1" t="s">
        <v>1657</v>
      </c>
      <c r="J827" s="1" t="s">
        <v>1658</v>
      </c>
      <c r="K827" s="1" t="s">
        <v>1658</v>
      </c>
      <c r="L827" s="1" t="s">
        <v>1658</v>
      </c>
      <c r="M827" s="1" t="s">
        <v>1658</v>
      </c>
      <c r="N827" s="1" t="s">
        <v>1658</v>
      </c>
      <c r="O827" s="1" t="s">
        <v>1658</v>
      </c>
      <c r="P827" s="1">
        <v>1</v>
      </c>
      <c r="Q827" s="1" t="s">
        <v>1658</v>
      </c>
      <c r="R827" s="1">
        <v>0</v>
      </c>
      <c r="S827" s="1" t="s">
        <v>5391</v>
      </c>
      <c r="T827" s="6" t="s">
        <v>5391</v>
      </c>
      <c r="U827" s="1" t="str">
        <f t="shared" si="12"/>
        <v>Yes</v>
      </c>
      <c r="W827" s="1" t="s">
        <v>5392</v>
      </c>
      <c r="X827" s="1" t="str">
        <f>IF(COUNTIF('MyWells Drilling Comp'!F:F,E827)=0,"Missing","Exist")</f>
        <v>Exist</v>
      </c>
    </row>
    <row r="828" hidden="1" spans="1:24">
      <c r="A828" s="1" t="s">
        <v>5265</v>
      </c>
      <c r="B828" s="1" t="s">
        <v>90</v>
      </c>
      <c r="C828" s="1" t="s">
        <v>5393</v>
      </c>
      <c r="D828" s="1" t="s">
        <v>5394</v>
      </c>
      <c r="E828" s="2" t="s">
        <v>1127</v>
      </c>
      <c r="F828" s="2" t="s">
        <v>5395</v>
      </c>
      <c r="G828" s="1">
        <v>1</v>
      </c>
      <c r="H828" s="1" t="s">
        <v>1656</v>
      </c>
      <c r="I828" s="1" t="s">
        <v>1657</v>
      </c>
      <c r="J828" s="1" t="s">
        <v>1658</v>
      </c>
      <c r="K828" s="1" t="s">
        <v>1658</v>
      </c>
      <c r="L828" s="1" t="s">
        <v>1658</v>
      </c>
      <c r="M828" s="1" t="s">
        <v>1658</v>
      </c>
      <c r="N828" s="1" t="s">
        <v>1658</v>
      </c>
      <c r="O828" s="1" t="s">
        <v>1658</v>
      </c>
      <c r="P828" s="1">
        <v>1</v>
      </c>
      <c r="Q828" s="1" t="s">
        <v>1658</v>
      </c>
      <c r="R828" s="1">
        <v>0</v>
      </c>
      <c r="S828" s="1" t="s">
        <v>5396</v>
      </c>
      <c r="T828" s="6" t="s">
        <v>5396</v>
      </c>
      <c r="U828" s="1" t="str">
        <f t="shared" si="12"/>
        <v>Yes</v>
      </c>
      <c r="W828" s="1" t="s">
        <v>5397</v>
      </c>
      <c r="X828" s="1" t="str">
        <f>IF(COUNTIF('MyWells Drilling Comp'!F:F,E828)=0,"Missing","Exist")</f>
        <v>Exist</v>
      </c>
    </row>
    <row r="829" hidden="1" spans="1:24">
      <c r="A829" s="1" t="s">
        <v>5265</v>
      </c>
      <c r="B829" s="1" t="s">
        <v>90</v>
      </c>
      <c r="C829" s="1" t="s">
        <v>5398</v>
      </c>
      <c r="D829" s="1" t="s">
        <v>5394</v>
      </c>
      <c r="E829" s="2" t="s">
        <v>1127</v>
      </c>
      <c r="F829" s="2" t="s">
        <v>5399</v>
      </c>
      <c r="G829" s="1">
        <v>1</v>
      </c>
      <c r="H829" s="1" t="s">
        <v>1663</v>
      </c>
      <c r="I829" s="1" t="s">
        <v>1657</v>
      </c>
      <c r="J829" s="1" t="s">
        <v>1658</v>
      </c>
      <c r="K829" s="1" t="s">
        <v>1658</v>
      </c>
      <c r="L829" s="1" t="s">
        <v>1658</v>
      </c>
      <c r="M829" s="1" t="s">
        <v>1658</v>
      </c>
      <c r="N829" s="1" t="s">
        <v>1658</v>
      </c>
      <c r="O829" s="1" t="s">
        <v>1658</v>
      </c>
      <c r="P829" s="1">
        <v>1</v>
      </c>
      <c r="Q829" s="1" t="s">
        <v>1658</v>
      </c>
      <c r="R829" s="1">
        <v>0</v>
      </c>
      <c r="S829" s="1" t="s">
        <v>5400</v>
      </c>
      <c r="T829" s="6" t="s">
        <v>5400</v>
      </c>
      <c r="U829" s="1" t="str">
        <f t="shared" si="12"/>
        <v>Yes</v>
      </c>
      <c r="W829" s="1" t="s">
        <v>5401</v>
      </c>
      <c r="X829" s="1" t="str">
        <f>IF(COUNTIF('MyWells Drilling Comp'!F:F,E829)=0,"Missing","Exist")</f>
        <v>Exist</v>
      </c>
    </row>
    <row r="830" hidden="1" spans="1:24">
      <c r="A830" s="1" t="s">
        <v>5265</v>
      </c>
      <c r="B830" s="1" t="s">
        <v>90</v>
      </c>
      <c r="C830" s="1" t="s">
        <v>5402</v>
      </c>
      <c r="D830" s="1" t="s">
        <v>5403</v>
      </c>
      <c r="E830" s="2" t="s">
        <v>1274</v>
      </c>
      <c r="F830" s="2" t="s">
        <v>5404</v>
      </c>
      <c r="G830" s="1">
        <v>1</v>
      </c>
      <c r="H830" s="1" t="s">
        <v>1656</v>
      </c>
      <c r="I830" s="1" t="s">
        <v>1657</v>
      </c>
      <c r="J830" s="1" t="s">
        <v>1658</v>
      </c>
      <c r="K830" s="1" t="s">
        <v>1658</v>
      </c>
      <c r="L830" s="1" t="s">
        <v>1658</v>
      </c>
      <c r="M830" s="1" t="s">
        <v>1658</v>
      </c>
      <c r="N830" s="1" t="s">
        <v>1658</v>
      </c>
      <c r="O830" s="1" t="s">
        <v>1658</v>
      </c>
      <c r="P830" s="1">
        <v>1</v>
      </c>
      <c r="Q830" s="1" t="s">
        <v>1658</v>
      </c>
      <c r="R830" s="1">
        <v>0</v>
      </c>
      <c r="S830" s="1" t="s">
        <v>5405</v>
      </c>
      <c r="T830" s="6" t="s">
        <v>5405</v>
      </c>
      <c r="U830" s="1" t="str">
        <f t="shared" si="12"/>
        <v>Yes</v>
      </c>
      <c r="W830" s="1" t="s">
        <v>5406</v>
      </c>
      <c r="X830" s="1" t="str">
        <f>IF(COUNTIF('MyWells Drilling Comp'!F:F,E830)=0,"Missing","Exist")</f>
        <v>Exist</v>
      </c>
    </row>
    <row r="831" hidden="1" spans="1:24">
      <c r="A831" s="1" t="s">
        <v>5265</v>
      </c>
      <c r="B831" s="1" t="s">
        <v>90</v>
      </c>
      <c r="C831" s="1" t="s">
        <v>5407</v>
      </c>
      <c r="D831" s="1" t="s">
        <v>5403</v>
      </c>
      <c r="E831" s="2" t="s">
        <v>1274</v>
      </c>
      <c r="F831" s="2" t="s">
        <v>5408</v>
      </c>
      <c r="G831" s="1">
        <v>1</v>
      </c>
      <c r="H831" s="1" t="s">
        <v>1663</v>
      </c>
      <c r="I831" s="1" t="s">
        <v>1657</v>
      </c>
      <c r="J831" s="1" t="s">
        <v>1658</v>
      </c>
      <c r="K831" s="1" t="s">
        <v>1658</v>
      </c>
      <c r="L831" s="1" t="s">
        <v>1658</v>
      </c>
      <c r="M831" s="1" t="s">
        <v>1658</v>
      </c>
      <c r="N831" s="1" t="s">
        <v>1658</v>
      </c>
      <c r="O831" s="1" t="s">
        <v>1658</v>
      </c>
      <c r="P831" s="1">
        <v>1</v>
      </c>
      <c r="Q831" s="1" t="s">
        <v>1658</v>
      </c>
      <c r="R831" s="1">
        <v>0</v>
      </c>
      <c r="S831" s="1" t="s">
        <v>5409</v>
      </c>
      <c r="T831" s="6" t="s">
        <v>5409</v>
      </c>
      <c r="U831" s="1" t="str">
        <f t="shared" si="12"/>
        <v>Yes</v>
      </c>
      <c r="W831" s="1" t="s">
        <v>5410</v>
      </c>
      <c r="X831" s="1" t="str">
        <f>IF(COUNTIF('MyWells Drilling Comp'!F:F,E831)=0,"Missing","Exist")</f>
        <v>Exist</v>
      </c>
    </row>
    <row r="832" hidden="1" spans="1:24">
      <c r="A832" s="1" t="s">
        <v>5265</v>
      </c>
      <c r="B832" s="1" t="s">
        <v>90</v>
      </c>
      <c r="C832" s="1" t="s">
        <v>5411</v>
      </c>
      <c r="D832" s="1" t="s">
        <v>5412</v>
      </c>
      <c r="E832" s="2" t="s">
        <v>682</v>
      </c>
      <c r="F832" s="2" t="s">
        <v>5413</v>
      </c>
      <c r="G832" s="1">
        <v>1</v>
      </c>
      <c r="H832" s="1" t="s">
        <v>1656</v>
      </c>
      <c r="I832" s="1" t="s">
        <v>1657</v>
      </c>
      <c r="J832" s="1" t="s">
        <v>1658</v>
      </c>
      <c r="K832" s="1" t="s">
        <v>1658</v>
      </c>
      <c r="L832" s="1" t="s">
        <v>1658</v>
      </c>
      <c r="M832" s="1" t="s">
        <v>1658</v>
      </c>
      <c r="N832" s="1" t="s">
        <v>1658</v>
      </c>
      <c r="O832" s="1" t="s">
        <v>1658</v>
      </c>
      <c r="P832" s="1">
        <v>1</v>
      </c>
      <c r="Q832" s="1" t="s">
        <v>1658</v>
      </c>
      <c r="R832" s="1">
        <v>0</v>
      </c>
      <c r="S832" s="1" t="s">
        <v>5414</v>
      </c>
      <c r="T832" s="6" t="s">
        <v>5414</v>
      </c>
      <c r="U832" s="1" t="str">
        <f t="shared" si="12"/>
        <v>Yes</v>
      </c>
      <c r="W832" s="1" t="s">
        <v>5415</v>
      </c>
      <c r="X832" s="1" t="str">
        <f>IF(COUNTIF('MyWells Drilling Comp'!F:F,E832)=0,"Missing","Exist")</f>
        <v>Exist</v>
      </c>
    </row>
    <row r="833" hidden="1" spans="1:24">
      <c r="A833" s="1" t="s">
        <v>5265</v>
      </c>
      <c r="B833" s="1" t="s">
        <v>90</v>
      </c>
      <c r="C833" s="1" t="s">
        <v>5416</v>
      </c>
      <c r="D833" s="1" t="s">
        <v>5412</v>
      </c>
      <c r="E833" s="2" t="s">
        <v>682</v>
      </c>
      <c r="F833" s="2" t="s">
        <v>5417</v>
      </c>
      <c r="G833" s="1">
        <v>1</v>
      </c>
      <c r="H833" s="1" t="s">
        <v>1663</v>
      </c>
      <c r="I833" s="1" t="s">
        <v>1657</v>
      </c>
      <c r="J833" s="1" t="s">
        <v>1658</v>
      </c>
      <c r="K833" s="1" t="s">
        <v>1658</v>
      </c>
      <c r="L833" s="1" t="s">
        <v>1658</v>
      </c>
      <c r="M833" s="1" t="s">
        <v>1658</v>
      </c>
      <c r="N833" s="1" t="s">
        <v>1658</v>
      </c>
      <c r="O833" s="1" t="s">
        <v>1658</v>
      </c>
      <c r="P833" s="1">
        <v>1</v>
      </c>
      <c r="Q833" s="1" t="s">
        <v>1658</v>
      </c>
      <c r="R833" s="1">
        <v>0</v>
      </c>
      <c r="S833" s="1" t="s">
        <v>5418</v>
      </c>
      <c r="T833" s="6" t="s">
        <v>5418</v>
      </c>
      <c r="U833" s="1" t="str">
        <f t="shared" si="12"/>
        <v>Yes</v>
      </c>
      <c r="W833" s="1" t="s">
        <v>5419</v>
      </c>
      <c r="X833" s="1" t="str">
        <f>IF(COUNTIF('MyWells Drilling Comp'!F:F,E833)=0,"Missing","Exist")</f>
        <v>Exist</v>
      </c>
    </row>
    <row r="834" hidden="1" spans="1:24">
      <c r="A834" s="1" t="s">
        <v>5265</v>
      </c>
      <c r="B834" s="1" t="s">
        <v>90</v>
      </c>
      <c r="C834" s="1" t="s">
        <v>5420</v>
      </c>
      <c r="D834" s="1" t="s">
        <v>5421</v>
      </c>
      <c r="E834" s="2" t="s">
        <v>1069</v>
      </c>
      <c r="F834" s="2" t="s">
        <v>5422</v>
      </c>
      <c r="G834" s="1">
        <v>1</v>
      </c>
      <c r="H834" s="1" t="s">
        <v>1656</v>
      </c>
      <c r="I834" s="1" t="s">
        <v>1657</v>
      </c>
      <c r="J834" s="1" t="s">
        <v>1658</v>
      </c>
      <c r="K834" s="1" t="s">
        <v>1658</v>
      </c>
      <c r="L834" s="1" t="s">
        <v>1658</v>
      </c>
      <c r="M834" s="1" t="s">
        <v>1658</v>
      </c>
      <c r="N834" s="1" t="s">
        <v>1658</v>
      </c>
      <c r="O834" s="1" t="s">
        <v>1658</v>
      </c>
      <c r="P834" s="1">
        <v>1</v>
      </c>
      <c r="Q834" s="1" t="s">
        <v>1658</v>
      </c>
      <c r="R834" s="1">
        <v>0</v>
      </c>
      <c r="S834" s="1" t="s">
        <v>5423</v>
      </c>
      <c r="T834" s="6" t="s">
        <v>5423</v>
      </c>
      <c r="U834" s="1" t="str">
        <f t="shared" ref="U834:U897" si="13">IF(S834=T834,"Yes","No")</f>
        <v>Yes</v>
      </c>
      <c r="W834" s="1" t="s">
        <v>5424</v>
      </c>
      <c r="X834" s="1" t="str">
        <f>IF(COUNTIF('MyWells Drilling Comp'!F:F,E834)=0,"Missing","Exist")</f>
        <v>Exist</v>
      </c>
    </row>
    <row r="835" hidden="1" spans="1:24">
      <c r="A835" s="1" t="s">
        <v>5265</v>
      </c>
      <c r="B835" s="1" t="s">
        <v>90</v>
      </c>
      <c r="C835" s="1" t="s">
        <v>5425</v>
      </c>
      <c r="D835" s="1" t="s">
        <v>5421</v>
      </c>
      <c r="E835" s="2" t="s">
        <v>1069</v>
      </c>
      <c r="F835" s="2" t="s">
        <v>5426</v>
      </c>
      <c r="G835" s="1">
        <v>1</v>
      </c>
      <c r="H835" s="1" t="s">
        <v>1663</v>
      </c>
      <c r="I835" s="1" t="s">
        <v>1657</v>
      </c>
      <c r="J835" s="1" t="s">
        <v>1658</v>
      </c>
      <c r="K835" s="1" t="s">
        <v>1658</v>
      </c>
      <c r="L835" s="1" t="s">
        <v>1658</v>
      </c>
      <c r="M835" s="1" t="s">
        <v>1658</v>
      </c>
      <c r="N835" s="1" t="s">
        <v>1658</v>
      </c>
      <c r="O835" s="1" t="s">
        <v>1658</v>
      </c>
      <c r="P835" s="1">
        <v>1</v>
      </c>
      <c r="Q835" s="1" t="s">
        <v>1658</v>
      </c>
      <c r="R835" s="1">
        <v>0</v>
      </c>
      <c r="S835" s="1" t="s">
        <v>5427</v>
      </c>
      <c r="T835" s="6" t="s">
        <v>5427</v>
      </c>
      <c r="U835" s="1" t="str">
        <f t="shared" si="13"/>
        <v>Yes</v>
      </c>
      <c r="W835" s="1" t="s">
        <v>5428</v>
      </c>
      <c r="X835" s="1" t="str">
        <f>IF(COUNTIF('MyWells Drilling Comp'!F:F,E835)=0,"Missing","Exist")</f>
        <v>Exist</v>
      </c>
    </row>
    <row r="836" hidden="1" spans="1:24">
      <c r="A836" s="1" t="s">
        <v>5265</v>
      </c>
      <c r="B836" s="1" t="s">
        <v>90</v>
      </c>
      <c r="C836" s="1" t="s">
        <v>5429</v>
      </c>
      <c r="D836" s="1" t="s">
        <v>5430</v>
      </c>
      <c r="E836" s="2" t="s">
        <v>812</v>
      </c>
      <c r="F836" s="2" t="s">
        <v>5431</v>
      </c>
      <c r="G836" s="1">
        <v>1</v>
      </c>
      <c r="H836" s="1" t="s">
        <v>1663</v>
      </c>
      <c r="I836" s="1" t="s">
        <v>1657</v>
      </c>
      <c r="J836" s="1" t="s">
        <v>1658</v>
      </c>
      <c r="K836" s="1" t="s">
        <v>1658</v>
      </c>
      <c r="L836" s="1" t="s">
        <v>1658</v>
      </c>
      <c r="M836" s="1" t="s">
        <v>1658</v>
      </c>
      <c r="N836" s="1" t="s">
        <v>1658</v>
      </c>
      <c r="O836" s="1" t="s">
        <v>1658</v>
      </c>
      <c r="P836" s="1">
        <v>1</v>
      </c>
      <c r="Q836" s="1" t="s">
        <v>1658</v>
      </c>
      <c r="R836" s="1">
        <v>0</v>
      </c>
      <c r="S836" s="1" t="s">
        <v>5432</v>
      </c>
      <c r="T836" s="6" t="s">
        <v>5432</v>
      </c>
      <c r="U836" s="1" t="str">
        <f t="shared" si="13"/>
        <v>Yes</v>
      </c>
      <c r="W836" s="1" t="s">
        <v>5433</v>
      </c>
      <c r="X836" s="1" t="str">
        <f>IF(COUNTIF('MyWells Drilling Comp'!F:F,E836)=0,"Missing","Exist")</f>
        <v>Exist</v>
      </c>
    </row>
    <row r="837" hidden="1" spans="1:24">
      <c r="A837" s="1" t="s">
        <v>5265</v>
      </c>
      <c r="B837" s="1" t="s">
        <v>90</v>
      </c>
      <c r="C837" s="1" t="s">
        <v>5434</v>
      </c>
      <c r="D837" s="1" t="s">
        <v>5430</v>
      </c>
      <c r="E837" s="2" t="s">
        <v>812</v>
      </c>
      <c r="F837" s="2" t="s">
        <v>5435</v>
      </c>
      <c r="G837" s="1">
        <v>1</v>
      </c>
      <c r="H837" s="1" t="s">
        <v>1656</v>
      </c>
      <c r="I837" s="1" t="s">
        <v>1657</v>
      </c>
      <c r="J837" s="1" t="s">
        <v>1658</v>
      </c>
      <c r="K837" s="1" t="s">
        <v>1658</v>
      </c>
      <c r="L837" s="1" t="s">
        <v>1658</v>
      </c>
      <c r="M837" s="1" t="s">
        <v>1658</v>
      </c>
      <c r="N837" s="1" t="s">
        <v>1658</v>
      </c>
      <c r="O837" s="1" t="s">
        <v>1658</v>
      </c>
      <c r="P837" s="1">
        <v>1</v>
      </c>
      <c r="Q837" s="1" t="s">
        <v>1658</v>
      </c>
      <c r="R837" s="1">
        <v>0</v>
      </c>
      <c r="S837" s="1" t="s">
        <v>5436</v>
      </c>
      <c r="T837" s="6" t="s">
        <v>5436</v>
      </c>
      <c r="U837" s="1" t="str">
        <f t="shared" si="13"/>
        <v>Yes</v>
      </c>
      <c r="W837" s="1" t="s">
        <v>5437</v>
      </c>
      <c r="X837" s="1" t="str">
        <f>IF(COUNTIF('MyWells Drilling Comp'!F:F,E837)=0,"Missing","Exist")</f>
        <v>Exist</v>
      </c>
    </row>
    <row r="838" hidden="1" spans="1:24">
      <c r="A838" s="1" t="s">
        <v>5265</v>
      </c>
      <c r="B838" s="1" t="s">
        <v>90</v>
      </c>
      <c r="C838" s="1" t="s">
        <v>5438</v>
      </c>
      <c r="D838" s="1" t="s">
        <v>5439</v>
      </c>
      <c r="E838" s="2" t="s">
        <v>189</v>
      </c>
      <c r="F838" s="2" t="s">
        <v>5440</v>
      </c>
      <c r="G838" s="1">
        <v>1</v>
      </c>
      <c r="H838" s="1" t="s">
        <v>1656</v>
      </c>
      <c r="I838" s="1" t="s">
        <v>1657</v>
      </c>
      <c r="J838" s="1" t="s">
        <v>1658</v>
      </c>
      <c r="K838" s="1" t="s">
        <v>1658</v>
      </c>
      <c r="L838" s="1" t="s">
        <v>1658</v>
      </c>
      <c r="M838" s="1" t="s">
        <v>1658</v>
      </c>
      <c r="N838" s="1" t="s">
        <v>1658</v>
      </c>
      <c r="O838" s="1" t="s">
        <v>1658</v>
      </c>
      <c r="P838" s="1">
        <v>1</v>
      </c>
      <c r="Q838" s="1" t="s">
        <v>1658</v>
      </c>
      <c r="R838" s="1">
        <v>0</v>
      </c>
      <c r="S838" s="1" t="s">
        <v>5441</v>
      </c>
      <c r="T838" s="6" t="s">
        <v>5441</v>
      </c>
      <c r="U838" s="1" t="str">
        <f t="shared" si="13"/>
        <v>Yes</v>
      </c>
      <c r="W838" s="1" t="s">
        <v>5442</v>
      </c>
      <c r="X838" s="1" t="str">
        <f>IF(COUNTIF('MyWells Drilling Comp'!F:F,E838)=0,"Missing","Exist")</f>
        <v>Exist</v>
      </c>
    </row>
    <row r="839" hidden="1" spans="1:24">
      <c r="A839" s="1" t="s">
        <v>5265</v>
      </c>
      <c r="B839" s="1" t="s">
        <v>90</v>
      </c>
      <c r="C839" s="1" t="s">
        <v>5443</v>
      </c>
      <c r="D839" s="1" t="s">
        <v>5439</v>
      </c>
      <c r="E839" s="2" t="s">
        <v>189</v>
      </c>
      <c r="F839" s="2" t="s">
        <v>5444</v>
      </c>
      <c r="G839" s="1">
        <v>1</v>
      </c>
      <c r="H839" s="1" t="s">
        <v>1663</v>
      </c>
      <c r="I839" s="1" t="s">
        <v>1657</v>
      </c>
      <c r="J839" s="1" t="s">
        <v>1658</v>
      </c>
      <c r="K839" s="1" t="s">
        <v>1658</v>
      </c>
      <c r="L839" s="1" t="s">
        <v>1658</v>
      </c>
      <c r="M839" s="1" t="s">
        <v>1658</v>
      </c>
      <c r="N839" s="1" t="s">
        <v>1658</v>
      </c>
      <c r="O839" s="1" t="s">
        <v>1658</v>
      </c>
      <c r="P839" s="1">
        <v>1</v>
      </c>
      <c r="Q839" s="1" t="s">
        <v>1658</v>
      </c>
      <c r="R839" s="1">
        <v>0</v>
      </c>
      <c r="S839" s="1" t="s">
        <v>5445</v>
      </c>
      <c r="T839" s="6" t="s">
        <v>5445</v>
      </c>
      <c r="U839" s="1" t="str">
        <f t="shared" si="13"/>
        <v>Yes</v>
      </c>
      <c r="W839" s="1" t="s">
        <v>5446</v>
      </c>
      <c r="X839" s="1" t="str">
        <f>IF(COUNTIF('MyWells Drilling Comp'!F:F,E839)=0,"Missing","Exist")</f>
        <v>Exist</v>
      </c>
    </row>
    <row r="840" hidden="1" spans="1:24">
      <c r="A840" s="1" t="s">
        <v>5265</v>
      </c>
      <c r="B840" s="1" t="s">
        <v>90</v>
      </c>
      <c r="C840" s="1" t="s">
        <v>5447</v>
      </c>
      <c r="D840" s="1" t="s">
        <v>5448</v>
      </c>
      <c r="E840" s="2" t="s">
        <v>1559</v>
      </c>
      <c r="F840" s="2" t="s">
        <v>5449</v>
      </c>
      <c r="G840" s="1">
        <v>1</v>
      </c>
      <c r="H840" s="1" t="s">
        <v>1663</v>
      </c>
      <c r="I840" s="1" t="s">
        <v>1657</v>
      </c>
      <c r="J840" s="1" t="s">
        <v>1658</v>
      </c>
      <c r="K840" s="1" t="s">
        <v>1658</v>
      </c>
      <c r="L840" s="1" t="s">
        <v>1658</v>
      </c>
      <c r="M840" s="1" t="s">
        <v>1658</v>
      </c>
      <c r="N840" s="1" t="s">
        <v>1658</v>
      </c>
      <c r="O840" s="1" t="s">
        <v>1658</v>
      </c>
      <c r="P840" s="1">
        <v>1</v>
      </c>
      <c r="Q840" s="1" t="s">
        <v>1658</v>
      </c>
      <c r="R840" s="1">
        <v>0</v>
      </c>
      <c r="S840" s="1" t="s">
        <v>5450</v>
      </c>
      <c r="T840" s="6" t="s">
        <v>5450</v>
      </c>
      <c r="U840" s="1" t="str">
        <f t="shared" si="13"/>
        <v>Yes</v>
      </c>
      <c r="W840" s="1" t="s">
        <v>5451</v>
      </c>
      <c r="X840" s="1" t="str">
        <f>IF(COUNTIF('MyWells Drilling Comp'!F:F,E840)=0,"Missing","Exist")</f>
        <v>Exist</v>
      </c>
    </row>
    <row r="841" hidden="1" spans="1:24">
      <c r="A841" s="1" t="s">
        <v>5265</v>
      </c>
      <c r="B841" s="1" t="s">
        <v>90</v>
      </c>
      <c r="C841" s="1" t="s">
        <v>5452</v>
      </c>
      <c r="D841" s="1" t="s">
        <v>5448</v>
      </c>
      <c r="E841" s="2" t="s">
        <v>1559</v>
      </c>
      <c r="F841" s="2" t="s">
        <v>5453</v>
      </c>
      <c r="G841" s="1">
        <v>1</v>
      </c>
      <c r="H841" s="1" t="s">
        <v>1656</v>
      </c>
      <c r="I841" s="1" t="s">
        <v>1657</v>
      </c>
      <c r="J841" s="1" t="s">
        <v>1658</v>
      </c>
      <c r="K841" s="1" t="s">
        <v>1658</v>
      </c>
      <c r="L841" s="1" t="s">
        <v>1658</v>
      </c>
      <c r="M841" s="1" t="s">
        <v>1658</v>
      </c>
      <c r="N841" s="1" t="s">
        <v>1658</v>
      </c>
      <c r="O841" s="1" t="s">
        <v>1658</v>
      </c>
      <c r="P841" s="1">
        <v>1</v>
      </c>
      <c r="Q841" s="1" t="s">
        <v>1658</v>
      </c>
      <c r="R841" s="1">
        <v>0</v>
      </c>
      <c r="S841" s="1" t="s">
        <v>5454</v>
      </c>
      <c r="T841" s="6" t="s">
        <v>5454</v>
      </c>
      <c r="U841" s="1" t="str">
        <f t="shared" si="13"/>
        <v>Yes</v>
      </c>
      <c r="W841" s="1" t="s">
        <v>5455</v>
      </c>
      <c r="X841" s="1" t="str">
        <f>IF(COUNTIF('MyWells Drilling Comp'!F:F,E841)=0,"Missing","Exist")</f>
        <v>Exist</v>
      </c>
    </row>
    <row r="842" hidden="1" spans="1:24">
      <c r="A842" s="1" t="s">
        <v>5265</v>
      </c>
      <c r="B842" s="1" t="s">
        <v>90</v>
      </c>
      <c r="C842" s="1" t="s">
        <v>5456</v>
      </c>
      <c r="D842" s="1" t="s">
        <v>5457</v>
      </c>
      <c r="E842" s="2" t="s">
        <v>1236</v>
      </c>
      <c r="F842" s="2" t="s">
        <v>5458</v>
      </c>
      <c r="G842" s="1">
        <v>1</v>
      </c>
      <c r="H842" s="1" t="s">
        <v>1663</v>
      </c>
      <c r="I842" s="1" t="s">
        <v>1657</v>
      </c>
      <c r="J842" s="1" t="s">
        <v>1658</v>
      </c>
      <c r="K842" s="1" t="s">
        <v>1658</v>
      </c>
      <c r="L842" s="1" t="s">
        <v>1658</v>
      </c>
      <c r="M842" s="1" t="s">
        <v>1658</v>
      </c>
      <c r="N842" s="1" t="s">
        <v>1658</v>
      </c>
      <c r="O842" s="1" t="s">
        <v>1658</v>
      </c>
      <c r="P842" s="1">
        <v>1</v>
      </c>
      <c r="Q842" s="1" t="s">
        <v>1658</v>
      </c>
      <c r="R842" s="1">
        <v>0</v>
      </c>
      <c r="S842" s="1" t="s">
        <v>5459</v>
      </c>
      <c r="T842" s="6" t="s">
        <v>5459</v>
      </c>
      <c r="U842" s="1" t="str">
        <f t="shared" si="13"/>
        <v>Yes</v>
      </c>
      <c r="W842" s="1" t="s">
        <v>5460</v>
      </c>
      <c r="X842" s="1" t="str">
        <f>IF(COUNTIF('MyWells Drilling Comp'!F:F,E842)=0,"Missing","Exist")</f>
        <v>Exist</v>
      </c>
    </row>
    <row r="843" hidden="1" spans="1:24">
      <c r="A843" s="1" t="s">
        <v>5265</v>
      </c>
      <c r="B843" s="1" t="s">
        <v>90</v>
      </c>
      <c r="C843" s="1" t="s">
        <v>5461</v>
      </c>
      <c r="D843" s="1" t="s">
        <v>5457</v>
      </c>
      <c r="E843" s="2" t="s">
        <v>1236</v>
      </c>
      <c r="F843" s="2" t="s">
        <v>5462</v>
      </c>
      <c r="G843" s="1">
        <v>1</v>
      </c>
      <c r="H843" s="1" t="s">
        <v>1656</v>
      </c>
      <c r="I843" s="1" t="s">
        <v>1657</v>
      </c>
      <c r="J843" s="1" t="s">
        <v>1658</v>
      </c>
      <c r="K843" s="1" t="s">
        <v>1658</v>
      </c>
      <c r="L843" s="1" t="s">
        <v>1658</v>
      </c>
      <c r="M843" s="1" t="s">
        <v>1658</v>
      </c>
      <c r="N843" s="1" t="s">
        <v>1658</v>
      </c>
      <c r="O843" s="1" t="s">
        <v>1658</v>
      </c>
      <c r="P843" s="1">
        <v>1</v>
      </c>
      <c r="Q843" s="1" t="s">
        <v>1658</v>
      </c>
      <c r="R843" s="1">
        <v>0</v>
      </c>
      <c r="S843" s="1" t="s">
        <v>5463</v>
      </c>
      <c r="T843" s="6" t="s">
        <v>5463</v>
      </c>
      <c r="U843" s="1" t="str">
        <f t="shared" si="13"/>
        <v>Yes</v>
      </c>
      <c r="W843" s="1" t="s">
        <v>5464</v>
      </c>
      <c r="X843" s="1" t="str">
        <f>IF(COUNTIF('MyWells Drilling Comp'!F:F,E843)=0,"Missing","Exist")</f>
        <v>Exist</v>
      </c>
    </row>
    <row r="844" hidden="1" spans="1:24">
      <c r="A844" s="1" t="s">
        <v>5265</v>
      </c>
      <c r="B844" s="1" t="s">
        <v>90</v>
      </c>
      <c r="C844" s="1" t="s">
        <v>5465</v>
      </c>
      <c r="D844" s="1" t="s">
        <v>5466</v>
      </c>
      <c r="E844" s="2" t="s">
        <v>1521</v>
      </c>
      <c r="F844" s="2" t="s">
        <v>5467</v>
      </c>
      <c r="G844" s="1">
        <v>1</v>
      </c>
      <c r="H844" s="1" t="s">
        <v>1663</v>
      </c>
      <c r="I844" s="1" t="s">
        <v>1657</v>
      </c>
      <c r="J844" s="1" t="s">
        <v>1658</v>
      </c>
      <c r="K844" s="1" t="s">
        <v>1658</v>
      </c>
      <c r="L844" s="1" t="s">
        <v>1658</v>
      </c>
      <c r="M844" s="1" t="s">
        <v>1658</v>
      </c>
      <c r="N844" s="1" t="s">
        <v>1658</v>
      </c>
      <c r="O844" s="1" t="s">
        <v>1658</v>
      </c>
      <c r="P844" s="1">
        <v>1</v>
      </c>
      <c r="Q844" s="1" t="s">
        <v>1658</v>
      </c>
      <c r="R844" s="1">
        <v>0</v>
      </c>
      <c r="S844" s="1" t="s">
        <v>5468</v>
      </c>
      <c r="T844" s="6" t="s">
        <v>5468</v>
      </c>
      <c r="U844" s="1" t="str">
        <f t="shared" si="13"/>
        <v>Yes</v>
      </c>
      <c r="W844" s="1" t="s">
        <v>5469</v>
      </c>
      <c r="X844" s="1" t="str">
        <f>IF(COUNTIF('MyWells Drilling Comp'!F:F,E844)=0,"Missing","Exist")</f>
        <v>Exist</v>
      </c>
    </row>
    <row r="845" hidden="1" spans="1:24">
      <c r="A845" s="1" t="s">
        <v>5265</v>
      </c>
      <c r="B845" s="1" t="s">
        <v>90</v>
      </c>
      <c r="C845" s="1" t="s">
        <v>5470</v>
      </c>
      <c r="D845" s="1" t="s">
        <v>5466</v>
      </c>
      <c r="E845" s="2" t="s">
        <v>1521</v>
      </c>
      <c r="F845" s="2" t="s">
        <v>5471</v>
      </c>
      <c r="G845" s="1">
        <v>1</v>
      </c>
      <c r="H845" s="1" t="s">
        <v>1656</v>
      </c>
      <c r="I845" s="1" t="s">
        <v>1657</v>
      </c>
      <c r="J845" s="1" t="s">
        <v>1658</v>
      </c>
      <c r="K845" s="1" t="s">
        <v>1658</v>
      </c>
      <c r="L845" s="1" t="s">
        <v>1658</v>
      </c>
      <c r="M845" s="1" t="s">
        <v>1658</v>
      </c>
      <c r="N845" s="1" t="s">
        <v>1658</v>
      </c>
      <c r="O845" s="1" t="s">
        <v>1658</v>
      </c>
      <c r="P845" s="1">
        <v>1</v>
      </c>
      <c r="Q845" s="1" t="s">
        <v>1658</v>
      </c>
      <c r="R845" s="1">
        <v>0</v>
      </c>
      <c r="S845" s="1" t="s">
        <v>5472</v>
      </c>
      <c r="T845" s="6" t="s">
        <v>5472</v>
      </c>
      <c r="U845" s="1" t="str">
        <f t="shared" si="13"/>
        <v>Yes</v>
      </c>
      <c r="W845" s="1" t="s">
        <v>5473</v>
      </c>
      <c r="X845" s="1" t="str">
        <f>IF(COUNTIF('MyWells Drilling Comp'!F:F,E845)=0,"Missing","Exist")</f>
        <v>Exist</v>
      </c>
    </row>
    <row r="846" hidden="1" spans="1:24">
      <c r="A846" s="1" t="s">
        <v>5265</v>
      </c>
      <c r="B846" s="1" t="s">
        <v>90</v>
      </c>
      <c r="C846" s="1" t="s">
        <v>5474</v>
      </c>
      <c r="D846" s="1" t="s">
        <v>5475</v>
      </c>
      <c r="E846" s="2" t="s">
        <v>1268</v>
      </c>
      <c r="F846" s="2" t="s">
        <v>5476</v>
      </c>
      <c r="G846" s="1">
        <v>1</v>
      </c>
      <c r="H846" s="1" t="s">
        <v>1656</v>
      </c>
      <c r="I846" s="1" t="s">
        <v>1657</v>
      </c>
      <c r="J846" s="1" t="s">
        <v>1658</v>
      </c>
      <c r="K846" s="1" t="s">
        <v>1658</v>
      </c>
      <c r="L846" s="1" t="s">
        <v>1658</v>
      </c>
      <c r="M846" s="1" t="s">
        <v>1658</v>
      </c>
      <c r="N846" s="1" t="s">
        <v>1658</v>
      </c>
      <c r="O846" s="1" t="s">
        <v>1658</v>
      </c>
      <c r="P846" s="1">
        <v>1</v>
      </c>
      <c r="Q846" s="1" t="s">
        <v>1658</v>
      </c>
      <c r="R846" s="1">
        <v>0</v>
      </c>
      <c r="S846" s="1" t="s">
        <v>5477</v>
      </c>
      <c r="T846" s="6" t="s">
        <v>5477</v>
      </c>
      <c r="U846" s="1" t="str">
        <f t="shared" si="13"/>
        <v>Yes</v>
      </c>
      <c r="W846" s="1" t="s">
        <v>5478</v>
      </c>
      <c r="X846" s="1" t="str">
        <f>IF(COUNTIF('MyWells Drilling Comp'!F:F,E846)=0,"Missing","Exist")</f>
        <v>Exist</v>
      </c>
    </row>
    <row r="847" hidden="1" spans="1:24">
      <c r="A847" s="1" t="s">
        <v>5265</v>
      </c>
      <c r="B847" s="1" t="s">
        <v>90</v>
      </c>
      <c r="C847" s="1" t="s">
        <v>5479</v>
      </c>
      <c r="D847" s="1" t="s">
        <v>5475</v>
      </c>
      <c r="E847" s="2" t="s">
        <v>1268</v>
      </c>
      <c r="F847" s="2" t="s">
        <v>5480</v>
      </c>
      <c r="G847" s="1">
        <v>1</v>
      </c>
      <c r="H847" s="1" t="s">
        <v>1663</v>
      </c>
      <c r="I847" s="1" t="s">
        <v>1657</v>
      </c>
      <c r="J847" s="1" t="s">
        <v>1658</v>
      </c>
      <c r="K847" s="1" t="s">
        <v>1658</v>
      </c>
      <c r="L847" s="1" t="s">
        <v>1658</v>
      </c>
      <c r="M847" s="1" t="s">
        <v>1658</v>
      </c>
      <c r="N847" s="1" t="s">
        <v>1658</v>
      </c>
      <c r="O847" s="1" t="s">
        <v>1658</v>
      </c>
      <c r="P847" s="1">
        <v>1</v>
      </c>
      <c r="Q847" s="1" t="s">
        <v>1658</v>
      </c>
      <c r="R847" s="1">
        <v>0</v>
      </c>
      <c r="S847" s="1" t="s">
        <v>5481</v>
      </c>
      <c r="T847" s="6" t="s">
        <v>5481</v>
      </c>
      <c r="U847" s="1" t="str">
        <f t="shared" si="13"/>
        <v>Yes</v>
      </c>
      <c r="W847" s="1" t="s">
        <v>5482</v>
      </c>
      <c r="X847" s="1" t="str">
        <f>IF(COUNTIF('MyWells Drilling Comp'!F:F,E847)=0,"Missing","Exist")</f>
        <v>Exist</v>
      </c>
    </row>
    <row r="848" hidden="1" spans="1:24">
      <c r="A848" s="1" t="s">
        <v>5265</v>
      </c>
      <c r="B848" s="1" t="s">
        <v>90</v>
      </c>
      <c r="C848" s="1" t="s">
        <v>5483</v>
      </c>
      <c r="D848" s="1" t="s">
        <v>5484</v>
      </c>
      <c r="E848" s="2" t="s">
        <v>1329</v>
      </c>
      <c r="F848" s="2" t="s">
        <v>5485</v>
      </c>
      <c r="G848" s="1">
        <v>1</v>
      </c>
      <c r="H848" s="1" t="s">
        <v>1663</v>
      </c>
      <c r="I848" s="1" t="s">
        <v>1657</v>
      </c>
      <c r="J848" s="1" t="s">
        <v>1658</v>
      </c>
      <c r="K848" s="1" t="s">
        <v>1658</v>
      </c>
      <c r="L848" s="1" t="s">
        <v>1658</v>
      </c>
      <c r="M848" s="1" t="s">
        <v>1658</v>
      </c>
      <c r="N848" s="1" t="s">
        <v>1658</v>
      </c>
      <c r="O848" s="1" t="s">
        <v>1658</v>
      </c>
      <c r="P848" s="1">
        <v>1</v>
      </c>
      <c r="Q848" s="1" t="s">
        <v>1658</v>
      </c>
      <c r="R848" s="1">
        <v>0</v>
      </c>
      <c r="S848" s="1" t="s">
        <v>5486</v>
      </c>
      <c r="T848" s="6" t="s">
        <v>5486</v>
      </c>
      <c r="U848" s="1" t="str">
        <f t="shared" si="13"/>
        <v>Yes</v>
      </c>
      <c r="W848" s="1" t="s">
        <v>5487</v>
      </c>
      <c r="X848" s="1" t="str">
        <f>IF(COUNTIF('MyWells Drilling Comp'!F:F,E848)=0,"Missing","Exist")</f>
        <v>Exist</v>
      </c>
    </row>
    <row r="849" hidden="1" spans="1:24">
      <c r="A849" s="1" t="s">
        <v>5265</v>
      </c>
      <c r="B849" s="1" t="s">
        <v>90</v>
      </c>
      <c r="C849" s="1" t="s">
        <v>5488</v>
      </c>
      <c r="D849" s="1" t="s">
        <v>5484</v>
      </c>
      <c r="E849" s="2" t="s">
        <v>1329</v>
      </c>
      <c r="F849" s="2" t="s">
        <v>5489</v>
      </c>
      <c r="G849" s="1">
        <v>1</v>
      </c>
      <c r="H849" s="1" t="s">
        <v>1656</v>
      </c>
      <c r="I849" s="1" t="s">
        <v>1657</v>
      </c>
      <c r="J849" s="1" t="s">
        <v>1658</v>
      </c>
      <c r="K849" s="1" t="s">
        <v>1658</v>
      </c>
      <c r="L849" s="1" t="s">
        <v>1658</v>
      </c>
      <c r="M849" s="1" t="s">
        <v>1658</v>
      </c>
      <c r="N849" s="1" t="s">
        <v>1658</v>
      </c>
      <c r="O849" s="1" t="s">
        <v>1658</v>
      </c>
      <c r="P849" s="1">
        <v>1</v>
      </c>
      <c r="Q849" s="1" t="s">
        <v>1658</v>
      </c>
      <c r="R849" s="1">
        <v>0</v>
      </c>
      <c r="S849" s="1" t="s">
        <v>5490</v>
      </c>
      <c r="T849" s="6" t="s">
        <v>5490</v>
      </c>
      <c r="U849" s="1" t="str">
        <f t="shared" si="13"/>
        <v>Yes</v>
      </c>
      <c r="W849" s="1" t="s">
        <v>5491</v>
      </c>
      <c r="X849" s="1" t="str">
        <f>IF(COUNTIF('MyWells Drilling Comp'!F:F,E849)=0,"Missing","Exist")</f>
        <v>Exist</v>
      </c>
    </row>
    <row r="850" hidden="1" spans="1:24">
      <c r="A850" s="1" t="s">
        <v>5265</v>
      </c>
      <c r="B850" s="1" t="s">
        <v>90</v>
      </c>
      <c r="C850" s="1" t="s">
        <v>5492</v>
      </c>
      <c r="D850" s="1" t="s">
        <v>5493</v>
      </c>
      <c r="E850" s="2" t="s">
        <v>1153</v>
      </c>
      <c r="F850" s="2" t="s">
        <v>5494</v>
      </c>
      <c r="G850" s="1">
        <v>1</v>
      </c>
      <c r="H850" s="1" t="s">
        <v>1663</v>
      </c>
      <c r="I850" s="1" t="s">
        <v>1657</v>
      </c>
      <c r="J850" s="1" t="s">
        <v>1658</v>
      </c>
      <c r="K850" s="1" t="s">
        <v>1658</v>
      </c>
      <c r="L850" s="1" t="s">
        <v>1658</v>
      </c>
      <c r="M850" s="1" t="s">
        <v>1658</v>
      </c>
      <c r="N850" s="1" t="s">
        <v>1658</v>
      </c>
      <c r="O850" s="1" t="s">
        <v>1658</v>
      </c>
      <c r="P850" s="1">
        <v>1</v>
      </c>
      <c r="Q850" s="1" t="s">
        <v>1658</v>
      </c>
      <c r="R850" s="1">
        <v>0</v>
      </c>
      <c r="S850" s="1" t="s">
        <v>5495</v>
      </c>
      <c r="T850" s="6" t="s">
        <v>5495</v>
      </c>
      <c r="U850" s="1" t="str">
        <f t="shared" si="13"/>
        <v>Yes</v>
      </c>
      <c r="W850" s="1" t="s">
        <v>5496</v>
      </c>
      <c r="X850" s="1" t="str">
        <f>IF(COUNTIF('MyWells Drilling Comp'!F:F,E850)=0,"Missing","Exist")</f>
        <v>Exist</v>
      </c>
    </row>
    <row r="851" hidden="1" spans="1:24">
      <c r="A851" s="1" t="s">
        <v>5265</v>
      </c>
      <c r="B851" s="1" t="s">
        <v>90</v>
      </c>
      <c r="C851" s="1" t="s">
        <v>5497</v>
      </c>
      <c r="D851" s="1" t="s">
        <v>5493</v>
      </c>
      <c r="E851" s="2" t="s">
        <v>1153</v>
      </c>
      <c r="F851" s="2" t="s">
        <v>5498</v>
      </c>
      <c r="G851" s="1">
        <v>1</v>
      </c>
      <c r="H851" s="1" t="s">
        <v>1656</v>
      </c>
      <c r="I851" s="1" t="s">
        <v>1657</v>
      </c>
      <c r="J851" s="1" t="s">
        <v>1658</v>
      </c>
      <c r="K851" s="1" t="s">
        <v>1658</v>
      </c>
      <c r="L851" s="1" t="s">
        <v>1658</v>
      </c>
      <c r="M851" s="1" t="s">
        <v>1658</v>
      </c>
      <c r="N851" s="1" t="s">
        <v>1658</v>
      </c>
      <c r="O851" s="1" t="s">
        <v>1658</v>
      </c>
      <c r="P851" s="1">
        <v>1</v>
      </c>
      <c r="Q851" s="1" t="s">
        <v>1658</v>
      </c>
      <c r="R851" s="1">
        <v>0</v>
      </c>
      <c r="S851" s="1" t="s">
        <v>5499</v>
      </c>
      <c r="T851" s="6" t="s">
        <v>5499</v>
      </c>
      <c r="U851" s="1" t="str">
        <f t="shared" si="13"/>
        <v>Yes</v>
      </c>
      <c r="W851" s="1" t="s">
        <v>5500</v>
      </c>
      <c r="X851" s="1" t="str">
        <f>IF(COUNTIF('MyWells Drilling Comp'!F:F,E851)=0,"Missing","Exist")</f>
        <v>Exist</v>
      </c>
    </row>
    <row r="852" hidden="1" spans="1:24">
      <c r="A852" s="1" t="s">
        <v>5265</v>
      </c>
      <c r="B852" s="1" t="s">
        <v>90</v>
      </c>
      <c r="C852" s="1" t="s">
        <v>5501</v>
      </c>
      <c r="D852" s="1" t="s">
        <v>5502</v>
      </c>
      <c r="E852" s="2" t="s">
        <v>517</v>
      </c>
      <c r="F852" s="2" t="s">
        <v>5503</v>
      </c>
      <c r="G852" s="1">
        <v>1</v>
      </c>
      <c r="H852" s="1" t="s">
        <v>1656</v>
      </c>
      <c r="I852" s="1" t="s">
        <v>1657</v>
      </c>
      <c r="J852" s="1" t="s">
        <v>1658</v>
      </c>
      <c r="K852" s="1" t="s">
        <v>1658</v>
      </c>
      <c r="L852" s="1" t="s">
        <v>1658</v>
      </c>
      <c r="M852" s="1" t="s">
        <v>1658</v>
      </c>
      <c r="N852" s="1" t="s">
        <v>1658</v>
      </c>
      <c r="O852" s="1" t="s">
        <v>1658</v>
      </c>
      <c r="P852" s="1">
        <v>1</v>
      </c>
      <c r="Q852" s="1" t="s">
        <v>1658</v>
      </c>
      <c r="R852" s="1">
        <v>0</v>
      </c>
      <c r="S852" s="1" t="s">
        <v>5504</v>
      </c>
      <c r="T852" s="6" t="s">
        <v>5504</v>
      </c>
      <c r="U852" s="1" t="str">
        <f t="shared" si="13"/>
        <v>Yes</v>
      </c>
      <c r="W852" s="1" t="s">
        <v>5505</v>
      </c>
      <c r="X852" s="1" t="str">
        <f>IF(COUNTIF('MyWells Drilling Comp'!F:F,E852)=0,"Missing","Exist")</f>
        <v>Exist</v>
      </c>
    </row>
    <row r="853" hidden="1" spans="1:24">
      <c r="A853" s="1" t="s">
        <v>5265</v>
      </c>
      <c r="B853" s="1" t="s">
        <v>90</v>
      </c>
      <c r="C853" s="1" t="s">
        <v>5506</v>
      </c>
      <c r="D853" s="1" t="s">
        <v>5502</v>
      </c>
      <c r="E853" s="2" t="s">
        <v>517</v>
      </c>
      <c r="F853" s="2" t="s">
        <v>5507</v>
      </c>
      <c r="G853" s="1">
        <v>1</v>
      </c>
      <c r="H853" s="1" t="s">
        <v>1663</v>
      </c>
      <c r="I853" s="1" t="s">
        <v>1657</v>
      </c>
      <c r="J853" s="1" t="s">
        <v>1658</v>
      </c>
      <c r="K853" s="1" t="s">
        <v>1658</v>
      </c>
      <c r="L853" s="1" t="s">
        <v>1658</v>
      </c>
      <c r="M853" s="1" t="s">
        <v>1658</v>
      </c>
      <c r="N853" s="1" t="s">
        <v>1658</v>
      </c>
      <c r="O853" s="1" t="s">
        <v>1658</v>
      </c>
      <c r="P853" s="1">
        <v>1</v>
      </c>
      <c r="Q853" s="1" t="s">
        <v>1658</v>
      </c>
      <c r="R853" s="1">
        <v>0</v>
      </c>
      <c r="S853" s="1" t="s">
        <v>5508</v>
      </c>
      <c r="T853" s="6" t="s">
        <v>5508</v>
      </c>
      <c r="U853" s="1" t="str">
        <f t="shared" si="13"/>
        <v>Yes</v>
      </c>
      <c r="W853" s="1" t="s">
        <v>5509</v>
      </c>
      <c r="X853" s="1" t="str">
        <f>IF(COUNTIF('MyWells Drilling Comp'!F:F,E853)=0,"Missing","Exist")</f>
        <v>Exist</v>
      </c>
    </row>
    <row r="854" hidden="1" spans="1:24">
      <c r="A854" s="1" t="s">
        <v>5265</v>
      </c>
      <c r="B854" s="1" t="s">
        <v>90</v>
      </c>
      <c r="C854" s="1" t="s">
        <v>5510</v>
      </c>
      <c r="D854" s="1" t="s">
        <v>5511</v>
      </c>
      <c r="E854" s="2" t="s">
        <v>609</v>
      </c>
      <c r="F854" s="2" t="s">
        <v>5512</v>
      </c>
      <c r="G854" s="1">
        <v>1</v>
      </c>
      <c r="H854" s="1" t="s">
        <v>1663</v>
      </c>
      <c r="I854" s="1" t="s">
        <v>1657</v>
      </c>
      <c r="J854" s="1" t="s">
        <v>1658</v>
      </c>
      <c r="K854" s="1" t="s">
        <v>1658</v>
      </c>
      <c r="L854" s="1" t="s">
        <v>1658</v>
      </c>
      <c r="M854" s="1" t="s">
        <v>1658</v>
      </c>
      <c r="N854" s="1" t="s">
        <v>1658</v>
      </c>
      <c r="O854" s="1" t="s">
        <v>1658</v>
      </c>
      <c r="P854" s="1">
        <v>1</v>
      </c>
      <c r="Q854" s="1" t="s">
        <v>1658</v>
      </c>
      <c r="R854" s="1">
        <v>0</v>
      </c>
      <c r="S854" s="1" t="s">
        <v>5513</v>
      </c>
      <c r="T854" s="6" t="s">
        <v>5513</v>
      </c>
      <c r="U854" s="1" t="str">
        <f t="shared" si="13"/>
        <v>Yes</v>
      </c>
      <c r="W854" s="1" t="s">
        <v>5514</v>
      </c>
      <c r="X854" s="1" t="str">
        <f>IF(COUNTIF('MyWells Drilling Comp'!F:F,E854)=0,"Missing","Exist")</f>
        <v>Exist</v>
      </c>
    </row>
    <row r="855" hidden="1" spans="1:24">
      <c r="A855" s="1" t="s">
        <v>5265</v>
      </c>
      <c r="B855" s="1" t="s">
        <v>90</v>
      </c>
      <c r="C855" s="1" t="s">
        <v>5515</v>
      </c>
      <c r="D855" s="1" t="s">
        <v>5511</v>
      </c>
      <c r="E855" s="2" t="s">
        <v>609</v>
      </c>
      <c r="F855" s="2" t="s">
        <v>5516</v>
      </c>
      <c r="G855" s="1">
        <v>1</v>
      </c>
      <c r="H855" s="1" t="s">
        <v>1656</v>
      </c>
      <c r="I855" s="1" t="s">
        <v>1657</v>
      </c>
      <c r="J855" s="1" t="s">
        <v>1658</v>
      </c>
      <c r="K855" s="1" t="s">
        <v>1658</v>
      </c>
      <c r="L855" s="1" t="s">
        <v>1658</v>
      </c>
      <c r="M855" s="1" t="s">
        <v>1658</v>
      </c>
      <c r="N855" s="1" t="s">
        <v>1658</v>
      </c>
      <c r="O855" s="1" t="s">
        <v>1658</v>
      </c>
      <c r="P855" s="1">
        <v>1</v>
      </c>
      <c r="Q855" s="1" t="s">
        <v>1658</v>
      </c>
      <c r="R855" s="1">
        <v>0</v>
      </c>
      <c r="S855" s="1" t="s">
        <v>5517</v>
      </c>
      <c r="T855" s="6" t="s">
        <v>5517</v>
      </c>
      <c r="U855" s="1" t="str">
        <f t="shared" si="13"/>
        <v>Yes</v>
      </c>
      <c r="W855" s="1" t="s">
        <v>5518</v>
      </c>
      <c r="X855" s="1" t="str">
        <f>IF(COUNTIF('MyWells Drilling Comp'!F:F,E855)=0,"Missing","Exist")</f>
        <v>Exist</v>
      </c>
    </row>
    <row r="856" hidden="1" spans="1:24">
      <c r="A856" s="1" t="s">
        <v>5265</v>
      </c>
      <c r="B856" s="1" t="s">
        <v>90</v>
      </c>
      <c r="C856" s="1" t="s">
        <v>5519</v>
      </c>
      <c r="D856" s="1" t="s">
        <v>5520</v>
      </c>
      <c r="E856" s="2" t="s">
        <v>558</v>
      </c>
      <c r="F856" s="2" t="s">
        <v>5521</v>
      </c>
      <c r="G856" s="1">
        <v>1</v>
      </c>
      <c r="H856" s="1" t="s">
        <v>1656</v>
      </c>
      <c r="I856" s="1" t="s">
        <v>1657</v>
      </c>
      <c r="J856" s="1" t="s">
        <v>1658</v>
      </c>
      <c r="K856" s="1" t="s">
        <v>1658</v>
      </c>
      <c r="L856" s="1" t="s">
        <v>1658</v>
      </c>
      <c r="M856" s="1" t="s">
        <v>1658</v>
      </c>
      <c r="N856" s="1" t="s">
        <v>1658</v>
      </c>
      <c r="O856" s="1" t="s">
        <v>1658</v>
      </c>
      <c r="P856" s="1">
        <v>1</v>
      </c>
      <c r="Q856" s="1" t="s">
        <v>1658</v>
      </c>
      <c r="R856" s="1">
        <v>0</v>
      </c>
      <c r="S856" s="1" t="s">
        <v>5522</v>
      </c>
      <c r="T856" s="6" t="s">
        <v>5522</v>
      </c>
      <c r="U856" s="1" t="str">
        <f t="shared" si="13"/>
        <v>Yes</v>
      </c>
      <c r="W856" s="1" t="s">
        <v>5523</v>
      </c>
      <c r="X856" s="1" t="str">
        <f>IF(COUNTIF('MyWells Drilling Comp'!F:F,E856)=0,"Missing","Exist")</f>
        <v>Exist</v>
      </c>
    </row>
    <row r="857" hidden="1" spans="1:24">
      <c r="A857" s="1" t="s">
        <v>5265</v>
      </c>
      <c r="B857" s="1" t="s">
        <v>90</v>
      </c>
      <c r="C857" s="1" t="s">
        <v>5524</v>
      </c>
      <c r="D857" s="1" t="s">
        <v>5520</v>
      </c>
      <c r="E857" s="2" t="s">
        <v>558</v>
      </c>
      <c r="F857" s="2" t="s">
        <v>5525</v>
      </c>
      <c r="G857" s="1">
        <v>1</v>
      </c>
      <c r="H857" s="1" t="s">
        <v>1663</v>
      </c>
      <c r="I857" s="1" t="s">
        <v>1657</v>
      </c>
      <c r="J857" s="1" t="s">
        <v>1658</v>
      </c>
      <c r="K857" s="1" t="s">
        <v>1658</v>
      </c>
      <c r="L857" s="1" t="s">
        <v>1658</v>
      </c>
      <c r="M857" s="1" t="s">
        <v>1658</v>
      </c>
      <c r="N857" s="1" t="s">
        <v>1658</v>
      </c>
      <c r="O857" s="1" t="s">
        <v>1658</v>
      </c>
      <c r="P857" s="1">
        <v>1</v>
      </c>
      <c r="Q857" s="1" t="s">
        <v>1658</v>
      </c>
      <c r="R857" s="1">
        <v>0</v>
      </c>
      <c r="S857" s="1" t="s">
        <v>5526</v>
      </c>
      <c r="T857" s="6" t="s">
        <v>5526</v>
      </c>
      <c r="U857" s="1" t="str">
        <f t="shared" si="13"/>
        <v>Yes</v>
      </c>
      <c r="W857" s="1" t="s">
        <v>5527</v>
      </c>
      <c r="X857" s="1" t="str">
        <f>IF(COUNTIF('MyWells Drilling Comp'!F:F,E857)=0,"Missing","Exist")</f>
        <v>Exist</v>
      </c>
    </row>
    <row r="858" hidden="1" spans="1:24">
      <c r="A858" s="1" t="s">
        <v>5265</v>
      </c>
      <c r="B858" s="1" t="s">
        <v>90</v>
      </c>
      <c r="C858" s="1" t="s">
        <v>5528</v>
      </c>
      <c r="D858" s="1" t="s">
        <v>5529</v>
      </c>
      <c r="E858" s="2" t="s">
        <v>637</v>
      </c>
      <c r="F858" s="2" t="s">
        <v>5530</v>
      </c>
      <c r="G858" s="1">
        <v>1</v>
      </c>
      <c r="H858" s="1" t="s">
        <v>1656</v>
      </c>
      <c r="I858" s="1" t="s">
        <v>1657</v>
      </c>
      <c r="J858" s="1" t="s">
        <v>1658</v>
      </c>
      <c r="K858" s="1" t="s">
        <v>1658</v>
      </c>
      <c r="L858" s="1" t="s">
        <v>1658</v>
      </c>
      <c r="M858" s="1" t="s">
        <v>1658</v>
      </c>
      <c r="N858" s="1" t="s">
        <v>1658</v>
      </c>
      <c r="O858" s="1" t="s">
        <v>1658</v>
      </c>
      <c r="P858" s="1">
        <v>1</v>
      </c>
      <c r="Q858" s="1" t="s">
        <v>1658</v>
      </c>
      <c r="R858" s="1">
        <v>0</v>
      </c>
      <c r="S858" s="1" t="s">
        <v>5531</v>
      </c>
      <c r="T858" s="6" t="s">
        <v>5531</v>
      </c>
      <c r="U858" s="1" t="str">
        <f t="shared" si="13"/>
        <v>Yes</v>
      </c>
      <c r="W858" s="1" t="s">
        <v>5532</v>
      </c>
      <c r="X858" s="1" t="str">
        <f>IF(COUNTIF('MyWells Drilling Comp'!F:F,E858)=0,"Missing","Exist")</f>
        <v>Exist</v>
      </c>
    </row>
    <row r="859" hidden="1" spans="1:24">
      <c r="A859" s="1" t="s">
        <v>5265</v>
      </c>
      <c r="B859" s="1" t="s">
        <v>90</v>
      </c>
      <c r="C859" s="1" t="s">
        <v>5533</v>
      </c>
      <c r="D859" s="1" t="s">
        <v>5529</v>
      </c>
      <c r="E859" s="2" t="s">
        <v>637</v>
      </c>
      <c r="F859" s="2" t="s">
        <v>5534</v>
      </c>
      <c r="G859" s="1">
        <v>1</v>
      </c>
      <c r="H859" s="1" t="s">
        <v>1663</v>
      </c>
      <c r="I859" s="1" t="s">
        <v>1657</v>
      </c>
      <c r="J859" s="1" t="s">
        <v>1658</v>
      </c>
      <c r="K859" s="1" t="s">
        <v>1658</v>
      </c>
      <c r="L859" s="1" t="s">
        <v>1658</v>
      </c>
      <c r="M859" s="1" t="s">
        <v>1658</v>
      </c>
      <c r="N859" s="1" t="s">
        <v>1658</v>
      </c>
      <c r="O859" s="1" t="s">
        <v>1658</v>
      </c>
      <c r="P859" s="1">
        <v>1</v>
      </c>
      <c r="Q859" s="1" t="s">
        <v>1658</v>
      </c>
      <c r="R859" s="1">
        <v>0</v>
      </c>
      <c r="S859" s="1" t="s">
        <v>5535</v>
      </c>
      <c r="T859" s="6" t="s">
        <v>5535</v>
      </c>
      <c r="U859" s="1" t="str">
        <f t="shared" si="13"/>
        <v>Yes</v>
      </c>
      <c r="W859" s="1" t="s">
        <v>5536</v>
      </c>
      <c r="X859" s="1" t="str">
        <f>IF(COUNTIF('MyWells Drilling Comp'!F:F,E859)=0,"Missing","Exist")</f>
        <v>Exist</v>
      </c>
    </row>
    <row r="860" hidden="1" spans="1:24">
      <c r="A860" s="1" t="s">
        <v>5265</v>
      </c>
      <c r="B860" s="1" t="s">
        <v>90</v>
      </c>
      <c r="C860" s="1" t="s">
        <v>5537</v>
      </c>
      <c r="D860" s="1" t="s">
        <v>5538</v>
      </c>
      <c r="E860" s="9" t="s">
        <v>965</v>
      </c>
      <c r="F860" s="2" t="s">
        <v>5539</v>
      </c>
      <c r="G860" s="1">
        <v>1</v>
      </c>
      <c r="H860" s="1" t="s">
        <v>1663</v>
      </c>
      <c r="I860" s="1" t="s">
        <v>1657</v>
      </c>
      <c r="J860" s="1" t="s">
        <v>1658</v>
      </c>
      <c r="K860" s="1" t="s">
        <v>1658</v>
      </c>
      <c r="L860" s="1" t="s">
        <v>1658</v>
      </c>
      <c r="M860" s="1" t="s">
        <v>1658</v>
      </c>
      <c r="N860" s="1" t="s">
        <v>1658</v>
      </c>
      <c r="O860" s="1" t="s">
        <v>1658</v>
      </c>
      <c r="P860" s="1">
        <v>1</v>
      </c>
      <c r="Q860" s="1" t="s">
        <v>1658</v>
      </c>
      <c r="R860" s="1">
        <v>0</v>
      </c>
      <c r="S860" s="1" t="s">
        <v>4293</v>
      </c>
      <c r="T860" s="6" t="s">
        <v>4293</v>
      </c>
      <c r="U860" s="1" t="str">
        <f t="shared" si="13"/>
        <v>Yes</v>
      </c>
      <c r="W860" s="1" t="s">
        <v>5540</v>
      </c>
      <c r="X860" s="1" t="str">
        <f>IF(COUNTIF('MyWells Drilling Comp'!F:F,E860)=0,"Missing","Exist")</f>
        <v>Exist</v>
      </c>
    </row>
    <row r="861" hidden="1" spans="1:24">
      <c r="A861" s="1" t="s">
        <v>5265</v>
      </c>
      <c r="B861" s="1" t="s">
        <v>90</v>
      </c>
      <c r="C861" s="1" t="s">
        <v>5541</v>
      </c>
      <c r="D861" s="1" t="s">
        <v>5538</v>
      </c>
      <c r="E861" s="9" t="s">
        <v>965</v>
      </c>
      <c r="F861" s="2" t="s">
        <v>5542</v>
      </c>
      <c r="G861" s="1">
        <v>1</v>
      </c>
      <c r="H861" s="1" t="s">
        <v>1656</v>
      </c>
      <c r="I861" s="1" t="s">
        <v>1657</v>
      </c>
      <c r="J861" s="1" t="s">
        <v>1658</v>
      </c>
      <c r="K861" s="1" t="s">
        <v>1658</v>
      </c>
      <c r="L861" s="1" t="s">
        <v>1658</v>
      </c>
      <c r="M861" s="1" t="s">
        <v>1658</v>
      </c>
      <c r="N861" s="1" t="s">
        <v>1658</v>
      </c>
      <c r="O861" s="1" t="s">
        <v>1658</v>
      </c>
      <c r="P861" s="1">
        <v>1</v>
      </c>
      <c r="Q861" s="1" t="s">
        <v>1658</v>
      </c>
      <c r="R861" s="1">
        <v>0</v>
      </c>
      <c r="S861" s="1" t="s">
        <v>4297</v>
      </c>
      <c r="T861" s="6" t="s">
        <v>4297</v>
      </c>
      <c r="U861" s="1" t="str">
        <f t="shared" si="13"/>
        <v>Yes</v>
      </c>
      <c r="W861" s="1" t="s">
        <v>5543</v>
      </c>
      <c r="X861" s="1" t="str">
        <f>IF(COUNTIF('MyWells Drilling Comp'!F:F,E861)=0,"Missing","Exist")</f>
        <v>Exist</v>
      </c>
    </row>
    <row r="862" hidden="1" spans="1:24">
      <c r="A862" s="1" t="s">
        <v>5265</v>
      </c>
      <c r="B862" s="1" t="s">
        <v>90</v>
      </c>
      <c r="C862" s="1" t="s">
        <v>5544</v>
      </c>
      <c r="D862" s="1" t="s">
        <v>5545</v>
      </c>
      <c r="E862" s="2" t="s">
        <v>516</v>
      </c>
      <c r="F862" s="2" t="s">
        <v>5546</v>
      </c>
      <c r="G862" s="1">
        <v>1</v>
      </c>
      <c r="H862" s="1" t="s">
        <v>1663</v>
      </c>
      <c r="I862" s="1" t="s">
        <v>1657</v>
      </c>
      <c r="J862" s="1" t="s">
        <v>1658</v>
      </c>
      <c r="K862" s="1" t="s">
        <v>1658</v>
      </c>
      <c r="L862" s="1" t="s">
        <v>1658</v>
      </c>
      <c r="M862" s="1" t="s">
        <v>1658</v>
      </c>
      <c r="N862" s="1" t="s">
        <v>1658</v>
      </c>
      <c r="O862" s="1" t="s">
        <v>1658</v>
      </c>
      <c r="P862" s="1">
        <v>1</v>
      </c>
      <c r="Q862" s="1" t="s">
        <v>1658</v>
      </c>
      <c r="R862" s="1">
        <v>0</v>
      </c>
      <c r="S862" s="1" t="s">
        <v>5547</v>
      </c>
      <c r="T862" s="6" t="s">
        <v>5547</v>
      </c>
      <c r="U862" s="1" t="str">
        <f t="shared" si="13"/>
        <v>Yes</v>
      </c>
      <c r="W862" s="1" t="s">
        <v>5548</v>
      </c>
      <c r="X862" s="1" t="str">
        <f>IF(COUNTIF('MyWells Drilling Comp'!F:F,E862)=0,"Missing","Exist")</f>
        <v>Exist</v>
      </c>
    </row>
    <row r="863" hidden="1" spans="1:24">
      <c r="A863" s="1" t="s">
        <v>5265</v>
      </c>
      <c r="B863" s="1" t="s">
        <v>90</v>
      </c>
      <c r="C863" s="1" t="s">
        <v>5549</v>
      </c>
      <c r="D863" s="1" t="s">
        <v>5545</v>
      </c>
      <c r="E863" s="2" t="s">
        <v>516</v>
      </c>
      <c r="F863" s="2" t="s">
        <v>5550</v>
      </c>
      <c r="G863" s="1">
        <v>1</v>
      </c>
      <c r="H863" s="1" t="s">
        <v>1656</v>
      </c>
      <c r="I863" s="1" t="s">
        <v>1657</v>
      </c>
      <c r="J863" s="1" t="s">
        <v>1658</v>
      </c>
      <c r="K863" s="1" t="s">
        <v>1658</v>
      </c>
      <c r="L863" s="1" t="s">
        <v>1658</v>
      </c>
      <c r="M863" s="1" t="s">
        <v>1658</v>
      </c>
      <c r="N863" s="1" t="s">
        <v>1658</v>
      </c>
      <c r="O863" s="1" t="s">
        <v>1658</v>
      </c>
      <c r="P863" s="1">
        <v>1</v>
      </c>
      <c r="Q863" s="1" t="s">
        <v>1658</v>
      </c>
      <c r="R863" s="1">
        <v>0</v>
      </c>
      <c r="S863" s="1" t="s">
        <v>5551</v>
      </c>
      <c r="T863" s="6" t="s">
        <v>5551</v>
      </c>
      <c r="U863" s="1" t="str">
        <f t="shared" si="13"/>
        <v>Yes</v>
      </c>
      <c r="W863" s="1" t="s">
        <v>5552</v>
      </c>
      <c r="X863" s="1" t="str">
        <f>IF(COUNTIF('MyWells Drilling Comp'!F:F,E863)=0,"Missing","Exist")</f>
        <v>Exist</v>
      </c>
    </row>
    <row r="864" hidden="1" spans="1:24">
      <c r="A864" s="1" t="s">
        <v>5265</v>
      </c>
      <c r="B864" s="1" t="s">
        <v>90</v>
      </c>
      <c r="C864" s="1" t="s">
        <v>5553</v>
      </c>
      <c r="D864" s="1" t="s">
        <v>5554</v>
      </c>
      <c r="E864" s="2" t="s">
        <v>1180</v>
      </c>
      <c r="F864" s="2" t="s">
        <v>5555</v>
      </c>
      <c r="G864" s="1">
        <v>1</v>
      </c>
      <c r="H864" s="1" t="s">
        <v>1663</v>
      </c>
      <c r="I864" s="1" t="s">
        <v>1657</v>
      </c>
      <c r="J864" s="1" t="s">
        <v>1658</v>
      </c>
      <c r="K864" s="1" t="s">
        <v>1658</v>
      </c>
      <c r="L864" s="1" t="s">
        <v>1658</v>
      </c>
      <c r="M864" s="1" t="s">
        <v>1658</v>
      </c>
      <c r="N864" s="1" t="s">
        <v>1658</v>
      </c>
      <c r="O864" s="1" t="s">
        <v>1658</v>
      </c>
      <c r="P864" s="1">
        <v>1</v>
      </c>
      <c r="Q864" s="1" t="s">
        <v>1658</v>
      </c>
      <c r="R864" s="1">
        <v>0</v>
      </c>
      <c r="S864" s="1" t="s">
        <v>5556</v>
      </c>
      <c r="T864" s="6" t="s">
        <v>5556</v>
      </c>
      <c r="U864" s="1" t="str">
        <f t="shared" si="13"/>
        <v>Yes</v>
      </c>
      <c r="W864" s="1" t="s">
        <v>5557</v>
      </c>
      <c r="X864" s="1" t="str">
        <f>IF(COUNTIF('MyWells Drilling Comp'!F:F,E864)=0,"Missing","Exist")</f>
        <v>Exist</v>
      </c>
    </row>
    <row r="865" hidden="1" spans="1:24">
      <c r="A865" s="1" t="s">
        <v>5265</v>
      </c>
      <c r="B865" s="1" t="s">
        <v>90</v>
      </c>
      <c r="C865" s="1" t="s">
        <v>5558</v>
      </c>
      <c r="D865" s="1" t="s">
        <v>5554</v>
      </c>
      <c r="E865" s="2" t="s">
        <v>1180</v>
      </c>
      <c r="F865" s="8" t="s">
        <v>5559</v>
      </c>
      <c r="G865" s="1">
        <v>1</v>
      </c>
      <c r="H865" s="1" t="s">
        <v>1656</v>
      </c>
      <c r="I865" s="1" t="s">
        <v>1657</v>
      </c>
      <c r="J865" s="1" t="s">
        <v>1658</v>
      </c>
      <c r="K865" s="1" t="s">
        <v>1658</v>
      </c>
      <c r="L865" s="1" t="s">
        <v>1658</v>
      </c>
      <c r="M865" s="1" t="s">
        <v>1658</v>
      </c>
      <c r="N865" s="1" t="s">
        <v>1658</v>
      </c>
      <c r="O865" s="1" t="s">
        <v>1658</v>
      </c>
      <c r="P865" s="1">
        <v>1</v>
      </c>
      <c r="Q865" s="1" t="s">
        <v>1658</v>
      </c>
      <c r="R865" s="1">
        <v>0</v>
      </c>
      <c r="S865" s="1" t="s">
        <v>5560</v>
      </c>
      <c r="T865" s="6" t="s">
        <v>5560</v>
      </c>
      <c r="U865" s="1" t="str">
        <f t="shared" si="13"/>
        <v>Yes</v>
      </c>
      <c r="W865" s="1" t="s">
        <v>5561</v>
      </c>
      <c r="X865" s="1" t="str">
        <f>IF(COUNTIF('MyWells Drilling Comp'!F:F,E865)=0,"Missing","Exist")</f>
        <v>Exist</v>
      </c>
    </row>
    <row r="866" hidden="1" spans="1:24">
      <c r="A866" s="1" t="s">
        <v>5265</v>
      </c>
      <c r="B866" s="1" t="s">
        <v>90</v>
      </c>
      <c r="C866" s="1" t="s">
        <v>5562</v>
      </c>
      <c r="D866" s="1" t="s">
        <v>5563</v>
      </c>
      <c r="E866" s="2" t="s">
        <v>1144</v>
      </c>
      <c r="F866" s="2" t="s">
        <v>5564</v>
      </c>
      <c r="G866" s="1">
        <v>1</v>
      </c>
      <c r="H866" s="1" t="s">
        <v>1663</v>
      </c>
      <c r="I866" s="1" t="s">
        <v>1657</v>
      </c>
      <c r="J866" s="1" t="s">
        <v>1658</v>
      </c>
      <c r="K866" s="1" t="s">
        <v>1658</v>
      </c>
      <c r="L866" s="1" t="s">
        <v>1658</v>
      </c>
      <c r="M866" s="1" t="s">
        <v>1658</v>
      </c>
      <c r="N866" s="1" t="s">
        <v>1658</v>
      </c>
      <c r="O866" s="1" t="s">
        <v>1658</v>
      </c>
      <c r="P866" s="1">
        <v>1</v>
      </c>
      <c r="Q866" s="1" t="s">
        <v>1658</v>
      </c>
      <c r="R866" s="1">
        <v>0</v>
      </c>
      <c r="S866" s="1" t="s">
        <v>5565</v>
      </c>
      <c r="T866" s="6" t="s">
        <v>5565</v>
      </c>
      <c r="U866" s="1" t="str">
        <f t="shared" si="13"/>
        <v>Yes</v>
      </c>
      <c r="W866" s="1" t="s">
        <v>5566</v>
      </c>
      <c r="X866" s="1" t="str">
        <f>IF(COUNTIF('MyWells Drilling Comp'!F:F,E866)=0,"Missing","Exist")</f>
        <v>Exist</v>
      </c>
    </row>
    <row r="867" hidden="1" spans="1:24">
      <c r="A867" s="1" t="s">
        <v>5265</v>
      </c>
      <c r="B867" s="1" t="s">
        <v>90</v>
      </c>
      <c r="C867" s="1" t="s">
        <v>5567</v>
      </c>
      <c r="D867" s="1" t="s">
        <v>5563</v>
      </c>
      <c r="E867" s="2" t="s">
        <v>1144</v>
      </c>
      <c r="F867" s="2" t="s">
        <v>5568</v>
      </c>
      <c r="G867" s="1">
        <v>1</v>
      </c>
      <c r="H867" s="1" t="s">
        <v>1656</v>
      </c>
      <c r="I867" s="1" t="s">
        <v>1657</v>
      </c>
      <c r="J867" s="1" t="s">
        <v>1658</v>
      </c>
      <c r="K867" s="1" t="s">
        <v>1658</v>
      </c>
      <c r="L867" s="1" t="s">
        <v>1658</v>
      </c>
      <c r="M867" s="1" t="s">
        <v>1658</v>
      </c>
      <c r="N867" s="1" t="s">
        <v>1658</v>
      </c>
      <c r="O867" s="1" t="s">
        <v>1658</v>
      </c>
      <c r="P867" s="1">
        <v>1</v>
      </c>
      <c r="Q867" s="1" t="s">
        <v>1658</v>
      </c>
      <c r="R867" s="1">
        <v>0</v>
      </c>
      <c r="S867" s="1" t="s">
        <v>5569</v>
      </c>
      <c r="T867" s="6" t="s">
        <v>5569</v>
      </c>
      <c r="U867" s="1" t="str">
        <f t="shared" si="13"/>
        <v>Yes</v>
      </c>
      <c r="W867" s="1" t="s">
        <v>5570</v>
      </c>
      <c r="X867" s="1" t="str">
        <f>IF(COUNTIF('MyWells Drilling Comp'!F:F,E867)=0,"Missing","Exist")</f>
        <v>Exist</v>
      </c>
    </row>
    <row r="868" hidden="1" spans="1:24">
      <c r="A868" s="1" t="s">
        <v>5265</v>
      </c>
      <c r="B868" s="1" t="s">
        <v>90</v>
      </c>
      <c r="C868" s="1" t="s">
        <v>5571</v>
      </c>
      <c r="D868" s="1" t="s">
        <v>5572</v>
      </c>
      <c r="E868" s="2" t="s">
        <v>833</v>
      </c>
      <c r="F868" s="2" t="s">
        <v>5573</v>
      </c>
      <c r="G868" s="1">
        <v>1</v>
      </c>
      <c r="H868" s="1" t="s">
        <v>1656</v>
      </c>
      <c r="I868" s="1" t="s">
        <v>1657</v>
      </c>
      <c r="J868" s="1" t="s">
        <v>1658</v>
      </c>
      <c r="K868" s="1" t="s">
        <v>1658</v>
      </c>
      <c r="L868" s="1" t="s">
        <v>1658</v>
      </c>
      <c r="M868" s="1" t="s">
        <v>1658</v>
      </c>
      <c r="N868" s="1" t="s">
        <v>1658</v>
      </c>
      <c r="O868" s="1" t="s">
        <v>1658</v>
      </c>
      <c r="P868" s="1">
        <v>1</v>
      </c>
      <c r="Q868" s="1" t="s">
        <v>1658</v>
      </c>
      <c r="R868" s="1">
        <v>0</v>
      </c>
      <c r="S868" s="1" t="s">
        <v>5574</v>
      </c>
      <c r="T868" s="6" t="s">
        <v>5574</v>
      </c>
      <c r="U868" s="1" t="str">
        <f t="shared" si="13"/>
        <v>Yes</v>
      </c>
      <c r="W868" s="1" t="s">
        <v>5575</v>
      </c>
      <c r="X868" s="1" t="str">
        <f>IF(COUNTIF('MyWells Drilling Comp'!F:F,E868)=0,"Missing","Exist")</f>
        <v>Exist</v>
      </c>
    </row>
    <row r="869" hidden="1" spans="1:24">
      <c r="A869" s="1" t="s">
        <v>5265</v>
      </c>
      <c r="B869" s="1" t="s">
        <v>90</v>
      </c>
      <c r="C869" s="1" t="s">
        <v>5576</v>
      </c>
      <c r="D869" s="1" t="s">
        <v>5572</v>
      </c>
      <c r="E869" s="2" t="s">
        <v>833</v>
      </c>
      <c r="F869" s="2" t="s">
        <v>5577</v>
      </c>
      <c r="G869" s="1">
        <v>1</v>
      </c>
      <c r="H869" s="1" t="s">
        <v>1663</v>
      </c>
      <c r="I869" s="1" t="s">
        <v>1657</v>
      </c>
      <c r="J869" s="1" t="s">
        <v>1658</v>
      </c>
      <c r="K869" s="1" t="s">
        <v>1658</v>
      </c>
      <c r="L869" s="1" t="s">
        <v>1658</v>
      </c>
      <c r="M869" s="1" t="s">
        <v>1658</v>
      </c>
      <c r="N869" s="1" t="s">
        <v>1658</v>
      </c>
      <c r="O869" s="1" t="s">
        <v>1658</v>
      </c>
      <c r="P869" s="1">
        <v>1</v>
      </c>
      <c r="Q869" s="1" t="s">
        <v>1658</v>
      </c>
      <c r="R869" s="1">
        <v>0</v>
      </c>
      <c r="S869" s="1" t="s">
        <v>5578</v>
      </c>
      <c r="T869" s="6" t="s">
        <v>5578</v>
      </c>
      <c r="U869" s="1" t="str">
        <f t="shared" si="13"/>
        <v>Yes</v>
      </c>
      <c r="W869" s="1" t="s">
        <v>5579</v>
      </c>
      <c r="X869" s="1" t="str">
        <f>IF(COUNTIF('MyWells Drilling Comp'!F:F,E869)=0,"Missing","Exist")</f>
        <v>Exist</v>
      </c>
    </row>
    <row r="870" hidden="1" spans="1:24">
      <c r="A870" s="1" t="s">
        <v>5265</v>
      </c>
      <c r="B870" s="1" t="s">
        <v>90</v>
      </c>
      <c r="C870" s="1" t="s">
        <v>5580</v>
      </c>
      <c r="D870" s="1" t="s">
        <v>5581</v>
      </c>
      <c r="E870" s="2" t="s">
        <v>1504</v>
      </c>
      <c r="F870" s="2" t="s">
        <v>5582</v>
      </c>
      <c r="G870" s="1">
        <v>1</v>
      </c>
      <c r="H870" s="1" t="s">
        <v>1656</v>
      </c>
      <c r="I870" s="1" t="s">
        <v>1657</v>
      </c>
      <c r="J870" s="1" t="s">
        <v>1658</v>
      </c>
      <c r="K870" s="1" t="s">
        <v>1658</v>
      </c>
      <c r="L870" s="1" t="s">
        <v>1658</v>
      </c>
      <c r="M870" s="1" t="s">
        <v>1658</v>
      </c>
      <c r="N870" s="1" t="s">
        <v>1658</v>
      </c>
      <c r="O870" s="1" t="s">
        <v>1658</v>
      </c>
      <c r="P870" s="1">
        <v>1</v>
      </c>
      <c r="Q870" s="1" t="s">
        <v>1658</v>
      </c>
      <c r="R870" s="1">
        <v>0</v>
      </c>
      <c r="S870" s="1" t="s">
        <v>5583</v>
      </c>
      <c r="T870" s="6" t="s">
        <v>5583</v>
      </c>
      <c r="U870" s="1" t="str">
        <f t="shared" si="13"/>
        <v>Yes</v>
      </c>
      <c r="W870" s="1" t="s">
        <v>5584</v>
      </c>
      <c r="X870" s="1" t="str">
        <f>IF(COUNTIF('MyWells Drilling Comp'!F:F,E870)=0,"Missing","Exist")</f>
        <v>Exist</v>
      </c>
    </row>
    <row r="871" hidden="1" spans="1:24">
      <c r="A871" s="1" t="s">
        <v>5265</v>
      </c>
      <c r="B871" s="1" t="s">
        <v>90</v>
      </c>
      <c r="C871" s="1" t="s">
        <v>5585</v>
      </c>
      <c r="D871" s="1" t="s">
        <v>5581</v>
      </c>
      <c r="E871" s="2" t="s">
        <v>1504</v>
      </c>
      <c r="F871" s="2" t="s">
        <v>5586</v>
      </c>
      <c r="G871" s="1">
        <v>1</v>
      </c>
      <c r="H871" s="1" t="s">
        <v>1663</v>
      </c>
      <c r="I871" s="1" t="s">
        <v>1657</v>
      </c>
      <c r="J871" s="1" t="s">
        <v>1658</v>
      </c>
      <c r="K871" s="1" t="s">
        <v>1658</v>
      </c>
      <c r="L871" s="1" t="s">
        <v>1658</v>
      </c>
      <c r="M871" s="1" t="s">
        <v>1658</v>
      </c>
      <c r="N871" s="1" t="s">
        <v>1658</v>
      </c>
      <c r="O871" s="1" t="s">
        <v>1658</v>
      </c>
      <c r="P871" s="1">
        <v>1</v>
      </c>
      <c r="Q871" s="1" t="s">
        <v>1658</v>
      </c>
      <c r="R871" s="1">
        <v>0</v>
      </c>
      <c r="S871" s="1" t="s">
        <v>5587</v>
      </c>
      <c r="T871" s="6" t="s">
        <v>5587</v>
      </c>
      <c r="U871" s="1" t="str">
        <f t="shared" si="13"/>
        <v>Yes</v>
      </c>
      <c r="W871" s="1" t="s">
        <v>5588</v>
      </c>
      <c r="X871" s="1" t="str">
        <f>IF(COUNTIF('MyWells Drilling Comp'!F:F,E871)=0,"Missing","Exist")</f>
        <v>Exist</v>
      </c>
    </row>
    <row r="872" hidden="1" spans="1:24">
      <c r="A872" s="1" t="s">
        <v>5265</v>
      </c>
      <c r="B872" s="1" t="s">
        <v>90</v>
      </c>
      <c r="C872" s="1" t="s">
        <v>5589</v>
      </c>
      <c r="D872" s="1" t="s">
        <v>5590</v>
      </c>
      <c r="E872" s="2" t="s">
        <v>1113</v>
      </c>
      <c r="F872" s="2" t="s">
        <v>5591</v>
      </c>
      <c r="G872" s="1">
        <v>1</v>
      </c>
      <c r="H872" s="1" t="s">
        <v>1656</v>
      </c>
      <c r="I872" s="1" t="s">
        <v>1657</v>
      </c>
      <c r="J872" s="1" t="s">
        <v>1658</v>
      </c>
      <c r="K872" s="1" t="s">
        <v>1658</v>
      </c>
      <c r="L872" s="1" t="s">
        <v>1658</v>
      </c>
      <c r="M872" s="1" t="s">
        <v>1658</v>
      </c>
      <c r="N872" s="1" t="s">
        <v>1658</v>
      </c>
      <c r="O872" s="1" t="s">
        <v>1658</v>
      </c>
      <c r="P872" s="1">
        <v>1</v>
      </c>
      <c r="Q872" s="1" t="s">
        <v>1658</v>
      </c>
      <c r="R872" s="1">
        <v>0</v>
      </c>
      <c r="S872" s="1" t="s">
        <v>5592</v>
      </c>
      <c r="T872" s="6" t="s">
        <v>5592</v>
      </c>
      <c r="U872" s="1" t="str">
        <f t="shared" si="13"/>
        <v>Yes</v>
      </c>
      <c r="W872" s="1" t="s">
        <v>5593</v>
      </c>
      <c r="X872" s="1" t="str">
        <f>IF(COUNTIF('MyWells Drilling Comp'!F:F,E872)=0,"Missing","Exist")</f>
        <v>Exist</v>
      </c>
    </row>
    <row r="873" hidden="1" spans="1:24">
      <c r="A873" s="1" t="s">
        <v>5265</v>
      </c>
      <c r="B873" s="1" t="s">
        <v>90</v>
      </c>
      <c r="C873" s="1" t="s">
        <v>5594</v>
      </c>
      <c r="D873" s="1" t="s">
        <v>5590</v>
      </c>
      <c r="E873" s="2" t="s">
        <v>1113</v>
      </c>
      <c r="F873" s="2" t="s">
        <v>5595</v>
      </c>
      <c r="G873" s="1">
        <v>1</v>
      </c>
      <c r="H873" s="1" t="s">
        <v>1663</v>
      </c>
      <c r="I873" s="1" t="s">
        <v>1657</v>
      </c>
      <c r="J873" s="1" t="s">
        <v>1658</v>
      </c>
      <c r="K873" s="1" t="s">
        <v>1658</v>
      </c>
      <c r="L873" s="1" t="s">
        <v>1658</v>
      </c>
      <c r="M873" s="1" t="s">
        <v>1658</v>
      </c>
      <c r="N873" s="1" t="s">
        <v>1658</v>
      </c>
      <c r="O873" s="1" t="s">
        <v>1658</v>
      </c>
      <c r="P873" s="1">
        <v>1</v>
      </c>
      <c r="Q873" s="1" t="s">
        <v>1658</v>
      </c>
      <c r="R873" s="1">
        <v>0</v>
      </c>
      <c r="S873" s="1" t="s">
        <v>5596</v>
      </c>
      <c r="T873" s="6" t="s">
        <v>5596</v>
      </c>
      <c r="U873" s="1" t="str">
        <f t="shared" si="13"/>
        <v>Yes</v>
      </c>
      <c r="W873" s="1" t="s">
        <v>5597</v>
      </c>
      <c r="X873" s="1" t="str">
        <f>IF(COUNTIF('MyWells Drilling Comp'!F:F,E873)=0,"Missing","Exist")</f>
        <v>Exist</v>
      </c>
    </row>
    <row r="874" hidden="1" spans="1:24">
      <c r="A874" s="1" t="s">
        <v>5265</v>
      </c>
      <c r="B874" s="1" t="s">
        <v>90</v>
      </c>
      <c r="C874" s="1" t="s">
        <v>5598</v>
      </c>
      <c r="D874" s="1" t="s">
        <v>5599</v>
      </c>
      <c r="E874" s="2" t="s">
        <v>921</v>
      </c>
      <c r="F874" s="2" t="s">
        <v>5600</v>
      </c>
      <c r="G874" s="1">
        <v>1</v>
      </c>
      <c r="H874" s="1" t="s">
        <v>1656</v>
      </c>
      <c r="I874" s="1" t="s">
        <v>1657</v>
      </c>
      <c r="J874" s="1" t="s">
        <v>1658</v>
      </c>
      <c r="K874" s="1" t="s">
        <v>1658</v>
      </c>
      <c r="L874" s="1" t="s">
        <v>1658</v>
      </c>
      <c r="M874" s="1" t="s">
        <v>1658</v>
      </c>
      <c r="N874" s="1" t="s">
        <v>1658</v>
      </c>
      <c r="O874" s="1" t="s">
        <v>1658</v>
      </c>
      <c r="P874" s="1">
        <v>1</v>
      </c>
      <c r="Q874" s="1" t="s">
        <v>1658</v>
      </c>
      <c r="R874" s="1">
        <v>0</v>
      </c>
      <c r="S874" s="1" t="s">
        <v>5601</v>
      </c>
      <c r="T874" s="6" t="s">
        <v>5601</v>
      </c>
      <c r="U874" s="1" t="str">
        <f t="shared" si="13"/>
        <v>Yes</v>
      </c>
      <c r="W874" s="1" t="s">
        <v>5602</v>
      </c>
      <c r="X874" s="1" t="str">
        <f>IF(COUNTIF('MyWells Drilling Comp'!F:F,E874)=0,"Missing","Exist")</f>
        <v>Exist</v>
      </c>
    </row>
    <row r="875" hidden="1" spans="1:24">
      <c r="A875" s="1" t="s">
        <v>5265</v>
      </c>
      <c r="B875" s="1" t="s">
        <v>90</v>
      </c>
      <c r="C875" s="1" t="s">
        <v>5603</v>
      </c>
      <c r="D875" s="1" t="s">
        <v>5599</v>
      </c>
      <c r="E875" s="2" t="s">
        <v>921</v>
      </c>
      <c r="F875" s="2" t="s">
        <v>5604</v>
      </c>
      <c r="G875" s="1">
        <v>1</v>
      </c>
      <c r="H875" s="1" t="s">
        <v>1663</v>
      </c>
      <c r="I875" s="1" t="s">
        <v>1657</v>
      </c>
      <c r="J875" s="1" t="s">
        <v>1658</v>
      </c>
      <c r="K875" s="1" t="s">
        <v>1658</v>
      </c>
      <c r="L875" s="1" t="s">
        <v>1658</v>
      </c>
      <c r="M875" s="1" t="s">
        <v>1658</v>
      </c>
      <c r="N875" s="1" t="s">
        <v>1658</v>
      </c>
      <c r="O875" s="1" t="s">
        <v>1658</v>
      </c>
      <c r="P875" s="1">
        <v>1</v>
      </c>
      <c r="Q875" s="1" t="s">
        <v>1658</v>
      </c>
      <c r="R875" s="1">
        <v>0</v>
      </c>
      <c r="S875" s="1" t="s">
        <v>5605</v>
      </c>
      <c r="T875" s="6" t="s">
        <v>5605</v>
      </c>
      <c r="U875" s="1" t="str">
        <f t="shared" si="13"/>
        <v>Yes</v>
      </c>
      <c r="W875" s="1" t="s">
        <v>5606</v>
      </c>
      <c r="X875" s="1" t="str">
        <f>IF(COUNTIF('MyWells Drilling Comp'!F:F,E875)=0,"Missing","Exist")</f>
        <v>Exist</v>
      </c>
    </row>
    <row r="876" hidden="1" spans="1:24">
      <c r="A876" s="1" t="s">
        <v>5265</v>
      </c>
      <c r="B876" s="1" t="s">
        <v>90</v>
      </c>
      <c r="C876" s="1" t="s">
        <v>5607</v>
      </c>
      <c r="D876" s="1" t="s">
        <v>5608</v>
      </c>
      <c r="E876" s="2" t="s">
        <v>1620</v>
      </c>
      <c r="F876" s="2" t="s">
        <v>5609</v>
      </c>
      <c r="G876" s="1">
        <v>1</v>
      </c>
      <c r="H876" s="1" t="s">
        <v>1663</v>
      </c>
      <c r="I876" s="1" t="s">
        <v>1657</v>
      </c>
      <c r="J876" s="1" t="s">
        <v>1658</v>
      </c>
      <c r="K876" s="1" t="s">
        <v>1658</v>
      </c>
      <c r="L876" s="1" t="s">
        <v>1658</v>
      </c>
      <c r="M876" s="1" t="s">
        <v>1658</v>
      </c>
      <c r="N876" s="1" t="s">
        <v>1658</v>
      </c>
      <c r="O876" s="1" t="s">
        <v>1658</v>
      </c>
      <c r="P876" s="1">
        <v>1</v>
      </c>
      <c r="Q876" s="1" t="s">
        <v>1658</v>
      </c>
      <c r="R876" s="1">
        <v>0</v>
      </c>
      <c r="S876" s="1" t="s">
        <v>5610</v>
      </c>
      <c r="T876" s="6" t="s">
        <v>5610</v>
      </c>
      <c r="U876" s="1" t="str">
        <f t="shared" si="13"/>
        <v>Yes</v>
      </c>
      <c r="W876" s="1" t="s">
        <v>5611</v>
      </c>
      <c r="X876" s="1" t="str">
        <f>IF(COUNTIF('MyWells Drilling Comp'!F:F,E876)=0,"Missing","Exist")</f>
        <v>Exist</v>
      </c>
    </row>
    <row r="877" hidden="1" spans="1:24">
      <c r="A877" s="1" t="s">
        <v>5265</v>
      </c>
      <c r="B877" s="1" t="s">
        <v>90</v>
      </c>
      <c r="C877" s="1" t="s">
        <v>5612</v>
      </c>
      <c r="D877" s="1" t="s">
        <v>5608</v>
      </c>
      <c r="E877" s="2" t="s">
        <v>1620</v>
      </c>
      <c r="F877" s="2" t="s">
        <v>5613</v>
      </c>
      <c r="G877" s="1">
        <v>1</v>
      </c>
      <c r="H877" s="1" t="s">
        <v>1656</v>
      </c>
      <c r="I877" s="1" t="s">
        <v>1657</v>
      </c>
      <c r="J877" s="1" t="s">
        <v>1658</v>
      </c>
      <c r="K877" s="1" t="s">
        <v>1658</v>
      </c>
      <c r="L877" s="1" t="s">
        <v>1658</v>
      </c>
      <c r="M877" s="1" t="s">
        <v>1658</v>
      </c>
      <c r="N877" s="1" t="s">
        <v>1658</v>
      </c>
      <c r="O877" s="1" t="s">
        <v>1658</v>
      </c>
      <c r="P877" s="1">
        <v>1</v>
      </c>
      <c r="Q877" s="1" t="s">
        <v>1658</v>
      </c>
      <c r="R877" s="1">
        <v>0</v>
      </c>
      <c r="S877" s="1" t="s">
        <v>5614</v>
      </c>
      <c r="T877" s="6" t="s">
        <v>5614</v>
      </c>
      <c r="U877" s="1" t="str">
        <f t="shared" si="13"/>
        <v>Yes</v>
      </c>
      <c r="W877" s="1" t="s">
        <v>5615</v>
      </c>
      <c r="X877" s="1" t="str">
        <f>IF(COUNTIF('MyWells Drilling Comp'!F:F,E877)=0,"Missing","Exist")</f>
        <v>Exist</v>
      </c>
    </row>
    <row r="878" hidden="1" spans="1:24">
      <c r="A878" s="1" t="s">
        <v>5265</v>
      </c>
      <c r="B878" s="1" t="s">
        <v>90</v>
      </c>
      <c r="C878" s="1" t="s">
        <v>5616</v>
      </c>
      <c r="D878" s="1" t="s">
        <v>5617</v>
      </c>
      <c r="E878" s="2" t="s">
        <v>1585</v>
      </c>
      <c r="F878" s="2" t="s">
        <v>5618</v>
      </c>
      <c r="G878" s="1">
        <v>1</v>
      </c>
      <c r="H878" s="1" t="s">
        <v>1663</v>
      </c>
      <c r="I878" s="1" t="s">
        <v>1657</v>
      </c>
      <c r="J878" s="1" t="s">
        <v>1658</v>
      </c>
      <c r="K878" s="1" t="s">
        <v>1658</v>
      </c>
      <c r="L878" s="1" t="s">
        <v>1658</v>
      </c>
      <c r="M878" s="1" t="s">
        <v>1658</v>
      </c>
      <c r="N878" s="1" t="s">
        <v>1658</v>
      </c>
      <c r="O878" s="1" t="s">
        <v>1658</v>
      </c>
      <c r="P878" s="1">
        <v>1</v>
      </c>
      <c r="Q878" s="1" t="s">
        <v>1658</v>
      </c>
      <c r="R878" s="1">
        <v>0</v>
      </c>
      <c r="S878" s="1" t="s">
        <v>5619</v>
      </c>
      <c r="T878" s="6" t="s">
        <v>5619</v>
      </c>
      <c r="U878" s="1" t="str">
        <f t="shared" si="13"/>
        <v>Yes</v>
      </c>
      <c r="W878" s="1" t="s">
        <v>5620</v>
      </c>
      <c r="X878" s="1" t="str">
        <f>IF(COUNTIF('MyWells Drilling Comp'!F:F,E878)=0,"Missing","Exist")</f>
        <v>Exist</v>
      </c>
    </row>
    <row r="879" hidden="1" spans="1:24">
      <c r="A879" s="1" t="s">
        <v>5265</v>
      </c>
      <c r="B879" s="1" t="s">
        <v>90</v>
      </c>
      <c r="C879" s="1" t="s">
        <v>5621</v>
      </c>
      <c r="D879" s="1" t="s">
        <v>5617</v>
      </c>
      <c r="E879" s="2" t="s">
        <v>1585</v>
      </c>
      <c r="F879" s="2" t="s">
        <v>5622</v>
      </c>
      <c r="G879" s="1">
        <v>1</v>
      </c>
      <c r="H879" s="1" t="s">
        <v>1656</v>
      </c>
      <c r="I879" s="1" t="s">
        <v>1657</v>
      </c>
      <c r="J879" s="1" t="s">
        <v>1658</v>
      </c>
      <c r="K879" s="1" t="s">
        <v>1658</v>
      </c>
      <c r="L879" s="1" t="s">
        <v>1658</v>
      </c>
      <c r="M879" s="1" t="s">
        <v>1658</v>
      </c>
      <c r="N879" s="1" t="s">
        <v>1658</v>
      </c>
      <c r="O879" s="1" t="s">
        <v>1658</v>
      </c>
      <c r="P879" s="1">
        <v>1</v>
      </c>
      <c r="Q879" s="1" t="s">
        <v>1658</v>
      </c>
      <c r="R879" s="1">
        <v>0</v>
      </c>
      <c r="S879" s="1" t="s">
        <v>5623</v>
      </c>
      <c r="T879" s="6" t="s">
        <v>5623</v>
      </c>
      <c r="U879" s="1" t="str">
        <f t="shared" si="13"/>
        <v>Yes</v>
      </c>
      <c r="W879" s="1" t="s">
        <v>5624</v>
      </c>
      <c r="X879" s="1" t="str">
        <f>IF(COUNTIF('MyWells Drilling Comp'!F:F,E879)=0,"Missing","Exist")</f>
        <v>Exist</v>
      </c>
    </row>
    <row r="880" hidden="1" spans="1:24">
      <c r="A880" s="1" t="s">
        <v>5265</v>
      </c>
      <c r="B880" s="1" t="s">
        <v>90</v>
      </c>
      <c r="C880" s="1" t="s">
        <v>5625</v>
      </c>
      <c r="D880" s="1" t="s">
        <v>5626</v>
      </c>
      <c r="E880" s="2" t="s">
        <v>846</v>
      </c>
      <c r="F880" s="2" t="s">
        <v>5627</v>
      </c>
      <c r="G880" s="1">
        <v>1</v>
      </c>
      <c r="H880" s="1" t="s">
        <v>1663</v>
      </c>
      <c r="I880" s="1" t="s">
        <v>1657</v>
      </c>
      <c r="J880" s="1" t="s">
        <v>1658</v>
      </c>
      <c r="K880" s="1" t="s">
        <v>1658</v>
      </c>
      <c r="L880" s="1" t="s">
        <v>1658</v>
      </c>
      <c r="M880" s="1" t="s">
        <v>1658</v>
      </c>
      <c r="N880" s="1" t="s">
        <v>1658</v>
      </c>
      <c r="O880" s="1" t="s">
        <v>1658</v>
      </c>
      <c r="P880" s="1">
        <v>1</v>
      </c>
      <c r="Q880" s="1" t="s">
        <v>1658</v>
      </c>
      <c r="R880" s="1">
        <v>0</v>
      </c>
      <c r="S880" s="1" t="s">
        <v>5628</v>
      </c>
      <c r="T880" s="6" t="s">
        <v>5628</v>
      </c>
      <c r="U880" s="1" t="str">
        <f t="shared" si="13"/>
        <v>Yes</v>
      </c>
      <c r="W880" s="1" t="s">
        <v>5629</v>
      </c>
      <c r="X880" s="1" t="str">
        <f>IF(COUNTIF('MyWells Drilling Comp'!F:F,E880)=0,"Missing","Exist")</f>
        <v>Exist</v>
      </c>
    </row>
    <row r="881" hidden="1" spans="1:24">
      <c r="A881" s="1" t="s">
        <v>5265</v>
      </c>
      <c r="B881" s="1" t="s">
        <v>90</v>
      </c>
      <c r="C881" s="1" t="s">
        <v>5630</v>
      </c>
      <c r="D881" s="1" t="s">
        <v>5626</v>
      </c>
      <c r="E881" s="2" t="s">
        <v>846</v>
      </c>
      <c r="F881" s="2" t="s">
        <v>5631</v>
      </c>
      <c r="G881" s="1">
        <v>1</v>
      </c>
      <c r="H881" s="1" t="s">
        <v>1656</v>
      </c>
      <c r="I881" s="1" t="s">
        <v>1657</v>
      </c>
      <c r="J881" s="1" t="s">
        <v>1658</v>
      </c>
      <c r="K881" s="1" t="s">
        <v>1658</v>
      </c>
      <c r="L881" s="1" t="s">
        <v>1658</v>
      </c>
      <c r="M881" s="1" t="s">
        <v>1658</v>
      </c>
      <c r="N881" s="1" t="s">
        <v>1658</v>
      </c>
      <c r="O881" s="1" t="s">
        <v>1658</v>
      </c>
      <c r="P881" s="1">
        <v>1</v>
      </c>
      <c r="Q881" s="1" t="s">
        <v>1658</v>
      </c>
      <c r="R881" s="1">
        <v>0</v>
      </c>
      <c r="S881" s="1" t="s">
        <v>5632</v>
      </c>
      <c r="T881" s="6" t="s">
        <v>5632</v>
      </c>
      <c r="U881" s="1" t="str">
        <f t="shared" si="13"/>
        <v>Yes</v>
      </c>
      <c r="W881" s="1" t="s">
        <v>5633</v>
      </c>
      <c r="X881" s="1" t="str">
        <f>IF(COUNTIF('MyWells Drilling Comp'!F:F,E881)=0,"Missing","Exist")</f>
        <v>Exist</v>
      </c>
    </row>
    <row r="882" hidden="1" spans="1:24">
      <c r="A882" s="1" t="s">
        <v>5265</v>
      </c>
      <c r="B882" s="1" t="s">
        <v>90</v>
      </c>
      <c r="C882" s="1" t="s">
        <v>5634</v>
      </c>
      <c r="D882" s="1" t="s">
        <v>5635</v>
      </c>
      <c r="E882" s="2" t="s">
        <v>1031</v>
      </c>
      <c r="F882" s="2" t="s">
        <v>5636</v>
      </c>
      <c r="G882" s="1">
        <v>1</v>
      </c>
      <c r="H882" s="1" t="s">
        <v>1663</v>
      </c>
      <c r="I882" s="1" t="s">
        <v>1657</v>
      </c>
      <c r="J882" s="1" t="s">
        <v>1658</v>
      </c>
      <c r="K882" s="1" t="s">
        <v>1658</v>
      </c>
      <c r="L882" s="1" t="s">
        <v>1658</v>
      </c>
      <c r="M882" s="1" t="s">
        <v>1658</v>
      </c>
      <c r="N882" s="1" t="s">
        <v>1658</v>
      </c>
      <c r="O882" s="1" t="s">
        <v>1658</v>
      </c>
      <c r="P882" s="1">
        <v>1</v>
      </c>
      <c r="Q882" s="1" t="s">
        <v>1658</v>
      </c>
      <c r="R882" s="1">
        <v>0</v>
      </c>
      <c r="S882" s="1" t="s">
        <v>5637</v>
      </c>
      <c r="T882" s="6" t="s">
        <v>5637</v>
      </c>
      <c r="U882" s="1" t="str">
        <f t="shared" si="13"/>
        <v>Yes</v>
      </c>
      <c r="W882" s="1" t="s">
        <v>5638</v>
      </c>
      <c r="X882" s="1" t="str">
        <f>IF(COUNTIF('MyWells Drilling Comp'!F:F,E882)=0,"Missing","Exist")</f>
        <v>Exist</v>
      </c>
    </row>
    <row r="883" hidden="1" spans="1:24">
      <c r="A883" s="1" t="s">
        <v>5265</v>
      </c>
      <c r="B883" s="1" t="s">
        <v>90</v>
      </c>
      <c r="C883" s="1" t="s">
        <v>5639</v>
      </c>
      <c r="D883" s="1" t="s">
        <v>5635</v>
      </c>
      <c r="E883" s="2" t="s">
        <v>1031</v>
      </c>
      <c r="F883" s="2" t="s">
        <v>5640</v>
      </c>
      <c r="G883" s="1">
        <v>1</v>
      </c>
      <c r="H883" s="1" t="s">
        <v>1656</v>
      </c>
      <c r="I883" s="1" t="s">
        <v>1657</v>
      </c>
      <c r="J883" s="1" t="s">
        <v>1658</v>
      </c>
      <c r="K883" s="1" t="s">
        <v>1658</v>
      </c>
      <c r="L883" s="1" t="s">
        <v>1658</v>
      </c>
      <c r="M883" s="1" t="s">
        <v>1658</v>
      </c>
      <c r="N883" s="1" t="s">
        <v>1658</v>
      </c>
      <c r="O883" s="1" t="s">
        <v>1658</v>
      </c>
      <c r="P883" s="1">
        <v>1</v>
      </c>
      <c r="Q883" s="1" t="s">
        <v>1658</v>
      </c>
      <c r="R883" s="1">
        <v>0</v>
      </c>
      <c r="S883" s="1" t="s">
        <v>5641</v>
      </c>
      <c r="T883" s="6" t="s">
        <v>5641</v>
      </c>
      <c r="U883" s="1" t="str">
        <f t="shared" si="13"/>
        <v>Yes</v>
      </c>
      <c r="W883" s="1" t="s">
        <v>5642</v>
      </c>
      <c r="X883" s="1" t="str">
        <f>IF(COUNTIF('MyWells Drilling Comp'!F:F,E883)=0,"Missing","Exist")</f>
        <v>Exist</v>
      </c>
    </row>
    <row r="884" hidden="1" spans="1:24">
      <c r="A884" s="1" t="s">
        <v>5265</v>
      </c>
      <c r="B884" s="1" t="s">
        <v>90</v>
      </c>
      <c r="C884" s="1" t="s">
        <v>5643</v>
      </c>
      <c r="D884" s="1" t="s">
        <v>5644</v>
      </c>
      <c r="E884" s="2" t="s">
        <v>701</v>
      </c>
      <c r="F884" s="2" t="s">
        <v>5645</v>
      </c>
      <c r="G884" s="1">
        <v>1</v>
      </c>
      <c r="H884" s="1" t="s">
        <v>1663</v>
      </c>
      <c r="I884" s="1" t="s">
        <v>1657</v>
      </c>
      <c r="J884" s="1" t="s">
        <v>1658</v>
      </c>
      <c r="K884" s="1" t="s">
        <v>1658</v>
      </c>
      <c r="L884" s="1" t="s">
        <v>1658</v>
      </c>
      <c r="M884" s="1" t="s">
        <v>1658</v>
      </c>
      <c r="N884" s="1" t="s">
        <v>1658</v>
      </c>
      <c r="O884" s="1" t="s">
        <v>1658</v>
      </c>
      <c r="P884" s="1">
        <v>1</v>
      </c>
      <c r="Q884" s="1" t="s">
        <v>1658</v>
      </c>
      <c r="R884" s="1">
        <v>0</v>
      </c>
      <c r="S884" s="1" t="s">
        <v>5646</v>
      </c>
      <c r="T884" s="6" t="s">
        <v>5646</v>
      </c>
      <c r="U884" s="1" t="str">
        <f t="shared" si="13"/>
        <v>Yes</v>
      </c>
      <c r="W884" s="1" t="s">
        <v>5647</v>
      </c>
      <c r="X884" s="1" t="str">
        <f>IF(COUNTIF('MyWells Drilling Comp'!F:F,E884)=0,"Missing","Exist")</f>
        <v>Exist</v>
      </c>
    </row>
    <row r="885" hidden="1" spans="1:24">
      <c r="A885" s="1" t="s">
        <v>5265</v>
      </c>
      <c r="B885" s="1" t="s">
        <v>90</v>
      </c>
      <c r="C885" s="1" t="s">
        <v>5648</v>
      </c>
      <c r="D885" s="1" t="s">
        <v>5644</v>
      </c>
      <c r="E885" s="2" t="s">
        <v>701</v>
      </c>
      <c r="F885" s="2" t="s">
        <v>5649</v>
      </c>
      <c r="G885" s="1">
        <v>1</v>
      </c>
      <c r="H885" s="1" t="s">
        <v>1656</v>
      </c>
      <c r="I885" s="1" t="s">
        <v>1657</v>
      </c>
      <c r="J885" s="1" t="s">
        <v>1658</v>
      </c>
      <c r="K885" s="1" t="s">
        <v>1658</v>
      </c>
      <c r="L885" s="1" t="s">
        <v>1658</v>
      </c>
      <c r="M885" s="1" t="s">
        <v>1658</v>
      </c>
      <c r="N885" s="1" t="s">
        <v>1658</v>
      </c>
      <c r="O885" s="1" t="s">
        <v>1658</v>
      </c>
      <c r="P885" s="1">
        <v>1</v>
      </c>
      <c r="Q885" s="1" t="s">
        <v>1658</v>
      </c>
      <c r="R885" s="1">
        <v>0</v>
      </c>
      <c r="S885" s="1" t="s">
        <v>5650</v>
      </c>
      <c r="T885" s="6" t="s">
        <v>5650</v>
      </c>
      <c r="U885" s="1" t="str">
        <f t="shared" si="13"/>
        <v>Yes</v>
      </c>
      <c r="W885" s="1" t="s">
        <v>5651</v>
      </c>
      <c r="X885" s="1" t="str">
        <f>IF(COUNTIF('MyWells Drilling Comp'!F:F,E885)=0,"Missing","Exist")</f>
        <v>Exist</v>
      </c>
    </row>
    <row r="886" spans="1:24">
      <c r="A886" s="1" t="s">
        <v>5265</v>
      </c>
      <c r="B886" s="1" t="s">
        <v>90</v>
      </c>
      <c r="C886" s="1" t="s">
        <v>5652</v>
      </c>
      <c r="D886" s="1" t="s">
        <v>5653</v>
      </c>
      <c r="E886" s="2" t="s">
        <v>5654</v>
      </c>
      <c r="F886" s="2" t="s">
        <v>5655</v>
      </c>
      <c r="G886" s="1">
        <v>1</v>
      </c>
      <c r="H886" s="1" t="s">
        <v>1663</v>
      </c>
      <c r="I886" s="1" t="s">
        <v>1657</v>
      </c>
      <c r="J886" s="1" t="s">
        <v>1658</v>
      </c>
      <c r="K886" s="1" t="s">
        <v>1658</v>
      </c>
      <c r="L886" s="1" t="s">
        <v>1658</v>
      </c>
      <c r="M886" s="1" t="s">
        <v>1658</v>
      </c>
      <c r="N886" s="1" t="s">
        <v>1658</v>
      </c>
      <c r="O886" s="1" t="s">
        <v>1658</v>
      </c>
      <c r="P886" s="1">
        <v>1</v>
      </c>
      <c r="Q886" s="1" t="s">
        <v>1658</v>
      </c>
      <c r="R886" s="1">
        <v>0</v>
      </c>
      <c r="S886" s="1" t="s">
        <v>5656</v>
      </c>
      <c r="T886" s="6" t="s">
        <v>5656</v>
      </c>
      <c r="U886" s="1" t="str">
        <f t="shared" si="13"/>
        <v>Yes</v>
      </c>
      <c r="W886" s="1" t="s">
        <v>5657</v>
      </c>
      <c r="X886" s="1" t="str">
        <f>IF(COUNTIF('MyWells Drilling Comp'!F:F,E886)=0,"Missing","Exist")</f>
        <v>Missing</v>
      </c>
    </row>
    <row r="887" hidden="1" spans="1:24">
      <c r="A887" s="1" t="s">
        <v>5265</v>
      </c>
      <c r="B887" s="1" t="s">
        <v>90</v>
      </c>
      <c r="C887" s="1" t="s">
        <v>5658</v>
      </c>
      <c r="D887" s="1" t="s">
        <v>5653</v>
      </c>
      <c r="E887" s="2" t="s">
        <v>5654</v>
      </c>
      <c r="F887" s="2" t="s">
        <v>5659</v>
      </c>
      <c r="G887" s="1">
        <v>1</v>
      </c>
      <c r="H887" s="1" t="s">
        <v>1656</v>
      </c>
      <c r="I887" s="1" t="s">
        <v>1657</v>
      </c>
      <c r="J887" s="1" t="s">
        <v>1658</v>
      </c>
      <c r="K887" s="1" t="s">
        <v>1658</v>
      </c>
      <c r="L887" s="1" t="s">
        <v>1658</v>
      </c>
      <c r="M887" s="1" t="s">
        <v>1658</v>
      </c>
      <c r="N887" s="1" t="s">
        <v>1658</v>
      </c>
      <c r="O887" s="1" t="s">
        <v>1658</v>
      </c>
      <c r="P887" s="1">
        <v>1</v>
      </c>
      <c r="Q887" s="1" t="s">
        <v>1658</v>
      </c>
      <c r="R887" s="1">
        <v>0</v>
      </c>
      <c r="S887" s="1" t="s">
        <v>5660</v>
      </c>
      <c r="T887" s="6" t="s">
        <v>5660</v>
      </c>
      <c r="U887" s="1" t="str">
        <f t="shared" si="13"/>
        <v>Yes</v>
      </c>
      <c r="W887" s="1" t="s">
        <v>5661</v>
      </c>
      <c r="X887" s="1" t="str">
        <f>IF(COUNTIF('MyWells Drilling Comp'!F:F,E887)=0,"Missing","Exist")</f>
        <v>Missing</v>
      </c>
    </row>
    <row r="888" hidden="1" spans="1:24">
      <c r="A888" s="1" t="s">
        <v>5265</v>
      </c>
      <c r="B888" s="1" t="s">
        <v>90</v>
      </c>
      <c r="C888" s="1" t="s">
        <v>5662</v>
      </c>
      <c r="D888" s="1" t="s">
        <v>5663</v>
      </c>
      <c r="E888" s="2" t="s">
        <v>1201</v>
      </c>
      <c r="F888" s="2" t="s">
        <v>5664</v>
      </c>
      <c r="G888" s="1">
        <v>1</v>
      </c>
      <c r="H888" s="1" t="s">
        <v>1663</v>
      </c>
      <c r="I888" s="1" t="s">
        <v>1657</v>
      </c>
      <c r="J888" s="1" t="s">
        <v>1658</v>
      </c>
      <c r="K888" s="1" t="s">
        <v>1658</v>
      </c>
      <c r="L888" s="1" t="s">
        <v>1658</v>
      </c>
      <c r="M888" s="1" t="s">
        <v>1658</v>
      </c>
      <c r="N888" s="1" t="s">
        <v>1658</v>
      </c>
      <c r="O888" s="1" t="s">
        <v>1658</v>
      </c>
      <c r="P888" s="1">
        <v>1</v>
      </c>
      <c r="Q888" s="1" t="s">
        <v>1658</v>
      </c>
      <c r="R888" s="1">
        <v>0</v>
      </c>
      <c r="S888" s="1" t="s">
        <v>5665</v>
      </c>
      <c r="T888" s="6" t="s">
        <v>5665</v>
      </c>
      <c r="U888" s="1" t="str">
        <f t="shared" si="13"/>
        <v>Yes</v>
      </c>
      <c r="W888" s="1" t="s">
        <v>5666</v>
      </c>
      <c r="X888" s="1" t="str">
        <f>IF(COUNTIF('MyWells Drilling Comp'!F:F,E888)=0,"Missing","Exist")</f>
        <v>Exist</v>
      </c>
    </row>
    <row r="889" hidden="1" spans="1:24">
      <c r="A889" s="1" t="s">
        <v>5265</v>
      </c>
      <c r="B889" s="1" t="s">
        <v>90</v>
      </c>
      <c r="C889" s="1" t="s">
        <v>5667</v>
      </c>
      <c r="D889" s="1" t="s">
        <v>5663</v>
      </c>
      <c r="E889" s="2" t="s">
        <v>1201</v>
      </c>
      <c r="F889" s="2" t="s">
        <v>5668</v>
      </c>
      <c r="G889" s="1">
        <v>1</v>
      </c>
      <c r="H889" s="1" t="s">
        <v>1656</v>
      </c>
      <c r="I889" s="1" t="s">
        <v>1657</v>
      </c>
      <c r="J889" s="1" t="s">
        <v>1658</v>
      </c>
      <c r="K889" s="1" t="s">
        <v>1658</v>
      </c>
      <c r="L889" s="1" t="s">
        <v>1658</v>
      </c>
      <c r="M889" s="1" t="s">
        <v>1658</v>
      </c>
      <c r="N889" s="1" t="s">
        <v>1658</v>
      </c>
      <c r="O889" s="1" t="s">
        <v>1658</v>
      </c>
      <c r="P889" s="1">
        <v>1</v>
      </c>
      <c r="Q889" s="1" t="s">
        <v>1658</v>
      </c>
      <c r="R889" s="1">
        <v>0</v>
      </c>
      <c r="S889" s="1" t="s">
        <v>5669</v>
      </c>
      <c r="T889" s="6" t="s">
        <v>5669</v>
      </c>
      <c r="U889" s="1" t="str">
        <f t="shared" si="13"/>
        <v>Yes</v>
      </c>
      <c r="W889" s="1" t="s">
        <v>5670</v>
      </c>
      <c r="X889" s="1" t="str">
        <f>IF(COUNTIF('MyWells Drilling Comp'!F:F,E889)=0,"Missing","Exist")</f>
        <v>Exist</v>
      </c>
    </row>
    <row r="890" hidden="1" spans="1:24">
      <c r="A890" s="1" t="s">
        <v>5265</v>
      </c>
      <c r="B890" s="1" t="s">
        <v>90</v>
      </c>
      <c r="C890" s="1" t="s">
        <v>5671</v>
      </c>
      <c r="D890" s="1" t="s">
        <v>5672</v>
      </c>
      <c r="E890" s="2" t="s">
        <v>204</v>
      </c>
      <c r="F890" s="2" t="s">
        <v>5673</v>
      </c>
      <c r="G890" s="1">
        <v>1</v>
      </c>
      <c r="H890" s="1" t="s">
        <v>1663</v>
      </c>
      <c r="I890" s="1" t="s">
        <v>1657</v>
      </c>
      <c r="J890" s="1" t="s">
        <v>1658</v>
      </c>
      <c r="K890" s="1" t="s">
        <v>1658</v>
      </c>
      <c r="L890" s="1" t="s">
        <v>1658</v>
      </c>
      <c r="M890" s="1" t="s">
        <v>1658</v>
      </c>
      <c r="N890" s="1" t="s">
        <v>1658</v>
      </c>
      <c r="O890" s="1" t="s">
        <v>1658</v>
      </c>
      <c r="P890" s="1">
        <v>1</v>
      </c>
      <c r="Q890" s="1" t="s">
        <v>1658</v>
      </c>
      <c r="R890" s="1">
        <v>0</v>
      </c>
      <c r="S890" s="1" t="s">
        <v>5674</v>
      </c>
      <c r="T890" s="6" t="s">
        <v>5674</v>
      </c>
      <c r="U890" s="1" t="str">
        <f t="shared" si="13"/>
        <v>Yes</v>
      </c>
      <c r="W890" s="1" t="s">
        <v>5675</v>
      </c>
      <c r="X890" s="1" t="str">
        <f>IF(COUNTIF('MyWells Drilling Comp'!F:F,E890)=0,"Missing","Exist")</f>
        <v>Exist</v>
      </c>
    </row>
    <row r="891" hidden="1" spans="1:24">
      <c r="A891" s="1" t="s">
        <v>5265</v>
      </c>
      <c r="B891" s="1" t="s">
        <v>90</v>
      </c>
      <c r="C891" s="1" t="s">
        <v>5676</v>
      </c>
      <c r="D891" s="1" t="s">
        <v>5672</v>
      </c>
      <c r="E891" s="2" t="s">
        <v>204</v>
      </c>
      <c r="F891" s="2" t="s">
        <v>5677</v>
      </c>
      <c r="G891" s="1">
        <v>1</v>
      </c>
      <c r="H891" s="1" t="s">
        <v>1656</v>
      </c>
      <c r="I891" s="1" t="s">
        <v>1657</v>
      </c>
      <c r="J891" s="1" t="s">
        <v>1658</v>
      </c>
      <c r="K891" s="1" t="s">
        <v>1658</v>
      </c>
      <c r="L891" s="1" t="s">
        <v>1658</v>
      </c>
      <c r="M891" s="1" t="s">
        <v>1658</v>
      </c>
      <c r="N891" s="1" t="s">
        <v>1658</v>
      </c>
      <c r="O891" s="1" t="s">
        <v>1658</v>
      </c>
      <c r="P891" s="1">
        <v>1</v>
      </c>
      <c r="Q891" s="1" t="s">
        <v>1658</v>
      </c>
      <c r="R891" s="1">
        <v>0</v>
      </c>
      <c r="S891" s="1" t="s">
        <v>5678</v>
      </c>
      <c r="T891" s="6" t="s">
        <v>5678</v>
      </c>
      <c r="U891" s="1" t="str">
        <f t="shared" si="13"/>
        <v>Yes</v>
      </c>
      <c r="W891" s="1" t="s">
        <v>5679</v>
      </c>
      <c r="X891" s="1" t="str">
        <f>IF(COUNTIF('MyWells Drilling Comp'!F:F,E891)=0,"Missing","Exist")</f>
        <v>Exist</v>
      </c>
    </row>
    <row r="892" hidden="1" spans="1:24">
      <c r="A892" s="1" t="s">
        <v>5265</v>
      </c>
      <c r="B892" s="1" t="s">
        <v>90</v>
      </c>
      <c r="C892" s="1" t="s">
        <v>5680</v>
      </c>
      <c r="D892" s="1" t="s">
        <v>5681</v>
      </c>
      <c r="E892" s="2" t="s">
        <v>861</v>
      </c>
      <c r="F892" s="2" t="s">
        <v>5682</v>
      </c>
      <c r="G892" s="1">
        <v>1</v>
      </c>
      <c r="H892" s="1" t="s">
        <v>1663</v>
      </c>
      <c r="I892" s="1" t="s">
        <v>1657</v>
      </c>
      <c r="J892" s="1" t="s">
        <v>1658</v>
      </c>
      <c r="K892" s="1" t="s">
        <v>1658</v>
      </c>
      <c r="L892" s="1" t="s">
        <v>1658</v>
      </c>
      <c r="M892" s="1" t="s">
        <v>1658</v>
      </c>
      <c r="N892" s="1" t="s">
        <v>1658</v>
      </c>
      <c r="O892" s="1" t="s">
        <v>1658</v>
      </c>
      <c r="P892" s="1">
        <v>1</v>
      </c>
      <c r="Q892" s="1" t="s">
        <v>1658</v>
      </c>
      <c r="R892" s="1">
        <v>0</v>
      </c>
      <c r="S892" s="1" t="s">
        <v>5683</v>
      </c>
      <c r="T892" s="6" t="s">
        <v>5683</v>
      </c>
      <c r="U892" s="1" t="str">
        <f t="shared" si="13"/>
        <v>Yes</v>
      </c>
      <c r="W892" s="1" t="s">
        <v>5684</v>
      </c>
      <c r="X892" s="1" t="str">
        <f>IF(COUNTIF('MyWells Drilling Comp'!F:F,E892)=0,"Missing","Exist")</f>
        <v>Exist</v>
      </c>
    </row>
    <row r="893" hidden="1" spans="1:24">
      <c r="A893" s="1" t="s">
        <v>5265</v>
      </c>
      <c r="B893" s="1" t="s">
        <v>90</v>
      </c>
      <c r="C893" s="1" t="s">
        <v>5685</v>
      </c>
      <c r="D893" s="1" t="s">
        <v>5681</v>
      </c>
      <c r="E893" s="2" t="s">
        <v>861</v>
      </c>
      <c r="F893" s="2" t="s">
        <v>5686</v>
      </c>
      <c r="G893" s="1">
        <v>1</v>
      </c>
      <c r="H893" s="1" t="s">
        <v>1656</v>
      </c>
      <c r="I893" s="1" t="s">
        <v>1657</v>
      </c>
      <c r="J893" s="1" t="s">
        <v>1658</v>
      </c>
      <c r="K893" s="1" t="s">
        <v>1658</v>
      </c>
      <c r="L893" s="1" t="s">
        <v>1658</v>
      </c>
      <c r="M893" s="1" t="s">
        <v>1658</v>
      </c>
      <c r="N893" s="1" t="s">
        <v>1658</v>
      </c>
      <c r="O893" s="1" t="s">
        <v>1658</v>
      </c>
      <c r="P893" s="1">
        <v>1</v>
      </c>
      <c r="Q893" s="1" t="s">
        <v>1658</v>
      </c>
      <c r="R893" s="1">
        <v>0</v>
      </c>
      <c r="S893" s="1" t="s">
        <v>5687</v>
      </c>
      <c r="T893" s="6" t="s">
        <v>5687</v>
      </c>
      <c r="U893" s="1" t="str">
        <f t="shared" si="13"/>
        <v>Yes</v>
      </c>
      <c r="W893" s="1" t="s">
        <v>5688</v>
      </c>
      <c r="X893" s="1" t="str">
        <f>IF(COUNTIF('MyWells Drilling Comp'!F:F,E893)=0,"Missing","Exist")</f>
        <v>Exist</v>
      </c>
    </row>
    <row r="894" hidden="1" spans="1:24">
      <c r="A894" s="1" t="s">
        <v>5265</v>
      </c>
      <c r="B894" s="1" t="s">
        <v>90</v>
      </c>
      <c r="C894" s="1" t="s">
        <v>5689</v>
      </c>
      <c r="D894" s="1" t="s">
        <v>5690</v>
      </c>
      <c r="E894" s="2" t="s">
        <v>798</v>
      </c>
      <c r="F894" s="2" t="s">
        <v>5691</v>
      </c>
      <c r="G894" s="1">
        <v>1</v>
      </c>
      <c r="H894" s="1" t="s">
        <v>1656</v>
      </c>
      <c r="I894" s="1" t="s">
        <v>1657</v>
      </c>
      <c r="J894" s="1" t="s">
        <v>1658</v>
      </c>
      <c r="K894" s="1" t="s">
        <v>1658</v>
      </c>
      <c r="L894" s="1" t="s">
        <v>1658</v>
      </c>
      <c r="M894" s="1" t="s">
        <v>1658</v>
      </c>
      <c r="N894" s="1" t="s">
        <v>1658</v>
      </c>
      <c r="O894" s="1" t="s">
        <v>1658</v>
      </c>
      <c r="P894" s="1">
        <v>1</v>
      </c>
      <c r="Q894" s="1" t="s">
        <v>1658</v>
      </c>
      <c r="R894" s="1">
        <v>0</v>
      </c>
      <c r="S894" s="1" t="s">
        <v>5692</v>
      </c>
      <c r="T894" s="6" t="s">
        <v>5692</v>
      </c>
      <c r="U894" s="1" t="str">
        <f t="shared" si="13"/>
        <v>Yes</v>
      </c>
      <c r="W894" s="1" t="s">
        <v>5693</v>
      </c>
      <c r="X894" s="1" t="str">
        <f>IF(COUNTIF('MyWells Drilling Comp'!F:F,E894)=0,"Missing","Exist")</f>
        <v>Exist</v>
      </c>
    </row>
    <row r="895" hidden="1" spans="1:24">
      <c r="A895" s="1" t="s">
        <v>5265</v>
      </c>
      <c r="B895" s="1" t="s">
        <v>90</v>
      </c>
      <c r="C895" s="1" t="s">
        <v>5694</v>
      </c>
      <c r="D895" s="1" t="s">
        <v>5690</v>
      </c>
      <c r="E895" s="2" t="s">
        <v>798</v>
      </c>
      <c r="F895" s="2" t="s">
        <v>5695</v>
      </c>
      <c r="G895" s="1">
        <v>1</v>
      </c>
      <c r="H895" s="1" t="s">
        <v>1663</v>
      </c>
      <c r="I895" s="1" t="s">
        <v>1657</v>
      </c>
      <c r="J895" s="1" t="s">
        <v>1658</v>
      </c>
      <c r="K895" s="1" t="s">
        <v>1658</v>
      </c>
      <c r="L895" s="1" t="s">
        <v>1658</v>
      </c>
      <c r="M895" s="1" t="s">
        <v>1658</v>
      </c>
      <c r="N895" s="1" t="s">
        <v>1658</v>
      </c>
      <c r="O895" s="1" t="s">
        <v>1658</v>
      </c>
      <c r="P895" s="1">
        <v>1</v>
      </c>
      <c r="Q895" s="1" t="s">
        <v>1658</v>
      </c>
      <c r="R895" s="1">
        <v>0</v>
      </c>
      <c r="S895" s="1" t="s">
        <v>5696</v>
      </c>
      <c r="T895" s="6" t="s">
        <v>5696</v>
      </c>
      <c r="U895" s="1" t="str">
        <f t="shared" si="13"/>
        <v>Yes</v>
      </c>
      <c r="W895" s="1" t="s">
        <v>5697</v>
      </c>
      <c r="X895" s="1" t="str">
        <f>IF(COUNTIF('MyWells Drilling Comp'!F:F,E895)=0,"Missing","Exist")</f>
        <v>Exist</v>
      </c>
    </row>
    <row r="896" hidden="1" spans="1:24">
      <c r="A896" s="1" t="s">
        <v>5265</v>
      </c>
      <c r="B896" s="1" t="s">
        <v>90</v>
      </c>
      <c r="C896" s="1" t="s">
        <v>5698</v>
      </c>
      <c r="D896" s="1" t="s">
        <v>5699</v>
      </c>
      <c r="E896" s="2" t="s">
        <v>705</v>
      </c>
      <c r="F896" s="2" t="s">
        <v>5700</v>
      </c>
      <c r="G896" s="1">
        <v>1</v>
      </c>
      <c r="H896" s="1" t="s">
        <v>1663</v>
      </c>
      <c r="I896" s="1" t="s">
        <v>1657</v>
      </c>
      <c r="J896" s="1" t="s">
        <v>1658</v>
      </c>
      <c r="K896" s="1" t="s">
        <v>1658</v>
      </c>
      <c r="L896" s="1" t="s">
        <v>1658</v>
      </c>
      <c r="M896" s="1" t="s">
        <v>1658</v>
      </c>
      <c r="N896" s="1" t="s">
        <v>1658</v>
      </c>
      <c r="O896" s="1" t="s">
        <v>1658</v>
      </c>
      <c r="P896" s="1">
        <v>1</v>
      </c>
      <c r="Q896" s="1" t="s">
        <v>1658</v>
      </c>
      <c r="R896" s="1">
        <v>0</v>
      </c>
      <c r="S896" s="1" t="s">
        <v>5701</v>
      </c>
      <c r="T896" s="6"/>
      <c r="U896" s="1" t="str">
        <f t="shared" si="13"/>
        <v>No</v>
      </c>
      <c r="W896" s="1" t="s">
        <v>5702</v>
      </c>
      <c r="X896" s="1" t="str">
        <f>IF(COUNTIF('MyWells Drilling Comp'!F:F,E896)=0,"Missing","Exist")</f>
        <v>Exist</v>
      </c>
    </row>
    <row r="897" hidden="1" spans="1:24">
      <c r="A897" s="1" t="s">
        <v>5265</v>
      </c>
      <c r="B897" s="1" t="s">
        <v>90</v>
      </c>
      <c r="C897" s="1" t="s">
        <v>5703</v>
      </c>
      <c r="D897" s="1" t="s">
        <v>5699</v>
      </c>
      <c r="E897" s="2" t="s">
        <v>705</v>
      </c>
      <c r="F897" s="2" t="s">
        <v>5704</v>
      </c>
      <c r="G897" s="1">
        <v>1</v>
      </c>
      <c r="H897" s="1" t="s">
        <v>1656</v>
      </c>
      <c r="I897" s="1" t="s">
        <v>1657</v>
      </c>
      <c r="J897" s="1" t="s">
        <v>1658</v>
      </c>
      <c r="K897" s="1" t="s">
        <v>1658</v>
      </c>
      <c r="L897" s="1" t="s">
        <v>1658</v>
      </c>
      <c r="M897" s="1" t="s">
        <v>1658</v>
      </c>
      <c r="N897" s="1" t="s">
        <v>1658</v>
      </c>
      <c r="O897" s="1" t="s">
        <v>1658</v>
      </c>
      <c r="P897" s="1">
        <v>1</v>
      </c>
      <c r="Q897" s="1" t="s">
        <v>1658</v>
      </c>
      <c r="R897" s="1">
        <v>0</v>
      </c>
      <c r="S897" s="1" t="s">
        <v>5705</v>
      </c>
      <c r="T897" s="6" t="s">
        <v>5706</v>
      </c>
      <c r="U897" s="1" t="str">
        <f t="shared" si="13"/>
        <v>No</v>
      </c>
      <c r="W897" s="1" t="s">
        <v>5707</v>
      </c>
      <c r="X897" s="1" t="str">
        <f>IF(COUNTIF('MyWells Drilling Comp'!F:F,E897)=0,"Missing","Exist")</f>
        <v>Exist</v>
      </c>
    </row>
    <row r="898" hidden="1" spans="1:24">
      <c r="A898" s="1" t="s">
        <v>5265</v>
      </c>
      <c r="B898" s="1" t="s">
        <v>90</v>
      </c>
      <c r="C898" s="1" t="s">
        <v>5708</v>
      </c>
      <c r="D898" s="1" t="s">
        <v>5709</v>
      </c>
      <c r="E898" s="2" t="s">
        <v>1584</v>
      </c>
      <c r="F898" s="2" t="s">
        <v>5710</v>
      </c>
      <c r="G898" s="1">
        <v>1</v>
      </c>
      <c r="H898" s="1" t="s">
        <v>1663</v>
      </c>
      <c r="I898" s="1" t="s">
        <v>1657</v>
      </c>
      <c r="J898" s="1" t="s">
        <v>1658</v>
      </c>
      <c r="K898" s="1" t="s">
        <v>1658</v>
      </c>
      <c r="L898" s="1" t="s">
        <v>1658</v>
      </c>
      <c r="M898" s="1" t="s">
        <v>1658</v>
      </c>
      <c r="N898" s="1" t="s">
        <v>1658</v>
      </c>
      <c r="O898" s="1" t="s">
        <v>1658</v>
      </c>
      <c r="P898" s="1">
        <v>1</v>
      </c>
      <c r="Q898" s="1" t="s">
        <v>1658</v>
      </c>
      <c r="R898" s="1">
        <v>0</v>
      </c>
      <c r="S898" s="1" t="s">
        <v>5711</v>
      </c>
      <c r="T898" s="6" t="s">
        <v>5711</v>
      </c>
      <c r="U898" s="1" t="str">
        <f t="shared" ref="U898:U961" si="14">IF(S898=T898,"Yes","No")</f>
        <v>Yes</v>
      </c>
      <c r="W898" s="1" t="s">
        <v>5712</v>
      </c>
      <c r="X898" s="1" t="str">
        <f>IF(COUNTIF('MyWells Drilling Comp'!F:F,E898)=0,"Missing","Exist")</f>
        <v>Exist</v>
      </c>
    </row>
    <row r="899" hidden="1" spans="1:24">
      <c r="A899" s="1" t="s">
        <v>5265</v>
      </c>
      <c r="B899" s="1" t="s">
        <v>90</v>
      </c>
      <c r="C899" s="1" t="s">
        <v>5713</v>
      </c>
      <c r="D899" s="1" t="s">
        <v>5709</v>
      </c>
      <c r="E899" s="2" t="s">
        <v>1584</v>
      </c>
      <c r="F899" s="2" t="s">
        <v>5714</v>
      </c>
      <c r="G899" s="1">
        <v>1</v>
      </c>
      <c r="H899" s="1" t="s">
        <v>1656</v>
      </c>
      <c r="I899" s="1" t="s">
        <v>1657</v>
      </c>
      <c r="J899" s="1" t="s">
        <v>1658</v>
      </c>
      <c r="K899" s="1" t="s">
        <v>1658</v>
      </c>
      <c r="L899" s="1" t="s">
        <v>1658</v>
      </c>
      <c r="M899" s="1" t="s">
        <v>1658</v>
      </c>
      <c r="N899" s="1" t="s">
        <v>1658</v>
      </c>
      <c r="O899" s="1" t="s">
        <v>1658</v>
      </c>
      <c r="P899" s="1">
        <v>1</v>
      </c>
      <c r="Q899" s="1" t="s">
        <v>1658</v>
      </c>
      <c r="R899" s="1">
        <v>0</v>
      </c>
      <c r="S899" s="1" t="s">
        <v>5715</v>
      </c>
      <c r="T899" s="6" t="s">
        <v>5715</v>
      </c>
      <c r="U899" s="1" t="str">
        <f t="shared" si="14"/>
        <v>Yes</v>
      </c>
      <c r="W899" s="1" t="s">
        <v>5716</v>
      </c>
      <c r="X899" s="1" t="str">
        <f>IF(COUNTIF('MyWells Drilling Comp'!F:F,E899)=0,"Missing","Exist")</f>
        <v>Exist</v>
      </c>
    </row>
    <row r="900" hidden="1" spans="1:24">
      <c r="A900" s="1" t="s">
        <v>5265</v>
      </c>
      <c r="B900" s="1" t="s">
        <v>90</v>
      </c>
      <c r="C900" s="1" t="s">
        <v>5717</v>
      </c>
      <c r="D900" s="1" t="s">
        <v>5718</v>
      </c>
      <c r="E900" s="2" t="s">
        <v>900</v>
      </c>
      <c r="F900" s="2" t="s">
        <v>5719</v>
      </c>
      <c r="G900" s="1">
        <v>1</v>
      </c>
      <c r="H900" s="1" t="s">
        <v>1656</v>
      </c>
      <c r="I900" s="1" t="s">
        <v>1657</v>
      </c>
      <c r="J900" s="1" t="s">
        <v>1658</v>
      </c>
      <c r="K900" s="1" t="s">
        <v>1658</v>
      </c>
      <c r="L900" s="1" t="s">
        <v>1658</v>
      </c>
      <c r="M900" s="1" t="s">
        <v>1658</v>
      </c>
      <c r="N900" s="1" t="s">
        <v>1658</v>
      </c>
      <c r="O900" s="1" t="s">
        <v>1658</v>
      </c>
      <c r="P900" s="1">
        <v>1</v>
      </c>
      <c r="Q900" s="1" t="s">
        <v>1658</v>
      </c>
      <c r="R900" s="1">
        <v>0</v>
      </c>
      <c r="S900" s="1" t="s">
        <v>5720</v>
      </c>
      <c r="T900" s="6" t="s">
        <v>5720</v>
      </c>
      <c r="U900" s="1" t="str">
        <f t="shared" si="14"/>
        <v>Yes</v>
      </c>
      <c r="W900" s="1" t="s">
        <v>5721</v>
      </c>
      <c r="X900" s="1" t="str">
        <f>IF(COUNTIF('MyWells Drilling Comp'!F:F,E900)=0,"Missing","Exist")</f>
        <v>Exist</v>
      </c>
    </row>
    <row r="901" hidden="1" spans="1:24">
      <c r="A901" s="1" t="s">
        <v>5265</v>
      </c>
      <c r="B901" s="1" t="s">
        <v>90</v>
      </c>
      <c r="C901" s="1" t="s">
        <v>5722</v>
      </c>
      <c r="D901" s="1" t="s">
        <v>5718</v>
      </c>
      <c r="E901" s="2" t="s">
        <v>900</v>
      </c>
      <c r="F901" s="2" t="s">
        <v>5723</v>
      </c>
      <c r="G901" s="1">
        <v>1</v>
      </c>
      <c r="H901" s="1" t="s">
        <v>1663</v>
      </c>
      <c r="I901" s="1" t="s">
        <v>1657</v>
      </c>
      <c r="J901" s="1" t="s">
        <v>1658</v>
      </c>
      <c r="K901" s="1" t="s">
        <v>1658</v>
      </c>
      <c r="L901" s="1" t="s">
        <v>1658</v>
      </c>
      <c r="M901" s="1" t="s">
        <v>1658</v>
      </c>
      <c r="N901" s="1" t="s">
        <v>1658</v>
      </c>
      <c r="O901" s="1" t="s">
        <v>1658</v>
      </c>
      <c r="P901" s="1">
        <v>1</v>
      </c>
      <c r="Q901" s="1" t="s">
        <v>1658</v>
      </c>
      <c r="R901" s="1">
        <v>0</v>
      </c>
      <c r="S901" s="1" t="s">
        <v>5724</v>
      </c>
      <c r="T901" s="6" t="s">
        <v>5724</v>
      </c>
      <c r="U901" s="1" t="str">
        <f t="shared" si="14"/>
        <v>Yes</v>
      </c>
      <c r="W901" s="1" t="s">
        <v>5725</v>
      </c>
      <c r="X901" s="1" t="str">
        <f>IF(COUNTIF('MyWells Drilling Comp'!F:F,E901)=0,"Missing","Exist")</f>
        <v>Exist</v>
      </c>
    </row>
    <row r="902" hidden="1" spans="1:24">
      <c r="A902" s="1" t="s">
        <v>5265</v>
      </c>
      <c r="B902" s="1" t="s">
        <v>90</v>
      </c>
      <c r="C902" s="1" t="s">
        <v>5726</v>
      </c>
      <c r="D902" s="1" t="s">
        <v>5727</v>
      </c>
      <c r="E902" s="2" t="s">
        <v>752</v>
      </c>
      <c r="F902" s="2" t="s">
        <v>5728</v>
      </c>
      <c r="G902" s="1">
        <v>1</v>
      </c>
      <c r="H902" s="1" t="s">
        <v>1663</v>
      </c>
      <c r="I902" s="1" t="s">
        <v>1657</v>
      </c>
      <c r="J902" s="1" t="s">
        <v>1658</v>
      </c>
      <c r="K902" s="1" t="s">
        <v>1658</v>
      </c>
      <c r="L902" s="1" t="s">
        <v>1658</v>
      </c>
      <c r="M902" s="1" t="s">
        <v>1658</v>
      </c>
      <c r="N902" s="1" t="s">
        <v>1658</v>
      </c>
      <c r="O902" s="1" t="s">
        <v>1658</v>
      </c>
      <c r="P902" s="1">
        <v>1</v>
      </c>
      <c r="Q902" s="1" t="s">
        <v>1658</v>
      </c>
      <c r="R902" s="1">
        <v>0</v>
      </c>
      <c r="S902" s="1" t="s">
        <v>5729</v>
      </c>
      <c r="T902" s="6" t="s">
        <v>5729</v>
      </c>
      <c r="U902" s="1" t="str">
        <f t="shared" si="14"/>
        <v>Yes</v>
      </c>
      <c r="W902" s="1" t="s">
        <v>5730</v>
      </c>
      <c r="X902" s="1" t="str">
        <f>IF(COUNTIF('MyWells Drilling Comp'!F:F,E902)=0,"Missing","Exist")</f>
        <v>Exist</v>
      </c>
    </row>
    <row r="903" hidden="1" spans="1:24">
      <c r="A903" s="1" t="s">
        <v>5265</v>
      </c>
      <c r="B903" s="1" t="s">
        <v>90</v>
      </c>
      <c r="C903" s="1" t="s">
        <v>5731</v>
      </c>
      <c r="D903" s="1" t="s">
        <v>5727</v>
      </c>
      <c r="E903" s="2" t="s">
        <v>752</v>
      </c>
      <c r="F903" s="2" t="s">
        <v>5732</v>
      </c>
      <c r="G903" s="1">
        <v>1</v>
      </c>
      <c r="H903" s="1" t="s">
        <v>1656</v>
      </c>
      <c r="I903" s="1" t="s">
        <v>1657</v>
      </c>
      <c r="J903" s="1" t="s">
        <v>1658</v>
      </c>
      <c r="K903" s="1" t="s">
        <v>1658</v>
      </c>
      <c r="L903" s="1" t="s">
        <v>1658</v>
      </c>
      <c r="M903" s="1" t="s">
        <v>1658</v>
      </c>
      <c r="N903" s="1" t="s">
        <v>1658</v>
      </c>
      <c r="O903" s="1" t="s">
        <v>1658</v>
      </c>
      <c r="P903" s="1">
        <v>1</v>
      </c>
      <c r="Q903" s="1" t="s">
        <v>1658</v>
      </c>
      <c r="R903" s="1">
        <v>0</v>
      </c>
      <c r="S903" s="1" t="s">
        <v>5733</v>
      </c>
      <c r="T903" s="6" t="s">
        <v>5733</v>
      </c>
      <c r="U903" s="1" t="str">
        <f t="shared" si="14"/>
        <v>Yes</v>
      </c>
      <c r="W903" s="1" t="s">
        <v>5734</v>
      </c>
      <c r="X903" s="1" t="str">
        <f>IF(COUNTIF('MyWells Drilling Comp'!F:F,E903)=0,"Missing","Exist")</f>
        <v>Exist</v>
      </c>
    </row>
    <row r="904" hidden="1" spans="1:24">
      <c r="A904" s="1" t="s">
        <v>5265</v>
      </c>
      <c r="B904" s="1" t="s">
        <v>90</v>
      </c>
      <c r="C904" s="1" t="s">
        <v>5735</v>
      </c>
      <c r="D904" s="1" t="s">
        <v>5736</v>
      </c>
      <c r="E904" s="2" t="s">
        <v>1381</v>
      </c>
      <c r="F904" s="2" t="s">
        <v>5737</v>
      </c>
      <c r="G904" s="1">
        <v>1</v>
      </c>
      <c r="H904" s="1" t="s">
        <v>1656</v>
      </c>
      <c r="I904" s="1" t="s">
        <v>1657</v>
      </c>
      <c r="J904" s="1" t="s">
        <v>1658</v>
      </c>
      <c r="K904" s="1" t="s">
        <v>1658</v>
      </c>
      <c r="L904" s="1" t="s">
        <v>1658</v>
      </c>
      <c r="M904" s="1" t="s">
        <v>1658</v>
      </c>
      <c r="N904" s="1" t="s">
        <v>1658</v>
      </c>
      <c r="O904" s="1" t="s">
        <v>1658</v>
      </c>
      <c r="P904" s="1">
        <v>1</v>
      </c>
      <c r="Q904" s="1" t="s">
        <v>1658</v>
      </c>
      <c r="R904" s="1">
        <v>0</v>
      </c>
      <c r="S904" s="1" t="s">
        <v>2742</v>
      </c>
      <c r="T904" s="6" t="s">
        <v>2742</v>
      </c>
      <c r="U904" s="1" t="str">
        <f t="shared" si="14"/>
        <v>Yes</v>
      </c>
      <c r="W904" s="1" t="s">
        <v>5738</v>
      </c>
      <c r="X904" s="1" t="str">
        <f>IF(COUNTIF('MyWells Drilling Comp'!F:F,E904)=0,"Missing","Exist")</f>
        <v>Exist</v>
      </c>
    </row>
    <row r="905" hidden="1" spans="1:24">
      <c r="A905" s="1" t="s">
        <v>5265</v>
      </c>
      <c r="B905" s="1" t="s">
        <v>90</v>
      </c>
      <c r="C905" s="1" t="s">
        <v>5739</v>
      </c>
      <c r="D905" s="1" t="s">
        <v>5736</v>
      </c>
      <c r="E905" s="2" t="s">
        <v>1381</v>
      </c>
      <c r="F905" s="2" t="s">
        <v>5740</v>
      </c>
      <c r="G905" s="1">
        <v>1</v>
      </c>
      <c r="H905" s="1" t="s">
        <v>1663</v>
      </c>
      <c r="I905" s="1" t="s">
        <v>1657</v>
      </c>
      <c r="J905" s="1" t="s">
        <v>1658</v>
      </c>
      <c r="K905" s="1" t="s">
        <v>1658</v>
      </c>
      <c r="L905" s="1" t="s">
        <v>1658</v>
      </c>
      <c r="M905" s="1" t="s">
        <v>1658</v>
      </c>
      <c r="N905" s="1" t="s">
        <v>1658</v>
      </c>
      <c r="O905" s="1" t="s">
        <v>1658</v>
      </c>
      <c r="P905" s="1">
        <v>1</v>
      </c>
      <c r="Q905" s="1" t="s">
        <v>1658</v>
      </c>
      <c r="R905" s="1">
        <v>0</v>
      </c>
      <c r="S905" s="1" t="s">
        <v>2738</v>
      </c>
      <c r="T905" s="6" t="s">
        <v>2738</v>
      </c>
      <c r="U905" s="1" t="str">
        <f t="shared" si="14"/>
        <v>Yes</v>
      </c>
      <c r="W905" s="1" t="s">
        <v>5741</v>
      </c>
      <c r="X905" s="1" t="str">
        <f>IF(COUNTIF('MyWells Drilling Comp'!F:F,E905)=0,"Missing","Exist")</f>
        <v>Exist</v>
      </c>
    </row>
    <row r="906" hidden="1" spans="1:24">
      <c r="A906" s="1" t="s">
        <v>5265</v>
      </c>
      <c r="B906" s="1" t="s">
        <v>90</v>
      </c>
      <c r="C906" s="1" t="s">
        <v>5742</v>
      </c>
      <c r="D906" s="1" t="s">
        <v>5743</v>
      </c>
      <c r="E906" s="2" t="s">
        <v>1523</v>
      </c>
      <c r="F906" s="2" t="s">
        <v>5744</v>
      </c>
      <c r="G906" s="1">
        <v>1</v>
      </c>
      <c r="H906" s="1" t="s">
        <v>1656</v>
      </c>
      <c r="I906" s="1" t="s">
        <v>1657</v>
      </c>
      <c r="J906" s="1" t="s">
        <v>1658</v>
      </c>
      <c r="K906" s="1" t="s">
        <v>1658</v>
      </c>
      <c r="L906" s="1" t="s">
        <v>1658</v>
      </c>
      <c r="M906" s="1" t="s">
        <v>1658</v>
      </c>
      <c r="N906" s="1" t="s">
        <v>1658</v>
      </c>
      <c r="O906" s="1" t="s">
        <v>1658</v>
      </c>
      <c r="P906" s="1">
        <v>1</v>
      </c>
      <c r="Q906" s="1" t="s">
        <v>1658</v>
      </c>
      <c r="R906" s="1">
        <v>0</v>
      </c>
      <c r="S906" s="1" t="s">
        <v>5745</v>
      </c>
      <c r="T906" s="6" t="s">
        <v>5745</v>
      </c>
      <c r="U906" s="1" t="str">
        <f t="shared" si="14"/>
        <v>Yes</v>
      </c>
      <c r="W906" s="1" t="s">
        <v>5746</v>
      </c>
      <c r="X906" s="1" t="str">
        <f>IF(COUNTIF('MyWells Drilling Comp'!F:F,E906)=0,"Missing","Exist")</f>
        <v>Exist</v>
      </c>
    </row>
    <row r="907" hidden="1" spans="1:24">
      <c r="A907" s="1" t="s">
        <v>5265</v>
      </c>
      <c r="B907" s="1" t="s">
        <v>90</v>
      </c>
      <c r="C907" s="1" t="s">
        <v>5747</v>
      </c>
      <c r="D907" s="1" t="s">
        <v>5743</v>
      </c>
      <c r="E907" s="2" t="s">
        <v>1523</v>
      </c>
      <c r="F907" s="2" t="s">
        <v>5748</v>
      </c>
      <c r="G907" s="1">
        <v>1</v>
      </c>
      <c r="H907" s="1" t="s">
        <v>1663</v>
      </c>
      <c r="I907" s="1" t="s">
        <v>1657</v>
      </c>
      <c r="J907" s="1" t="s">
        <v>1658</v>
      </c>
      <c r="K907" s="1" t="s">
        <v>1658</v>
      </c>
      <c r="L907" s="1" t="s">
        <v>1658</v>
      </c>
      <c r="M907" s="1" t="s">
        <v>1658</v>
      </c>
      <c r="N907" s="1" t="s">
        <v>1658</v>
      </c>
      <c r="O907" s="1" t="s">
        <v>1658</v>
      </c>
      <c r="P907" s="1">
        <v>1</v>
      </c>
      <c r="Q907" s="1" t="s">
        <v>1658</v>
      </c>
      <c r="R907" s="1">
        <v>0</v>
      </c>
      <c r="S907" s="1" t="s">
        <v>5749</v>
      </c>
      <c r="T907" s="6" t="s">
        <v>5749</v>
      </c>
      <c r="U907" s="1" t="str">
        <f t="shared" si="14"/>
        <v>Yes</v>
      </c>
      <c r="W907" s="1" t="s">
        <v>5750</v>
      </c>
      <c r="X907" s="1" t="str">
        <f>IF(COUNTIF('MyWells Drilling Comp'!F:F,E907)=0,"Missing","Exist")</f>
        <v>Exist</v>
      </c>
    </row>
    <row r="908" hidden="1" spans="1:24">
      <c r="A908" s="1" t="s">
        <v>5265</v>
      </c>
      <c r="B908" s="1" t="s">
        <v>90</v>
      </c>
      <c r="C908" s="1" t="s">
        <v>5751</v>
      </c>
      <c r="D908" s="1" t="s">
        <v>5752</v>
      </c>
      <c r="E908" s="2" t="s">
        <v>1287</v>
      </c>
      <c r="F908" s="2" t="s">
        <v>5753</v>
      </c>
      <c r="G908" s="1">
        <v>1</v>
      </c>
      <c r="H908" s="1" t="s">
        <v>1656</v>
      </c>
      <c r="I908" s="1" t="s">
        <v>1657</v>
      </c>
      <c r="J908" s="1" t="s">
        <v>1658</v>
      </c>
      <c r="K908" s="1" t="s">
        <v>1658</v>
      </c>
      <c r="L908" s="1" t="s">
        <v>1658</v>
      </c>
      <c r="M908" s="1" t="s">
        <v>1658</v>
      </c>
      <c r="N908" s="1" t="s">
        <v>1658</v>
      </c>
      <c r="O908" s="1" t="s">
        <v>1658</v>
      </c>
      <c r="P908" s="1">
        <v>1</v>
      </c>
      <c r="Q908" s="1" t="s">
        <v>1658</v>
      </c>
      <c r="R908" s="1">
        <v>0</v>
      </c>
      <c r="S908" s="1" t="s">
        <v>5405</v>
      </c>
      <c r="T908" s="6" t="s">
        <v>5405</v>
      </c>
      <c r="U908" s="1" t="str">
        <f t="shared" si="14"/>
        <v>Yes</v>
      </c>
      <c r="W908" s="1" t="s">
        <v>5754</v>
      </c>
      <c r="X908" s="1" t="str">
        <f>IF(COUNTIF('MyWells Drilling Comp'!F:F,E908)=0,"Missing","Exist")</f>
        <v>Exist</v>
      </c>
    </row>
    <row r="909" hidden="1" spans="1:24">
      <c r="A909" s="1" t="s">
        <v>5265</v>
      </c>
      <c r="B909" s="1" t="s">
        <v>90</v>
      </c>
      <c r="C909" s="1" t="s">
        <v>5755</v>
      </c>
      <c r="D909" s="1" t="s">
        <v>5752</v>
      </c>
      <c r="E909" s="2" t="s">
        <v>1287</v>
      </c>
      <c r="F909" s="2" t="s">
        <v>5756</v>
      </c>
      <c r="G909" s="1">
        <v>1</v>
      </c>
      <c r="H909" s="1" t="s">
        <v>1663</v>
      </c>
      <c r="I909" s="1" t="s">
        <v>1657</v>
      </c>
      <c r="J909" s="1" t="s">
        <v>1658</v>
      </c>
      <c r="K909" s="1" t="s">
        <v>1658</v>
      </c>
      <c r="L909" s="1" t="s">
        <v>1658</v>
      </c>
      <c r="M909" s="1" t="s">
        <v>1658</v>
      </c>
      <c r="N909" s="1" t="s">
        <v>1658</v>
      </c>
      <c r="O909" s="1" t="s">
        <v>1658</v>
      </c>
      <c r="P909" s="1">
        <v>1</v>
      </c>
      <c r="Q909" s="1" t="s">
        <v>1658</v>
      </c>
      <c r="R909" s="1">
        <v>0</v>
      </c>
      <c r="S909" s="1" t="s">
        <v>5757</v>
      </c>
      <c r="T909" s="6" t="s">
        <v>5757</v>
      </c>
      <c r="U909" s="1" t="str">
        <f t="shared" si="14"/>
        <v>Yes</v>
      </c>
      <c r="W909" s="1" t="s">
        <v>5758</v>
      </c>
      <c r="X909" s="1" t="str">
        <f>IF(COUNTIF('MyWells Drilling Comp'!F:F,E909)=0,"Missing","Exist")</f>
        <v>Exist</v>
      </c>
    </row>
    <row r="910" hidden="1" spans="1:24">
      <c r="A910" s="1" t="s">
        <v>5265</v>
      </c>
      <c r="B910" s="1" t="s">
        <v>90</v>
      </c>
      <c r="C910" s="1" t="s">
        <v>5759</v>
      </c>
      <c r="D910" s="1" t="s">
        <v>5760</v>
      </c>
      <c r="E910" s="2" t="s">
        <v>746</v>
      </c>
      <c r="F910" s="2" t="s">
        <v>5761</v>
      </c>
      <c r="G910" s="1">
        <v>1</v>
      </c>
      <c r="H910" s="1" t="s">
        <v>1663</v>
      </c>
      <c r="I910" s="1" t="s">
        <v>1657</v>
      </c>
      <c r="J910" s="1" t="s">
        <v>1658</v>
      </c>
      <c r="K910" s="1" t="s">
        <v>1658</v>
      </c>
      <c r="L910" s="1" t="s">
        <v>1658</v>
      </c>
      <c r="M910" s="1" t="s">
        <v>1658</v>
      </c>
      <c r="N910" s="1" t="s">
        <v>1658</v>
      </c>
      <c r="O910" s="1" t="s">
        <v>1658</v>
      </c>
      <c r="P910" s="1">
        <v>1</v>
      </c>
      <c r="Q910" s="1" t="s">
        <v>1658</v>
      </c>
      <c r="R910" s="1">
        <v>0</v>
      </c>
      <c r="S910" s="1" t="s">
        <v>5762</v>
      </c>
      <c r="T910" s="6" t="s">
        <v>5762</v>
      </c>
      <c r="U910" s="1" t="str">
        <f t="shared" si="14"/>
        <v>Yes</v>
      </c>
      <c r="W910" s="1" t="s">
        <v>5763</v>
      </c>
      <c r="X910" s="1" t="str">
        <f>IF(COUNTIF('MyWells Drilling Comp'!F:F,E910)=0,"Missing","Exist")</f>
        <v>Exist</v>
      </c>
    </row>
    <row r="911" hidden="1" spans="1:24">
      <c r="A911" s="1" t="s">
        <v>5265</v>
      </c>
      <c r="B911" s="1" t="s">
        <v>90</v>
      </c>
      <c r="C911" s="1" t="s">
        <v>5764</v>
      </c>
      <c r="D911" s="1" t="s">
        <v>5760</v>
      </c>
      <c r="E911" s="2" t="s">
        <v>746</v>
      </c>
      <c r="F911" s="2" t="s">
        <v>5765</v>
      </c>
      <c r="G911" s="1">
        <v>1</v>
      </c>
      <c r="H911" s="1" t="s">
        <v>1656</v>
      </c>
      <c r="I911" s="1" t="s">
        <v>1657</v>
      </c>
      <c r="J911" s="1" t="s">
        <v>1658</v>
      </c>
      <c r="K911" s="1" t="s">
        <v>1658</v>
      </c>
      <c r="L911" s="1" t="s">
        <v>1658</v>
      </c>
      <c r="M911" s="1" t="s">
        <v>1658</v>
      </c>
      <c r="N911" s="1" t="s">
        <v>1658</v>
      </c>
      <c r="O911" s="1" t="s">
        <v>1658</v>
      </c>
      <c r="P911" s="1">
        <v>1</v>
      </c>
      <c r="Q911" s="1" t="s">
        <v>1658</v>
      </c>
      <c r="R911" s="1">
        <v>0</v>
      </c>
      <c r="S911" s="1" t="s">
        <v>5766</v>
      </c>
      <c r="T911" s="6" t="s">
        <v>5766</v>
      </c>
      <c r="U911" s="1" t="str">
        <f t="shared" si="14"/>
        <v>Yes</v>
      </c>
      <c r="W911" s="1" t="s">
        <v>5767</v>
      </c>
      <c r="X911" s="1" t="str">
        <f>IF(COUNTIF('MyWells Drilling Comp'!F:F,E911)=0,"Missing","Exist")</f>
        <v>Exist</v>
      </c>
    </row>
    <row r="912" hidden="1" spans="1:24">
      <c r="A912" s="1" t="s">
        <v>5265</v>
      </c>
      <c r="B912" s="1" t="s">
        <v>90</v>
      </c>
      <c r="C912" s="1" t="s">
        <v>5768</v>
      </c>
      <c r="D912" s="1" t="s">
        <v>5769</v>
      </c>
      <c r="E912" s="2" t="s">
        <v>1057</v>
      </c>
      <c r="F912" s="2" t="s">
        <v>5770</v>
      </c>
      <c r="G912" s="1">
        <v>1</v>
      </c>
      <c r="H912" s="1" t="s">
        <v>1656</v>
      </c>
      <c r="I912" s="1" t="s">
        <v>1657</v>
      </c>
      <c r="J912" s="1" t="s">
        <v>1658</v>
      </c>
      <c r="K912" s="1" t="s">
        <v>1658</v>
      </c>
      <c r="L912" s="1" t="s">
        <v>1658</v>
      </c>
      <c r="M912" s="1" t="s">
        <v>1658</v>
      </c>
      <c r="N912" s="1" t="s">
        <v>1658</v>
      </c>
      <c r="O912" s="1" t="s">
        <v>1658</v>
      </c>
      <c r="P912" s="1">
        <v>1</v>
      </c>
      <c r="Q912" s="1" t="s">
        <v>1658</v>
      </c>
      <c r="R912" s="1">
        <v>0</v>
      </c>
      <c r="S912" s="1" t="s">
        <v>5771</v>
      </c>
      <c r="T912" s="6" t="s">
        <v>5771</v>
      </c>
      <c r="U912" s="1" t="str">
        <f t="shared" si="14"/>
        <v>Yes</v>
      </c>
      <c r="W912" s="1" t="s">
        <v>5772</v>
      </c>
      <c r="X912" s="1" t="str">
        <f>IF(COUNTIF('MyWells Drilling Comp'!F:F,E912)=0,"Missing","Exist")</f>
        <v>Exist</v>
      </c>
    </row>
    <row r="913" hidden="1" spans="1:24">
      <c r="A913" s="1" t="s">
        <v>5265</v>
      </c>
      <c r="B913" s="1" t="s">
        <v>90</v>
      </c>
      <c r="C913" s="1" t="s">
        <v>5773</v>
      </c>
      <c r="D913" s="1" t="s">
        <v>5769</v>
      </c>
      <c r="E913" s="2" t="s">
        <v>1057</v>
      </c>
      <c r="F913" s="2" t="s">
        <v>5774</v>
      </c>
      <c r="G913" s="1">
        <v>1</v>
      </c>
      <c r="H913" s="1" t="s">
        <v>1663</v>
      </c>
      <c r="I913" s="1" t="s">
        <v>1657</v>
      </c>
      <c r="J913" s="1" t="s">
        <v>1658</v>
      </c>
      <c r="K913" s="1" t="s">
        <v>1658</v>
      </c>
      <c r="L913" s="1" t="s">
        <v>1658</v>
      </c>
      <c r="M913" s="1" t="s">
        <v>1658</v>
      </c>
      <c r="N913" s="1" t="s">
        <v>1658</v>
      </c>
      <c r="O913" s="1" t="s">
        <v>1658</v>
      </c>
      <c r="P913" s="1">
        <v>1</v>
      </c>
      <c r="Q913" s="1" t="s">
        <v>1658</v>
      </c>
      <c r="R913" s="1">
        <v>0</v>
      </c>
      <c r="S913" s="1" t="s">
        <v>5775</v>
      </c>
      <c r="T913" s="6" t="s">
        <v>5775</v>
      </c>
      <c r="U913" s="1" t="str">
        <f t="shared" si="14"/>
        <v>Yes</v>
      </c>
      <c r="W913" s="1" t="s">
        <v>5776</v>
      </c>
      <c r="X913" s="1" t="str">
        <f>IF(COUNTIF('MyWells Drilling Comp'!F:F,E913)=0,"Missing","Exist")</f>
        <v>Exist</v>
      </c>
    </row>
    <row r="914" hidden="1" spans="1:24">
      <c r="A914" s="1" t="s">
        <v>5265</v>
      </c>
      <c r="B914" s="1" t="s">
        <v>90</v>
      </c>
      <c r="C914" s="1" t="s">
        <v>5777</v>
      </c>
      <c r="D914" s="1" t="s">
        <v>5778</v>
      </c>
      <c r="E914" s="2" t="s">
        <v>1055</v>
      </c>
      <c r="F914" s="2" t="s">
        <v>5779</v>
      </c>
      <c r="G914" s="1">
        <v>1</v>
      </c>
      <c r="H914" s="1" t="s">
        <v>1656</v>
      </c>
      <c r="I914" s="1" t="s">
        <v>1657</v>
      </c>
      <c r="J914" s="1" t="s">
        <v>1658</v>
      </c>
      <c r="K914" s="1" t="s">
        <v>1658</v>
      </c>
      <c r="L914" s="1" t="s">
        <v>1658</v>
      </c>
      <c r="M914" s="1" t="s">
        <v>1658</v>
      </c>
      <c r="N914" s="1" t="s">
        <v>1658</v>
      </c>
      <c r="O914" s="1" t="s">
        <v>1658</v>
      </c>
      <c r="P914" s="1">
        <v>1</v>
      </c>
      <c r="Q914" s="1" t="s">
        <v>1658</v>
      </c>
      <c r="R914" s="1">
        <v>0</v>
      </c>
      <c r="S914" s="1" t="s">
        <v>5780</v>
      </c>
      <c r="T914" s="6" t="s">
        <v>5780</v>
      </c>
      <c r="U914" s="1" t="str">
        <f t="shared" si="14"/>
        <v>Yes</v>
      </c>
      <c r="W914" s="1" t="s">
        <v>5781</v>
      </c>
      <c r="X914" s="1" t="str">
        <f>IF(COUNTIF('MyWells Drilling Comp'!F:F,E914)=0,"Missing","Exist")</f>
        <v>Exist</v>
      </c>
    </row>
    <row r="915" hidden="1" spans="1:24">
      <c r="A915" s="1" t="s">
        <v>5265</v>
      </c>
      <c r="B915" s="1" t="s">
        <v>90</v>
      </c>
      <c r="C915" s="1" t="s">
        <v>5782</v>
      </c>
      <c r="D915" s="1" t="s">
        <v>5778</v>
      </c>
      <c r="E915" s="2" t="s">
        <v>1055</v>
      </c>
      <c r="F915" s="2" t="s">
        <v>5783</v>
      </c>
      <c r="G915" s="1">
        <v>1</v>
      </c>
      <c r="H915" s="1" t="s">
        <v>1663</v>
      </c>
      <c r="I915" s="1" t="s">
        <v>1657</v>
      </c>
      <c r="J915" s="1" t="s">
        <v>1658</v>
      </c>
      <c r="K915" s="1" t="s">
        <v>1658</v>
      </c>
      <c r="L915" s="1" t="s">
        <v>1658</v>
      </c>
      <c r="M915" s="1" t="s">
        <v>1658</v>
      </c>
      <c r="N915" s="1" t="s">
        <v>1658</v>
      </c>
      <c r="O915" s="1" t="s">
        <v>1658</v>
      </c>
      <c r="P915" s="1">
        <v>1</v>
      </c>
      <c r="Q915" s="1" t="s">
        <v>1658</v>
      </c>
      <c r="R915" s="1">
        <v>0</v>
      </c>
      <c r="S915" s="1" t="s">
        <v>5784</v>
      </c>
      <c r="T915" s="6" t="s">
        <v>5784</v>
      </c>
      <c r="U915" s="1" t="str">
        <f t="shared" si="14"/>
        <v>Yes</v>
      </c>
      <c r="W915" s="1" t="s">
        <v>5785</v>
      </c>
      <c r="X915" s="1" t="str">
        <f>IF(COUNTIF('MyWells Drilling Comp'!F:F,E915)=0,"Missing","Exist")</f>
        <v>Exist</v>
      </c>
    </row>
    <row r="916" hidden="1" spans="1:24">
      <c r="A916" s="1" t="s">
        <v>5265</v>
      </c>
      <c r="B916" s="1" t="s">
        <v>90</v>
      </c>
      <c r="C916" s="1" t="s">
        <v>5786</v>
      </c>
      <c r="D916" s="1" t="s">
        <v>5787</v>
      </c>
      <c r="E916" s="2" t="s">
        <v>1225</v>
      </c>
      <c r="F916" s="2" t="s">
        <v>5788</v>
      </c>
      <c r="G916" s="1">
        <v>1</v>
      </c>
      <c r="H916" s="1" t="s">
        <v>1663</v>
      </c>
      <c r="I916" s="1" t="s">
        <v>1657</v>
      </c>
      <c r="J916" s="1" t="s">
        <v>1658</v>
      </c>
      <c r="K916" s="1" t="s">
        <v>1658</v>
      </c>
      <c r="L916" s="1" t="s">
        <v>1658</v>
      </c>
      <c r="M916" s="1" t="s">
        <v>1658</v>
      </c>
      <c r="N916" s="1" t="s">
        <v>1658</v>
      </c>
      <c r="O916" s="1" t="s">
        <v>1658</v>
      </c>
      <c r="P916" s="1">
        <v>1</v>
      </c>
      <c r="Q916" s="1" t="s">
        <v>1658</v>
      </c>
      <c r="R916" s="1">
        <v>0</v>
      </c>
      <c r="S916" s="1" t="s">
        <v>5789</v>
      </c>
      <c r="T916" s="6" t="s">
        <v>5789</v>
      </c>
      <c r="U916" s="1" t="str">
        <f t="shared" si="14"/>
        <v>Yes</v>
      </c>
      <c r="W916" s="1" t="s">
        <v>5790</v>
      </c>
      <c r="X916" s="1" t="str">
        <f>IF(COUNTIF('MyWells Drilling Comp'!F:F,E916)=0,"Missing","Exist")</f>
        <v>Exist</v>
      </c>
    </row>
    <row r="917" hidden="1" spans="1:24">
      <c r="A917" s="1" t="s">
        <v>5265</v>
      </c>
      <c r="B917" s="1" t="s">
        <v>90</v>
      </c>
      <c r="C917" s="1" t="s">
        <v>5791</v>
      </c>
      <c r="D917" s="1" t="s">
        <v>5787</v>
      </c>
      <c r="E917" s="2" t="s">
        <v>1225</v>
      </c>
      <c r="F917" s="2" t="s">
        <v>5792</v>
      </c>
      <c r="G917" s="1">
        <v>1</v>
      </c>
      <c r="H917" s="1" t="s">
        <v>1656</v>
      </c>
      <c r="I917" s="1" t="s">
        <v>1657</v>
      </c>
      <c r="J917" s="1" t="s">
        <v>1658</v>
      </c>
      <c r="K917" s="1" t="s">
        <v>1658</v>
      </c>
      <c r="L917" s="1" t="s">
        <v>1658</v>
      </c>
      <c r="M917" s="1" t="s">
        <v>1658</v>
      </c>
      <c r="N917" s="1" t="s">
        <v>1658</v>
      </c>
      <c r="O917" s="1" t="s">
        <v>1658</v>
      </c>
      <c r="P917" s="1">
        <v>1</v>
      </c>
      <c r="Q917" s="1" t="s">
        <v>1658</v>
      </c>
      <c r="R917" s="1">
        <v>0</v>
      </c>
      <c r="S917" s="1" t="s">
        <v>5793</v>
      </c>
      <c r="T917" s="6" t="s">
        <v>5793</v>
      </c>
      <c r="U917" s="1" t="str">
        <f t="shared" si="14"/>
        <v>Yes</v>
      </c>
      <c r="W917" s="1" t="s">
        <v>5794</v>
      </c>
      <c r="X917" s="1" t="str">
        <f>IF(COUNTIF('MyWells Drilling Comp'!F:F,E917)=0,"Missing","Exist")</f>
        <v>Exist</v>
      </c>
    </row>
    <row r="918" hidden="1" spans="1:24">
      <c r="A918" s="1" t="s">
        <v>5265</v>
      </c>
      <c r="B918" s="1" t="s">
        <v>90</v>
      </c>
      <c r="C918" s="1" t="s">
        <v>5795</v>
      </c>
      <c r="D918" s="1" t="s">
        <v>5796</v>
      </c>
      <c r="E918" s="2" t="s">
        <v>878</v>
      </c>
      <c r="F918" s="2" t="s">
        <v>5797</v>
      </c>
      <c r="G918" s="1">
        <v>1</v>
      </c>
      <c r="H918" s="1" t="s">
        <v>1663</v>
      </c>
      <c r="I918" s="1" t="s">
        <v>1657</v>
      </c>
      <c r="J918" s="1" t="s">
        <v>1658</v>
      </c>
      <c r="K918" s="1" t="s">
        <v>1658</v>
      </c>
      <c r="L918" s="1" t="s">
        <v>1658</v>
      </c>
      <c r="M918" s="1" t="s">
        <v>1658</v>
      </c>
      <c r="N918" s="1" t="s">
        <v>1658</v>
      </c>
      <c r="O918" s="1" t="s">
        <v>1658</v>
      </c>
      <c r="P918" s="1">
        <v>1</v>
      </c>
      <c r="Q918" s="1" t="s">
        <v>1658</v>
      </c>
      <c r="R918" s="1">
        <v>0</v>
      </c>
      <c r="S918" s="1" t="s">
        <v>5798</v>
      </c>
      <c r="T918" s="6" t="s">
        <v>5798</v>
      </c>
      <c r="U918" s="1" t="str">
        <f t="shared" si="14"/>
        <v>Yes</v>
      </c>
      <c r="W918" s="1" t="s">
        <v>5799</v>
      </c>
      <c r="X918" s="1" t="str">
        <f>IF(COUNTIF('MyWells Drilling Comp'!F:F,E918)=0,"Missing","Exist")</f>
        <v>Exist</v>
      </c>
    </row>
    <row r="919" hidden="1" spans="1:24">
      <c r="A919" s="1" t="s">
        <v>5265</v>
      </c>
      <c r="B919" s="1" t="s">
        <v>90</v>
      </c>
      <c r="C919" s="1" t="s">
        <v>5800</v>
      </c>
      <c r="D919" s="1" t="s">
        <v>5796</v>
      </c>
      <c r="E919" s="2" t="s">
        <v>878</v>
      </c>
      <c r="F919" s="2" t="s">
        <v>5801</v>
      </c>
      <c r="G919" s="1">
        <v>1</v>
      </c>
      <c r="H919" s="1" t="s">
        <v>1656</v>
      </c>
      <c r="I919" s="1" t="s">
        <v>1657</v>
      </c>
      <c r="J919" s="1" t="s">
        <v>1658</v>
      </c>
      <c r="K919" s="1" t="s">
        <v>1658</v>
      </c>
      <c r="L919" s="1" t="s">
        <v>1658</v>
      </c>
      <c r="M919" s="1" t="s">
        <v>1658</v>
      </c>
      <c r="N919" s="1" t="s">
        <v>1658</v>
      </c>
      <c r="O919" s="1" t="s">
        <v>1658</v>
      </c>
      <c r="P919" s="1">
        <v>1</v>
      </c>
      <c r="Q919" s="1" t="s">
        <v>1658</v>
      </c>
      <c r="R919" s="1">
        <v>0</v>
      </c>
      <c r="S919" s="1" t="s">
        <v>5802</v>
      </c>
      <c r="T919" s="6" t="s">
        <v>5802</v>
      </c>
      <c r="U919" s="1" t="str">
        <f t="shared" si="14"/>
        <v>Yes</v>
      </c>
      <c r="W919" s="1" t="s">
        <v>5803</v>
      </c>
      <c r="X919" s="1" t="str">
        <f>IF(COUNTIF('MyWells Drilling Comp'!F:F,E919)=0,"Missing","Exist")</f>
        <v>Exist</v>
      </c>
    </row>
    <row r="920" hidden="1" spans="1:24">
      <c r="A920" s="1" t="s">
        <v>5265</v>
      </c>
      <c r="B920" s="1" t="s">
        <v>90</v>
      </c>
      <c r="C920" s="1" t="s">
        <v>5804</v>
      </c>
      <c r="D920" s="1" t="s">
        <v>5805</v>
      </c>
      <c r="E920" s="2" t="s">
        <v>1366</v>
      </c>
      <c r="F920" s="2" t="s">
        <v>5806</v>
      </c>
      <c r="G920" s="1">
        <v>1</v>
      </c>
      <c r="H920" s="1" t="s">
        <v>1656</v>
      </c>
      <c r="I920" s="1" t="s">
        <v>1657</v>
      </c>
      <c r="J920" s="1" t="s">
        <v>1658</v>
      </c>
      <c r="K920" s="1" t="s">
        <v>1658</v>
      </c>
      <c r="L920" s="1" t="s">
        <v>1658</v>
      </c>
      <c r="M920" s="1" t="s">
        <v>1658</v>
      </c>
      <c r="N920" s="1" t="s">
        <v>1658</v>
      </c>
      <c r="O920" s="1" t="s">
        <v>1658</v>
      </c>
      <c r="P920" s="1">
        <v>1</v>
      </c>
      <c r="Q920" s="1" t="s">
        <v>1658</v>
      </c>
      <c r="R920" s="1">
        <v>0</v>
      </c>
      <c r="S920" s="1" t="s">
        <v>5807</v>
      </c>
      <c r="T920" s="6" t="s">
        <v>5807</v>
      </c>
      <c r="U920" s="1" t="str">
        <f t="shared" si="14"/>
        <v>Yes</v>
      </c>
      <c r="W920" s="1" t="s">
        <v>5808</v>
      </c>
      <c r="X920" s="1" t="str">
        <f>IF(COUNTIF('MyWells Drilling Comp'!F:F,E920)=0,"Missing","Exist")</f>
        <v>Exist</v>
      </c>
    </row>
    <row r="921" hidden="1" spans="1:24">
      <c r="A921" s="1" t="s">
        <v>5265</v>
      </c>
      <c r="B921" s="1" t="s">
        <v>90</v>
      </c>
      <c r="C921" s="1" t="s">
        <v>5809</v>
      </c>
      <c r="D921" s="1" t="s">
        <v>5805</v>
      </c>
      <c r="E921" s="2" t="s">
        <v>1366</v>
      </c>
      <c r="F921" s="2" t="s">
        <v>5810</v>
      </c>
      <c r="G921" s="1">
        <v>1</v>
      </c>
      <c r="H921" s="1" t="s">
        <v>1663</v>
      </c>
      <c r="I921" s="1" t="s">
        <v>1657</v>
      </c>
      <c r="J921" s="1" t="s">
        <v>1658</v>
      </c>
      <c r="K921" s="1" t="s">
        <v>1658</v>
      </c>
      <c r="L921" s="1" t="s">
        <v>1658</v>
      </c>
      <c r="M921" s="1" t="s">
        <v>1658</v>
      </c>
      <c r="N921" s="1" t="s">
        <v>1658</v>
      </c>
      <c r="O921" s="1" t="s">
        <v>1658</v>
      </c>
      <c r="P921" s="1">
        <v>1</v>
      </c>
      <c r="Q921" s="1" t="s">
        <v>1658</v>
      </c>
      <c r="R921" s="1">
        <v>0</v>
      </c>
      <c r="S921" s="1" t="s">
        <v>5811</v>
      </c>
      <c r="T921" s="6" t="s">
        <v>5811</v>
      </c>
      <c r="U921" s="1" t="str">
        <f t="shared" si="14"/>
        <v>Yes</v>
      </c>
      <c r="W921" s="1" t="s">
        <v>5812</v>
      </c>
      <c r="X921" s="1" t="str">
        <f>IF(COUNTIF('MyWells Drilling Comp'!F:F,E921)=0,"Missing","Exist")</f>
        <v>Exist</v>
      </c>
    </row>
    <row r="922" hidden="1" spans="1:24">
      <c r="A922" s="1" t="s">
        <v>5265</v>
      </c>
      <c r="B922" s="1" t="s">
        <v>90</v>
      </c>
      <c r="C922" s="1" t="s">
        <v>5813</v>
      </c>
      <c r="D922" s="1" t="s">
        <v>5814</v>
      </c>
      <c r="E922" s="2" t="s">
        <v>709</v>
      </c>
      <c r="F922" s="2" t="s">
        <v>5815</v>
      </c>
      <c r="G922" s="1">
        <v>1</v>
      </c>
      <c r="H922" s="1" t="s">
        <v>1663</v>
      </c>
      <c r="I922" s="1" t="s">
        <v>1657</v>
      </c>
      <c r="J922" s="1" t="s">
        <v>1658</v>
      </c>
      <c r="K922" s="1" t="s">
        <v>1658</v>
      </c>
      <c r="L922" s="1" t="s">
        <v>1658</v>
      </c>
      <c r="M922" s="1" t="s">
        <v>1658</v>
      </c>
      <c r="N922" s="1" t="s">
        <v>1658</v>
      </c>
      <c r="O922" s="1" t="s">
        <v>1658</v>
      </c>
      <c r="P922" s="1">
        <v>1</v>
      </c>
      <c r="Q922" s="1" t="s">
        <v>1658</v>
      </c>
      <c r="R922" s="1">
        <v>0</v>
      </c>
      <c r="S922" s="1" t="s">
        <v>5816</v>
      </c>
      <c r="T922" s="6" t="s">
        <v>5816</v>
      </c>
      <c r="U922" s="1" t="str">
        <f t="shared" si="14"/>
        <v>Yes</v>
      </c>
      <c r="W922" s="1" t="s">
        <v>5817</v>
      </c>
      <c r="X922" s="1" t="str">
        <f>IF(COUNTIF('MyWells Drilling Comp'!F:F,E922)=0,"Missing","Exist")</f>
        <v>Exist</v>
      </c>
    </row>
    <row r="923" hidden="1" spans="1:24">
      <c r="A923" s="1" t="s">
        <v>5265</v>
      </c>
      <c r="B923" s="1" t="s">
        <v>90</v>
      </c>
      <c r="C923" s="1" t="s">
        <v>5818</v>
      </c>
      <c r="D923" s="1" t="s">
        <v>5814</v>
      </c>
      <c r="E923" s="2" t="s">
        <v>709</v>
      </c>
      <c r="F923" s="2" t="s">
        <v>5819</v>
      </c>
      <c r="G923" s="1">
        <v>1</v>
      </c>
      <c r="H923" s="1" t="s">
        <v>1656</v>
      </c>
      <c r="I923" s="1" t="s">
        <v>1657</v>
      </c>
      <c r="J923" s="1" t="s">
        <v>1658</v>
      </c>
      <c r="K923" s="1" t="s">
        <v>1658</v>
      </c>
      <c r="L923" s="1" t="s">
        <v>1658</v>
      </c>
      <c r="M923" s="1" t="s">
        <v>1658</v>
      </c>
      <c r="N923" s="1" t="s">
        <v>1658</v>
      </c>
      <c r="O923" s="1" t="s">
        <v>1658</v>
      </c>
      <c r="P923" s="1">
        <v>1</v>
      </c>
      <c r="Q923" s="1" t="s">
        <v>1658</v>
      </c>
      <c r="R923" s="1">
        <v>0</v>
      </c>
      <c r="S923" s="1" t="s">
        <v>5820</v>
      </c>
      <c r="T923" s="6" t="s">
        <v>5820</v>
      </c>
      <c r="U923" s="1" t="str">
        <f t="shared" si="14"/>
        <v>Yes</v>
      </c>
      <c r="W923" s="1" t="s">
        <v>5821</v>
      </c>
      <c r="X923" s="1" t="str">
        <f>IF(COUNTIF('MyWells Drilling Comp'!F:F,E923)=0,"Missing","Exist")</f>
        <v>Exist</v>
      </c>
    </row>
    <row r="924" hidden="1" spans="1:24">
      <c r="A924" s="1" t="s">
        <v>5265</v>
      </c>
      <c r="B924" s="1" t="s">
        <v>90</v>
      </c>
      <c r="C924" s="1" t="s">
        <v>5822</v>
      </c>
      <c r="D924" s="1" t="s">
        <v>5823</v>
      </c>
      <c r="E924" s="2" t="s">
        <v>845</v>
      </c>
      <c r="F924" s="2" t="s">
        <v>5824</v>
      </c>
      <c r="G924" s="1">
        <v>1</v>
      </c>
      <c r="H924" s="1" t="s">
        <v>1656</v>
      </c>
      <c r="I924" s="1" t="s">
        <v>1657</v>
      </c>
      <c r="J924" s="1" t="s">
        <v>1658</v>
      </c>
      <c r="K924" s="1" t="s">
        <v>1658</v>
      </c>
      <c r="L924" s="1" t="s">
        <v>1658</v>
      </c>
      <c r="M924" s="1" t="s">
        <v>1658</v>
      </c>
      <c r="N924" s="1" t="s">
        <v>1658</v>
      </c>
      <c r="O924" s="1" t="s">
        <v>1658</v>
      </c>
      <c r="P924" s="1">
        <v>1</v>
      </c>
      <c r="Q924" s="1" t="s">
        <v>1658</v>
      </c>
      <c r="R924" s="1">
        <v>0</v>
      </c>
      <c r="S924" s="1" t="s">
        <v>5825</v>
      </c>
      <c r="T924" s="6" t="s">
        <v>5825</v>
      </c>
      <c r="U924" s="1" t="str">
        <f t="shared" si="14"/>
        <v>Yes</v>
      </c>
      <c r="W924" s="1" t="s">
        <v>5826</v>
      </c>
      <c r="X924" s="1" t="str">
        <f>IF(COUNTIF('MyWells Drilling Comp'!F:F,E924)=0,"Missing","Exist")</f>
        <v>Exist</v>
      </c>
    </row>
    <row r="925" hidden="1" spans="1:24">
      <c r="A925" s="1" t="s">
        <v>5265</v>
      </c>
      <c r="B925" s="1" t="s">
        <v>90</v>
      </c>
      <c r="C925" s="1" t="s">
        <v>5827</v>
      </c>
      <c r="D925" s="1" t="s">
        <v>5823</v>
      </c>
      <c r="E925" s="2" t="s">
        <v>845</v>
      </c>
      <c r="F925" s="2" t="s">
        <v>5828</v>
      </c>
      <c r="G925" s="1">
        <v>1</v>
      </c>
      <c r="H925" s="1" t="s">
        <v>1663</v>
      </c>
      <c r="I925" s="1" t="s">
        <v>1657</v>
      </c>
      <c r="J925" s="1" t="s">
        <v>1658</v>
      </c>
      <c r="K925" s="1" t="s">
        <v>1658</v>
      </c>
      <c r="L925" s="1" t="s">
        <v>1658</v>
      </c>
      <c r="M925" s="1" t="s">
        <v>1658</v>
      </c>
      <c r="N925" s="1" t="s">
        <v>1658</v>
      </c>
      <c r="O925" s="1" t="s">
        <v>1658</v>
      </c>
      <c r="P925" s="1">
        <v>1</v>
      </c>
      <c r="Q925" s="1" t="s">
        <v>1658</v>
      </c>
      <c r="R925" s="1">
        <v>0</v>
      </c>
      <c r="S925" s="1" t="s">
        <v>5829</v>
      </c>
      <c r="T925" s="6" t="s">
        <v>5829</v>
      </c>
      <c r="U925" s="1" t="str">
        <f t="shared" si="14"/>
        <v>Yes</v>
      </c>
      <c r="W925" s="1" t="s">
        <v>5830</v>
      </c>
      <c r="X925" s="1" t="str">
        <f>IF(COUNTIF('MyWells Drilling Comp'!F:F,E925)=0,"Missing","Exist")</f>
        <v>Exist</v>
      </c>
    </row>
    <row r="926" spans="1:24">
      <c r="A926" s="1" t="s">
        <v>5265</v>
      </c>
      <c r="B926" s="1" t="s">
        <v>90</v>
      </c>
      <c r="C926" s="1" t="s">
        <v>5831</v>
      </c>
      <c r="D926" s="1" t="s">
        <v>5832</v>
      </c>
      <c r="E926" s="2" t="s">
        <v>5833</v>
      </c>
      <c r="F926" s="2" t="s">
        <v>5834</v>
      </c>
      <c r="G926" s="1">
        <v>1</v>
      </c>
      <c r="H926" s="1" t="s">
        <v>1663</v>
      </c>
      <c r="I926" s="1" t="s">
        <v>1657</v>
      </c>
      <c r="J926" s="1" t="s">
        <v>1658</v>
      </c>
      <c r="K926" s="1" t="s">
        <v>1658</v>
      </c>
      <c r="L926" s="1" t="s">
        <v>1658</v>
      </c>
      <c r="M926" s="1" t="s">
        <v>1658</v>
      </c>
      <c r="N926" s="1" t="s">
        <v>1658</v>
      </c>
      <c r="O926" s="1" t="s">
        <v>1658</v>
      </c>
      <c r="P926" s="1">
        <v>1</v>
      </c>
      <c r="Q926" s="1" t="s">
        <v>1658</v>
      </c>
      <c r="R926" s="1">
        <v>0</v>
      </c>
      <c r="S926" s="1" t="s">
        <v>5835</v>
      </c>
      <c r="T926" s="6" t="s">
        <v>5835</v>
      </c>
      <c r="U926" s="1" t="str">
        <f t="shared" si="14"/>
        <v>Yes</v>
      </c>
      <c r="W926" s="1" t="s">
        <v>5836</v>
      </c>
      <c r="X926" s="1" t="str">
        <f>IF(COUNTIF('MyWells Drilling Comp'!F:F,E926)=0,"Missing","Exist")</f>
        <v>Missing</v>
      </c>
    </row>
    <row r="927" hidden="1" spans="1:24">
      <c r="A927" s="1" t="s">
        <v>5265</v>
      </c>
      <c r="B927" s="1" t="s">
        <v>90</v>
      </c>
      <c r="C927" s="1" t="s">
        <v>5837</v>
      </c>
      <c r="D927" s="1" t="s">
        <v>5832</v>
      </c>
      <c r="E927" s="2" t="s">
        <v>5833</v>
      </c>
      <c r="F927" s="2" t="s">
        <v>5838</v>
      </c>
      <c r="G927" s="1">
        <v>1</v>
      </c>
      <c r="H927" s="1" t="s">
        <v>1656</v>
      </c>
      <c r="I927" s="1" t="s">
        <v>1657</v>
      </c>
      <c r="J927" s="1" t="s">
        <v>1658</v>
      </c>
      <c r="K927" s="1" t="s">
        <v>1658</v>
      </c>
      <c r="L927" s="1" t="s">
        <v>1658</v>
      </c>
      <c r="M927" s="1" t="s">
        <v>1658</v>
      </c>
      <c r="N927" s="1" t="s">
        <v>1658</v>
      </c>
      <c r="O927" s="1" t="s">
        <v>1658</v>
      </c>
      <c r="P927" s="1">
        <v>1</v>
      </c>
      <c r="Q927" s="1" t="s">
        <v>1658</v>
      </c>
      <c r="R927" s="1">
        <v>0</v>
      </c>
      <c r="S927" s="1" t="s">
        <v>5839</v>
      </c>
      <c r="T927" s="6" t="s">
        <v>5839</v>
      </c>
      <c r="U927" s="1" t="str">
        <f t="shared" si="14"/>
        <v>Yes</v>
      </c>
      <c r="W927" s="1" t="s">
        <v>5840</v>
      </c>
      <c r="X927" s="1" t="str">
        <f>IF(COUNTIF('MyWells Drilling Comp'!F:F,E927)=0,"Missing","Exist")</f>
        <v>Missing</v>
      </c>
    </row>
    <row r="928" hidden="1" spans="1:24">
      <c r="A928" s="1" t="s">
        <v>5265</v>
      </c>
      <c r="B928" s="1" t="s">
        <v>90</v>
      </c>
      <c r="C928" s="1" t="s">
        <v>5841</v>
      </c>
      <c r="D928" s="1" t="s">
        <v>5842</v>
      </c>
      <c r="E928" s="2" t="s">
        <v>161</v>
      </c>
      <c r="F928" s="2" t="s">
        <v>5843</v>
      </c>
      <c r="G928" s="1">
        <v>1</v>
      </c>
      <c r="H928" s="1" t="s">
        <v>1663</v>
      </c>
      <c r="I928" s="1" t="s">
        <v>1657</v>
      </c>
      <c r="J928" s="1" t="s">
        <v>1658</v>
      </c>
      <c r="K928" s="1" t="s">
        <v>1658</v>
      </c>
      <c r="L928" s="1" t="s">
        <v>1658</v>
      </c>
      <c r="M928" s="1" t="s">
        <v>1658</v>
      </c>
      <c r="N928" s="1" t="s">
        <v>1658</v>
      </c>
      <c r="O928" s="1" t="s">
        <v>1658</v>
      </c>
      <c r="P928" s="1">
        <v>1</v>
      </c>
      <c r="Q928" s="1" t="s">
        <v>1658</v>
      </c>
      <c r="R928" s="1">
        <v>0</v>
      </c>
      <c r="S928" s="1" t="s">
        <v>5844</v>
      </c>
      <c r="T928" s="6" t="s">
        <v>5844</v>
      </c>
      <c r="U928" s="1" t="str">
        <f t="shared" si="14"/>
        <v>Yes</v>
      </c>
      <c r="W928" s="1" t="s">
        <v>5845</v>
      </c>
      <c r="X928" s="1" t="str">
        <f>IF(COUNTIF('MyWells Drilling Comp'!F:F,E928)=0,"Missing","Exist")</f>
        <v>Exist</v>
      </c>
    </row>
    <row r="929" hidden="1" spans="1:24">
      <c r="A929" s="1" t="s">
        <v>5265</v>
      </c>
      <c r="B929" s="1" t="s">
        <v>90</v>
      </c>
      <c r="C929" s="1" t="s">
        <v>5846</v>
      </c>
      <c r="D929" s="1" t="s">
        <v>5842</v>
      </c>
      <c r="E929" s="2" t="s">
        <v>161</v>
      </c>
      <c r="F929" s="2" t="s">
        <v>5847</v>
      </c>
      <c r="G929" s="1">
        <v>1</v>
      </c>
      <c r="H929" s="1" t="s">
        <v>1656</v>
      </c>
      <c r="I929" s="1" t="s">
        <v>1657</v>
      </c>
      <c r="J929" s="1" t="s">
        <v>1658</v>
      </c>
      <c r="K929" s="1" t="s">
        <v>1658</v>
      </c>
      <c r="L929" s="1" t="s">
        <v>1658</v>
      </c>
      <c r="M929" s="1" t="s">
        <v>1658</v>
      </c>
      <c r="N929" s="1" t="s">
        <v>1658</v>
      </c>
      <c r="O929" s="1" t="s">
        <v>1658</v>
      </c>
      <c r="P929" s="1">
        <v>1</v>
      </c>
      <c r="Q929" s="1" t="s">
        <v>1658</v>
      </c>
      <c r="R929" s="1">
        <v>0</v>
      </c>
      <c r="S929" s="1" t="s">
        <v>5848</v>
      </c>
      <c r="T929" s="6" t="s">
        <v>5848</v>
      </c>
      <c r="U929" s="1" t="str">
        <f t="shared" si="14"/>
        <v>Yes</v>
      </c>
      <c r="W929" s="1" t="s">
        <v>5849</v>
      </c>
      <c r="X929" s="1" t="str">
        <f>IF(COUNTIF('MyWells Drilling Comp'!F:F,E929)=0,"Missing","Exist")</f>
        <v>Exist</v>
      </c>
    </row>
    <row r="930" hidden="1" spans="1:24">
      <c r="A930" s="1" t="s">
        <v>5265</v>
      </c>
      <c r="B930" s="1" t="s">
        <v>90</v>
      </c>
      <c r="C930" s="1" t="s">
        <v>5850</v>
      </c>
      <c r="D930" s="1" t="s">
        <v>5851</v>
      </c>
      <c r="E930" s="2" t="s">
        <v>1263</v>
      </c>
      <c r="F930" s="2" t="s">
        <v>5852</v>
      </c>
      <c r="G930" s="1">
        <v>1</v>
      </c>
      <c r="H930" s="1" t="s">
        <v>1656</v>
      </c>
      <c r="I930" s="1" t="s">
        <v>1657</v>
      </c>
      <c r="J930" s="1" t="s">
        <v>1658</v>
      </c>
      <c r="K930" s="1" t="s">
        <v>1658</v>
      </c>
      <c r="L930" s="1" t="s">
        <v>1658</v>
      </c>
      <c r="M930" s="1" t="s">
        <v>1658</v>
      </c>
      <c r="N930" s="1" t="s">
        <v>1658</v>
      </c>
      <c r="O930" s="1" t="s">
        <v>1658</v>
      </c>
      <c r="P930" s="1">
        <v>1</v>
      </c>
      <c r="Q930" s="1" t="s">
        <v>1658</v>
      </c>
      <c r="R930" s="1">
        <v>0</v>
      </c>
      <c r="S930" s="1" t="s">
        <v>5853</v>
      </c>
      <c r="T930" s="6" t="s">
        <v>5853</v>
      </c>
      <c r="U930" s="1" t="str">
        <f t="shared" si="14"/>
        <v>Yes</v>
      </c>
      <c r="W930" s="1" t="s">
        <v>5854</v>
      </c>
      <c r="X930" s="1" t="str">
        <f>IF(COUNTIF('MyWells Drilling Comp'!F:F,E930)=0,"Missing","Exist")</f>
        <v>Exist</v>
      </c>
    </row>
    <row r="931" hidden="1" spans="1:24">
      <c r="A931" s="1" t="s">
        <v>5265</v>
      </c>
      <c r="B931" s="1" t="s">
        <v>90</v>
      </c>
      <c r="C931" s="1" t="s">
        <v>5855</v>
      </c>
      <c r="D931" s="1" t="s">
        <v>5851</v>
      </c>
      <c r="E931" s="2" t="s">
        <v>1263</v>
      </c>
      <c r="F931" s="2" t="s">
        <v>5856</v>
      </c>
      <c r="G931" s="1">
        <v>1</v>
      </c>
      <c r="H931" s="1" t="s">
        <v>1663</v>
      </c>
      <c r="I931" s="1" t="s">
        <v>1657</v>
      </c>
      <c r="J931" s="1" t="s">
        <v>1658</v>
      </c>
      <c r="K931" s="1" t="s">
        <v>1658</v>
      </c>
      <c r="L931" s="1" t="s">
        <v>1658</v>
      </c>
      <c r="M931" s="1" t="s">
        <v>1658</v>
      </c>
      <c r="N931" s="1" t="s">
        <v>1658</v>
      </c>
      <c r="O931" s="1" t="s">
        <v>1658</v>
      </c>
      <c r="P931" s="1">
        <v>1</v>
      </c>
      <c r="Q931" s="1" t="s">
        <v>1658</v>
      </c>
      <c r="R931" s="1">
        <v>0</v>
      </c>
      <c r="S931" s="1" t="s">
        <v>5857</v>
      </c>
      <c r="T931" s="6" t="s">
        <v>5857</v>
      </c>
      <c r="U931" s="1" t="str">
        <f t="shared" si="14"/>
        <v>Yes</v>
      </c>
      <c r="W931" s="1" t="s">
        <v>5858</v>
      </c>
      <c r="X931" s="1" t="str">
        <f>IF(COUNTIF('MyWells Drilling Comp'!F:F,E931)=0,"Missing","Exist")</f>
        <v>Exist</v>
      </c>
    </row>
    <row r="932" hidden="1" spans="1:24">
      <c r="A932" s="1" t="s">
        <v>5265</v>
      </c>
      <c r="B932" s="1" t="s">
        <v>90</v>
      </c>
      <c r="C932" s="1" t="s">
        <v>5859</v>
      </c>
      <c r="D932" s="1" t="s">
        <v>5860</v>
      </c>
      <c r="E932" s="2" t="s">
        <v>1179</v>
      </c>
      <c r="F932" s="2" t="s">
        <v>5861</v>
      </c>
      <c r="G932" s="1">
        <v>1</v>
      </c>
      <c r="H932" s="1" t="s">
        <v>1656</v>
      </c>
      <c r="I932" s="1" t="s">
        <v>1657</v>
      </c>
      <c r="J932" s="1" t="s">
        <v>1658</v>
      </c>
      <c r="K932" s="1" t="s">
        <v>1658</v>
      </c>
      <c r="L932" s="1" t="s">
        <v>1658</v>
      </c>
      <c r="M932" s="1" t="s">
        <v>1658</v>
      </c>
      <c r="N932" s="1" t="s">
        <v>1658</v>
      </c>
      <c r="O932" s="1" t="s">
        <v>1658</v>
      </c>
      <c r="P932" s="1">
        <v>1</v>
      </c>
      <c r="Q932" s="1" t="s">
        <v>1658</v>
      </c>
      <c r="R932" s="1">
        <v>0</v>
      </c>
      <c r="S932" s="1" t="s">
        <v>5862</v>
      </c>
      <c r="T932" s="6" t="s">
        <v>5862</v>
      </c>
      <c r="U932" s="1" t="str">
        <f t="shared" si="14"/>
        <v>Yes</v>
      </c>
      <c r="W932" s="1" t="s">
        <v>5863</v>
      </c>
      <c r="X932" s="1" t="str">
        <f>IF(COUNTIF('MyWells Drilling Comp'!F:F,E932)=0,"Missing","Exist")</f>
        <v>Exist</v>
      </c>
    </row>
    <row r="933" hidden="1" spans="1:24">
      <c r="A933" s="1" t="s">
        <v>5265</v>
      </c>
      <c r="B933" s="1" t="s">
        <v>90</v>
      </c>
      <c r="C933" s="1" t="s">
        <v>5864</v>
      </c>
      <c r="D933" s="1" t="s">
        <v>5860</v>
      </c>
      <c r="E933" s="2" t="s">
        <v>1179</v>
      </c>
      <c r="F933" s="2" t="s">
        <v>5865</v>
      </c>
      <c r="G933" s="1">
        <v>1</v>
      </c>
      <c r="H933" s="1" t="s">
        <v>1663</v>
      </c>
      <c r="I933" s="1" t="s">
        <v>1657</v>
      </c>
      <c r="J933" s="1" t="s">
        <v>1658</v>
      </c>
      <c r="K933" s="1" t="s">
        <v>1658</v>
      </c>
      <c r="L933" s="1" t="s">
        <v>1658</v>
      </c>
      <c r="M933" s="1" t="s">
        <v>1658</v>
      </c>
      <c r="N933" s="1" t="s">
        <v>1658</v>
      </c>
      <c r="O933" s="1" t="s">
        <v>1658</v>
      </c>
      <c r="P933" s="1">
        <v>1</v>
      </c>
      <c r="Q933" s="1" t="s">
        <v>1658</v>
      </c>
      <c r="R933" s="1">
        <v>0</v>
      </c>
      <c r="S933" s="1" t="s">
        <v>5866</v>
      </c>
      <c r="T933" s="6" t="s">
        <v>5867</v>
      </c>
      <c r="U933" s="1" t="str">
        <f t="shared" si="14"/>
        <v>Yes</v>
      </c>
      <c r="W933" s="1" t="s">
        <v>5868</v>
      </c>
      <c r="X933" s="1" t="str">
        <f>IF(COUNTIF('MyWells Drilling Comp'!F:F,E933)=0,"Missing","Exist")</f>
        <v>Exist</v>
      </c>
    </row>
    <row r="934" hidden="1" spans="1:24">
      <c r="A934" s="1" t="s">
        <v>5265</v>
      </c>
      <c r="B934" s="1" t="s">
        <v>90</v>
      </c>
      <c r="C934" s="1" t="s">
        <v>5869</v>
      </c>
      <c r="D934" s="1" t="s">
        <v>5870</v>
      </c>
      <c r="E934" s="2" t="s">
        <v>954</v>
      </c>
      <c r="F934" s="2" t="s">
        <v>5871</v>
      </c>
      <c r="G934" s="1">
        <v>1</v>
      </c>
      <c r="H934" s="1" t="s">
        <v>1663</v>
      </c>
      <c r="I934" s="1" t="s">
        <v>1657</v>
      </c>
      <c r="J934" s="1" t="s">
        <v>1658</v>
      </c>
      <c r="K934" s="1" t="s">
        <v>1658</v>
      </c>
      <c r="L934" s="1" t="s">
        <v>1658</v>
      </c>
      <c r="M934" s="1" t="s">
        <v>1658</v>
      </c>
      <c r="N934" s="1" t="s">
        <v>1658</v>
      </c>
      <c r="O934" s="1" t="s">
        <v>1658</v>
      </c>
      <c r="P934" s="1">
        <v>1</v>
      </c>
      <c r="Q934" s="1" t="s">
        <v>1658</v>
      </c>
      <c r="R934" s="1">
        <v>0</v>
      </c>
      <c r="S934" s="1" t="s">
        <v>5872</v>
      </c>
      <c r="T934" s="6" t="s">
        <v>5872</v>
      </c>
      <c r="U934" s="1" t="str">
        <f t="shared" si="14"/>
        <v>Yes</v>
      </c>
      <c r="W934" s="1" t="s">
        <v>5873</v>
      </c>
      <c r="X934" s="1" t="str">
        <f>IF(COUNTIF('MyWells Drilling Comp'!F:F,E934)=0,"Missing","Exist")</f>
        <v>Exist</v>
      </c>
    </row>
    <row r="935" hidden="1" spans="1:24">
      <c r="A935" s="1" t="s">
        <v>5265</v>
      </c>
      <c r="B935" s="1" t="s">
        <v>90</v>
      </c>
      <c r="C935" s="1" t="s">
        <v>5874</v>
      </c>
      <c r="D935" s="1" t="s">
        <v>5870</v>
      </c>
      <c r="E935" s="2" t="s">
        <v>954</v>
      </c>
      <c r="F935" s="2" t="s">
        <v>5875</v>
      </c>
      <c r="G935" s="1">
        <v>1</v>
      </c>
      <c r="H935" s="1" t="s">
        <v>1656</v>
      </c>
      <c r="I935" s="1" t="s">
        <v>1657</v>
      </c>
      <c r="J935" s="1" t="s">
        <v>1658</v>
      </c>
      <c r="K935" s="1" t="s">
        <v>1658</v>
      </c>
      <c r="L935" s="1" t="s">
        <v>1658</v>
      </c>
      <c r="M935" s="1" t="s">
        <v>1658</v>
      </c>
      <c r="N935" s="1" t="s">
        <v>1658</v>
      </c>
      <c r="O935" s="1" t="s">
        <v>1658</v>
      </c>
      <c r="P935" s="1">
        <v>1</v>
      </c>
      <c r="Q935" s="1" t="s">
        <v>1658</v>
      </c>
      <c r="R935" s="1">
        <v>0</v>
      </c>
      <c r="S935" s="1" t="s">
        <v>5876</v>
      </c>
      <c r="T935" s="6" t="s">
        <v>5876</v>
      </c>
      <c r="U935" s="1" t="str">
        <f t="shared" si="14"/>
        <v>Yes</v>
      </c>
      <c r="W935" s="1" t="s">
        <v>5877</v>
      </c>
      <c r="X935" s="1" t="str">
        <f>IF(COUNTIF('MyWells Drilling Comp'!F:F,E935)=0,"Missing","Exist")</f>
        <v>Exist</v>
      </c>
    </row>
    <row r="936" hidden="1" spans="1:24">
      <c r="A936" s="1" t="s">
        <v>5265</v>
      </c>
      <c r="B936" s="1" t="s">
        <v>90</v>
      </c>
      <c r="C936" s="1" t="s">
        <v>5878</v>
      </c>
      <c r="D936" s="1" t="s">
        <v>5879</v>
      </c>
      <c r="E936" s="2" t="s">
        <v>1459</v>
      </c>
      <c r="F936" s="2" t="s">
        <v>5880</v>
      </c>
      <c r="G936" s="1">
        <v>1</v>
      </c>
      <c r="H936" s="1" t="s">
        <v>1656</v>
      </c>
      <c r="I936" s="1" t="s">
        <v>1657</v>
      </c>
      <c r="J936" s="1" t="s">
        <v>1658</v>
      </c>
      <c r="K936" s="1" t="s">
        <v>1658</v>
      </c>
      <c r="L936" s="1" t="s">
        <v>1658</v>
      </c>
      <c r="M936" s="1" t="s">
        <v>1658</v>
      </c>
      <c r="N936" s="1" t="s">
        <v>1658</v>
      </c>
      <c r="O936" s="1" t="s">
        <v>1658</v>
      </c>
      <c r="P936" s="1">
        <v>1</v>
      </c>
      <c r="Q936" s="1" t="s">
        <v>1658</v>
      </c>
      <c r="R936" s="1">
        <v>0</v>
      </c>
      <c r="S936" s="1" t="s">
        <v>5881</v>
      </c>
      <c r="T936" s="6" t="s">
        <v>5881</v>
      </c>
      <c r="U936" s="1" t="str">
        <f t="shared" si="14"/>
        <v>Yes</v>
      </c>
      <c r="W936" s="1" t="s">
        <v>5882</v>
      </c>
      <c r="X936" s="1" t="str">
        <f>IF(COUNTIF('MyWells Drilling Comp'!F:F,E936)=0,"Missing","Exist")</f>
        <v>Exist</v>
      </c>
    </row>
    <row r="937" hidden="1" spans="1:24">
      <c r="A937" s="1" t="s">
        <v>5265</v>
      </c>
      <c r="B937" s="1" t="s">
        <v>90</v>
      </c>
      <c r="C937" s="1" t="s">
        <v>5883</v>
      </c>
      <c r="D937" s="1" t="s">
        <v>5879</v>
      </c>
      <c r="E937" s="2" t="s">
        <v>1459</v>
      </c>
      <c r="F937" s="2" t="s">
        <v>5884</v>
      </c>
      <c r="G937" s="1">
        <v>1</v>
      </c>
      <c r="H937" s="1" t="s">
        <v>1663</v>
      </c>
      <c r="I937" s="1" t="s">
        <v>1657</v>
      </c>
      <c r="J937" s="1" t="s">
        <v>1658</v>
      </c>
      <c r="K937" s="1" t="s">
        <v>1658</v>
      </c>
      <c r="L937" s="1" t="s">
        <v>1658</v>
      </c>
      <c r="M937" s="1" t="s">
        <v>1658</v>
      </c>
      <c r="N937" s="1" t="s">
        <v>1658</v>
      </c>
      <c r="O937" s="1" t="s">
        <v>1658</v>
      </c>
      <c r="P937" s="1">
        <v>1</v>
      </c>
      <c r="Q937" s="1" t="s">
        <v>1658</v>
      </c>
      <c r="R937" s="1">
        <v>0</v>
      </c>
      <c r="S937" s="1" t="s">
        <v>5885</v>
      </c>
      <c r="T937" s="6" t="s">
        <v>5885</v>
      </c>
      <c r="U937" s="1" t="str">
        <f t="shared" si="14"/>
        <v>Yes</v>
      </c>
      <c r="W937" s="1" t="s">
        <v>5886</v>
      </c>
      <c r="X937" s="1" t="str">
        <f>IF(COUNTIF('MyWells Drilling Comp'!F:F,E937)=0,"Missing","Exist")</f>
        <v>Exist</v>
      </c>
    </row>
    <row r="938" hidden="1" spans="1:24">
      <c r="A938" s="1" t="s">
        <v>5265</v>
      </c>
      <c r="B938" s="1" t="s">
        <v>90</v>
      </c>
      <c r="C938" s="1" t="s">
        <v>5887</v>
      </c>
      <c r="D938" s="1" t="s">
        <v>5888</v>
      </c>
      <c r="E938" s="2" t="s">
        <v>505</v>
      </c>
      <c r="F938" s="2" t="s">
        <v>5889</v>
      </c>
      <c r="G938" s="1">
        <v>1</v>
      </c>
      <c r="H938" s="1" t="s">
        <v>1656</v>
      </c>
      <c r="I938" s="1" t="s">
        <v>1657</v>
      </c>
      <c r="J938" s="1" t="s">
        <v>1658</v>
      </c>
      <c r="K938" s="1" t="s">
        <v>1658</v>
      </c>
      <c r="L938" s="1" t="s">
        <v>1658</v>
      </c>
      <c r="M938" s="1" t="s">
        <v>1658</v>
      </c>
      <c r="N938" s="1" t="s">
        <v>1658</v>
      </c>
      <c r="O938" s="1" t="s">
        <v>1658</v>
      </c>
      <c r="P938" s="1">
        <v>1</v>
      </c>
      <c r="Q938" s="1" t="s">
        <v>1658</v>
      </c>
      <c r="R938" s="1">
        <v>0</v>
      </c>
      <c r="S938" s="1" t="s">
        <v>5890</v>
      </c>
      <c r="T938" s="6" t="s">
        <v>5890</v>
      </c>
      <c r="U938" s="1" t="str">
        <f t="shared" si="14"/>
        <v>Yes</v>
      </c>
      <c r="W938" s="1" t="s">
        <v>5891</v>
      </c>
      <c r="X938" s="1" t="str">
        <f>IF(COUNTIF('MyWells Drilling Comp'!F:F,E938)=0,"Missing","Exist")</f>
        <v>Exist</v>
      </c>
    </row>
    <row r="939" hidden="1" spans="1:24">
      <c r="A939" s="1" t="s">
        <v>5265</v>
      </c>
      <c r="B939" s="1" t="s">
        <v>90</v>
      </c>
      <c r="C939" s="1" t="s">
        <v>5892</v>
      </c>
      <c r="D939" s="1" t="s">
        <v>5888</v>
      </c>
      <c r="E939" s="2" t="s">
        <v>505</v>
      </c>
      <c r="F939" s="2" t="s">
        <v>5893</v>
      </c>
      <c r="G939" s="1">
        <v>1</v>
      </c>
      <c r="H939" s="1" t="s">
        <v>1663</v>
      </c>
      <c r="I939" s="1" t="s">
        <v>1657</v>
      </c>
      <c r="J939" s="1" t="s">
        <v>1658</v>
      </c>
      <c r="K939" s="1" t="s">
        <v>1658</v>
      </c>
      <c r="L939" s="1" t="s">
        <v>1658</v>
      </c>
      <c r="M939" s="1" t="s">
        <v>1658</v>
      </c>
      <c r="N939" s="1" t="s">
        <v>1658</v>
      </c>
      <c r="O939" s="1" t="s">
        <v>1658</v>
      </c>
      <c r="P939" s="1">
        <v>1</v>
      </c>
      <c r="Q939" s="1" t="s">
        <v>1658</v>
      </c>
      <c r="R939" s="1">
        <v>0</v>
      </c>
      <c r="S939" s="1" t="s">
        <v>5894</v>
      </c>
      <c r="T939" s="6" t="s">
        <v>5894</v>
      </c>
      <c r="U939" s="1" t="str">
        <f t="shared" si="14"/>
        <v>Yes</v>
      </c>
      <c r="W939" s="1" t="s">
        <v>5895</v>
      </c>
      <c r="X939" s="1" t="str">
        <f>IF(COUNTIF('MyWells Drilling Comp'!F:F,E939)=0,"Missing","Exist")</f>
        <v>Exist</v>
      </c>
    </row>
    <row r="940" hidden="1" spans="1:24">
      <c r="A940" s="1" t="s">
        <v>5265</v>
      </c>
      <c r="B940" s="1" t="s">
        <v>90</v>
      </c>
      <c r="C940" s="1" t="s">
        <v>5896</v>
      </c>
      <c r="D940" s="1" t="s">
        <v>5897</v>
      </c>
      <c r="E940" s="2" t="s">
        <v>635</v>
      </c>
      <c r="F940" s="2" t="s">
        <v>5898</v>
      </c>
      <c r="G940" s="1">
        <v>1</v>
      </c>
      <c r="H940" s="1" t="s">
        <v>1656</v>
      </c>
      <c r="I940" s="1" t="s">
        <v>1657</v>
      </c>
      <c r="J940" s="1" t="s">
        <v>1658</v>
      </c>
      <c r="K940" s="1" t="s">
        <v>1658</v>
      </c>
      <c r="L940" s="1" t="s">
        <v>1658</v>
      </c>
      <c r="M940" s="1" t="s">
        <v>1658</v>
      </c>
      <c r="N940" s="1" t="s">
        <v>1658</v>
      </c>
      <c r="O940" s="1" t="s">
        <v>1658</v>
      </c>
      <c r="P940" s="1">
        <v>1</v>
      </c>
      <c r="Q940" s="1" t="s">
        <v>1658</v>
      </c>
      <c r="R940" s="1">
        <v>0</v>
      </c>
      <c r="S940" s="1" t="s">
        <v>5899</v>
      </c>
      <c r="T940" s="6" t="s">
        <v>5899</v>
      </c>
      <c r="U940" s="1" t="str">
        <f t="shared" si="14"/>
        <v>Yes</v>
      </c>
      <c r="W940" s="1" t="s">
        <v>5900</v>
      </c>
      <c r="X940" s="1" t="str">
        <f>IF(COUNTIF('MyWells Drilling Comp'!F:F,E940)=0,"Missing","Exist")</f>
        <v>Exist</v>
      </c>
    </row>
    <row r="941" hidden="1" spans="1:24">
      <c r="A941" s="1" t="s">
        <v>5265</v>
      </c>
      <c r="B941" s="1" t="s">
        <v>90</v>
      </c>
      <c r="C941" s="1" t="s">
        <v>5901</v>
      </c>
      <c r="D941" s="1" t="s">
        <v>5897</v>
      </c>
      <c r="E941" s="2" t="s">
        <v>635</v>
      </c>
      <c r="F941" s="2" t="s">
        <v>5902</v>
      </c>
      <c r="G941" s="1">
        <v>1</v>
      </c>
      <c r="H941" s="1" t="s">
        <v>1663</v>
      </c>
      <c r="I941" s="1" t="s">
        <v>1657</v>
      </c>
      <c r="J941" s="1" t="s">
        <v>1658</v>
      </c>
      <c r="K941" s="1" t="s">
        <v>1658</v>
      </c>
      <c r="L941" s="1" t="s">
        <v>1658</v>
      </c>
      <c r="M941" s="1" t="s">
        <v>1658</v>
      </c>
      <c r="N941" s="1" t="s">
        <v>1658</v>
      </c>
      <c r="O941" s="1" t="s">
        <v>1658</v>
      </c>
      <c r="P941" s="1">
        <v>1</v>
      </c>
      <c r="Q941" s="1" t="s">
        <v>1658</v>
      </c>
      <c r="R941" s="1">
        <v>0</v>
      </c>
      <c r="S941" s="1" t="s">
        <v>5903</v>
      </c>
      <c r="T941" s="6" t="s">
        <v>5903</v>
      </c>
      <c r="U941" s="1" t="str">
        <f t="shared" si="14"/>
        <v>Yes</v>
      </c>
      <c r="W941" s="1" t="s">
        <v>5904</v>
      </c>
      <c r="X941" s="1" t="str">
        <f>IF(COUNTIF('MyWells Drilling Comp'!F:F,E941)=0,"Missing","Exist")</f>
        <v>Exist</v>
      </c>
    </row>
    <row r="942" hidden="1" spans="1:24">
      <c r="A942" s="1" t="s">
        <v>5265</v>
      </c>
      <c r="B942" s="1" t="s">
        <v>90</v>
      </c>
      <c r="C942" s="1" t="s">
        <v>5905</v>
      </c>
      <c r="D942" s="1" t="s">
        <v>5906</v>
      </c>
      <c r="E942" s="2" t="s">
        <v>1120</v>
      </c>
      <c r="F942" s="2" t="s">
        <v>5907</v>
      </c>
      <c r="G942" s="1">
        <v>1</v>
      </c>
      <c r="H942" s="1" t="s">
        <v>1663</v>
      </c>
      <c r="I942" s="1" t="s">
        <v>1657</v>
      </c>
      <c r="J942" s="1" t="s">
        <v>1658</v>
      </c>
      <c r="K942" s="1" t="s">
        <v>1658</v>
      </c>
      <c r="L942" s="1" t="s">
        <v>1658</v>
      </c>
      <c r="M942" s="1" t="s">
        <v>1658</v>
      </c>
      <c r="N942" s="1" t="s">
        <v>1658</v>
      </c>
      <c r="O942" s="1" t="s">
        <v>1658</v>
      </c>
      <c r="P942" s="1">
        <v>1</v>
      </c>
      <c r="Q942" s="1" t="s">
        <v>1658</v>
      </c>
      <c r="R942" s="1">
        <v>0</v>
      </c>
      <c r="S942" s="1" t="s">
        <v>5908</v>
      </c>
      <c r="T942" s="6" t="s">
        <v>5908</v>
      </c>
      <c r="U942" s="1" t="str">
        <f t="shared" si="14"/>
        <v>Yes</v>
      </c>
      <c r="W942" s="1" t="s">
        <v>5909</v>
      </c>
      <c r="X942" s="1" t="str">
        <f>IF(COUNTIF('MyWells Drilling Comp'!F:F,E942)=0,"Missing","Exist")</f>
        <v>Exist</v>
      </c>
    </row>
    <row r="943" hidden="1" spans="1:24">
      <c r="A943" s="1" t="s">
        <v>5265</v>
      </c>
      <c r="B943" s="1" t="s">
        <v>90</v>
      </c>
      <c r="C943" s="1" t="s">
        <v>5910</v>
      </c>
      <c r="D943" s="1" t="s">
        <v>5906</v>
      </c>
      <c r="E943" s="2" t="s">
        <v>1120</v>
      </c>
      <c r="F943" s="2" t="s">
        <v>5911</v>
      </c>
      <c r="G943" s="1">
        <v>1</v>
      </c>
      <c r="H943" s="1" t="s">
        <v>1656</v>
      </c>
      <c r="I943" s="1" t="s">
        <v>1657</v>
      </c>
      <c r="J943" s="1" t="s">
        <v>1658</v>
      </c>
      <c r="K943" s="1" t="s">
        <v>1658</v>
      </c>
      <c r="L943" s="1" t="s">
        <v>1658</v>
      </c>
      <c r="M943" s="1" t="s">
        <v>1658</v>
      </c>
      <c r="N943" s="1" t="s">
        <v>1658</v>
      </c>
      <c r="O943" s="1" t="s">
        <v>1658</v>
      </c>
      <c r="P943" s="1">
        <v>1</v>
      </c>
      <c r="Q943" s="1" t="s">
        <v>1658</v>
      </c>
      <c r="R943" s="1">
        <v>0</v>
      </c>
      <c r="S943" s="1" t="s">
        <v>5912</v>
      </c>
      <c r="T943" s="6" t="s">
        <v>5912</v>
      </c>
      <c r="U943" s="1" t="str">
        <f t="shared" si="14"/>
        <v>Yes</v>
      </c>
      <c r="W943" s="1" t="s">
        <v>5913</v>
      </c>
      <c r="X943" s="1" t="str">
        <f>IF(COUNTIF('MyWells Drilling Comp'!F:F,E943)=0,"Missing","Exist")</f>
        <v>Exist</v>
      </c>
    </row>
    <row r="944" hidden="1" spans="1:24">
      <c r="A944" s="1" t="s">
        <v>5265</v>
      </c>
      <c r="B944" s="1" t="s">
        <v>90</v>
      </c>
      <c r="C944" s="1" t="s">
        <v>5914</v>
      </c>
      <c r="D944" s="1" t="s">
        <v>5915</v>
      </c>
      <c r="E944" s="2" t="s">
        <v>1587</v>
      </c>
      <c r="F944" s="2" t="s">
        <v>5916</v>
      </c>
      <c r="G944" s="1">
        <v>1</v>
      </c>
      <c r="H944" s="1" t="s">
        <v>1656</v>
      </c>
      <c r="I944" s="1" t="s">
        <v>1657</v>
      </c>
      <c r="J944" s="1" t="s">
        <v>1658</v>
      </c>
      <c r="K944" s="1" t="s">
        <v>1658</v>
      </c>
      <c r="L944" s="1" t="s">
        <v>1658</v>
      </c>
      <c r="M944" s="1" t="s">
        <v>1658</v>
      </c>
      <c r="N944" s="1" t="s">
        <v>1658</v>
      </c>
      <c r="O944" s="1" t="s">
        <v>1658</v>
      </c>
      <c r="P944" s="1">
        <v>1</v>
      </c>
      <c r="Q944" s="1" t="s">
        <v>1658</v>
      </c>
      <c r="R944" s="1">
        <v>0</v>
      </c>
      <c r="S944" s="1" t="s">
        <v>5917</v>
      </c>
      <c r="T944" s="6" t="s">
        <v>5917</v>
      </c>
      <c r="U944" s="1" t="str">
        <f t="shared" si="14"/>
        <v>Yes</v>
      </c>
      <c r="W944" s="1" t="s">
        <v>5918</v>
      </c>
      <c r="X944" s="1" t="str">
        <f>IF(COUNTIF('MyWells Drilling Comp'!F:F,E944)=0,"Missing","Exist")</f>
        <v>Exist</v>
      </c>
    </row>
    <row r="945" hidden="1" spans="1:24">
      <c r="A945" s="1" t="s">
        <v>5265</v>
      </c>
      <c r="B945" s="1" t="s">
        <v>90</v>
      </c>
      <c r="C945" s="1" t="s">
        <v>5919</v>
      </c>
      <c r="D945" s="1" t="s">
        <v>5915</v>
      </c>
      <c r="E945" s="2" t="s">
        <v>1587</v>
      </c>
      <c r="F945" s="2" t="s">
        <v>5920</v>
      </c>
      <c r="G945" s="1">
        <v>1</v>
      </c>
      <c r="H945" s="1" t="s">
        <v>1663</v>
      </c>
      <c r="I945" s="1" t="s">
        <v>1657</v>
      </c>
      <c r="J945" s="1" t="s">
        <v>1658</v>
      </c>
      <c r="K945" s="1" t="s">
        <v>1658</v>
      </c>
      <c r="L945" s="1" t="s">
        <v>1658</v>
      </c>
      <c r="M945" s="1" t="s">
        <v>1658</v>
      </c>
      <c r="N945" s="1" t="s">
        <v>1658</v>
      </c>
      <c r="O945" s="1" t="s">
        <v>1658</v>
      </c>
      <c r="P945" s="1">
        <v>1</v>
      </c>
      <c r="Q945" s="1" t="s">
        <v>1658</v>
      </c>
      <c r="R945" s="1">
        <v>0</v>
      </c>
      <c r="S945" s="1" t="s">
        <v>5921</v>
      </c>
      <c r="T945" s="6" t="s">
        <v>5921</v>
      </c>
      <c r="U945" s="1" t="str">
        <f t="shared" si="14"/>
        <v>Yes</v>
      </c>
      <c r="W945" s="1" t="s">
        <v>5922</v>
      </c>
      <c r="X945" s="1" t="str">
        <f>IF(COUNTIF('MyWells Drilling Comp'!F:F,E945)=0,"Missing","Exist")</f>
        <v>Exist</v>
      </c>
    </row>
    <row r="946" hidden="1" spans="1:24">
      <c r="A946" s="1" t="s">
        <v>5265</v>
      </c>
      <c r="B946" s="1" t="s">
        <v>90</v>
      </c>
      <c r="C946" s="1" t="s">
        <v>5923</v>
      </c>
      <c r="D946" s="1" t="s">
        <v>5924</v>
      </c>
      <c r="E946" s="2" t="s">
        <v>763</v>
      </c>
      <c r="F946" s="2" t="s">
        <v>5925</v>
      </c>
      <c r="G946" s="1">
        <v>1</v>
      </c>
      <c r="H946" s="1" t="s">
        <v>1656</v>
      </c>
      <c r="I946" s="1" t="s">
        <v>1657</v>
      </c>
      <c r="J946" s="1" t="s">
        <v>1658</v>
      </c>
      <c r="K946" s="1" t="s">
        <v>1658</v>
      </c>
      <c r="L946" s="1" t="s">
        <v>1658</v>
      </c>
      <c r="M946" s="1" t="s">
        <v>1658</v>
      </c>
      <c r="N946" s="1" t="s">
        <v>1658</v>
      </c>
      <c r="O946" s="1" t="s">
        <v>1658</v>
      </c>
      <c r="P946" s="1">
        <v>1</v>
      </c>
      <c r="Q946" s="1" t="s">
        <v>1658</v>
      </c>
      <c r="R946" s="1">
        <v>0</v>
      </c>
      <c r="S946" s="1" t="s">
        <v>5926</v>
      </c>
      <c r="T946" s="6" t="s">
        <v>5926</v>
      </c>
      <c r="U946" s="1" t="str">
        <f t="shared" si="14"/>
        <v>Yes</v>
      </c>
      <c r="W946" s="1" t="s">
        <v>5927</v>
      </c>
      <c r="X946" s="1" t="str">
        <f>IF(COUNTIF('MyWells Drilling Comp'!F:F,E946)=0,"Missing","Exist")</f>
        <v>Exist</v>
      </c>
    </row>
    <row r="947" hidden="1" spans="1:24">
      <c r="A947" s="1" t="s">
        <v>5265</v>
      </c>
      <c r="B947" s="1" t="s">
        <v>90</v>
      </c>
      <c r="C947" s="1" t="s">
        <v>5928</v>
      </c>
      <c r="D947" s="1" t="s">
        <v>5924</v>
      </c>
      <c r="E947" s="2" t="s">
        <v>763</v>
      </c>
      <c r="F947" s="2" t="s">
        <v>5929</v>
      </c>
      <c r="G947" s="1">
        <v>1</v>
      </c>
      <c r="H947" s="1" t="s">
        <v>1663</v>
      </c>
      <c r="I947" s="1" t="s">
        <v>1657</v>
      </c>
      <c r="J947" s="1" t="s">
        <v>1658</v>
      </c>
      <c r="K947" s="1" t="s">
        <v>1658</v>
      </c>
      <c r="L947" s="1" t="s">
        <v>1658</v>
      </c>
      <c r="M947" s="1" t="s">
        <v>1658</v>
      </c>
      <c r="N947" s="1" t="s">
        <v>1658</v>
      </c>
      <c r="O947" s="1" t="s">
        <v>1658</v>
      </c>
      <c r="P947" s="1">
        <v>1</v>
      </c>
      <c r="Q947" s="1" t="s">
        <v>1658</v>
      </c>
      <c r="R947" s="1">
        <v>0</v>
      </c>
      <c r="S947" s="1" t="s">
        <v>5930</v>
      </c>
      <c r="T947" s="6" t="s">
        <v>5930</v>
      </c>
      <c r="U947" s="1" t="str">
        <f t="shared" si="14"/>
        <v>Yes</v>
      </c>
      <c r="W947" s="1" t="s">
        <v>5931</v>
      </c>
      <c r="X947" s="1" t="str">
        <f>IF(COUNTIF('MyWells Drilling Comp'!F:F,E947)=0,"Missing","Exist")</f>
        <v>Exist</v>
      </c>
    </row>
    <row r="948" hidden="1" spans="1:24">
      <c r="A948" s="1" t="s">
        <v>5265</v>
      </c>
      <c r="B948" s="1" t="s">
        <v>90</v>
      </c>
      <c r="C948" s="1" t="s">
        <v>5932</v>
      </c>
      <c r="D948" s="1" t="s">
        <v>5933</v>
      </c>
      <c r="E948" s="2" t="s">
        <v>1309</v>
      </c>
      <c r="F948" s="2" t="s">
        <v>5934</v>
      </c>
      <c r="G948" s="1">
        <v>1</v>
      </c>
      <c r="H948" s="1" t="s">
        <v>1663</v>
      </c>
      <c r="I948" s="1" t="s">
        <v>1657</v>
      </c>
      <c r="J948" s="1" t="s">
        <v>1658</v>
      </c>
      <c r="K948" s="1" t="s">
        <v>1658</v>
      </c>
      <c r="L948" s="1" t="s">
        <v>1658</v>
      </c>
      <c r="M948" s="1" t="s">
        <v>1658</v>
      </c>
      <c r="N948" s="1" t="s">
        <v>1658</v>
      </c>
      <c r="O948" s="1" t="s">
        <v>1658</v>
      </c>
      <c r="P948" s="1">
        <v>1</v>
      </c>
      <c r="Q948" s="1" t="s">
        <v>1658</v>
      </c>
      <c r="R948" s="1">
        <v>0</v>
      </c>
      <c r="S948" s="1" t="s">
        <v>5935</v>
      </c>
      <c r="T948" s="6" t="s">
        <v>5935</v>
      </c>
      <c r="U948" s="1" t="str">
        <f t="shared" si="14"/>
        <v>Yes</v>
      </c>
      <c r="W948" s="1" t="s">
        <v>5936</v>
      </c>
      <c r="X948" s="1" t="str">
        <f>IF(COUNTIF('MyWells Drilling Comp'!F:F,E948)=0,"Missing","Exist")</f>
        <v>Exist</v>
      </c>
    </row>
    <row r="949" hidden="1" spans="1:24">
      <c r="A949" s="1" t="s">
        <v>5265</v>
      </c>
      <c r="B949" s="1" t="s">
        <v>90</v>
      </c>
      <c r="C949" s="1" t="s">
        <v>5937</v>
      </c>
      <c r="D949" s="1" t="s">
        <v>5933</v>
      </c>
      <c r="E949" s="2" t="s">
        <v>1309</v>
      </c>
      <c r="F949" s="2" t="s">
        <v>5938</v>
      </c>
      <c r="G949" s="1">
        <v>1</v>
      </c>
      <c r="H949" s="1" t="s">
        <v>1656</v>
      </c>
      <c r="I949" s="1" t="s">
        <v>1657</v>
      </c>
      <c r="J949" s="1" t="s">
        <v>1658</v>
      </c>
      <c r="K949" s="1" t="s">
        <v>1658</v>
      </c>
      <c r="L949" s="1" t="s">
        <v>1658</v>
      </c>
      <c r="M949" s="1" t="s">
        <v>1658</v>
      </c>
      <c r="N949" s="1" t="s">
        <v>1658</v>
      </c>
      <c r="O949" s="1" t="s">
        <v>1658</v>
      </c>
      <c r="P949" s="1">
        <v>1</v>
      </c>
      <c r="Q949" s="1" t="s">
        <v>1658</v>
      </c>
      <c r="R949" s="1">
        <v>0</v>
      </c>
      <c r="S949" s="1" t="s">
        <v>5939</v>
      </c>
      <c r="T949" s="6" t="s">
        <v>5939</v>
      </c>
      <c r="U949" s="1" t="str">
        <f t="shared" si="14"/>
        <v>Yes</v>
      </c>
      <c r="W949" s="1" t="s">
        <v>5940</v>
      </c>
      <c r="X949" s="1" t="str">
        <f>IF(COUNTIF('MyWells Drilling Comp'!F:F,E949)=0,"Missing","Exist")</f>
        <v>Exist</v>
      </c>
    </row>
    <row r="950" hidden="1" spans="1:24">
      <c r="A950" s="1" t="s">
        <v>5265</v>
      </c>
      <c r="B950" s="1" t="s">
        <v>90</v>
      </c>
      <c r="C950" s="1" t="s">
        <v>5941</v>
      </c>
      <c r="D950" s="1" t="s">
        <v>5942</v>
      </c>
      <c r="E950" s="2" t="s">
        <v>728</v>
      </c>
      <c r="F950" s="2" t="s">
        <v>5943</v>
      </c>
      <c r="G950" s="1">
        <v>1</v>
      </c>
      <c r="H950" s="1" t="s">
        <v>1663</v>
      </c>
      <c r="I950" s="1" t="s">
        <v>1657</v>
      </c>
      <c r="J950" s="1" t="s">
        <v>1658</v>
      </c>
      <c r="K950" s="1" t="s">
        <v>1658</v>
      </c>
      <c r="L950" s="1" t="s">
        <v>1658</v>
      </c>
      <c r="M950" s="1" t="s">
        <v>1658</v>
      </c>
      <c r="N950" s="1" t="s">
        <v>1658</v>
      </c>
      <c r="O950" s="1" t="s">
        <v>1658</v>
      </c>
      <c r="P950" s="1">
        <v>1</v>
      </c>
      <c r="Q950" s="1" t="s">
        <v>1658</v>
      </c>
      <c r="R950" s="1">
        <v>0</v>
      </c>
      <c r="S950" s="1" t="s">
        <v>5944</v>
      </c>
      <c r="T950" s="6" t="s">
        <v>5944</v>
      </c>
      <c r="U950" s="1" t="str">
        <f t="shared" si="14"/>
        <v>Yes</v>
      </c>
      <c r="W950" s="1" t="s">
        <v>5945</v>
      </c>
      <c r="X950" s="1" t="str">
        <f>IF(COUNTIF('MyWells Drilling Comp'!F:F,E950)=0,"Missing","Exist")</f>
        <v>Exist</v>
      </c>
    </row>
    <row r="951" hidden="1" spans="1:24">
      <c r="A951" s="1" t="s">
        <v>5265</v>
      </c>
      <c r="B951" s="1" t="s">
        <v>90</v>
      </c>
      <c r="C951" s="1" t="s">
        <v>5946</v>
      </c>
      <c r="D951" s="1" t="s">
        <v>5942</v>
      </c>
      <c r="E951" s="2" t="s">
        <v>728</v>
      </c>
      <c r="F951" s="2" t="s">
        <v>5947</v>
      </c>
      <c r="G951" s="1">
        <v>1</v>
      </c>
      <c r="H951" s="1" t="s">
        <v>1656</v>
      </c>
      <c r="I951" s="1" t="s">
        <v>1657</v>
      </c>
      <c r="J951" s="1" t="s">
        <v>1658</v>
      </c>
      <c r="K951" s="1" t="s">
        <v>1658</v>
      </c>
      <c r="L951" s="1" t="s">
        <v>1658</v>
      </c>
      <c r="M951" s="1" t="s">
        <v>1658</v>
      </c>
      <c r="N951" s="1" t="s">
        <v>1658</v>
      </c>
      <c r="O951" s="1" t="s">
        <v>1658</v>
      </c>
      <c r="P951" s="1">
        <v>1</v>
      </c>
      <c r="Q951" s="1" t="s">
        <v>1658</v>
      </c>
      <c r="R951" s="1">
        <v>0</v>
      </c>
      <c r="S951" s="1" t="s">
        <v>5948</v>
      </c>
      <c r="T951" s="6" t="s">
        <v>5948</v>
      </c>
      <c r="U951" s="1" t="str">
        <f t="shared" si="14"/>
        <v>Yes</v>
      </c>
      <c r="W951" s="1" t="s">
        <v>5949</v>
      </c>
      <c r="X951" s="1" t="str">
        <f>IF(COUNTIF('MyWells Drilling Comp'!F:F,E951)=0,"Missing","Exist")</f>
        <v>Exist</v>
      </c>
    </row>
    <row r="952" hidden="1" spans="1:24">
      <c r="A952" s="1" t="s">
        <v>5265</v>
      </c>
      <c r="B952" s="1" t="s">
        <v>90</v>
      </c>
      <c r="C952" s="1" t="s">
        <v>5950</v>
      </c>
      <c r="D952" s="1" t="s">
        <v>5951</v>
      </c>
      <c r="E952" s="2" t="s">
        <v>1006</v>
      </c>
      <c r="F952" s="2" t="s">
        <v>5952</v>
      </c>
      <c r="G952" s="1">
        <v>1</v>
      </c>
      <c r="H952" s="1" t="s">
        <v>1663</v>
      </c>
      <c r="I952" s="1" t="s">
        <v>1657</v>
      </c>
      <c r="J952" s="1" t="s">
        <v>1658</v>
      </c>
      <c r="K952" s="1" t="s">
        <v>1658</v>
      </c>
      <c r="L952" s="1" t="s">
        <v>1658</v>
      </c>
      <c r="M952" s="1" t="s">
        <v>1658</v>
      </c>
      <c r="N952" s="1" t="s">
        <v>1658</v>
      </c>
      <c r="O952" s="1" t="s">
        <v>1658</v>
      </c>
      <c r="P952" s="1">
        <v>1</v>
      </c>
      <c r="Q952" s="1" t="s">
        <v>1658</v>
      </c>
      <c r="R952" s="1">
        <v>0</v>
      </c>
      <c r="S952" s="1" t="s">
        <v>5953</v>
      </c>
      <c r="T952" s="6" t="s">
        <v>5953</v>
      </c>
      <c r="U952" s="1" t="str">
        <f t="shared" si="14"/>
        <v>Yes</v>
      </c>
      <c r="W952" s="1" t="s">
        <v>5954</v>
      </c>
      <c r="X952" s="1" t="str">
        <f>IF(COUNTIF('MyWells Drilling Comp'!F:F,E952)=0,"Missing","Exist")</f>
        <v>Exist</v>
      </c>
    </row>
    <row r="953" hidden="1" spans="1:24">
      <c r="A953" s="1" t="s">
        <v>5265</v>
      </c>
      <c r="B953" s="1" t="s">
        <v>90</v>
      </c>
      <c r="C953" s="1" t="s">
        <v>5955</v>
      </c>
      <c r="D953" s="1" t="s">
        <v>5951</v>
      </c>
      <c r="E953" s="2" t="s">
        <v>1006</v>
      </c>
      <c r="F953" s="2" t="s">
        <v>5956</v>
      </c>
      <c r="G953" s="1">
        <v>1</v>
      </c>
      <c r="H953" s="1" t="s">
        <v>1656</v>
      </c>
      <c r="I953" s="1" t="s">
        <v>1657</v>
      </c>
      <c r="J953" s="1" t="s">
        <v>1658</v>
      </c>
      <c r="K953" s="1" t="s">
        <v>1658</v>
      </c>
      <c r="L953" s="1" t="s">
        <v>1658</v>
      </c>
      <c r="M953" s="1" t="s">
        <v>1658</v>
      </c>
      <c r="N953" s="1" t="s">
        <v>1658</v>
      </c>
      <c r="O953" s="1" t="s">
        <v>1658</v>
      </c>
      <c r="P953" s="1">
        <v>1</v>
      </c>
      <c r="Q953" s="1" t="s">
        <v>1658</v>
      </c>
      <c r="R953" s="1">
        <v>0</v>
      </c>
      <c r="S953" s="1" t="s">
        <v>5957</v>
      </c>
      <c r="T953" s="6" t="s">
        <v>5957</v>
      </c>
      <c r="U953" s="1" t="str">
        <f t="shared" si="14"/>
        <v>Yes</v>
      </c>
      <c r="W953" s="1" t="s">
        <v>5958</v>
      </c>
      <c r="X953" s="1" t="str">
        <f>IF(COUNTIF('MyWells Drilling Comp'!F:F,E953)=0,"Missing","Exist")</f>
        <v>Exist</v>
      </c>
    </row>
    <row r="954" hidden="1" spans="1:24">
      <c r="A954" s="1" t="s">
        <v>5265</v>
      </c>
      <c r="B954" s="1" t="s">
        <v>90</v>
      </c>
      <c r="C954" s="7" t="s">
        <v>5959</v>
      </c>
      <c r="D954" s="1" t="s">
        <v>5960</v>
      </c>
      <c r="E954" s="2" t="s">
        <v>619</v>
      </c>
      <c r="F954" s="2" t="s">
        <v>5961</v>
      </c>
      <c r="G954" s="1">
        <v>1</v>
      </c>
      <c r="H954" s="1" t="s">
        <v>1663</v>
      </c>
      <c r="I954" s="1" t="s">
        <v>1657</v>
      </c>
      <c r="J954" s="1" t="s">
        <v>1658</v>
      </c>
      <c r="K954" s="1" t="s">
        <v>1658</v>
      </c>
      <c r="L954" s="1" t="s">
        <v>1658</v>
      </c>
      <c r="M954" s="1" t="s">
        <v>1658</v>
      </c>
      <c r="N954" s="1" t="s">
        <v>1658</v>
      </c>
      <c r="O954" s="1" t="s">
        <v>1658</v>
      </c>
      <c r="P954" s="1">
        <v>1</v>
      </c>
      <c r="Q954" s="1" t="s">
        <v>1658</v>
      </c>
      <c r="R954" s="1">
        <v>0</v>
      </c>
      <c r="S954" s="1" t="s">
        <v>5962</v>
      </c>
      <c r="T954" s="6" t="s">
        <v>5962</v>
      </c>
      <c r="U954" s="1" t="str">
        <f t="shared" si="14"/>
        <v>Yes</v>
      </c>
      <c r="W954" s="1" t="s">
        <v>5963</v>
      </c>
      <c r="X954" s="1" t="str">
        <f>IF(COUNTIF('MyWells Drilling Comp'!F:F,E954)=0,"Missing","Exist")</f>
        <v>Exist</v>
      </c>
    </row>
    <row r="955" hidden="1" spans="1:24">
      <c r="A955" s="1" t="s">
        <v>5265</v>
      </c>
      <c r="B955" s="1" t="s">
        <v>90</v>
      </c>
      <c r="C955" s="1" t="s">
        <v>5964</v>
      </c>
      <c r="D955" s="1" t="s">
        <v>5960</v>
      </c>
      <c r="E955" s="2" t="s">
        <v>619</v>
      </c>
      <c r="F955" s="2" t="s">
        <v>5965</v>
      </c>
      <c r="G955" s="1">
        <v>1</v>
      </c>
      <c r="H955" s="1" t="s">
        <v>1656</v>
      </c>
      <c r="I955" s="1" t="s">
        <v>1657</v>
      </c>
      <c r="J955" s="1" t="s">
        <v>1658</v>
      </c>
      <c r="K955" s="1" t="s">
        <v>1658</v>
      </c>
      <c r="L955" s="1" t="s">
        <v>1658</v>
      </c>
      <c r="M955" s="1" t="s">
        <v>1658</v>
      </c>
      <c r="N955" s="1" t="s">
        <v>1658</v>
      </c>
      <c r="O955" s="1" t="s">
        <v>1658</v>
      </c>
      <c r="P955" s="1">
        <v>1</v>
      </c>
      <c r="Q955" s="1" t="s">
        <v>1658</v>
      </c>
      <c r="R955" s="1">
        <v>0</v>
      </c>
      <c r="S955" s="1" t="s">
        <v>5966</v>
      </c>
      <c r="T955" s="6" t="s">
        <v>5966</v>
      </c>
      <c r="U955" s="1" t="str">
        <f t="shared" si="14"/>
        <v>Yes</v>
      </c>
      <c r="W955" s="1" t="s">
        <v>5967</v>
      </c>
      <c r="X955" s="1" t="str">
        <f>IF(COUNTIF('MyWells Drilling Comp'!F:F,E955)=0,"Missing","Exist")</f>
        <v>Exist</v>
      </c>
    </row>
    <row r="956" hidden="1" spans="1:24">
      <c r="A956" s="1" t="s">
        <v>5265</v>
      </c>
      <c r="B956" s="1" t="s">
        <v>90</v>
      </c>
      <c r="C956" s="1" t="s">
        <v>5968</v>
      </c>
      <c r="D956" s="1" t="s">
        <v>5969</v>
      </c>
      <c r="E956" s="2" t="s">
        <v>1194</v>
      </c>
      <c r="F956" s="2" t="s">
        <v>5970</v>
      </c>
      <c r="G956" s="1">
        <v>1</v>
      </c>
      <c r="H956" s="1" t="s">
        <v>1656</v>
      </c>
      <c r="I956" s="1" t="s">
        <v>1657</v>
      </c>
      <c r="J956" s="1" t="s">
        <v>1658</v>
      </c>
      <c r="K956" s="1" t="s">
        <v>1658</v>
      </c>
      <c r="L956" s="1" t="s">
        <v>1658</v>
      </c>
      <c r="M956" s="1" t="s">
        <v>1658</v>
      </c>
      <c r="N956" s="1" t="s">
        <v>1658</v>
      </c>
      <c r="O956" s="1" t="s">
        <v>1658</v>
      </c>
      <c r="P956" s="1">
        <v>1</v>
      </c>
      <c r="Q956" s="1" t="s">
        <v>1658</v>
      </c>
      <c r="R956" s="1">
        <v>0</v>
      </c>
      <c r="S956" s="1" t="s">
        <v>5971</v>
      </c>
      <c r="T956" s="6" t="s">
        <v>5971</v>
      </c>
      <c r="U956" s="1" t="str">
        <f t="shared" si="14"/>
        <v>Yes</v>
      </c>
      <c r="W956" s="1" t="s">
        <v>5972</v>
      </c>
      <c r="X956" s="1" t="str">
        <f>IF(COUNTIF('MyWells Drilling Comp'!F:F,E956)=0,"Missing","Exist")</f>
        <v>Exist</v>
      </c>
    </row>
    <row r="957" hidden="1" spans="1:24">
      <c r="A957" s="1" t="s">
        <v>5265</v>
      </c>
      <c r="B957" s="1" t="s">
        <v>90</v>
      </c>
      <c r="C957" s="1" t="s">
        <v>5973</v>
      </c>
      <c r="D957" s="1" t="s">
        <v>5969</v>
      </c>
      <c r="E957" s="2" t="s">
        <v>1194</v>
      </c>
      <c r="F957" s="2" t="s">
        <v>5974</v>
      </c>
      <c r="G957" s="1">
        <v>1</v>
      </c>
      <c r="H957" s="1" t="s">
        <v>1663</v>
      </c>
      <c r="I957" s="1" t="s">
        <v>1657</v>
      </c>
      <c r="J957" s="1" t="s">
        <v>1658</v>
      </c>
      <c r="K957" s="1" t="s">
        <v>1658</v>
      </c>
      <c r="L957" s="1" t="s">
        <v>1658</v>
      </c>
      <c r="M957" s="1" t="s">
        <v>1658</v>
      </c>
      <c r="N957" s="1" t="s">
        <v>1658</v>
      </c>
      <c r="O957" s="1" t="s">
        <v>1658</v>
      </c>
      <c r="P957" s="1">
        <v>1</v>
      </c>
      <c r="Q957" s="1" t="s">
        <v>1658</v>
      </c>
      <c r="R957" s="1">
        <v>0</v>
      </c>
      <c r="S957" s="1" t="s">
        <v>5975</v>
      </c>
      <c r="T957" s="6" t="s">
        <v>5975</v>
      </c>
      <c r="U957" s="1" t="str">
        <f t="shared" si="14"/>
        <v>Yes</v>
      </c>
      <c r="W957" s="1" t="s">
        <v>5976</v>
      </c>
      <c r="X957" s="1" t="str">
        <f>IF(COUNTIF('MyWells Drilling Comp'!F:F,E957)=0,"Missing","Exist")</f>
        <v>Exist</v>
      </c>
    </row>
    <row r="958" hidden="1" spans="1:24">
      <c r="A958" s="1" t="s">
        <v>5265</v>
      </c>
      <c r="B958" s="1" t="s">
        <v>90</v>
      </c>
      <c r="C958" s="1" t="s">
        <v>5977</v>
      </c>
      <c r="D958" s="1" t="s">
        <v>5978</v>
      </c>
      <c r="E958" s="2" t="s">
        <v>909</v>
      </c>
      <c r="F958" s="2" t="s">
        <v>5979</v>
      </c>
      <c r="G958" s="1">
        <v>1</v>
      </c>
      <c r="H958" s="1" t="s">
        <v>1663</v>
      </c>
      <c r="I958" s="1" t="s">
        <v>1657</v>
      </c>
      <c r="J958" s="1" t="s">
        <v>1658</v>
      </c>
      <c r="K958" s="1" t="s">
        <v>1658</v>
      </c>
      <c r="L958" s="1" t="s">
        <v>1658</v>
      </c>
      <c r="M958" s="1" t="s">
        <v>1658</v>
      </c>
      <c r="N958" s="1" t="s">
        <v>1658</v>
      </c>
      <c r="O958" s="1" t="s">
        <v>1658</v>
      </c>
      <c r="P958" s="1">
        <v>1</v>
      </c>
      <c r="Q958" s="1" t="s">
        <v>1658</v>
      </c>
      <c r="R958" s="1">
        <v>0</v>
      </c>
      <c r="S958" s="1" t="s">
        <v>5980</v>
      </c>
      <c r="T958" s="6" t="s">
        <v>5980</v>
      </c>
      <c r="U958" s="1" t="str">
        <f t="shared" si="14"/>
        <v>Yes</v>
      </c>
      <c r="W958" s="1" t="s">
        <v>5981</v>
      </c>
      <c r="X958" s="1" t="str">
        <f>IF(COUNTIF('MyWells Drilling Comp'!F:F,E958)=0,"Missing","Exist")</f>
        <v>Exist</v>
      </c>
    </row>
    <row r="959" hidden="1" spans="1:24">
      <c r="A959" s="1" t="s">
        <v>5265</v>
      </c>
      <c r="B959" s="1" t="s">
        <v>90</v>
      </c>
      <c r="C959" s="1" t="s">
        <v>5982</v>
      </c>
      <c r="D959" s="1" t="s">
        <v>5978</v>
      </c>
      <c r="E959" s="2" t="s">
        <v>909</v>
      </c>
      <c r="F959" s="2" t="s">
        <v>5983</v>
      </c>
      <c r="G959" s="1">
        <v>1</v>
      </c>
      <c r="H959" s="1" t="s">
        <v>1656</v>
      </c>
      <c r="I959" s="1" t="s">
        <v>1657</v>
      </c>
      <c r="J959" s="1" t="s">
        <v>1658</v>
      </c>
      <c r="K959" s="1" t="s">
        <v>1658</v>
      </c>
      <c r="L959" s="1" t="s">
        <v>1658</v>
      </c>
      <c r="M959" s="1" t="s">
        <v>1658</v>
      </c>
      <c r="N959" s="1" t="s">
        <v>1658</v>
      </c>
      <c r="O959" s="1" t="s">
        <v>1658</v>
      </c>
      <c r="P959" s="1">
        <v>1</v>
      </c>
      <c r="Q959" s="1" t="s">
        <v>1658</v>
      </c>
      <c r="R959" s="1">
        <v>0</v>
      </c>
      <c r="S959" s="1" t="s">
        <v>5984</v>
      </c>
      <c r="T959" s="6" t="s">
        <v>5984</v>
      </c>
      <c r="U959" s="1" t="str">
        <f t="shared" si="14"/>
        <v>Yes</v>
      </c>
      <c r="W959" s="1" t="s">
        <v>5985</v>
      </c>
      <c r="X959" s="1" t="str">
        <f>IF(COUNTIF('MyWells Drilling Comp'!F:F,E959)=0,"Missing","Exist")</f>
        <v>Exist</v>
      </c>
    </row>
    <row r="960" hidden="1" spans="1:24">
      <c r="A960" s="1" t="s">
        <v>5265</v>
      </c>
      <c r="B960" s="1" t="s">
        <v>90</v>
      </c>
      <c r="C960" s="1" t="s">
        <v>5986</v>
      </c>
      <c r="D960" s="1" t="s">
        <v>5987</v>
      </c>
      <c r="E960" s="2" t="s">
        <v>922</v>
      </c>
      <c r="F960" s="2" t="s">
        <v>5988</v>
      </c>
      <c r="G960" s="1">
        <v>1</v>
      </c>
      <c r="H960" s="1" t="s">
        <v>1663</v>
      </c>
      <c r="I960" s="1" t="s">
        <v>1657</v>
      </c>
      <c r="J960" s="1" t="s">
        <v>1658</v>
      </c>
      <c r="K960" s="1" t="s">
        <v>1658</v>
      </c>
      <c r="L960" s="1" t="s">
        <v>1658</v>
      </c>
      <c r="M960" s="1" t="s">
        <v>1658</v>
      </c>
      <c r="N960" s="1" t="s">
        <v>1658</v>
      </c>
      <c r="O960" s="1" t="s">
        <v>1658</v>
      </c>
      <c r="P960" s="1">
        <v>1</v>
      </c>
      <c r="Q960" s="1" t="s">
        <v>1658</v>
      </c>
      <c r="R960" s="1">
        <v>0</v>
      </c>
      <c r="S960" s="1" t="s">
        <v>5989</v>
      </c>
      <c r="T960" s="6" t="s">
        <v>5989</v>
      </c>
      <c r="U960" s="1" t="str">
        <f t="shared" si="14"/>
        <v>Yes</v>
      </c>
      <c r="W960" s="1" t="s">
        <v>5990</v>
      </c>
      <c r="X960" s="1" t="str">
        <f>IF(COUNTIF('MyWells Drilling Comp'!F:F,E960)=0,"Missing","Exist")</f>
        <v>Exist</v>
      </c>
    </row>
    <row r="961" hidden="1" spans="1:24">
      <c r="A961" s="1" t="s">
        <v>5265</v>
      </c>
      <c r="B961" s="1" t="s">
        <v>90</v>
      </c>
      <c r="C961" s="1" t="s">
        <v>5991</v>
      </c>
      <c r="D961" s="1" t="s">
        <v>5987</v>
      </c>
      <c r="E961" s="2" t="s">
        <v>922</v>
      </c>
      <c r="F961" s="2" t="s">
        <v>5992</v>
      </c>
      <c r="G961" s="1">
        <v>1</v>
      </c>
      <c r="H961" s="1" t="s">
        <v>1656</v>
      </c>
      <c r="I961" s="1" t="s">
        <v>1657</v>
      </c>
      <c r="J961" s="1" t="s">
        <v>1658</v>
      </c>
      <c r="K961" s="1" t="s">
        <v>1658</v>
      </c>
      <c r="L961" s="1" t="s">
        <v>1658</v>
      </c>
      <c r="M961" s="1" t="s">
        <v>1658</v>
      </c>
      <c r="N961" s="1" t="s">
        <v>1658</v>
      </c>
      <c r="O961" s="1" t="s">
        <v>1658</v>
      </c>
      <c r="P961" s="1">
        <v>1</v>
      </c>
      <c r="Q961" s="1" t="s">
        <v>1658</v>
      </c>
      <c r="R961" s="1">
        <v>0</v>
      </c>
      <c r="S961" s="1" t="s">
        <v>5993</v>
      </c>
      <c r="T961" s="6" t="s">
        <v>5993</v>
      </c>
      <c r="U961" s="1" t="str">
        <f t="shared" si="14"/>
        <v>Yes</v>
      </c>
      <c r="W961" s="1" t="s">
        <v>5994</v>
      </c>
      <c r="X961" s="1" t="str">
        <f>IF(COUNTIF('MyWells Drilling Comp'!F:F,E961)=0,"Missing","Exist")</f>
        <v>Exist</v>
      </c>
    </row>
    <row r="962" hidden="1" spans="1:24">
      <c r="A962" s="1" t="s">
        <v>5265</v>
      </c>
      <c r="B962" s="1" t="s">
        <v>90</v>
      </c>
      <c r="C962" s="1" t="s">
        <v>5995</v>
      </c>
      <c r="D962" s="1" t="s">
        <v>5996</v>
      </c>
      <c r="E962" s="2" t="s">
        <v>1275</v>
      </c>
      <c r="F962" s="2" t="s">
        <v>5997</v>
      </c>
      <c r="G962" s="1">
        <v>1</v>
      </c>
      <c r="H962" s="1" t="s">
        <v>1663</v>
      </c>
      <c r="I962" s="1" t="s">
        <v>1657</v>
      </c>
      <c r="J962" s="1" t="s">
        <v>1658</v>
      </c>
      <c r="K962" s="1" t="s">
        <v>1658</v>
      </c>
      <c r="L962" s="1" t="s">
        <v>1658</v>
      </c>
      <c r="M962" s="1" t="s">
        <v>1658</v>
      </c>
      <c r="N962" s="1" t="s">
        <v>1658</v>
      </c>
      <c r="O962" s="1" t="s">
        <v>1658</v>
      </c>
      <c r="P962" s="1">
        <v>1</v>
      </c>
      <c r="Q962" s="1" t="s">
        <v>1658</v>
      </c>
      <c r="R962" s="1">
        <v>0</v>
      </c>
      <c r="S962" s="1" t="s">
        <v>5998</v>
      </c>
      <c r="T962" s="6" t="s">
        <v>5998</v>
      </c>
      <c r="U962" s="1" t="str">
        <f t="shared" ref="U962:U1025" si="15">IF(S962=T962,"Yes","No")</f>
        <v>Yes</v>
      </c>
      <c r="W962" s="1" t="s">
        <v>5999</v>
      </c>
      <c r="X962" s="1" t="str">
        <f>IF(COUNTIF('MyWells Drilling Comp'!F:F,E962)=0,"Missing","Exist")</f>
        <v>Exist</v>
      </c>
    </row>
    <row r="963" hidden="1" spans="1:24">
      <c r="A963" s="1" t="s">
        <v>5265</v>
      </c>
      <c r="B963" s="1" t="s">
        <v>90</v>
      </c>
      <c r="C963" s="1" t="s">
        <v>6000</v>
      </c>
      <c r="D963" s="1" t="s">
        <v>5996</v>
      </c>
      <c r="E963" s="2" t="s">
        <v>1275</v>
      </c>
      <c r="F963" s="2" t="s">
        <v>6001</v>
      </c>
      <c r="G963" s="1">
        <v>1</v>
      </c>
      <c r="H963" s="1" t="s">
        <v>1656</v>
      </c>
      <c r="I963" s="1" t="s">
        <v>1657</v>
      </c>
      <c r="J963" s="1" t="s">
        <v>1658</v>
      </c>
      <c r="K963" s="1" t="s">
        <v>1658</v>
      </c>
      <c r="L963" s="1" t="s">
        <v>1658</v>
      </c>
      <c r="M963" s="1" t="s">
        <v>1658</v>
      </c>
      <c r="N963" s="1" t="s">
        <v>1658</v>
      </c>
      <c r="O963" s="1" t="s">
        <v>1658</v>
      </c>
      <c r="P963" s="1">
        <v>1</v>
      </c>
      <c r="Q963" s="1" t="s">
        <v>1658</v>
      </c>
      <c r="R963" s="1">
        <v>0</v>
      </c>
      <c r="S963" s="1" t="s">
        <v>5405</v>
      </c>
      <c r="T963" s="6" t="s">
        <v>5405</v>
      </c>
      <c r="U963" s="1" t="str">
        <f t="shared" si="15"/>
        <v>Yes</v>
      </c>
      <c r="W963" s="1" t="s">
        <v>6002</v>
      </c>
      <c r="X963" s="1" t="str">
        <f>IF(COUNTIF('MyWells Drilling Comp'!F:F,E963)=0,"Missing","Exist")</f>
        <v>Exist</v>
      </c>
    </row>
    <row r="964" hidden="1" spans="1:24">
      <c r="A964" s="1" t="s">
        <v>5265</v>
      </c>
      <c r="B964" s="1" t="s">
        <v>90</v>
      </c>
      <c r="C964" s="1" t="s">
        <v>6003</v>
      </c>
      <c r="D964" s="1" t="s">
        <v>6004</v>
      </c>
      <c r="E964" s="2" t="s">
        <v>961</v>
      </c>
      <c r="F964" s="2" t="s">
        <v>6005</v>
      </c>
      <c r="G964" s="1">
        <v>1</v>
      </c>
      <c r="H964" s="1" t="s">
        <v>1663</v>
      </c>
      <c r="I964" s="1" t="s">
        <v>1657</v>
      </c>
      <c r="J964" s="1" t="s">
        <v>1658</v>
      </c>
      <c r="K964" s="1" t="s">
        <v>1658</v>
      </c>
      <c r="L964" s="1" t="s">
        <v>1658</v>
      </c>
      <c r="M964" s="1" t="s">
        <v>1658</v>
      </c>
      <c r="N964" s="1" t="s">
        <v>1658</v>
      </c>
      <c r="O964" s="1" t="s">
        <v>1658</v>
      </c>
      <c r="P964" s="1">
        <v>1</v>
      </c>
      <c r="Q964" s="1" t="s">
        <v>1658</v>
      </c>
      <c r="R964" s="1">
        <v>0</v>
      </c>
      <c r="S964" s="1" t="s">
        <v>6006</v>
      </c>
      <c r="T964" s="6" t="s">
        <v>6006</v>
      </c>
      <c r="U964" s="1" t="str">
        <f t="shared" si="15"/>
        <v>Yes</v>
      </c>
      <c r="W964" s="1" t="s">
        <v>6007</v>
      </c>
      <c r="X964" s="1" t="str">
        <f>IF(COUNTIF('MyWells Drilling Comp'!F:F,E964)=0,"Missing","Exist")</f>
        <v>Exist</v>
      </c>
    </row>
    <row r="965" hidden="1" spans="1:24">
      <c r="A965" s="1" t="s">
        <v>5265</v>
      </c>
      <c r="B965" s="1" t="s">
        <v>90</v>
      </c>
      <c r="C965" s="1" t="s">
        <v>6008</v>
      </c>
      <c r="D965" s="1" t="s">
        <v>6004</v>
      </c>
      <c r="E965" s="2" t="s">
        <v>961</v>
      </c>
      <c r="F965" s="2" t="s">
        <v>6009</v>
      </c>
      <c r="G965" s="1">
        <v>1</v>
      </c>
      <c r="H965" s="1" t="s">
        <v>1656</v>
      </c>
      <c r="I965" s="1" t="s">
        <v>1657</v>
      </c>
      <c r="J965" s="1" t="s">
        <v>1658</v>
      </c>
      <c r="K965" s="1" t="s">
        <v>1658</v>
      </c>
      <c r="L965" s="1" t="s">
        <v>1658</v>
      </c>
      <c r="M965" s="1" t="s">
        <v>1658</v>
      </c>
      <c r="N965" s="1" t="s">
        <v>1658</v>
      </c>
      <c r="O965" s="1" t="s">
        <v>1658</v>
      </c>
      <c r="P965" s="1">
        <v>1</v>
      </c>
      <c r="Q965" s="1" t="s">
        <v>1658</v>
      </c>
      <c r="R965" s="1">
        <v>0</v>
      </c>
      <c r="S965" s="1" t="s">
        <v>6010</v>
      </c>
      <c r="T965" s="6" t="s">
        <v>6010</v>
      </c>
      <c r="U965" s="1" t="str">
        <f t="shared" si="15"/>
        <v>Yes</v>
      </c>
      <c r="W965" s="1" t="s">
        <v>6011</v>
      </c>
      <c r="X965" s="1" t="str">
        <f>IF(COUNTIF('MyWells Drilling Comp'!F:F,E965)=0,"Missing","Exist")</f>
        <v>Exist</v>
      </c>
    </row>
    <row r="966" hidden="1" spans="1:24">
      <c r="A966" s="1" t="s">
        <v>5265</v>
      </c>
      <c r="B966" s="1" t="s">
        <v>90</v>
      </c>
      <c r="C966" s="7" t="s">
        <v>6012</v>
      </c>
      <c r="D966" s="1" t="s">
        <v>6013</v>
      </c>
      <c r="E966" s="2" t="s">
        <v>1108</v>
      </c>
      <c r="F966" s="2" t="s">
        <v>6014</v>
      </c>
      <c r="G966" s="1">
        <v>1</v>
      </c>
      <c r="H966" s="1" t="s">
        <v>1663</v>
      </c>
      <c r="I966" s="1" t="s">
        <v>1657</v>
      </c>
      <c r="J966" s="1" t="s">
        <v>1658</v>
      </c>
      <c r="K966" s="1" t="s">
        <v>1658</v>
      </c>
      <c r="L966" s="1" t="s">
        <v>1658</v>
      </c>
      <c r="M966" s="1" t="s">
        <v>1658</v>
      </c>
      <c r="N966" s="1" t="s">
        <v>1658</v>
      </c>
      <c r="O966" s="1" t="s">
        <v>1658</v>
      </c>
      <c r="P966" s="1">
        <v>1</v>
      </c>
      <c r="Q966" s="1" t="s">
        <v>1658</v>
      </c>
      <c r="R966" s="1">
        <v>0</v>
      </c>
      <c r="S966" s="1" t="s">
        <v>6015</v>
      </c>
      <c r="T966" s="6" t="s">
        <v>6015</v>
      </c>
      <c r="U966" s="1" t="str">
        <f t="shared" si="15"/>
        <v>Yes</v>
      </c>
      <c r="W966" s="1" t="s">
        <v>6016</v>
      </c>
      <c r="X966" s="1" t="str">
        <f>IF(COUNTIF('MyWells Drilling Comp'!F:F,E966)=0,"Missing","Exist")</f>
        <v>Exist</v>
      </c>
    </row>
    <row r="967" hidden="1" spans="1:24">
      <c r="A967" s="1" t="s">
        <v>5265</v>
      </c>
      <c r="B967" s="1" t="s">
        <v>90</v>
      </c>
      <c r="C967" s="1" t="s">
        <v>6017</v>
      </c>
      <c r="D967" s="1" t="s">
        <v>6013</v>
      </c>
      <c r="E967" s="2" t="s">
        <v>1108</v>
      </c>
      <c r="F967" s="2" t="s">
        <v>6018</v>
      </c>
      <c r="G967" s="1">
        <v>1</v>
      </c>
      <c r="H967" s="1" t="s">
        <v>1656</v>
      </c>
      <c r="I967" s="1" t="s">
        <v>1657</v>
      </c>
      <c r="J967" s="1" t="s">
        <v>1658</v>
      </c>
      <c r="K967" s="1" t="s">
        <v>1658</v>
      </c>
      <c r="L967" s="1" t="s">
        <v>1658</v>
      </c>
      <c r="M967" s="1" t="s">
        <v>1658</v>
      </c>
      <c r="N967" s="1" t="s">
        <v>1658</v>
      </c>
      <c r="O967" s="1" t="s">
        <v>1658</v>
      </c>
      <c r="P967" s="1">
        <v>1</v>
      </c>
      <c r="Q967" s="1" t="s">
        <v>1658</v>
      </c>
      <c r="R967" s="1">
        <v>0</v>
      </c>
      <c r="S967" s="1" t="s">
        <v>6019</v>
      </c>
      <c r="T967" s="6" t="s">
        <v>6019</v>
      </c>
      <c r="U967" s="1" t="str">
        <f t="shared" si="15"/>
        <v>Yes</v>
      </c>
      <c r="W967" s="1" t="s">
        <v>6020</v>
      </c>
      <c r="X967" s="1" t="str">
        <f>IF(COUNTIF('MyWells Drilling Comp'!F:F,E967)=0,"Missing","Exist")</f>
        <v>Exist</v>
      </c>
    </row>
    <row r="968" hidden="1" spans="1:24">
      <c r="A968" s="1" t="s">
        <v>5265</v>
      </c>
      <c r="B968" s="1" t="s">
        <v>90</v>
      </c>
      <c r="C968" s="1" t="s">
        <v>6021</v>
      </c>
      <c r="D968" s="1" t="s">
        <v>6022</v>
      </c>
      <c r="E968" s="2" t="s">
        <v>1552</v>
      </c>
      <c r="F968" s="2" t="s">
        <v>6023</v>
      </c>
      <c r="G968" s="1">
        <v>1</v>
      </c>
      <c r="H968" s="1" t="s">
        <v>1656</v>
      </c>
      <c r="I968" s="1" t="s">
        <v>1657</v>
      </c>
      <c r="J968" s="1" t="s">
        <v>1658</v>
      </c>
      <c r="K968" s="1" t="s">
        <v>1658</v>
      </c>
      <c r="L968" s="1" t="s">
        <v>1658</v>
      </c>
      <c r="M968" s="1" t="s">
        <v>1658</v>
      </c>
      <c r="N968" s="1" t="s">
        <v>1658</v>
      </c>
      <c r="O968" s="1" t="s">
        <v>1658</v>
      </c>
      <c r="P968" s="1">
        <v>1</v>
      </c>
      <c r="Q968" s="1" t="s">
        <v>1658</v>
      </c>
      <c r="R968" s="1">
        <v>0</v>
      </c>
      <c r="S968" s="1" t="s">
        <v>6024</v>
      </c>
      <c r="T968" s="6" t="s">
        <v>6024</v>
      </c>
      <c r="U968" s="1" t="str">
        <f t="shared" si="15"/>
        <v>Yes</v>
      </c>
      <c r="W968" s="1" t="s">
        <v>6025</v>
      </c>
      <c r="X968" s="1" t="str">
        <f>IF(COUNTIF('MyWells Drilling Comp'!F:F,E968)=0,"Missing","Exist")</f>
        <v>Exist</v>
      </c>
    </row>
    <row r="969" hidden="1" spans="1:24">
      <c r="A969" s="1" t="s">
        <v>5265</v>
      </c>
      <c r="B969" s="1" t="s">
        <v>90</v>
      </c>
      <c r="C969" s="1" t="s">
        <v>6026</v>
      </c>
      <c r="D969" s="1" t="s">
        <v>6022</v>
      </c>
      <c r="E969" s="2" t="s">
        <v>1552</v>
      </c>
      <c r="F969" s="2" t="s">
        <v>6027</v>
      </c>
      <c r="G969" s="1">
        <v>1</v>
      </c>
      <c r="H969" s="1" t="s">
        <v>1663</v>
      </c>
      <c r="I969" s="1" t="s">
        <v>1657</v>
      </c>
      <c r="J969" s="1" t="s">
        <v>1658</v>
      </c>
      <c r="K969" s="1" t="s">
        <v>1658</v>
      </c>
      <c r="L969" s="1" t="s">
        <v>1658</v>
      </c>
      <c r="M969" s="1" t="s">
        <v>1658</v>
      </c>
      <c r="N969" s="1" t="s">
        <v>1658</v>
      </c>
      <c r="O969" s="1" t="s">
        <v>1658</v>
      </c>
      <c r="P969" s="1">
        <v>1</v>
      </c>
      <c r="Q969" s="1" t="s">
        <v>1658</v>
      </c>
      <c r="R969" s="1">
        <v>0</v>
      </c>
      <c r="S969" s="1" t="s">
        <v>6028</v>
      </c>
      <c r="T969" s="6" t="s">
        <v>6028</v>
      </c>
      <c r="U969" s="1" t="str">
        <f t="shared" si="15"/>
        <v>Yes</v>
      </c>
      <c r="W969" s="1" t="s">
        <v>6029</v>
      </c>
      <c r="X969" s="1" t="str">
        <f>IF(COUNTIF('MyWells Drilling Comp'!F:F,E969)=0,"Missing","Exist")</f>
        <v>Exist</v>
      </c>
    </row>
    <row r="970" hidden="1" spans="1:24">
      <c r="A970" s="1" t="s">
        <v>5265</v>
      </c>
      <c r="B970" s="1" t="s">
        <v>90</v>
      </c>
      <c r="C970" s="1" t="s">
        <v>6030</v>
      </c>
      <c r="D970" s="1" t="s">
        <v>6031</v>
      </c>
      <c r="E970" s="2" t="s">
        <v>1282</v>
      </c>
      <c r="F970" s="2" t="s">
        <v>6032</v>
      </c>
      <c r="G970" s="1">
        <v>1</v>
      </c>
      <c r="H970" s="1" t="s">
        <v>1656</v>
      </c>
      <c r="I970" s="1" t="s">
        <v>1657</v>
      </c>
      <c r="J970" s="1" t="s">
        <v>1658</v>
      </c>
      <c r="K970" s="1" t="s">
        <v>1658</v>
      </c>
      <c r="L970" s="1" t="s">
        <v>1658</v>
      </c>
      <c r="M970" s="1" t="s">
        <v>1658</v>
      </c>
      <c r="N970" s="1" t="s">
        <v>1658</v>
      </c>
      <c r="O970" s="1" t="s">
        <v>1658</v>
      </c>
      <c r="P970" s="1">
        <v>1</v>
      </c>
      <c r="Q970" s="1" t="s">
        <v>1658</v>
      </c>
      <c r="R970" s="1">
        <v>0</v>
      </c>
      <c r="S970" s="1" t="s">
        <v>3516</v>
      </c>
      <c r="T970" s="6" t="s">
        <v>6033</v>
      </c>
      <c r="U970" s="1" t="str">
        <f t="shared" si="15"/>
        <v>No</v>
      </c>
      <c r="W970" s="1" t="s">
        <v>6034</v>
      </c>
      <c r="X970" s="1" t="str">
        <f>IF(COUNTIF('MyWells Drilling Comp'!F:F,E970)=0,"Missing","Exist")</f>
        <v>Exist</v>
      </c>
    </row>
    <row r="971" hidden="1" spans="1:24">
      <c r="A971" s="1" t="s">
        <v>5265</v>
      </c>
      <c r="B971" s="1" t="s">
        <v>90</v>
      </c>
      <c r="C971" s="1" t="s">
        <v>6035</v>
      </c>
      <c r="D971" s="1" t="s">
        <v>6031</v>
      </c>
      <c r="E971" s="2" t="s">
        <v>1282</v>
      </c>
      <c r="F971" s="2" t="s">
        <v>6036</v>
      </c>
      <c r="G971" s="1">
        <v>1</v>
      </c>
      <c r="H971" s="1" t="s">
        <v>1663</v>
      </c>
      <c r="I971" s="1" t="s">
        <v>1657</v>
      </c>
      <c r="J971" s="1" t="s">
        <v>1658</v>
      </c>
      <c r="K971" s="1" t="s">
        <v>1658</v>
      </c>
      <c r="L971" s="1" t="s">
        <v>1658</v>
      </c>
      <c r="M971" s="1" t="s">
        <v>1658</v>
      </c>
      <c r="N971" s="1" t="s">
        <v>1658</v>
      </c>
      <c r="O971" s="1" t="s">
        <v>1658</v>
      </c>
      <c r="P971" s="1">
        <v>1</v>
      </c>
      <c r="Q971" s="1" t="s">
        <v>1658</v>
      </c>
      <c r="R971" s="1">
        <v>0</v>
      </c>
      <c r="S971" s="1" t="s">
        <v>6037</v>
      </c>
      <c r="T971" s="6" t="s">
        <v>6037</v>
      </c>
      <c r="U971" s="1" t="str">
        <f t="shared" si="15"/>
        <v>Yes</v>
      </c>
      <c r="W971" s="1" t="s">
        <v>6038</v>
      </c>
      <c r="X971" s="1" t="str">
        <f>IF(COUNTIF('MyWells Drilling Comp'!F:F,E971)=0,"Missing","Exist")</f>
        <v>Exist</v>
      </c>
    </row>
    <row r="972" hidden="1" spans="1:24">
      <c r="A972" s="1" t="s">
        <v>5265</v>
      </c>
      <c r="B972" s="1" t="s">
        <v>90</v>
      </c>
      <c r="C972" s="1" t="s">
        <v>6039</v>
      </c>
      <c r="D972" s="1" t="s">
        <v>6040</v>
      </c>
      <c r="E972" s="2" t="s">
        <v>718</v>
      </c>
      <c r="F972" s="2" t="s">
        <v>6041</v>
      </c>
      <c r="G972" s="1">
        <v>1</v>
      </c>
      <c r="H972" s="1" t="s">
        <v>1656</v>
      </c>
      <c r="I972" s="1" t="s">
        <v>1657</v>
      </c>
      <c r="J972" s="1" t="s">
        <v>1658</v>
      </c>
      <c r="K972" s="1" t="s">
        <v>1658</v>
      </c>
      <c r="L972" s="1" t="s">
        <v>1658</v>
      </c>
      <c r="M972" s="1" t="s">
        <v>1658</v>
      </c>
      <c r="N972" s="1" t="s">
        <v>1658</v>
      </c>
      <c r="O972" s="1" t="s">
        <v>1658</v>
      </c>
      <c r="P972" s="1">
        <v>1</v>
      </c>
      <c r="Q972" s="1" t="s">
        <v>1658</v>
      </c>
      <c r="R972" s="1">
        <v>0</v>
      </c>
      <c r="S972" s="1" t="s">
        <v>6042</v>
      </c>
      <c r="T972" s="6" t="s">
        <v>6042</v>
      </c>
      <c r="U972" s="1" t="str">
        <f t="shared" si="15"/>
        <v>Yes</v>
      </c>
      <c r="W972" s="1" t="s">
        <v>6043</v>
      </c>
      <c r="X972" s="1" t="str">
        <f>IF(COUNTIF('MyWells Drilling Comp'!F:F,E972)=0,"Missing","Exist")</f>
        <v>Exist</v>
      </c>
    </row>
    <row r="973" hidden="1" spans="1:24">
      <c r="A973" s="1" t="s">
        <v>5265</v>
      </c>
      <c r="B973" s="1" t="s">
        <v>90</v>
      </c>
      <c r="C973" s="1" t="s">
        <v>6044</v>
      </c>
      <c r="D973" s="1" t="s">
        <v>6040</v>
      </c>
      <c r="E973" s="2" t="s">
        <v>718</v>
      </c>
      <c r="F973" s="2" t="s">
        <v>6045</v>
      </c>
      <c r="G973" s="1">
        <v>1</v>
      </c>
      <c r="H973" s="1" t="s">
        <v>1663</v>
      </c>
      <c r="I973" s="1" t="s">
        <v>1657</v>
      </c>
      <c r="J973" s="1" t="s">
        <v>1658</v>
      </c>
      <c r="K973" s="1" t="s">
        <v>1658</v>
      </c>
      <c r="L973" s="1" t="s">
        <v>1658</v>
      </c>
      <c r="M973" s="1" t="s">
        <v>1658</v>
      </c>
      <c r="N973" s="1" t="s">
        <v>1658</v>
      </c>
      <c r="O973" s="1" t="s">
        <v>1658</v>
      </c>
      <c r="P973" s="1">
        <v>1</v>
      </c>
      <c r="Q973" s="1" t="s">
        <v>1658</v>
      </c>
      <c r="R973" s="1">
        <v>0</v>
      </c>
      <c r="S973" s="1" t="s">
        <v>6046</v>
      </c>
      <c r="T973" s="6" t="s">
        <v>6046</v>
      </c>
      <c r="U973" s="1" t="str">
        <f t="shared" si="15"/>
        <v>Yes</v>
      </c>
      <c r="W973" s="1" t="s">
        <v>6047</v>
      </c>
      <c r="X973" s="1" t="str">
        <f>IF(COUNTIF('MyWells Drilling Comp'!F:F,E973)=0,"Missing","Exist")</f>
        <v>Exist</v>
      </c>
    </row>
    <row r="974" hidden="1" spans="1:24">
      <c r="A974" s="1" t="s">
        <v>5265</v>
      </c>
      <c r="B974" s="1" t="s">
        <v>90</v>
      </c>
      <c r="C974" s="1" t="s">
        <v>6048</v>
      </c>
      <c r="D974" s="1" t="s">
        <v>6049</v>
      </c>
      <c r="E974" s="2" t="s">
        <v>1576</v>
      </c>
      <c r="F974" s="2" t="s">
        <v>6050</v>
      </c>
      <c r="G974" s="1">
        <v>1</v>
      </c>
      <c r="H974" s="1" t="s">
        <v>1656</v>
      </c>
      <c r="I974" s="1" t="s">
        <v>1657</v>
      </c>
      <c r="J974" s="1" t="s">
        <v>1658</v>
      </c>
      <c r="K974" s="1" t="s">
        <v>1658</v>
      </c>
      <c r="L974" s="1" t="s">
        <v>1658</v>
      </c>
      <c r="M974" s="1" t="s">
        <v>1658</v>
      </c>
      <c r="N974" s="1" t="s">
        <v>1658</v>
      </c>
      <c r="O974" s="1" t="s">
        <v>1658</v>
      </c>
      <c r="P974" s="1">
        <v>1</v>
      </c>
      <c r="Q974" s="1" t="s">
        <v>1658</v>
      </c>
      <c r="R974" s="1">
        <v>0</v>
      </c>
      <c r="S974" s="1" t="s">
        <v>3552</v>
      </c>
      <c r="T974" s="6" t="s">
        <v>3552</v>
      </c>
      <c r="U974" s="1" t="str">
        <f t="shared" si="15"/>
        <v>Yes</v>
      </c>
      <c r="W974" s="1" t="s">
        <v>6051</v>
      </c>
      <c r="X974" s="1" t="str">
        <f>IF(COUNTIF('MyWells Drilling Comp'!F:F,E974)=0,"Missing","Exist")</f>
        <v>Exist</v>
      </c>
    </row>
    <row r="975" hidden="1" spans="1:24">
      <c r="A975" s="1" t="s">
        <v>5265</v>
      </c>
      <c r="B975" s="1" t="s">
        <v>90</v>
      </c>
      <c r="C975" s="1" t="s">
        <v>6052</v>
      </c>
      <c r="D975" s="1" t="s">
        <v>6049</v>
      </c>
      <c r="E975" s="2" t="s">
        <v>1576</v>
      </c>
      <c r="F975" s="2" t="s">
        <v>6053</v>
      </c>
      <c r="G975" s="1">
        <v>1</v>
      </c>
      <c r="H975" s="1" t="s">
        <v>1663</v>
      </c>
      <c r="I975" s="1" t="s">
        <v>1657</v>
      </c>
      <c r="J975" s="1" t="s">
        <v>1658</v>
      </c>
      <c r="K975" s="1" t="s">
        <v>1658</v>
      </c>
      <c r="L975" s="1" t="s">
        <v>1658</v>
      </c>
      <c r="M975" s="1" t="s">
        <v>1658</v>
      </c>
      <c r="N975" s="1" t="s">
        <v>1658</v>
      </c>
      <c r="O975" s="1" t="s">
        <v>1658</v>
      </c>
      <c r="P975" s="1">
        <v>1</v>
      </c>
      <c r="Q975" s="1" t="s">
        <v>1658</v>
      </c>
      <c r="R975" s="1">
        <v>0</v>
      </c>
      <c r="S975" s="1" t="s">
        <v>3556</v>
      </c>
      <c r="T975" s="6" t="s">
        <v>3556</v>
      </c>
      <c r="U975" s="1" t="str">
        <f t="shared" si="15"/>
        <v>Yes</v>
      </c>
      <c r="W975" s="1" t="s">
        <v>6054</v>
      </c>
      <c r="X975" s="1" t="str">
        <f>IF(COUNTIF('MyWells Drilling Comp'!F:F,E975)=0,"Missing","Exist")</f>
        <v>Exist</v>
      </c>
    </row>
    <row r="976" hidden="1" spans="1:24">
      <c r="A976" s="1" t="s">
        <v>5265</v>
      </c>
      <c r="B976" s="1" t="s">
        <v>90</v>
      </c>
      <c r="C976" s="1" t="s">
        <v>6055</v>
      </c>
      <c r="D976" s="1" t="s">
        <v>6056</v>
      </c>
      <c r="E976" s="2" t="s">
        <v>885</v>
      </c>
      <c r="F976" s="2" t="s">
        <v>6057</v>
      </c>
      <c r="G976" s="1">
        <v>1</v>
      </c>
      <c r="H976" s="1" t="s">
        <v>1663</v>
      </c>
      <c r="I976" s="1" t="s">
        <v>1657</v>
      </c>
      <c r="J976" s="1" t="s">
        <v>1658</v>
      </c>
      <c r="K976" s="1" t="s">
        <v>1658</v>
      </c>
      <c r="L976" s="1" t="s">
        <v>1658</v>
      </c>
      <c r="M976" s="1" t="s">
        <v>1658</v>
      </c>
      <c r="N976" s="1" t="s">
        <v>1658</v>
      </c>
      <c r="O976" s="1" t="s">
        <v>1658</v>
      </c>
      <c r="P976" s="1">
        <v>1</v>
      </c>
      <c r="Q976" s="1" t="s">
        <v>1658</v>
      </c>
      <c r="R976" s="1">
        <v>0</v>
      </c>
      <c r="S976" s="1" t="s">
        <v>6058</v>
      </c>
      <c r="T976" s="6" t="s">
        <v>6058</v>
      </c>
      <c r="U976" s="1" t="str">
        <f t="shared" si="15"/>
        <v>Yes</v>
      </c>
      <c r="W976" s="1" t="s">
        <v>6059</v>
      </c>
      <c r="X976" s="1" t="str">
        <f>IF(COUNTIF('MyWells Drilling Comp'!F:F,E976)=0,"Missing","Exist")</f>
        <v>Exist</v>
      </c>
    </row>
    <row r="977" hidden="1" spans="1:24">
      <c r="A977" s="1" t="s">
        <v>5265</v>
      </c>
      <c r="B977" s="1" t="s">
        <v>90</v>
      </c>
      <c r="C977" s="1" t="s">
        <v>6060</v>
      </c>
      <c r="D977" s="1" t="s">
        <v>6056</v>
      </c>
      <c r="E977" s="2" t="s">
        <v>885</v>
      </c>
      <c r="F977" s="2" t="s">
        <v>6061</v>
      </c>
      <c r="G977" s="1">
        <v>1</v>
      </c>
      <c r="H977" s="1" t="s">
        <v>1656</v>
      </c>
      <c r="I977" s="1" t="s">
        <v>1657</v>
      </c>
      <c r="J977" s="1" t="s">
        <v>1658</v>
      </c>
      <c r="K977" s="1" t="s">
        <v>1658</v>
      </c>
      <c r="L977" s="1" t="s">
        <v>1658</v>
      </c>
      <c r="M977" s="1" t="s">
        <v>1658</v>
      </c>
      <c r="N977" s="1" t="s">
        <v>1658</v>
      </c>
      <c r="O977" s="1" t="s">
        <v>1658</v>
      </c>
      <c r="P977" s="1">
        <v>1</v>
      </c>
      <c r="Q977" s="1" t="s">
        <v>1658</v>
      </c>
      <c r="R977" s="1">
        <v>0</v>
      </c>
      <c r="S977" s="1" t="s">
        <v>6062</v>
      </c>
      <c r="T977" s="6" t="s">
        <v>6062</v>
      </c>
      <c r="U977" s="1" t="str">
        <f t="shared" si="15"/>
        <v>Yes</v>
      </c>
      <c r="W977" s="1" t="s">
        <v>6063</v>
      </c>
      <c r="X977" s="1" t="str">
        <f>IF(COUNTIF('MyWells Drilling Comp'!F:F,E977)=0,"Missing","Exist")</f>
        <v>Exist</v>
      </c>
    </row>
    <row r="978" hidden="1" spans="1:24">
      <c r="A978" s="1" t="s">
        <v>5265</v>
      </c>
      <c r="B978" s="1" t="s">
        <v>90</v>
      </c>
      <c r="C978" s="1" t="s">
        <v>6064</v>
      </c>
      <c r="D978" s="1" t="s">
        <v>6065</v>
      </c>
      <c r="E978" s="2" t="s">
        <v>741</v>
      </c>
      <c r="F978" s="2" t="s">
        <v>6066</v>
      </c>
      <c r="G978" s="1">
        <v>1</v>
      </c>
      <c r="H978" s="1" t="s">
        <v>1656</v>
      </c>
      <c r="I978" s="1" t="s">
        <v>1657</v>
      </c>
      <c r="J978" s="1" t="s">
        <v>1658</v>
      </c>
      <c r="K978" s="1" t="s">
        <v>1658</v>
      </c>
      <c r="L978" s="1" t="s">
        <v>1658</v>
      </c>
      <c r="M978" s="1" t="s">
        <v>1658</v>
      </c>
      <c r="N978" s="1" t="s">
        <v>1658</v>
      </c>
      <c r="O978" s="1" t="s">
        <v>1658</v>
      </c>
      <c r="P978" s="1">
        <v>1</v>
      </c>
      <c r="Q978" s="1" t="s">
        <v>1658</v>
      </c>
      <c r="R978" s="1">
        <v>0</v>
      </c>
      <c r="S978" s="1" t="s">
        <v>6067</v>
      </c>
      <c r="T978" s="6" t="s">
        <v>6067</v>
      </c>
      <c r="U978" s="1" t="str">
        <f t="shared" si="15"/>
        <v>Yes</v>
      </c>
      <c r="W978" s="1" t="s">
        <v>6068</v>
      </c>
      <c r="X978" s="1" t="str">
        <f>IF(COUNTIF('MyWells Drilling Comp'!F:F,E978)=0,"Missing","Exist")</f>
        <v>Exist</v>
      </c>
    </row>
    <row r="979" hidden="1" spans="1:24">
      <c r="A979" s="1" t="s">
        <v>5265</v>
      </c>
      <c r="B979" s="1" t="s">
        <v>90</v>
      </c>
      <c r="C979" s="1" t="s">
        <v>6069</v>
      </c>
      <c r="D979" s="1" t="s">
        <v>6065</v>
      </c>
      <c r="E979" s="2" t="s">
        <v>741</v>
      </c>
      <c r="F979" s="2" t="s">
        <v>6070</v>
      </c>
      <c r="G979" s="1">
        <v>1</v>
      </c>
      <c r="H979" s="1" t="s">
        <v>1663</v>
      </c>
      <c r="I979" s="1" t="s">
        <v>1657</v>
      </c>
      <c r="J979" s="1" t="s">
        <v>1658</v>
      </c>
      <c r="K979" s="1" t="s">
        <v>1658</v>
      </c>
      <c r="L979" s="1" t="s">
        <v>1658</v>
      </c>
      <c r="M979" s="1" t="s">
        <v>1658</v>
      </c>
      <c r="N979" s="1" t="s">
        <v>1658</v>
      </c>
      <c r="O979" s="1" t="s">
        <v>1658</v>
      </c>
      <c r="P979" s="1">
        <v>1</v>
      </c>
      <c r="Q979" s="1" t="s">
        <v>1658</v>
      </c>
      <c r="R979" s="1">
        <v>0</v>
      </c>
      <c r="S979" s="1" t="s">
        <v>6071</v>
      </c>
      <c r="T979" s="6" t="s">
        <v>6071</v>
      </c>
      <c r="U979" s="1" t="str">
        <f t="shared" si="15"/>
        <v>Yes</v>
      </c>
      <c r="W979" s="1" t="s">
        <v>6072</v>
      </c>
      <c r="X979" s="1" t="str">
        <f>IF(COUNTIF('MyWells Drilling Comp'!F:F,E979)=0,"Missing","Exist")</f>
        <v>Exist</v>
      </c>
    </row>
    <row r="980" hidden="1" spans="1:24">
      <c r="A980" s="1" t="s">
        <v>5265</v>
      </c>
      <c r="B980" s="1" t="s">
        <v>90</v>
      </c>
      <c r="C980" s="1" t="s">
        <v>6073</v>
      </c>
      <c r="D980" s="1" t="s">
        <v>6074</v>
      </c>
      <c r="E980" s="2" t="s">
        <v>822</v>
      </c>
      <c r="F980" s="2" t="s">
        <v>6075</v>
      </c>
      <c r="G980" s="1">
        <v>1</v>
      </c>
      <c r="H980" s="1" t="s">
        <v>1663</v>
      </c>
      <c r="I980" s="1" t="s">
        <v>1657</v>
      </c>
      <c r="J980" s="1" t="s">
        <v>1658</v>
      </c>
      <c r="K980" s="1" t="s">
        <v>1658</v>
      </c>
      <c r="L980" s="1" t="s">
        <v>1658</v>
      </c>
      <c r="M980" s="1" t="s">
        <v>1658</v>
      </c>
      <c r="N980" s="1" t="s">
        <v>1658</v>
      </c>
      <c r="O980" s="1" t="s">
        <v>1658</v>
      </c>
      <c r="P980" s="1">
        <v>1</v>
      </c>
      <c r="Q980" s="1" t="s">
        <v>1658</v>
      </c>
      <c r="R980" s="1">
        <v>0</v>
      </c>
      <c r="S980" s="1" t="s">
        <v>6076</v>
      </c>
      <c r="T980" s="6" t="s">
        <v>6076</v>
      </c>
      <c r="U980" s="1" t="str">
        <f t="shared" si="15"/>
        <v>Yes</v>
      </c>
      <c r="W980" s="1" t="s">
        <v>6077</v>
      </c>
      <c r="X980" s="1" t="str">
        <f>IF(COUNTIF('MyWells Drilling Comp'!F:F,E980)=0,"Missing","Exist")</f>
        <v>Exist</v>
      </c>
    </row>
    <row r="981" hidden="1" spans="1:24">
      <c r="A981" s="1" t="s">
        <v>5265</v>
      </c>
      <c r="B981" s="1" t="s">
        <v>90</v>
      </c>
      <c r="C981" s="1" t="s">
        <v>6078</v>
      </c>
      <c r="D981" s="1" t="s">
        <v>6074</v>
      </c>
      <c r="E981" s="2" t="s">
        <v>822</v>
      </c>
      <c r="F981" s="2" t="s">
        <v>6079</v>
      </c>
      <c r="G981" s="1">
        <v>1</v>
      </c>
      <c r="H981" s="1" t="s">
        <v>1656</v>
      </c>
      <c r="I981" s="1" t="s">
        <v>1657</v>
      </c>
      <c r="J981" s="1" t="s">
        <v>1658</v>
      </c>
      <c r="K981" s="1" t="s">
        <v>1658</v>
      </c>
      <c r="L981" s="1" t="s">
        <v>1658</v>
      </c>
      <c r="M981" s="1" t="s">
        <v>1658</v>
      </c>
      <c r="N981" s="1" t="s">
        <v>1658</v>
      </c>
      <c r="O981" s="1" t="s">
        <v>1658</v>
      </c>
      <c r="P981" s="1">
        <v>1</v>
      </c>
      <c r="Q981" s="1" t="s">
        <v>1658</v>
      </c>
      <c r="R981" s="1">
        <v>0</v>
      </c>
      <c r="S981" s="1" t="s">
        <v>6080</v>
      </c>
      <c r="T981" s="6" t="s">
        <v>6080</v>
      </c>
      <c r="U981" s="1" t="str">
        <f t="shared" si="15"/>
        <v>Yes</v>
      </c>
      <c r="W981" s="1" t="s">
        <v>6081</v>
      </c>
      <c r="X981" s="1" t="str">
        <f>IF(COUNTIF('MyWells Drilling Comp'!F:F,E981)=0,"Missing","Exist")</f>
        <v>Exist</v>
      </c>
    </row>
    <row r="982" hidden="1" spans="1:24">
      <c r="A982" s="1" t="s">
        <v>5265</v>
      </c>
      <c r="B982" s="1" t="s">
        <v>90</v>
      </c>
      <c r="C982" s="1" t="s">
        <v>6082</v>
      </c>
      <c r="D982" s="1" t="s">
        <v>6083</v>
      </c>
      <c r="E982" s="2" t="s">
        <v>527</v>
      </c>
      <c r="F982" s="2" t="s">
        <v>6084</v>
      </c>
      <c r="G982" s="1">
        <v>1</v>
      </c>
      <c r="H982" s="1" t="s">
        <v>1663</v>
      </c>
      <c r="I982" s="1" t="s">
        <v>1657</v>
      </c>
      <c r="J982" s="1" t="s">
        <v>1658</v>
      </c>
      <c r="K982" s="1" t="s">
        <v>1658</v>
      </c>
      <c r="L982" s="1" t="s">
        <v>1658</v>
      </c>
      <c r="M982" s="1" t="s">
        <v>1658</v>
      </c>
      <c r="N982" s="1" t="s">
        <v>1658</v>
      </c>
      <c r="O982" s="1" t="s">
        <v>1658</v>
      </c>
      <c r="P982" s="1">
        <v>1</v>
      </c>
      <c r="Q982" s="1" t="s">
        <v>1658</v>
      </c>
      <c r="R982" s="1">
        <v>0</v>
      </c>
      <c r="S982" s="1" t="s">
        <v>6085</v>
      </c>
      <c r="T982" s="6" t="s">
        <v>6085</v>
      </c>
      <c r="U982" s="1" t="str">
        <f t="shared" si="15"/>
        <v>Yes</v>
      </c>
      <c r="W982" s="1" t="s">
        <v>6086</v>
      </c>
      <c r="X982" s="1" t="str">
        <f>IF(COUNTIF('MyWells Drilling Comp'!F:F,E982)=0,"Missing","Exist")</f>
        <v>Exist</v>
      </c>
    </row>
    <row r="983" hidden="1" spans="1:24">
      <c r="A983" s="1" t="s">
        <v>5265</v>
      </c>
      <c r="B983" s="1" t="s">
        <v>90</v>
      </c>
      <c r="C983" s="1" t="s">
        <v>6087</v>
      </c>
      <c r="D983" s="1" t="s">
        <v>6083</v>
      </c>
      <c r="E983" s="2" t="s">
        <v>527</v>
      </c>
      <c r="F983" s="2" t="s">
        <v>6088</v>
      </c>
      <c r="G983" s="1">
        <v>1</v>
      </c>
      <c r="H983" s="1" t="s">
        <v>1656</v>
      </c>
      <c r="I983" s="1" t="s">
        <v>1657</v>
      </c>
      <c r="J983" s="1" t="s">
        <v>1658</v>
      </c>
      <c r="K983" s="1" t="s">
        <v>1658</v>
      </c>
      <c r="L983" s="1" t="s">
        <v>1658</v>
      </c>
      <c r="M983" s="1" t="s">
        <v>1658</v>
      </c>
      <c r="N983" s="1" t="s">
        <v>1658</v>
      </c>
      <c r="O983" s="1" t="s">
        <v>1658</v>
      </c>
      <c r="P983" s="1">
        <v>1</v>
      </c>
      <c r="Q983" s="1" t="s">
        <v>1658</v>
      </c>
      <c r="R983" s="1">
        <v>0</v>
      </c>
      <c r="S983" s="1" t="s">
        <v>2384</v>
      </c>
      <c r="T983" s="6" t="s">
        <v>2384</v>
      </c>
      <c r="U983" s="1" t="str">
        <f t="shared" si="15"/>
        <v>Yes</v>
      </c>
      <c r="W983" s="1" t="s">
        <v>6089</v>
      </c>
      <c r="X983" s="1" t="str">
        <f>IF(COUNTIF('MyWells Drilling Comp'!F:F,E983)=0,"Missing","Exist")</f>
        <v>Exist</v>
      </c>
    </row>
    <row r="984" hidden="1" spans="1:24">
      <c r="A984" s="1" t="s">
        <v>5265</v>
      </c>
      <c r="B984" s="1" t="s">
        <v>90</v>
      </c>
      <c r="C984" s="1" t="s">
        <v>6090</v>
      </c>
      <c r="D984" s="1" t="s">
        <v>6091</v>
      </c>
      <c r="E984" s="2" t="s">
        <v>1561</v>
      </c>
      <c r="F984" s="2" t="s">
        <v>6092</v>
      </c>
      <c r="G984" s="1">
        <v>1</v>
      </c>
      <c r="H984" s="1" t="s">
        <v>1663</v>
      </c>
      <c r="I984" s="1" t="s">
        <v>1657</v>
      </c>
      <c r="J984" s="1" t="s">
        <v>1658</v>
      </c>
      <c r="K984" s="1" t="s">
        <v>1658</v>
      </c>
      <c r="L984" s="1" t="s">
        <v>1658</v>
      </c>
      <c r="M984" s="1" t="s">
        <v>1658</v>
      </c>
      <c r="N984" s="1" t="s">
        <v>1658</v>
      </c>
      <c r="O984" s="1" t="s">
        <v>1658</v>
      </c>
      <c r="P984" s="1">
        <v>1</v>
      </c>
      <c r="Q984" s="1" t="s">
        <v>1658</v>
      </c>
      <c r="R984" s="1">
        <v>0</v>
      </c>
      <c r="S984" s="1" t="s">
        <v>6093</v>
      </c>
      <c r="T984" s="6" t="s">
        <v>6093</v>
      </c>
      <c r="U984" s="1" t="str">
        <f t="shared" si="15"/>
        <v>Yes</v>
      </c>
      <c r="W984" s="1" t="s">
        <v>6094</v>
      </c>
      <c r="X984" s="1" t="str">
        <f>IF(COUNTIF('MyWells Drilling Comp'!F:F,E984)=0,"Missing","Exist")</f>
        <v>Exist</v>
      </c>
    </row>
    <row r="985" hidden="1" spans="1:24">
      <c r="A985" s="1" t="s">
        <v>5265</v>
      </c>
      <c r="B985" s="1" t="s">
        <v>90</v>
      </c>
      <c r="C985" s="1" t="s">
        <v>6095</v>
      </c>
      <c r="D985" s="1" t="s">
        <v>6091</v>
      </c>
      <c r="E985" s="2" t="s">
        <v>1561</v>
      </c>
      <c r="F985" s="2" t="s">
        <v>6096</v>
      </c>
      <c r="G985" s="1">
        <v>1</v>
      </c>
      <c r="H985" s="1" t="s">
        <v>1656</v>
      </c>
      <c r="I985" s="1" t="s">
        <v>1657</v>
      </c>
      <c r="J985" s="1" t="s">
        <v>1658</v>
      </c>
      <c r="K985" s="1" t="s">
        <v>1658</v>
      </c>
      <c r="L985" s="1" t="s">
        <v>1658</v>
      </c>
      <c r="M985" s="1" t="s">
        <v>1658</v>
      </c>
      <c r="N985" s="1" t="s">
        <v>1658</v>
      </c>
      <c r="O985" s="1" t="s">
        <v>1658</v>
      </c>
      <c r="P985" s="1">
        <v>1</v>
      </c>
      <c r="Q985" s="1" t="s">
        <v>1658</v>
      </c>
      <c r="R985" s="1">
        <v>0</v>
      </c>
      <c r="S985" s="1" t="s">
        <v>6097</v>
      </c>
      <c r="T985" s="6" t="s">
        <v>6097</v>
      </c>
      <c r="U985" s="1" t="str">
        <f t="shared" si="15"/>
        <v>Yes</v>
      </c>
      <c r="W985" s="1" t="s">
        <v>6098</v>
      </c>
      <c r="X985" s="1" t="str">
        <f>IF(COUNTIF('MyWells Drilling Comp'!F:F,E985)=0,"Missing","Exist")</f>
        <v>Exist</v>
      </c>
    </row>
    <row r="986" hidden="1" spans="1:24">
      <c r="A986" s="1" t="s">
        <v>5265</v>
      </c>
      <c r="B986" s="1" t="s">
        <v>90</v>
      </c>
      <c r="C986" s="1" t="s">
        <v>6099</v>
      </c>
      <c r="D986" s="1" t="s">
        <v>6100</v>
      </c>
      <c r="E986" s="2" t="s">
        <v>818</v>
      </c>
      <c r="F986" s="2" t="s">
        <v>6101</v>
      </c>
      <c r="G986" s="1">
        <v>1</v>
      </c>
      <c r="H986" s="1" t="s">
        <v>1656</v>
      </c>
      <c r="I986" s="1" t="s">
        <v>1657</v>
      </c>
      <c r="J986" s="1" t="s">
        <v>1658</v>
      </c>
      <c r="K986" s="1" t="s">
        <v>1658</v>
      </c>
      <c r="L986" s="1" t="s">
        <v>1658</v>
      </c>
      <c r="M986" s="1" t="s">
        <v>1658</v>
      </c>
      <c r="N986" s="1" t="s">
        <v>1658</v>
      </c>
      <c r="O986" s="1" t="s">
        <v>1658</v>
      </c>
      <c r="P986" s="1">
        <v>1</v>
      </c>
      <c r="Q986" s="1" t="s">
        <v>1658</v>
      </c>
      <c r="R986" s="1">
        <v>0</v>
      </c>
      <c r="S986" s="1" t="s">
        <v>6102</v>
      </c>
      <c r="T986" s="6" t="s">
        <v>6102</v>
      </c>
      <c r="U986" s="1" t="str">
        <f t="shared" si="15"/>
        <v>Yes</v>
      </c>
      <c r="W986" s="1" t="s">
        <v>6103</v>
      </c>
      <c r="X986" s="1" t="str">
        <f>IF(COUNTIF('MyWells Drilling Comp'!F:F,E986)=0,"Missing","Exist")</f>
        <v>Exist</v>
      </c>
    </row>
    <row r="987" hidden="1" spans="1:24">
      <c r="A987" s="1" t="s">
        <v>5265</v>
      </c>
      <c r="B987" s="1" t="s">
        <v>90</v>
      </c>
      <c r="C987" s="1" t="s">
        <v>6104</v>
      </c>
      <c r="D987" s="1" t="s">
        <v>6100</v>
      </c>
      <c r="E987" s="2" t="s">
        <v>818</v>
      </c>
      <c r="F987" s="2" t="s">
        <v>6105</v>
      </c>
      <c r="G987" s="1">
        <v>1</v>
      </c>
      <c r="H987" s="1" t="s">
        <v>1663</v>
      </c>
      <c r="I987" s="1" t="s">
        <v>1657</v>
      </c>
      <c r="J987" s="1" t="s">
        <v>1658</v>
      </c>
      <c r="K987" s="1" t="s">
        <v>1658</v>
      </c>
      <c r="L987" s="1" t="s">
        <v>1658</v>
      </c>
      <c r="M987" s="1" t="s">
        <v>1658</v>
      </c>
      <c r="N987" s="1" t="s">
        <v>1658</v>
      </c>
      <c r="O987" s="1" t="s">
        <v>1658</v>
      </c>
      <c r="P987" s="1">
        <v>1</v>
      </c>
      <c r="Q987" s="1" t="s">
        <v>1658</v>
      </c>
      <c r="R987" s="1">
        <v>0</v>
      </c>
      <c r="S987" s="1" t="s">
        <v>6106</v>
      </c>
      <c r="T987" s="6" t="s">
        <v>6106</v>
      </c>
      <c r="U987" s="1" t="str">
        <f t="shared" si="15"/>
        <v>Yes</v>
      </c>
      <c r="W987" s="1" t="s">
        <v>6107</v>
      </c>
      <c r="X987" s="1" t="str">
        <f>IF(COUNTIF('MyWells Drilling Comp'!F:F,E987)=0,"Missing","Exist")</f>
        <v>Exist</v>
      </c>
    </row>
    <row r="988" hidden="1" spans="1:24">
      <c r="A988" s="1" t="s">
        <v>5265</v>
      </c>
      <c r="B988" s="1" t="s">
        <v>90</v>
      </c>
      <c r="C988" s="1" t="s">
        <v>6108</v>
      </c>
      <c r="D988" s="1" t="s">
        <v>6109</v>
      </c>
      <c r="E988" s="2" t="s">
        <v>6110</v>
      </c>
      <c r="F988" s="2" t="s">
        <v>6111</v>
      </c>
      <c r="G988" s="1">
        <v>1</v>
      </c>
      <c r="H988" s="1" t="s">
        <v>1656</v>
      </c>
      <c r="I988" s="1" t="s">
        <v>1657</v>
      </c>
      <c r="J988" s="1" t="s">
        <v>1658</v>
      </c>
      <c r="K988" s="1" t="s">
        <v>1658</v>
      </c>
      <c r="L988" s="1" t="s">
        <v>1658</v>
      </c>
      <c r="M988" s="1" t="s">
        <v>1658</v>
      </c>
      <c r="N988" s="1" t="s">
        <v>1658</v>
      </c>
      <c r="O988" s="1" t="s">
        <v>1658</v>
      </c>
      <c r="P988" s="1">
        <v>1</v>
      </c>
      <c r="Q988" s="1" t="s">
        <v>1658</v>
      </c>
      <c r="R988" s="1">
        <v>0</v>
      </c>
      <c r="S988" s="1" t="s">
        <v>6112</v>
      </c>
      <c r="T988" s="6" t="s">
        <v>6112</v>
      </c>
      <c r="U988" s="1" t="str">
        <f t="shared" si="15"/>
        <v>Yes</v>
      </c>
      <c r="W988" s="1" t="s">
        <v>6113</v>
      </c>
      <c r="X988" s="1" t="str">
        <f>IF(COUNTIF('MyWells Drilling Comp'!F:F,E988)=0,"Missing","Exist")</f>
        <v>Missing</v>
      </c>
    </row>
    <row r="989" spans="1:24">
      <c r="A989" s="1" t="s">
        <v>5265</v>
      </c>
      <c r="B989" s="1" t="s">
        <v>90</v>
      </c>
      <c r="C989" s="1" t="s">
        <v>6114</v>
      </c>
      <c r="D989" s="1" t="s">
        <v>6109</v>
      </c>
      <c r="E989" s="2" t="s">
        <v>6110</v>
      </c>
      <c r="F989" s="2" t="s">
        <v>6115</v>
      </c>
      <c r="G989" s="1">
        <v>1</v>
      </c>
      <c r="H989" s="1" t="s">
        <v>1663</v>
      </c>
      <c r="I989" s="1" t="s">
        <v>1657</v>
      </c>
      <c r="J989" s="1" t="s">
        <v>1658</v>
      </c>
      <c r="K989" s="1" t="s">
        <v>1658</v>
      </c>
      <c r="L989" s="1" t="s">
        <v>1658</v>
      </c>
      <c r="M989" s="1" t="s">
        <v>1658</v>
      </c>
      <c r="N989" s="1" t="s">
        <v>1658</v>
      </c>
      <c r="O989" s="1" t="s">
        <v>1658</v>
      </c>
      <c r="P989" s="1">
        <v>1</v>
      </c>
      <c r="Q989" s="1" t="s">
        <v>1658</v>
      </c>
      <c r="R989" s="1">
        <v>0</v>
      </c>
      <c r="S989" s="1" t="s">
        <v>6116</v>
      </c>
      <c r="T989" s="6" t="s">
        <v>6116</v>
      </c>
      <c r="U989" s="1" t="str">
        <f t="shared" si="15"/>
        <v>Yes</v>
      </c>
      <c r="W989" s="1" t="s">
        <v>6117</v>
      </c>
      <c r="X989" s="1" t="str">
        <f>IF(COUNTIF('MyWells Drilling Comp'!F:F,E989)=0,"Missing","Exist")</f>
        <v>Missing</v>
      </c>
    </row>
    <row r="990" hidden="1" spans="1:24">
      <c r="A990" s="1" t="s">
        <v>5265</v>
      </c>
      <c r="B990" s="1" t="s">
        <v>90</v>
      </c>
      <c r="C990" s="1" t="s">
        <v>6118</v>
      </c>
      <c r="D990" s="1" t="s">
        <v>6119</v>
      </c>
      <c r="E990" s="2" t="s">
        <v>863</v>
      </c>
      <c r="F990" s="2" t="s">
        <v>6120</v>
      </c>
      <c r="G990" s="1">
        <v>1</v>
      </c>
      <c r="H990" s="1" t="s">
        <v>1663</v>
      </c>
      <c r="I990" s="1" t="s">
        <v>1657</v>
      </c>
      <c r="J990" s="1" t="s">
        <v>1658</v>
      </c>
      <c r="K990" s="1" t="s">
        <v>1658</v>
      </c>
      <c r="L990" s="1" t="s">
        <v>1658</v>
      </c>
      <c r="M990" s="1" t="s">
        <v>1658</v>
      </c>
      <c r="N990" s="1" t="s">
        <v>1658</v>
      </c>
      <c r="O990" s="1" t="s">
        <v>1658</v>
      </c>
      <c r="P990" s="1">
        <v>1</v>
      </c>
      <c r="Q990" s="1" t="s">
        <v>1658</v>
      </c>
      <c r="R990" s="1">
        <v>0</v>
      </c>
      <c r="S990" s="1" t="s">
        <v>6121</v>
      </c>
      <c r="T990" s="6" t="s">
        <v>6121</v>
      </c>
      <c r="U990" s="1" t="str">
        <f t="shared" si="15"/>
        <v>Yes</v>
      </c>
      <c r="W990" s="1" t="s">
        <v>6122</v>
      </c>
      <c r="X990" s="1" t="str">
        <f>IF(COUNTIF('MyWells Drilling Comp'!F:F,E990)=0,"Missing","Exist")</f>
        <v>Exist</v>
      </c>
    </row>
    <row r="991" hidden="1" spans="1:24">
      <c r="A991" s="1" t="s">
        <v>5265</v>
      </c>
      <c r="B991" s="1" t="s">
        <v>90</v>
      </c>
      <c r="C991" s="1" t="s">
        <v>6123</v>
      </c>
      <c r="D991" s="1" t="s">
        <v>6119</v>
      </c>
      <c r="E991" s="2" t="s">
        <v>863</v>
      </c>
      <c r="F991" s="2" t="s">
        <v>6124</v>
      </c>
      <c r="G991" s="1">
        <v>1</v>
      </c>
      <c r="H991" s="1" t="s">
        <v>1656</v>
      </c>
      <c r="I991" s="1" t="s">
        <v>1657</v>
      </c>
      <c r="J991" s="1" t="s">
        <v>1658</v>
      </c>
      <c r="K991" s="1" t="s">
        <v>1658</v>
      </c>
      <c r="L991" s="1" t="s">
        <v>1658</v>
      </c>
      <c r="M991" s="1" t="s">
        <v>1658</v>
      </c>
      <c r="N991" s="1" t="s">
        <v>1658</v>
      </c>
      <c r="O991" s="1" t="s">
        <v>1658</v>
      </c>
      <c r="P991" s="1">
        <v>1</v>
      </c>
      <c r="Q991" s="1" t="s">
        <v>1658</v>
      </c>
      <c r="R991" s="1">
        <v>0</v>
      </c>
      <c r="S991" s="1" t="s">
        <v>6125</v>
      </c>
      <c r="T991" s="6" t="s">
        <v>6125</v>
      </c>
      <c r="U991" s="1" t="str">
        <f t="shared" si="15"/>
        <v>Yes</v>
      </c>
      <c r="W991" s="1" t="s">
        <v>6126</v>
      </c>
      <c r="X991" s="1" t="str">
        <f>IF(COUNTIF('MyWells Drilling Comp'!F:F,E991)=0,"Missing","Exist")</f>
        <v>Exist</v>
      </c>
    </row>
    <row r="992" hidden="1" spans="1:24">
      <c r="A992" s="1" t="s">
        <v>5265</v>
      </c>
      <c r="B992" s="1" t="s">
        <v>90</v>
      </c>
      <c r="C992" s="7" t="s">
        <v>6127</v>
      </c>
      <c r="D992" s="1" t="s">
        <v>6128</v>
      </c>
      <c r="E992" s="2" t="s">
        <v>1313</v>
      </c>
      <c r="F992" s="2" t="s">
        <v>6129</v>
      </c>
      <c r="G992" s="1">
        <v>1</v>
      </c>
      <c r="H992" s="1" t="s">
        <v>1656</v>
      </c>
      <c r="I992" s="1" t="s">
        <v>1657</v>
      </c>
      <c r="J992" s="1" t="s">
        <v>1658</v>
      </c>
      <c r="K992" s="1" t="s">
        <v>1658</v>
      </c>
      <c r="L992" s="1" t="s">
        <v>1658</v>
      </c>
      <c r="M992" s="1" t="s">
        <v>1658</v>
      </c>
      <c r="N992" s="1" t="s">
        <v>1658</v>
      </c>
      <c r="O992" s="1" t="s">
        <v>1658</v>
      </c>
      <c r="P992" s="1">
        <v>1</v>
      </c>
      <c r="Q992" s="1" t="s">
        <v>1658</v>
      </c>
      <c r="R992" s="1">
        <v>0</v>
      </c>
      <c r="S992" s="1" t="s">
        <v>6130</v>
      </c>
      <c r="T992" s="6" t="s">
        <v>6130</v>
      </c>
      <c r="U992" s="1" t="str">
        <f t="shared" si="15"/>
        <v>Yes</v>
      </c>
      <c r="W992" s="1" t="s">
        <v>6131</v>
      </c>
      <c r="X992" s="1" t="str">
        <f>IF(COUNTIF('MyWells Drilling Comp'!F:F,E992)=0,"Missing","Exist")</f>
        <v>Exist</v>
      </c>
    </row>
    <row r="993" hidden="1" spans="1:24">
      <c r="A993" s="1" t="s">
        <v>5265</v>
      </c>
      <c r="B993" s="1" t="s">
        <v>90</v>
      </c>
      <c r="C993" s="1" t="s">
        <v>6132</v>
      </c>
      <c r="D993" s="1" t="s">
        <v>6128</v>
      </c>
      <c r="E993" s="2" t="s">
        <v>1313</v>
      </c>
      <c r="F993" s="2" t="s">
        <v>6133</v>
      </c>
      <c r="G993" s="1">
        <v>1</v>
      </c>
      <c r="H993" s="1" t="s">
        <v>1663</v>
      </c>
      <c r="I993" s="1" t="s">
        <v>1657</v>
      </c>
      <c r="J993" s="1" t="s">
        <v>1658</v>
      </c>
      <c r="K993" s="1" t="s">
        <v>1658</v>
      </c>
      <c r="L993" s="1" t="s">
        <v>1658</v>
      </c>
      <c r="M993" s="1" t="s">
        <v>1658</v>
      </c>
      <c r="N993" s="1" t="s">
        <v>1658</v>
      </c>
      <c r="O993" s="1" t="s">
        <v>1658</v>
      </c>
      <c r="P993" s="1">
        <v>1</v>
      </c>
      <c r="Q993" s="1" t="s">
        <v>1658</v>
      </c>
      <c r="R993" s="1">
        <v>0</v>
      </c>
      <c r="S993" s="1" t="s">
        <v>6134</v>
      </c>
      <c r="T993" s="6" t="s">
        <v>6134</v>
      </c>
      <c r="U993" s="1" t="str">
        <f t="shared" si="15"/>
        <v>Yes</v>
      </c>
      <c r="W993" s="1" t="s">
        <v>6135</v>
      </c>
      <c r="X993" s="1" t="str">
        <f>IF(COUNTIF('MyWells Drilling Comp'!F:F,E993)=0,"Missing","Exist")</f>
        <v>Exist</v>
      </c>
    </row>
    <row r="994" hidden="1" spans="1:24">
      <c r="A994" s="1" t="s">
        <v>5265</v>
      </c>
      <c r="B994" s="1" t="s">
        <v>90</v>
      </c>
      <c r="C994" s="1" t="s">
        <v>6136</v>
      </c>
      <c r="D994" s="1" t="s">
        <v>6137</v>
      </c>
      <c r="E994" s="2" t="s">
        <v>1328</v>
      </c>
      <c r="F994" s="2" t="s">
        <v>6138</v>
      </c>
      <c r="G994" s="1">
        <v>1</v>
      </c>
      <c r="H994" s="1" t="s">
        <v>1663</v>
      </c>
      <c r="I994" s="1" t="s">
        <v>1657</v>
      </c>
      <c r="J994" s="1" t="s">
        <v>1658</v>
      </c>
      <c r="K994" s="1" t="s">
        <v>1658</v>
      </c>
      <c r="L994" s="1" t="s">
        <v>1658</v>
      </c>
      <c r="M994" s="1" t="s">
        <v>1658</v>
      </c>
      <c r="N994" s="1" t="s">
        <v>1658</v>
      </c>
      <c r="O994" s="1" t="s">
        <v>1658</v>
      </c>
      <c r="P994" s="1">
        <v>1</v>
      </c>
      <c r="Q994" s="1" t="s">
        <v>1658</v>
      </c>
      <c r="R994" s="1">
        <v>0</v>
      </c>
      <c r="S994" s="1" t="s">
        <v>6139</v>
      </c>
      <c r="T994" s="6" t="s">
        <v>6139</v>
      </c>
      <c r="U994" s="1" t="str">
        <f t="shared" si="15"/>
        <v>Yes</v>
      </c>
      <c r="W994" s="1" t="s">
        <v>6140</v>
      </c>
      <c r="X994" s="1" t="str">
        <f>IF(COUNTIF('MyWells Drilling Comp'!F:F,E994)=0,"Missing","Exist")</f>
        <v>Exist</v>
      </c>
    </row>
    <row r="995" hidden="1" spans="1:24">
      <c r="A995" s="1" t="s">
        <v>5265</v>
      </c>
      <c r="B995" s="1" t="s">
        <v>90</v>
      </c>
      <c r="C995" s="1" t="s">
        <v>6141</v>
      </c>
      <c r="D995" s="1" t="s">
        <v>6137</v>
      </c>
      <c r="E995" s="2" t="s">
        <v>1328</v>
      </c>
      <c r="F995" s="2" t="s">
        <v>6142</v>
      </c>
      <c r="G995" s="1">
        <v>1</v>
      </c>
      <c r="H995" s="1" t="s">
        <v>1656</v>
      </c>
      <c r="I995" s="1" t="s">
        <v>1657</v>
      </c>
      <c r="J995" s="1" t="s">
        <v>1658</v>
      </c>
      <c r="K995" s="1" t="s">
        <v>1658</v>
      </c>
      <c r="L995" s="1" t="s">
        <v>1658</v>
      </c>
      <c r="M995" s="1" t="s">
        <v>1658</v>
      </c>
      <c r="N995" s="1" t="s">
        <v>1658</v>
      </c>
      <c r="O995" s="1" t="s">
        <v>1658</v>
      </c>
      <c r="P995" s="1">
        <v>1</v>
      </c>
      <c r="Q995" s="1" t="s">
        <v>1658</v>
      </c>
      <c r="R995" s="1">
        <v>0</v>
      </c>
      <c r="S995" s="1" t="s">
        <v>6143</v>
      </c>
      <c r="T995" s="6" t="s">
        <v>6143</v>
      </c>
      <c r="U995" s="1" t="str">
        <f t="shared" si="15"/>
        <v>Yes</v>
      </c>
      <c r="W995" s="1" t="s">
        <v>6144</v>
      </c>
      <c r="X995" s="1" t="str">
        <f>IF(COUNTIF('MyWells Drilling Comp'!F:F,E995)=0,"Missing","Exist")</f>
        <v>Exist</v>
      </c>
    </row>
    <row r="996" hidden="1" spans="1:24">
      <c r="A996" s="1" t="s">
        <v>5265</v>
      </c>
      <c r="B996" s="1" t="s">
        <v>90</v>
      </c>
      <c r="C996" s="1" t="s">
        <v>6145</v>
      </c>
      <c r="D996" s="1" t="s">
        <v>6146</v>
      </c>
      <c r="E996" s="2" t="s">
        <v>760</v>
      </c>
      <c r="F996" s="2" t="s">
        <v>6147</v>
      </c>
      <c r="G996" s="1">
        <v>1</v>
      </c>
      <c r="H996" s="1" t="s">
        <v>1663</v>
      </c>
      <c r="I996" s="1" t="s">
        <v>1657</v>
      </c>
      <c r="J996" s="1" t="s">
        <v>1658</v>
      </c>
      <c r="K996" s="1" t="s">
        <v>1658</v>
      </c>
      <c r="L996" s="1" t="s">
        <v>1658</v>
      </c>
      <c r="M996" s="1" t="s">
        <v>1658</v>
      </c>
      <c r="N996" s="1" t="s">
        <v>1658</v>
      </c>
      <c r="O996" s="1" t="s">
        <v>1658</v>
      </c>
      <c r="P996" s="1">
        <v>1</v>
      </c>
      <c r="Q996" s="1" t="s">
        <v>1658</v>
      </c>
      <c r="R996" s="1">
        <v>0</v>
      </c>
      <c r="S996" s="1" t="s">
        <v>6148</v>
      </c>
      <c r="T996" s="6" t="s">
        <v>6148</v>
      </c>
      <c r="U996" s="1" t="str">
        <f t="shared" si="15"/>
        <v>Yes</v>
      </c>
      <c r="W996" s="1" t="s">
        <v>6149</v>
      </c>
      <c r="X996" s="1" t="str">
        <f>IF(COUNTIF('MyWells Drilling Comp'!F:F,E996)=0,"Missing","Exist")</f>
        <v>Exist</v>
      </c>
    </row>
    <row r="997" hidden="1" spans="1:24">
      <c r="A997" s="1" t="s">
        <v>5265</v>
      </c>
      <c r="B997" s="1" t="s">
        <v>90</v>
      </c>
      <c r="C997" s="1" t="s">
        <v>6150</v>
      </c>
      <c r="D997" s="1" t="s">
        <v>6146</v>
      </c>
      <c r="E997" s="2" t="s">
        <v>760</v>
      </c>
      <c r="F997" s="2" t="s">
        <v>6151</v>
      </c>
      <c r="G997" s="1">
        <v>1</v>
      </c>
      <c r="H997" s="1" t="s">
        <v>1656</v>
      </c>
      <c r="I997" s="1" t="s">
        <v>1657</v>
      </c>
      <c r="J997" s="1" t="s">
        <v>1658</v>
      </c>
      <c r="K997" s="1" t="s">
        <v>1658</v>
      </c>
      <c r="L997" s="1" t="s">
        <v>1658</v>
      </c>
      <c r="M997" s="1" t="s">
        <v>1658</v>
      </c>
      <c r="N997" s="1" t="s">
        <v>1658</v>
      </c>
      <c r="O997" s="1" t="s">
        <v>1658</v>
      </c>
      <c r="P997" s="1">
        <v>1</v>
      </c>
      <c r="Q997" s="1" t="s">
        <v>1658</v>
      </c>
      <c r="R997" s="1">
        <v>0</v>
      </c>
      <c r="S997" s="1" t="s">
        <v>6152</v>
      </c>
      <c r="T997" s="6" t="s">
        <v>6152</v>
      </c>
      <c r="U997" s="1" t="str">
        <f t="shared" si="15"/>
        <v>Yes</v>
      </c>
      <c r="W997" s="1" t="s">
        <v>6153</v>
      </c>
      <c r="X997" s="1" t="str">
        <f>IF(COUNTIF('MyWells Drilling Comp'!F:F,E997)=0,"Missing","Exist")</f>
        <v>Exist</v>
      </c>
    </row>
    <row r="998" hidden="1" spans="1:24">
      <c r="A998" s="1" t="s">
        <v>5265</v>
      </c>
      <c r="B998" s="1" t="s">
        <v>90</v>
      </c>
      <c r="C998" s="1" t="s">
        <v>6154</v>
      </c>
      <c r="D998" s="1" t="s">
        <v>6155</v>
      </c>
      <c r="E998" s="2" t="s">
        <v>803</v>
      </c>
      <c r="F998" s="2" t="s">
        <v>6156</v>
      </c>
      <c r="G998" s="1">
        <v>1</v>
      </c>
      <c r="H998" s="1" t="s">
        <v>1663</v>
      </c>
      <c r="I998" s="1" t="s">
        <v>1657</v>
      </c>
      <c r="J998" s="1" t="s">
        <v>1658</v>
      </c>
      <c r="K998" s="1" t="s">
        <v>1658</v>
      </c>
      <c r="L998" s="1" t="s">
        <v>1658</v>
      </c>
      <c r="M998" s="1" t="s">
        <v>1658</v>
      </c>
      <c r="N998" s="1" t="s">
        <v>1658</v>
      </c>
      <c r="O998" s="1" t="s">
        <v>1658</v>
      </c>
      <c r="P998" s="1">
        <v>1</v>
      </c>
      <c r="Q998" s="1" t="s">
        <v>1658</v>
      </c>
      <c r="R998" s="1">
        <v>0</v>
      </c>
      <c r="S998" s="1" t="s">
        <v>6157</v>
      </c>
      <c r="T998" s="6" t="s">
        <v>6157</v>
      </c>
      <c r="U998" s="1" t="str">
        <f t="shared" si="15"/>
        <v>Yes</v>
      </c>
      <c r="W998" s="1" t="s">
        <v>6158</v>
      </c>
      <c r="X998" s="1" t="str">
        <f>IF(COUNTIF('MyWells Drilling Comp'!F:F,E998)=0,"Missing","Exist")</f>
        <v>Exist</v>
      </c>
    </row>
    <row r="999" hidden="1" spans="1:24">
      <c r="A999" s="1" t="s">
        <v>5265</v>
      </c>
      <c r="B999" s="1" t="s">
        <v>90</v>
      </c>
      <c r="C999" s="1" t="s">
        <v>6159</v>
      </c>
      <c r="D999" s="1" t="s">
        <v>6155</v>
      </c>
      <c r="E999" s="2" t="s">
        <v>803</v>
      </c>
      <c r="F999" s="2" t="s">
        <v>6160</v>
      </c>
      <c r="G999" s="1">
        <v>1</v>
      </c>
      <c r="H999" s="1" t="s">
        <v>1656</v>
      </c>
      <c r="I999" s="1" t="s">
        <v>1657</v>
      </c>
      <c r="J999" s="1" t="s">
        <v>1658</v>
      </c>
      <c r="K999" s="1" t="s">
        <v>1658</v>
      </c>
      <c r="L999" s="1" t="s">
        <v>1658</v>
      </c>
      <c r="M999" s="1" t="s">
        <v>1658</v>
      </c>
      <c r="N999" s="1" t="s">
        <v>1658</v>
      </c>
      <c r="O999" s="1" t="s">
        <v>1658</v>
      </c>
      <c r="P999" s="1">
        <v>1</v>
      </c>
      <c r="Q999" s="1" t="s">
        <v>1658</v>
      </c>
      <c r="R999" s="1">
        <v>0</v>
      </c>
      <c r="S999" s="1" t="s">
        <v>6161</v>
      </c>
      <c r="T999" s="6" t="s">
        <v>6161</v>
      </c>
      <c r="U999" s="1" t="str">
        <f t="shared" si="15"/>
        <v>Yes</v>
      </c>
      <c r="W999" s="1" t="s">
        <v>6162</v>
      </c>
      <c r="X999" s="1" t="str">
        <f>IF(COUNTIF('MyWells Drilling Comp'!F:F,E999)=0,"Missing","Exist")</f>
        <v>Exist</v>
      </c>
    </row>
    <row r="1000" hidden="1" spans="1:24">
      <c r="A1000" s="1" t="s">
        <v>5265</v>
      </c>
      <c r="B1000" s="1" t="s">
        <v>90</v>
      </c>
      <c r="C1000" s="1" t="s">
        <v>6163</v>
      </c>
      <c r="D1000" s="1" t="s">
        <v>6164</v>
      </c>
      <c r="E1000" s="2" t="s">
        <v>799</v>
      </c>
      <c r="F1000" s="2" t="s">
        <v>6165</v>
      </c>
      <c r="G1000" s="1">
        <v>1</v>
      </c>
      <c r="H1000" s="1" t="s">
        <v>1663</v>
      </c>
      <c r="I1000" s="1" t="s">
        <v>1657</v>
      </c>
      <c r="J1000" s="1" t="s">
        <v>1658</v>
      </c>
      <c r="K1000" s="1" t="s">
        <v>1658</v>
      </c>
      <c r="L1000" s="1" t="s">
        <v>1658</v>
      </c>
      <c r="M1000" s="1" t="s">
        <v>1658</v>
      </c>
      <c r="N1000" s="1" t="s">
        <v>1658</v>
      </c>
      <c r="O1000" s="1" t="s">
        <v>1658</v>
      </c>
      <c r="P1000" s="1">
        <v>1</v>
      </c>
      <c r="Q1000" s="1" t="s">
        <v>1658</v>
      </c>
      <c r="R1000" s="1">
        <v>0</v>
      </c>
      <c r="S1000" s="1" t="s">
        <v>6166</v>
      </c>
      <c r="T1000" s="6" t="s">
        <v>6166</v>
      </c>
      <c r="U1000" s="1" t="str">
        <f t="shared" si="15"/>
        <v>Yes</v>
      </c>
      <c r="W1000" s="1" t="s">
        <v>6167</v>
      </c>
      <c r="X1000" s="1" t="str">
        <f>IF(COUNTIF('MyWells Drilling Comp'!F:F,E1000)=0,"Missing","Exist")</f>
        <v>Exist</v>
      </c>
    </row>
    <row r="1001" hidden="1" spans="1:24">
      <c r="A1001" s="1" t="s">
        <v>5265</v>
      </c>
      <c r="B1001" s="1" t="s">
        <v>90</v>
      </c>
      <c r="C1001" s="1" t="s">
        <v>6168</v>
      </c>
      <c r="D1001" s="1" t="s">
        <v>6164</v>
      </c>
      <c r="E1001" s="2" t="s">
        <v>799</v>
      </c>
      <c r="F1001" s="2" t="s">
        <v>6169</v>
      </c>
      <c r="G1001" s="1">
        <v>1</v>
      </c>
      <c r="H1001" s="1" t="s">
        <v>1656</v>
      </c>
      <c r="I1001" s="1" t="s">
        <v>1657</v>
      </c>
      <c r="J1001" s="1" t="s">
        <v>1658</v>
      </c>
      <c r="K1001" s="1" t="s">
        <v>1658</v>
      </c>
      <c r="L1001" s="1" t="s">
        <v>1658</v>
      </c>
      <c r="M1001" s="1" t="s">
        <v>1658</v>
      </c>
      <c r="N1001" s="1" t="s">
        <v>1658</v>
      </c>
      <c r="O1001" s="1" t="s">
        <v>1658</v>
      </c>
      <c r="P1001" s="1">
        <v>1</v>
      </c>
      <c r="Q1001" s="1" t="s">
        <v>1658</v>
      </c>
      <c r="R1001" s="1">
        <v>0</v>
      </c>
      <c r="S1001" s="1" t="s">
        <v>6170</v>
      </c>
      <c r="T1001" s="6" t="s">
        <v>6170</v>
      </c>
      <c r="U1001" s="1" t="str">
        <f t="shared" si="15"/>
        <v>Yes</v>
      </c>
      <c r="W1001" s="1" t="s">
        <v>6171</v>
      </c>
      <c r="X1001" s="1" t="str">
        <f>IF(COUNTIF('MyWells Drilling Comp'!F:F,E1001)=0,"Missing","Exist")</f>
        <v>Exist</v>
      </c>
    </row>
    <row r="1002" hidden="1" spans="1:24">
      <c r="A1002" s="1" t="s">
        <v>5265</v>
      </c>
      <c r="B1002" s="1" t="s">
        <v>90</v>
      </c>
      <c r="C1002" s="1" t="s">
        <v>6172</v>
      </c>
      <c r="D1002" s="1" t="s">
        <v>6173</v>
      </c>
      <c r="E1002" s="2" t="s">
        <v>1368</v>
      </c>
      <c r="F1002" s="2" t="s">
        <v>6174</v>
      </c>
      <c r="G1002" s="1">
        <v>1</v>
      </c>
      <c r="H1002" s="1" t="s">
        <v>1663</v>
      </c>
      <c r="I1002" s="1" t="s">
        <v>1657</v>
      </c>
      <c r="J1002" s="1" t="s">
        <v>1658</v>
      </c>
      <c r="K1002" s="1" t="s">
        <v>1658</v>
      </c>
      <c r="L1002" s="1" t="s">
        <v>1658</v>
      </c>
      <c r="M1002" s="1" t="s">
        <v>1658</v>
      </c>
      <c r="N1002" s="1" t="s">
        <v>1658</v>
      </c>
      <c r="O1002" s="1" t="s">
        <v>1658</v>
      </c>
      <c r="P1002" s="1">
        <v>1</v>
      </c>
      <c r="Q1002" s="1" t="s">
        <v>1658</v>
      </c>
      <c r="R1002" s="1">
        <v>0</v>
      </c>
      <c r="S1002" s="1" t="s">
        <v>6175</v>
      </c>
      <c r="T1002" s="6" t="s">
        <v>6175</v>
      </c>
      <c r="U1002" s="1" t="str">
        <f t="shared" si="15"/>
        <v>Yes</v>
      </c>
      <c r="W1002" s="1" t="s">
        <v>6176</v>
      </c>
      <c r="X1002" s="1" t="str">
        <f>IF(COUNTIF('MyWells Drilling Comp'!F:F,E1002)=0,"Missing","Exist")</f>
        <v>Exist</v>
      </c>
    </row>
    <row r="1003" hidden="1" spans="1:24">
      <c r="A1003" s="1" t="s">
        <v>5265</v>
      </c>
      <c r="B1003" s="1" t="s">
        <v>90</v>
      </c>
      <c r="C1003" s="1" t="s">
        <v>6177</v>
      </c>
      <c r="D1003" s="1" t="s">
        <v>6173</v>
      </c>
      <c r="E1003" s="2" t="s">
        <v>1368</v>
      </c>
      <c r="F1003" s="2" t="s">
        <v>6178</v>
      </c>
      <c r="G1003" s="1">
        <v>1</v>
      </c>
      <c r="H1003" s="1" t="s">
        <v>1656</v>
      </c>
      <c r="I1003" s="1" t="s">
        <v>1657</v>
      </c>
      <c r="J1003" s="1" t="s">
        <v>1658</v>
      </c>
      <c r="K1003" s="1" t="s">
        <v>1658</v>
      </c>
      <c r="L1003" s="1" t="s">
        <v>1658</v>
      </c>
      <c r="M1003" s="1" t="s">
        <v>1658</v>
      </c>
      <c r="N1003" s="1" t="s">
        <v>1658</v>
      </c>
      <c r="O1003" s="1" t="s">
        <v>1658</v>
      </c>
      <c r="P1003" s="1">
        <v>1</v>
      </c>
      <c r="Q1003" s="1" t="s">
        <v>1658</v>
      </c>
      <c r="R1003" s="1">
        <v>0</v>
      </c>
      <c r="S1003" s="1" t="s">
        <v>6179</v>
      </c>
      <c r="T1003" s="6" t="s">
        <v>6179</v>
      </c>
      <c r="U1003" s="1" t="str">
        <f t="shared" si="15"/>
        <v>Yes</v>
      </c>
      <c r="W1003" s="1" t="s">
        <v>6180</v>
      </c>
      <c r="X1003" s="1" t="str">
        <f>IF(COUNTIF('MyWells Drilling Comp'!F:F,E1003)=0,"Missing","Exist")</f>
        <v>Exist</v>
      </c>
    </row>
    <row r="1004" hidden="1" spans="1:24">
      <c r="A1004" s="1" t="s">
        <v>5265</v>
      </c>
      <c r="B1004" s="1" t="s">
        <v>90</v>
      </c>
      <c r="C1004" s="1" t="s">
        <v>6181</v>
      </c>
      <c r="D1004" s="1" t="s">
        <v>6182</v>
      </c>
      <c r="E1004" s="2" t="s">
        <v>744</v>
      </c>
      <c r="F1004" s="2" t="s">
        <v>6183</v>
      </c>
      <c r="G1004" s="1">
        <v>1</v>
      </c>
      <c r="H1004" s="1" t="s">
        <v>1663</v>
      </c>
      <c r="I1004" s="1" t="s">
        <v>1657</v>
      </c>
      <c r="J1004" s="1" t="s">
        <v>1658</v>
      </c>
      <c r="K1004" s="1" t="s">
        <v>1658</v>
      </c>
      <c r="L1004" s="1" t="s">
        <v>1658</v>
      </c>
      <c r="M1004" s="1" t="s">
        <v>1658</v>
      </c>
      <c r="N1004" s="1" t="s">
        <v>1658</v>
      </c>
      <c r="O1004" s="1" t="s">
        <v>1658</v>
      </c>
      <c r="P1004" s="1">
        <v>1</v>
      </c>
      <c r="Q1004" s="1" t="s">
        <v>1658</v>
      </c>
      <c r="R1004" s="1">
        <v>0</v>
      </c>
      <c r="S1004" s="1" t="s">
        <v>6184</v>
      </c>
      <c r="T1004" s="6" t="s">
        <v>6184</v>
      </c>
      <c r="U1004" s="1" t="str">
        <f t="shared" si="15"/>
        <v>Yes</v>
      </c>
      <c r="W1004" s="1" t="s">
        <v>6185</v>
      </c>
      <c r="X1004" s="1" t="str">
        <f>IF(COUNTIF('MyWells Drilling Comp'!F:F,E1004)=0,"Missing","Exist")</f>
        <v>Exist</v>
      </c>
    </row>
    <row r="1005" hidden="1" spans="1:24">
      <c r="A1005" s="1" t="s">
        <v>5265</v>
      </c>
      <c r="B1005" s="1" t="s">
        <v>90</v>
      </c>
      <c r="C1005" s="1" t="s">
        <v>6186</v>
      </c>
      <c r="D1005" s="1" t="s">
        <v>6182</v>
      </c>
      <c r="E1005" s="2" t="s">
        <v>744</v>
      </c>
      <c r="F1005" s="2" t="s">
        <v>6187</v>
      </c>
      <c r="G1005" s="1">
        <v>1</v>
      </c>
      <c r="H1005" s="1" t="s">
        <v>1656</v>
      </c>
      <c r="I1005" s="1" t="s">
        <v>1657</v>
      </c>
      <c r="J1005" s="1" t="s">
        <v>1658</v>
      </c>
      <c r="K1005" s="1" t="s">
        <v>1658</v>
      </c>
      <c r="L1005" s="1" t="s">
        <v>1658</v>
      </c>
      <c r="M1005" s="1" t="s">
        <v>1658</v>
      </c>
      <c r="N1005" s="1" t="s">
        <v>1658</v>
      </c>
      <c r="O1005" s="1" t="s">
        <v>1658</v>
      </c>
      <c r="P1005" s="1">
        <v>1</v>
      </c>
      <c r="Q1005" s="1" t="s">
        <v>1658</v>
      </c>
      <c r="R1005" s="1">
        <v>0</v>
      </c>
      <c r="S1005" s="1" t="s">
        <v>6188</v>
      </c>
      <c r="T1005" s="6" t="s">
        <v>6188</v>
      </c>
      <c r="U1005" s="1" t="str">
        <f t="shared" si="15"/>
        <v>Yes</v>
      </c>
      <c r="W1005" s="1" t="s">
        <v>6189</v>
      </c>
      <c r="X1005" s="1" t="str">
        <f>IF(COUNTIF('MyWells Drilling Comp'!F:F,E1005)=0,"Missing","Exist")</f>
        <v>Exist</v>
      </c>
    </row>
    <row r="1006" hidden="1" spans="1:24">
      <c r="A1006" s="1" t="s">
        <v>5265</v>
      </c>
      <c r="B1006" s="1" t="s">
        <v>90</v>
      </c>
      <c r="C1006" s="1" t="s">
        <v>6190</v>
      </c>
      <c r="D1006" s="1" t="s">
        <v>6191</v>
      </c>
      <c r="E1006" s="2" t="s">
        <v>983</v>
      </c>
      <c r="F1006" s="2" t="s">
        <v>6192</v>
      </c>
      <c r="G1006" s="1">
        <v>1</v>
      </c>
      <c r="H1006" s="1" t="s">
        <v>1656</v>
      </c>
      <c r="I1006" s="1" t="s">
        <v>1657</v>
      </c>
      <c r="J1006" s="1" t="s">
        <v>1658</v>
      </c>
      <c r="K1006" s="1" t="s">
        <v>1658</v>
      </c>
      <c r="L1006" s="1" t="s">
        <v>1658</v>
      </c>
      <c r="M1006" s="1" t="s">
        <v>1658</v>
      </c>
      <c r="N1006" s="1" t="s">
        <v>1658</v>
      </c>
      <c r="O1006" s="1" t="s">
        <v>1658</v>
      </c>
      <c r="P1006" s="1">
        <v>1</v>
      </c>
      <c r="Q1006" s="1" t="s">
        <v>1658</v>
      </c>
      <c r="R1006" s="1">
        <v>0</v>
      </c>
      <c r="S1006" s="1" t="s">
        <v>6193</v>
      </c>
      <c r="T1006" s="6" t="s">
        <v>6193</v>
      </c>
      <c r="U1006" s="1" t="str">
        <f t="shared" si="15"/>
        <v>Yes</v>
      </c>
      <c r="W1006" s="1" t="s">
        <v>6194</v>
      </c>
      <c r="X1006" s="1" t="str">
        <f>IF(COUNTIF('MyWells Drilling Comp'!F:F,E1006)=0,"Missing","Exist")</f>
        <v>Exist</v>
      </c>
    </row>
    <row r="1007" hidden="1" spans="1:24">
      <c r="A1007" s="1" t="s">
        <v>5265</v>
      </c>
      <c r="B1007" s="1" t="s">
        <v>90</v>
      </c>
      <c r="C1007" s="1" t="s">
        <v>6195</v>
      </c>
      <c r="D1007" s="1" t="s">
        <v>6191</v>
      </c>
      <c r="E1007" s="2" t="s">
        <v>983</v>
      </c>
      <c r="F1007" s="2" t="s">
        <v>6196</v>
      </c>
      <c r="G1007" s="1">
        <v>1</v>
      </c>
      <c r="H1007" s="1" t="s">
        <v>1663</v>
      </c>
      <c r="I1007" s="1" t="s">
        <v>1657</v>
      </c>
      <c r="J1007" s="1" t="s">
        <v>1658</v>
      </c>
      <c r="K1007" s="1" t="s">
        <v>1658</v>
      </c>
      <c r="L1007" s="1" t="s">
        <v>1658</v>
      </c>
      <c r="M1007" s="1" t="s">
        <v>1658</v>
      </c>
      <c r="N1007" s="1" t="s">
        <v>1658</v>
      </c>
      <c r="O1007" s="1" t="s">
        <v>1658</v>
      </c>
      <c r="P1007" s="1">
        <v>1</v>
      </c>
      <c r="Q1007" s="1" t="s">
        <v>1658</v>
      </c>
      <c r="R1007" s="1">
        <v>0</v>
      </c>
      <c r="S1007" s="1" t="s">
        <v>6197</v>
      </c>
      <c r="T1007" s="6" t="s">
        <v>6197</v>
      </c>
      <c r="U1007" s="1" t="str">
        <f t="shared" si="15"/>
        <v>Yes</v>
      </c>
      <c r="W1007" s="1" t="s">
        <v>6198</v>
      </c>
      <c r="X1007" s="1" t="str">
        <f>IF(COUNTIF('MyWells Drilling Comp'!F:F,E1007)=0,"Missing","Exist")</f>
        <v>Exist</v>
      </c>
    </row>
    <row r="1008" hidden="1" spans="1:24">
      <c r="A1008" s="1" t="s">
        <v>5265</v>
      </c>
      <c r="B1008" s="1" t="s">
        <v>90</v>
      </c>
      <c r="C1008" s="1" t="s">
        <v>6199</v>
      </c>
      <c r="D1008" s="1" t="s">
        <v>6200</v>
      </c>
      <c r="E1008" s="2" t="s">
        <v>949</v>
      </c>
      <c r="F1008" s="2" t="s">
        <v>6201</v>
      </c>
      <c r="G1008" s="1">
        <v>1</v>
      </c>
      <c r="H1008" s="1" t="s">
        <v>1656</v>
      </c>
      <c r="I1008" s="1" t="s">
        <v>1657</v>
      </c>
      <c r="J1008" s="1" t="s">
        <v>1658</v>
      </c>
      <c r="K1008" s="1" t="s">
        <v>1658</v>
      </c>
      <c r="L1008" s="1" t="s">
        <v>1658</v>
      </c>
      <c r="M1008" s="1" t="s">
        <v>1658</v>
      </c>
      <c r="N1008" s="1" t="s">
        <v>1658</v>
      </c>
      <c r="O1008" s="1" t="s">
        <v>1658</v>
      </c>
      <c r="P1008" s="1">
        <v>1</v>
      </c>
      <c r="Q1008" s="1" t="s">
        <v>1658</v>
      </c>
      <c r="R1008" s="1">
        <v>0</v>
      </c>
      <c r="S1008" s="1" t="s">
        <v>6202</v>
      </c>
      <c r="T1008" s="6" t="s">
        <v>6202</v>
      </c>
      <c r="U1008" s="1" t="str">
        <f t="shared" si="15"/>
        <v>Yes</v>
      </c>
      <c r="W1008" s="1" t="s">
        <v>6203</v>
      </c>
      <c r="X1008" s="1" t="str">
        <f>IF(COUNTIF('MyWells Drilling Comp'!F:F,E1008)=0,"Missing","Exist")</f>
        <v>Exist</v>
      </c>
    </row>
    <row r="1009" hidden="1" spans="1:24">
      <c r="A1009" s="1" t="s">
        <v>5265</v>
      </c>
      <c r="B1009" s="1" t="s">
        <v>90</v>
      </c>
      <c r="C1009" s="1" t="s">
        <v>6204</v>
      </c>
      <c r="D1009" s="1" t="s">
        <v>6200</v>
      </c>
      <c r="E1009" s="2" t="s">
        <v>949</v>
      </c>
      <c r="F1009" s="2" t="s">
        <v>6205</v>
      </c>
      <c r="G1009" s="1">
        <v>1</v>
      </c>
      <c r="H1009" s="1" t="s">
        <v>1663</v>
      </c>
      <c r="I1009" s="1" t="s">
        <v>1657</v>
      </c>
      <c r="J1009" s="1" t="s">
        <v>1658</v>
      </c>
      <c r="K1009" s="1" t="s">
        <v>1658</v>
      </c>
      <c r="L1009" s="1" t="s">
        <v>1658</v>
      </c>
      <c r="M1009" s="1" t="s">
        <v>1658</v>
      </c>
      <c r="N1009" s="1" t="s">
        <v>1658</v>
      </c>
      <c r="O1009" s="1" t="s">
        <v>1658</v>
      </c>
      <c r="P1009" s="1">
        <v>1</v>
      </c>
      <c r="Q1009" s="1" t="s">
        <v>1658</v>
      </c>
      <c r="R1009" s="1">
        <v>0</v>
      </c>
      <c r="S1009" s="1" t="s">
        <v>6206</v>
      </c>
      <c r="T1009" s="6" t="s">
        <v>6206</v>
      </c>
      <c r="U1009" s="1" t="str">
        <f t="shared" si="15"/>
        <v>Yes</v>
      </c>
      <c r="W1009" s="1" t="s">
        <v>6207</v>
      </c>
      <c r="X1009" s="1" t="str">
        <f>IF(COUNTIF('MyWells Drilling Comp'!F:F,E1009)=0,"Missing","Exist")</f>
        <v>Exist</v>
      </c>
    </row>
    <row r="1010" hidden="1" spans="1:24">
      <c r="A1010" s="1" t="s">
        <v>5265</v>
      </c>
      <c r="B1010" s="1" t="s">
        <v>90</v>
      </c>
      <c r="C1010" s="1" t="s">
        <v>6208</v>
      </c>
      <c r="D1010" s="1" t="s">
        <v>6209</v>
      </c>
      <c r="E1010" s="2" t="s">
        <v>1397</v>
      </c>
      <c r="F1010" s="2" t="s">
        <v>6210</v>
      </c>
      <c r="G1010" s="1">
        <v>1</v>
      </c>
      <c r="H1010" s="1" t="s">
        <v>1656</v>
      </c>
      <c r="I1010" s="1" t="s">
        <v>1657</v>
      </c>
      <c r="J1010" s="1" t="s">
        <v>1658</v>
      </c>
      <c r="K1010" s="1" t="s">
        <v>1658</v>
      </c>
      <c r="L1010" s="1" t="s">
        <v>1658</v>
      </c>
      <c r="M1010" s="1" t="s">
        <v>1658</v>
      </c>
      <c r="N1010" s="1" t="s">
        <v>1658</v>
      </c>
      <c r="O1010" s="1" t="s">
        <v>1658</v>
      </c>
      <c r="P1010" s="1">
        <v>1</v>
      </c>
      <c r="Q1010" s="1" t="s">
        <v>1658</v>
      </c>
      <c r="R1010" s="1">
        <v>0</v>
      </c>
      <c r="S1010" s="1" t="s">
        <v>6211</v>
      </c>
      <c r="T1010" s="6" t="s">
        <v>6211</v>
      </c>
      <c r="U1010" s="1" t="str">
        <f t="shared" si="15"/>
        <v>Yes</v>
      </c>
      <c r="W1010" s="1" t="s">
        <v>6212</v>
      </c>
      <c r="X1010" s="1" t="str">
        <f>IF(COUNTIF('MyWells Drilling Comp'!F:F,E1010)=0,"Missing","Exist")</f>
        <v>Exist</v>
      </c>
    </row>
    <row r="1011" hidden="1" spans="1:24">
      <c r="A1011" s="1" t="s">
        <v>5265</v>
      </c>
      <c r="B1011" s="1" t="s">
        <v>90</v>
      </c>
      <c r="C1011" s="1" t="s">
        <v>6213</v>
      </c>
      <c r="D1011" s="1" t="s">
        <v>6209</v>
      </c>
      <c r="E1011" s="2" t="s">
        <v>1397</v>
      </c>
      <c r="F1011" s="2" t="s">
        <v>6214</v>
      </c>
      <c r="G1011" s="1">
        <v>1</v>
      </c>
      <c r="H1011" s="1" t="s">
        <v>1663</v>
      </c>
      <c r="I1011" s="1" t="s">
        <v>1657</v>
      </c>
      <c r="J1011" s="1" t="s">
        <v>1658</v>
      </c>
      <c r="K1011" s="1" t="s">
        <v>1658</v>
      </c>
      <c r="L1011" s="1" t="s">
        <v>1658</v>
      </c>
      <c r="M1011" s="1" t="s">
        <v>1658</v>
      </c>
      <c r="N1011" s="1" t="s">
        <v>1658</v>
      </c>
      <c r="O1011" s="1" t="s">
        <v>1658</v>
      </c>
      <c r="P1011" s="1">
        <v>1</v>
      </c>
      <c r="Q1011" s="1" t="s">
        <v>1658</v>
      </c>
      <c r="R1011" s="1">
        <v>0</v>
      </c>
      <c r="S1011" s="1" t="s">
        <v>6215</v>
      </c>
      <c r="T1011" s="6" t="s">
        <v>6215</v>
      </c>
      <c r="U1011" s="1" t="str">
        <f t="shared" si="15"/>
        <v>Yes</v>
      </c>
      <c r="W1011" s="1" t="s">
        <v>6216</v>
      </c>
      <c r="X1011" s="1" t="str">
        <f>IF(COUNTIF('MyWells Drilling Comp'!F:F,E1011)=0,"Missing","Exist")</f>
        <v>Exist</v>
      </c>
    </row>
    <row r="1012" hidden="1" spans="1:24">
      <c r="A1012" s="1" t="s">
        <v>5265</v>
      </c>
      <c r="B1012" s="1" t="s">
        <v>90</v>
      </c>
      <c r="C1012" s="1" t="s">
        <v>6217</v>
      </c>
      <c r="D1012" s="1" t="s">
        <v>6218</v>
      </c>
      <c r="E1012" s="2" t="s">
        <v>1556</v>
      </c>
      <c r="F1012" s="2" t="s">
        <v>6219</v>
      </c>
      <c r="G1012" s="1">
        <v>1</v>
      </c>
      <c r="H1012" s="1" t="s">
        <v>1656</v>
      </c>
      <c r="I1012" s="1" t="s">
        <v>1657</v>
      </c>
      <c r="J1012" s="1" t="s">
        <v>1658</v>
      </c>
      <c r="K1012" s="1" t="s">
        <v>1658</v>
      </c>
      <c r="L1012" s="1" t="s">
        <v>1658</v>
      </c>
      <c r="M1012" s="1" t="s">
        <v>1658</v>
      </c>
      <c r="N1012" s="1" t="s">
        <v>1658</v>
      </c>
      <c r="O1012" s="1" t="s">
        <v>1658</v>
      </c>
      <c r="P1012" s="1">
        <v>1</v>
      </c>
      <c r="Q1012" s="1" t="s">
        <v>1658</v>
      </c>
      <c r="R1012" s="1">
        <v>0</v>
      </c>
      <c r="S1012" s="1" t="s">
        <v>3552</v>
      </c>
      <c r="T1012" s="6" t="s">
        <v>3552</v>
      </c>
      <c r="U1012" s="1" t="str">
        <f t="shared" si="15"/>
        <v>Yes</v>
      </c>
      <c r="W1012" s="1" t="s">
        <v>6220</v>
      </c>
      <c r="X1012" s="1" t="str">
        <f>IF(COUNTIF('MyWells Drilling Comp'!F:F,E1012)=0,"Missing","Exist")</f>
        <v>Exist</v>
      </c>
    </row>
    <row r="1013" hidden="1" spans="1:24">
      <c r="A1013" s="1" t="s">
        <v>5265</v>
      </c>
      <c r="B1013" s="1" t="s">
        <v>90</v>
      </c>
      <c r="C1013" s="1" t="s">
        <v>6221</v>
      </c>
      <c r="D1013" s="1" t="s">
        <v>6218</v>
      </c>
      <c r="E1013" s="2" t="s">
        <v>1556</v>
      </c>
      <c r="F1013" s="2" t="s">
        <v>6222</v>
      </c>
      <c r="G1013" s="1">
        <v>1</v>
      </c>
      <c r="H1013" s="1" t="s">
        <v>1663</v>
      </c>
      <c r="I1013" s="1" t="s">
        <v>1657</v>
      </c>
      <c r="J1013" s="1" t="s">
        <v>1658</v>
      </c>
      <c r="K1013" s="1" t="s">
        <v>1658</v>
      </c>
      <c r="L1013" s="1" t="s">
        <v>1658</v>
      </c>
      <c r="M1013" s="1" t="s">
        <v>1658</v>
      </c>
      <c r="N1013" s="1" t="s">
        <v>1658</v>
      </c>
      <c r="O1013" s="1" t="s">
        <v>1658</v>
      </c>
      <c r="P1013" s="1">
        <v>1</v>
      </c>
      <c r="Q1013" s="1" t="s">
        <v>1658</v>
      </c>
      <c r="R1013" s="1">
        <v>0</v>
      </c>
      <c r="S1013" s="1" t="s">
        <v>3556</v>
      </c>
      <c r="T1013" s="6" t="s">
        <v>3556</v>
      </c>
      <c r="U1013" s="1" t="str">
        <f t="shared" si="15"/>
        <v>Yes</v>
      </c>
      <c r="W1013" s="1" t="s">
        <v>6223</v>
      </c>
      <c r="X1013" s="1" t="str">
        <f>IF(COUNTIF('MyWells Drilling Comp'!F:F,E1013)=0,"Missing","Exist")</f>
        <v>Exist</v>
      </c>
    </row>
    <row r="1014" hidden="1" spans="1:24">
      <c r="A1014" s="1" t="s">
        <v>5265</v>
      </c>
      <c r="B1014" s="1" t="s">
        <v>90</v>
      </c>
      <c r="C1014" s="1" t="s">
        <v>6224</v>
      </c>
      <c r="D1014" s="1" t="s">
        <v>6225</v>
      </c>
      <c r="E1014" s="2" t="s">
        <v>729</v>
      </c>
      <c r="F1014" s="2" t="s">
        <v>6226</v>
      </c>
      <c r="G1014" s="1">
        <v>1</v>
      </c>
      <c r="H1014" s="1" t="s">
        <v>1656</v>
      </c>
      <c r="I1014" s="1" t="s">
        <v>1657</v>
      </c>
      <c r="J1014" s="1" t="s">
        <v>1658</v>
      </c>
      <c r="K1014" s="1" t="s">
        <v>1658</v>
      </c>
      <c r="L1014" s="1" t="s">
        <v>1658</v>
      </c>
      <c r="M1014" s="1" t="s">
        <v>1658</v>
      </c>
      <c r="N1014" s="1" t="s">
        <v>1658</v>
      </c>
      <c r="O1014" s="1" t="s">
        <v>1658</v>
      </c>
      <c r="P1014" s="1">
        <v>1</v>
      </c>
      <c r="Q1014" s="1" t="s">
        <v>1658</v>
      </c>
      <c r="R1014" s="1">
        <v>0</v>
      </c>
      <c r="S1014" s="1" t="s">
        <v>5948</v>
      </c>
      <c r="T1014" s="6"/>
      <c r="U1014" s="1" t="str">
        <f t="shared" si="15"/>
        <v>No</v>
      </c>
      <c r="W1014" s="1" t="s">
        <v>6227</v>
      </c>
      <c r="X1014" s="1" t="str">
        <f>IF(COUNTIF('MyWells Drilling Comp'!F:F,E1014)=0,"Missing","Exist")</f>
        <v>Exist</v>
      </c>
    </row>
    <row r="1015" hidden="1" spans="1:24">
      <c r="A1015" s="1" t="s">
        <v>5265</v>
      </c>
      <c r="B1015" s="1" t="s">
        <v>90</v>
      </c>
      <c r="C1015" s="1" t="s">
        <v>6228</v>
      </c>
      <c r="D1015" s="1" t="s">
        <v>6225</v>
      </c>
      <c r="E1015" s="2" t="s">
        <v>729</v>
      </c>
      <c r="F1015" s="2" t="s">
        <v>6229</v>
      </c>
      <c r="G1015" s="1">
        <v>1</v>
      </c>
      <c r="H1015" s="1" t="s">
        <v>1663</v>
      </c>
      <c r="I1015" s="1" t="s">
        <v>1657</v>
      </c>
      <c r="J1015" s="1" t="s">
        <v>1658</v>
      </c>
      <c r="K1015" s="1" t="s">
        <v>1658</v>
      </c>
      <c r="L1015" s="1" t="s">
        <v>1658</v>
      </c>
      <c r="M1015" s="1" t="s">
        <v>1658</v>
      </c>
      <c r="N1015" s="1" t="s">
        <v>1658</v>
      </c>
      <c r="O1015" s="1" t="s">
        <v>1658</v>
      </c>
      <c r="P1015" s="1">
        <v>1</v>
      </c>
      <c r="Q1015" s="1" t="s">
        <v>1658</v>
      </c>
      <c r="R1015" s="1">
        <v>0</v>
      </c>
      <c r="S1015" s="1" t="s">
        <v>6230</v>
      </c>
      <c r="T1015" s="6" t="s">
        <v>6230</v>
      </c>
      <c r="U1015" s="1" t="str">
        <f t="shared" si="15"/>
        <v>Yes</v>
      </c>
      <c r="W1015" s="1" t="s">
        <v>6231</v>
      </c>
      <c r="X1015" s="1" t="str">
        <f>IF(COUNTIF('MyWells Drilling Comp'!F:F,E1015)=0,"Missing","Exist")</f>
        <v>Exist</v>
      </c>
    </row>
    <row r="1016" hidden="1" spans="1:24">
      <c r="A1016" s="1" t="s">
        <v>5265</v>
      </c>
      <c r="B1016" s="1" t="s">
        <v>90</v>
      </c>
      <c r="C1016" s="1" t="s">
        <v>6232</v>
      </c>
      <c r="D1016" s="1" t="s">
        <v>6233</v>
      </c>
      <c r="E1016" s="2" t="s">
        <v>891</v>
      </c>
      <c r="F1016" s="2" t="s">
        <v>6234</v>
      </c>
      <c r="G1016" s="1">
        <v>1</v>
      </c>
      <c r="H1016" s="1" t="s">
        <v>1663</v>
      </c>
      <c r="I1016" s="1" t="s">
        <v>1657</v>
      </c>
      <c r="J1016" s="1" t="s">
        <v>1658</v>
      </c>
      <c r="K1016" s="1" t="s">
        <v>1658</v>
      </c>
      <c r="L1016" s="1" t="s">
        <v>1658</v>
      </c>
      <c r="M1016" s="1" t="s">
        <v>1658</v>
      </c>
      <c r="N1016" s="1" t="s">
        <v>1658</v>
      </c>
      <c r="O1016" s="1" t="s">
        <v>1658</v>
      </c>
      <c r="P1016" s="1">
        <v>1</v>
      </c>
      <c r="Q1016" s="1" t="s">
        <v>1658</v>
      </c>
      <c r="R1016" s="1">
        <v>0</v>
      </c>
      <c r="S1016" s="1" t="s">
        <v>6235</v>
      </c>
      <c r="T1016" s="6" t="s">
        <v>6235</v>
      </c>
      <c r="U1016" s="1" t="str">
        <f t="shared" si="15"/>
        <v>Yes</v>
      </c>
      <c r="W1016" s="1" t="s">
        <v>6236</v>
      </c>
      <c r="X1016" s="1" t="str">
        <f>IF(COUNTIF('MyWells Drilling Comp'!F:F,E1016)=0,"Missing","Exist")</f>
        <v>Exist</v>
      </c>
    </row>
    <row r="1017" hidden="1" spans="1:24">
      <c r="A1017" s="1" t="s">
        <v>5265</v>
      </c>
      <c r="B1017" s="1" t="s">
        <v>90</v>
      </c>
      <c r="C1017" s="1" t="s">
        <v>6237</v>
      </c>
      <c r="D1017" s="1" t="s">
        <v>6233</v>
      </c>
      <c r="E1017" s="2" t="s">
        <v>891</v>
      </c>
      <c r="F1017" s="2" t="s">
        <v>6238</v>
      </c>
      <c r="G1017" s="1">
        <v>1</v>
      </c>
      <c r="H1017" s="1" t="s">
        <v>1656</v>
      </c>
      <c r="I1017" s="1" t="s">
        <v>1657</v>
      </c>
      <c r="J1017" s="1" t="s">
        <v>1658</v>
      </c>
      <c r="K1017" s="1" t="s">
        <v>1658</v>
      </c>
      <c r="L1017" s="1" t="s">
        <v>1658</v>
      </c>
      <c r="M1017" s="1" t="s">
        <v>1658</v>
      </c>
      <c r="N1017" s="1" t="s">
        <v>1658</v>
      </c>
      <c r="O1017" s="1" t="s">
        <v>1658</v>
      </c>
      <c r="P1017" s="1">
        <v>1</v>
      </c>
      <c r="Q1017" s="1" t="s">
        <v>1658</v>
      </c>
      <c r="R1017" s="1">
        <v>0</v>
      </c>
      <c r="S1017" s="1" t="s">
        <v>3484</v>
      </c>
      <c r="T1017" s="6" t="s">
        <v>3484</v>
      </c>
      <c r="U1017" s="1" t="str">
        <f t="shared" si="15"/>
        <v>Yes</v>
      </c>
      <c r="W1017" s="1" t="s">
        <v>6239</v>
      </c>
      <c r="X1017" s="1" t="str">
        <f>IF(COUNTIF('MyWells Drilling Comp'!F:F,E1017)=0,"Missing","Exist")</f>
        <v>Exist</v>
      </c>
    </row>
    <row r="1018" hidden="1" spans="1:24">
      <c r="A1018" s="1" t="s">
        <v>5265</v>
      </c>
      <c r="B1018" s="1" t="s">
        <v>90</v>
      </c>
      <c r="C1018" s="1" t="s">
        <v>6240</v>
      </c>
      <c r="D1018" s="1" t="s">
        <v>6241</v>
      </c>
      <c r="E1018" s="2" t="s">
        <v>1600</v>
      </c>
      <c r="F1018" s="2" t="s">
        <v>6242</v>
      </c>
      <c r="G1018" s="1">
        <v>1</v>
      </c>
      <c r="H1018" s="1" t="s">
        <v>1656</v>
      </c>
      <c r="I1018" s="1" t="s">
        <v>1657</v>
      </c>
      <c r="J1018" s="1" t="s">
        <v>1658</v>
      </c>
      <c r="K1018" s="1" t="s">
        <v>1658</v>
      </c>
      <c r="L1018" s="1" t="s">
        <v>1658</v>
      </c>
      <c r="M1018" s="1" t="s">
        <v>1658</v>
      </c>
      <c r="N1018" s="1" t="s">
        <v>1658</v>
      </c>
      <c r="O1018" s="1" t="s">
        <v>1658</v>
      </c>
      <c r="P1018" s="1">
        <v>1</v>
      </c>
      <c r="Q1018" s="1" t="s">
        <v>1658</v>
      </c>
      <c r="R1018" s="1">
        <v>0</v>
      </c>
      <c r="S1018" s="1" t="s">
        <v>6243</v>
      </c>
      <c r="T1018" s="6" t="s">
        <v>6243</v>
      </c>
      <c r="U1018" s="1" t="str">
        <f t="shared" si="15"/>
        <v>Yes</v>
      </c>
      <c r="W1018" s="1" t="s">
        <v>6244</v>
      </c>
      <c r="X1018" s="1" t="str">
        <f>IF(COUNTIF('MyWells Drilling Comp'!F:F,E1018)=0,"Missing","Exist")</f>
        <v>Exist</v>
      </c>
    </row>
    <row r="1019" hidden="1" spans="1:24">
      <c r="A1019" s="1" t="s">
        <v>5265</v>
      </c>
      <c r="B1019" s="1" t="s">
        <v>90</v>
      </c>
      <c r="C1019" s="1" t="s">
        <v>6245</v>
      </c>
      <c r="D1019" s="1" t="s">
        <v>6241</v>
      </c>
      <c r="E1019" s="2" t="s">
        <v>1600</v>
      </c>
      <c r="F1019" s="2" t="s">
        <v>6246</v>
      </c>
      <c r="G1019" s="1">
        <v>1</v>
      </c>
      <c r="H1019" s="1" t="s">
        <v>1663</v>
      </c>
      <c r="I1019" s="1" t="s">
        <v>1657</v>
      </c>
      <c r="J1019" s="1" t="s">
        <v>1658</v>
      </c>
      <c r="K1019" s="1" t="s">
        <v>1658</v>
      </c>
      <c r="L1019" s="1" t="s">
        <v>1658</v>
      </c>
      <c r="M1019" s="1" t="s">
        <v>1658</v>
      </c>
      <c r="N1019" s="1" t="s">
        <v>1658</v>
      </c>
      <c r="O1019" s="1" t="s">
        <v>1658</v>
      </c>
      <c r="P1019" s="1">
        <v>1</v>
      </c>
      <c r="Q1019" s="1" t="s">
        <v>1658</v>
      </c>
      <c r="R1019" s="1">
        <v>0</v>
      </c>
      <c r="S1019" s="1" t="s">
        <v>6247</v>
      </c>
      <c r="T1019" s="6" t="s">
        <v>6247</v>
      </c>
      <c r="U1019" s="1" t="str">
        <f t="shared" si="15"/>
        <v>Yes</v>
      </c>
      <c r="W1019" s="1" t="s">
        <v>6248</v>
      </c>
      <c r="X1019" s="1" t="str">
        <f>IF(COUNTIF('MyWells Drilling Comp'!F:F,E1019)=0,"Missing","Exist")</f>
        <v>Exist</v>
      </c>
    </row>
    <row r="1020" hidden="1" spans="1:24">
      <c r="A1020" s="1" t="s">
        <v>5265</v>
      </c>
      <c r="B1020" s="1" t="s">
        <v>90</v>
      </c>
      <c r="C1020" s="1" t="s">
        <v>6249</v>
      </c>
      <c r="D1020" s="1" t="s">
        <v>6250</v>
      </c>
      <c r="E1020" s="2" t="s">
        <v>884</v>
      </c>
      <c r="F1020" s="2" t="s">
        <v>6251</v>
      </c>
      <c r="G1020" s="1">
        <v>1</v>
      </c>
      <c r="H1020" s="1" t="s">
        <v>1663</v>
      </c>
      <c r="I1020" s="1" t="s">
        <v>1657</v>
      </c>
      <c r="J1020" s="1" t="s">
        <v>1658</v>
      </c>
      <c r="K1020" s="1" t="s">
        <v>1658</v>
      </c>
      <c r="L1020" s="1" t="s">
        <v>1658</v>
      </c>
      <c r="M1020" s="1" t="s">
        <v>1658</v>
      </c>
      <c r="N1020" s="1" t="s">
        <v>1658</v>
      </c>
      <c r="O1020" s="1" t="s">
        <v>1658</v>
      </c>
      <c r="P1020" s="1">
        <v>1</v>
      </c>
      <c r="Q1020" s="1" t="s">
        <v>1658</v>
      </c>
      <c r="R1020" s="1">
        <v>0</v>
      </c>
      <c r="S1020" s="1" t="s">
        <v>6252</v>
      </c>
      <c r="T1020" s="6" t="s">
        <v>6252</v>
      </c>
      <c r="U1020" s="1" t="str">
        <f t="shared" si="15"/>
        <v>Yes</v>
      </c>
      <c r="W1020" s="1" t="s">
        <v>6253</v>
      </c>
      <c r="X1020" s="1" t="str">
        <f>IF(COUNTIF('MyWells Drilling Comp'!F:F,E1020)=0,"Missing","Exist")</f>
        <v>Exist</v>
      </c>
    </row>
    <row r="1021" hidden="1" spans="1:24">
      <c r="A1021" s="1" t="s">
        <v>5265</v>
      </c>
      <c r="B1021" s="1" t="s">
        <v>90</v>
      </c>
      <c r="C1021" s="1" t="s">
        <v>6254</v>
      </c>
      <c r="D1021" s="1" t="s">
        <v>6250</v>
      </c>
      <c r="E1021" s="2" t="s">
        <v>884</v>
      </c>
      <c r="F1021" s="2" t="s">
        <v>6255</v>
      </c>
      <c r="G1021" s="1">
        <v>1</v>
      </c>
      <c r="H1021" s="1" t="s">
        <v>1656</v>
      </c>
      <c r="I1021" s="1" t="s">
        <v>1657</v>
      </c>
      <c r="J1021" s="1" t="s">
        <v>1658</v>
      </c>
      <c r="K1021" s="1" t="s">
        <v>1658</v>
      </c>
      <c r="L1021" s="1" t="s">
        <v>1658</v>
      </c>
      <c r="M1021" s="1" t="s">
        <v>1658</v>
      </c>
      <c r="N1021" s="1" t="s">
        <v>1658</v>
      </c>
      <c r="O1021" s="1" t="s">
        <v>1658</v>
      </c>
      <c r="P1021" s="1">
        <v>1</v>
      </c>
      <c r="Q1021" s="1" t="s">
        <v>1658</v>
      </c>
      <c r="R1021" s="1">
        <v>0</v>
      </c>
      <c r="S1021" s="1" t="s">
        <v>6256</v>
      </c>
      <c r="T1021" s="6" t="s">
        <v>6256</v>
      </c>
      <c r="U1021" s="1" t="str">
        <f t="shared" si="15"/>
        <v>Yes</v>
      </c>
      <c r="W1021" s="1" t="s">
        <v>6257</v>
      </c>
      <c r="X1021" s="1" t="str">
        <f>IF(COUNTIF('MyWells Drilling Comp'!F:F,E1021)=0,"Missing","Exist")</f>
        <v>Exist</v>
      </c>
    </row>
    <row r="1022" hidden="1" spans="1:24">
      <c r="A1022" s="1" t="s">
        <v>5265</v>
      </c>
      <c r="B1022" s="1" t="s">
        <v>90</v>
      </c>
      <c r="C1022" s="1" t="s">
        <v>6258</v>
      </c>
      <c r="D1022" s="1" t="s">
        <v>6259</v>
      </c>
      <c r="E1022" s="2" t="s">
        <v>498</v>
      </c>
      <c r="F1022" s="2" t="s">
        <v>6260</v>
      </c>
      <c r="G1022" s="1">
        <v>1</v>
      </c>
      <c r="H1022" s="1" t="s">
        <v>1663</v>
      </c>
      <c r="I1022" s="1" t="s">
        <v>1657</v>
      </c>
      <c r="J1022" s="1" t="s">
        <v>1658</v>
      </c>
      <c r="K1022" s="1" t="s">
        <v>1658</v>
      </c>
      <c r="L1022" s="1" t="s">
        <v>1658</v>
      </c>
      <c r="M1022" s="1" t="s">
        <v>1658</v>
      </c>
      <c r="N1022" s="1" t="s">
        <v>1658</v>
      </c>
      <c r="O1022" s="1" t="s">
        <v>1658</v>
      </c>
      <c r="P1022" s="1">
        <v>1</v>
      </c>
      <c r="Q1022" s="1" t="s">
        <v>1658</v>
      </c>
      <c r="R1022" s="1">
        <v>0</v>
      </c>
      <c r="S1022" s="1" t="s">
        <v>6261</v>
      </c>
      <c r="T1022" s="6" t="s">
        <v>6261</v>
      </c>
      <c r="U1022" s="1" t="str">
        <f t="shared" si="15"/>
        <v>Yes</v>
      </c>
      <c r="W1022" s="1" t="s">
        <v>6262</v>
      </c>
      <c r="X1022" s="1" t="str">
        <f>IF(COUNTIF('MyWells Drilling Comp'!F:F,E1022)=0,"Missing","Exist")</f>
        <v>Exist</v>
      </c>
    </row>
    <row r="1023" hidden="1" spans="1:24">
      <c r="A1023" s="1" t="s">
        <v>5265</v>
      </c>
      <c r="B1023" s="1" t="s">
        <v>90</v>
      </c>
      <c r="C1023" s="1" t="s">
        <v>6263</v>
      </c>
      <c r="D1023" s="1" t="s">
        <v>6259</v>
      </c>
      <c r="E1023" s="2" t="s">
        <v>498</v>
      </c>
      <c r="F1023" s="2" t="s">
        <v>6264</v>
      </c>
      <c r="G1023" s="1">
        <v>1</v>
      </c>
      <c r="H1023" s="1" t="s">
        <v>1656</v>
      </c>
      <c r="I1023" s="1" t="s">
        <v>1657</v>
      </c>
      <c r="J1023" s="1" t="s">
        <v>1658</v>
      </c>
      <c r="K1023" s="1" t="s">
        <v>1658</v>
      </c>
      <c r="L1023" s="1" t="s">
        <v>1658</v>
      </c>
      <c r="M1023" s="1" t="s">
        <v>1658</v>
      </c>
      <c r="N1023" s="1" t="s">
        <v>1658</v>
      </c>
      <c r="O1023" s="1" t="s">
        <v>1658</v>
      </c>
      <c r="P1023" s="1">
        <v>1</v>
      </c>
      <c r="Q1023" s="1" t="s">
        <v>1658</v>
      </c>
      <c r="R1023" s="1">
        <v>0</v>
      </c>
      <c r="S1023" s="1" t="s">
        <v>6265</v>
      </c>
      <c r="T1023" s="6" t="s">
        <v>6265</v>
      </c>
      <c r="U1023" s="1" t="str">
        <f t="shared" si="15"/>
        <v>Yes</v>
      </c>
      <c r="W1023" s="1" t="s">
        <v>6266</v>
      </c>
      <c r="X1023" s="1" t="str">
        <f>IF(COUNTIF('MyWells Drilling Comp'!F:F,E1023)=0,"Missing","Exist")</f>
        <v>Exist</v>
      </c>
    </row>
    <row r="1024" hidden="1" spans="1:24">
      <c r="A1024" s="1" t="s">
        <v>5265</v>
      </c>
      <c r="B1024" s="1" t="s">
        <v>90</v>
      </c>
      <c r="C1024" s="1" t="s">
        <v>6267</v>
      </c>
      <c r="D1024" s="1" t="s">
        <v>6268</v>
      </c>
      <c r="E1024" s="2" t="s">
        <v>1550</v>
      </c>
      <c r="F1024" s="2" t="s">
        <v>6269</v>
      </c>
      <c r="G1024" s="1">
        <v>1</v>
      </c>
      <c r="H1024" s="1" t="s">
        <v>1663</v>
      </c>
      <c r="I1024" s="1" t="s">
        <v>1657</v>
      </c>
      <c r="J1024" s="1" t="s">
        <v>1658</v>
      </c>
      <c r="K1024" s="1" t="s">
        <v>1658</v>
      </c>
      <c r="L1024" s="1" t="s">
        <v>1658</v>
      </c>
      <c r="M1024" s="1" t="s">
        <v>1658</v>
      </c>
      <c r="N1024" s="1" t="s">
        <v>1658</v>
      </c>
      <c r="O1024" s="1" t="s">
        <v>1658</v>
      </c>
      <c r="P1024" s="1">
        <v>1</v>
      </c>
      <c r="Q1024" s="1" t="s">
        <v>1658</v>
      </c>
      <c r="R1024" s="1">
        <v>0</v>
      </c>
      <c r="S1024" s="1" t="s">
        <v>6270</v>
      </c>
      <c r="T1024" s="6" t="s">
        <v>6270</v>
      </c>
      <c r="U1024" s="1" t="str">
        <f t="shared" si="15"/>
        <v>Yes</v>
      </c>
      <c r="W1024" s="1" t="s">
        <v>6271</v>
      </c>
      <c r="X1024" s="1" t="str">
        <f>IF(COUNTIF('MyWells Drilling Comp'!F:F,E1024)=0,"Missing","Exist")</f>
        <v>Exist</v>
      </c>
    </row>
    <row r="1025" hidden="1" spans="1:24">
      <c r="A1025" s="1" t="s">
        <v>5265</v>
      </c>
      <c r="B1025" s="1" t="s">
        <v>90</v>
      </c>
      <c r="C1025" s="1" t="s">
        <v>6272</v>
      </c>
      <c r="D1025" s="1" t="s">
        <v>6268</v>
      </c>
      <c r="E1025" s="2" t="s">
        <v>1550</v>
      </c>
      <c r="F1025" s="2" t="s">
        <v>6273</v>
      </c>
      <c r="G1025" s="1">
        <v>1</v>
      </c>
      <c r="H1025" s="1" t="s">
        <v>1656</v>
      </c>
      <c r="I1025" s="1" t="s">
        <v>1657</v>
      </c>
      <c r="J1025" s="1" t="s">
        <v>1658</v>
      </c>
      <c r="K1025" s="1" t="s">
        <v>1658</v>
      </c>
      <c r="L1025" s="1" t="s">
        <v>1658</v>
      </c>
      <c r="M1025" s="1" t="s">
        <v>1658</v>
      </c>
      <c r="N1025" s="1" t="s">
        <v>1658</v>
      </c>
      <c r="O1025" s="1" t="s">
        <v>1658</v>
      </c>
      <c r="P1025" s="1">
        <v>1</v>
      </c>
      <c r="Q1025" s="1" t="s">
        <v>1658</v>
      </c>
      <c r="R1025" s="1">
        <v>0</v>
      </c>
      <c r="S1025" s="1" t="s">
        <v>6274</v>
      </c>
      <c r="T1025" s="6" t="s">
        <v>6274</v>
      </c>
      <c r="U1025" s="1" t="str">
        <f t="shared" si="15"/>
        <v>Yes</v>
      </c>
      <c r="W1025" s="1" t="s">
        <v>6275</v>
      </c>
      <c r="X1025" s="1" t="str">
        <f>IF(COUNTIF('MyWells Drilling Comp'!F:F,E1025)=0,"Missing","Exist")</f>
        <v>Exist</v>
      </c>
    </row>
    <row r="1026" hidden="1" spans="1:24">
      <c r="A1026" s="1" t="s">
        <v>5265</v>
      </c>
      <c r="B1026" s="1" t="s">
        <v>90</v>
      </c>
      <c r="C1026" s="1" t="s">
        <v>6276</v>
      </c>
      <c r="D1026" s="1" t="s">
        <v>6277</v>
      </c>
      <c r="E1026" s="2" t="s">
        <v>485</v>
      </c>
      <c r="F1026" s="2" t="s">
        <v>6278</v>
      </c>
      <c r="G1026" s="1">
        <v>1</v>
      </c>
      <c r="H1026" s="1" t="s">
        <v>1663</v>
      </c>
      <c r="I1026" s="1" t="s">
        <v>1657</v>
      </c>
      <c r="J1026" s="1" t="s">
        <v>1658</v>
      </c>
      <c r="K1026" s="1" t="s">
        <v>1658</v>
      </c>
      <c r="L1026" s="1" t="s">
        <v>1658</v>
      </c>
      <c r="M1026" s="1" t="s">
        <v>1658</v>
      </c>
      <c r="N1026" s="1" t="s">
        <v>1658</v>
      </c>
      <c r="O1026" s="1" t="s">
        <v>1658</v>
      </c>
      <c r="P1026" s="1">
        <v>1</v>
      </c>
      <c r="Q1026" s="1" t="s">
        <v>1658</v>
      </c>
      <c r="R1026" s="1">
        <v>0</v>
      </c>
      <c r="S1026" s="1" t="s">
        <v>6279</v>
      </c>
      <c r="T1026" s="6" t="s">
        <v>6279</v>
      </c>
      <c r="U1026" s="1" t="str">
        <f t="shared" ref="U1026:U1089" si="16">IF(S1026=T1026,"Yes","No")</f>
        <v>Yes</v>
      </c>
      <c r="W1026" s="1" t="s">
        <v>6280</v>
      </c>
      <c r="X1026" s="1" t="str">
        <f>IF(COUNTIF('MyWells Drilling Comp'!F:F,E1026)=0,"Missing","Exist")</f>
        <v>Exist</v>
      </c>
    </row>
    <row r="1027" hidden="1" spans="1:24">
      <c r="A1027" s="1" t="s">
        <v>5265</v>
      </c>
      <c r="B1027" s="1" t="s">
        <v>90</v>
      </c>
      <c r="C1027" s="1" t="s">
        <v>6281</v>
      </c>
      <c r="D1027" s="1" t="s">
        <v>6277</v>
      </c>
      <c r="E1027" s="2" t="s">
        <v>485</v>
      </c>
      <c r="F1027" s="8" t="s">
        <v>6282</v>
      </c>
      <c r="G1027" s="1">
        <v>1</v>
      </c>
      <c r="H1027" s="1" t="s">
        <v>1656</v>
      </c>
      <c r="I1027" s="1" t="s">
        <v>1657</v>
      </c>
      <c r="J1027" s="1" t="s">
        <v>1658</v>
      </c>
      <c r="K1027" s="1" t="s">
        <v>1658</v>
      </c>
      <c r="L1027" s="1" t="s">
        <v>1658</v>
      </c>
      <c r="M1027" s="1" t="s">
        <v>1658</v>
      </c>
      <c r="N1027" s="1" t="s">
        <v>1658</v>
      </c>
      <c r="O1027" s="1" t="s">
        <v>1658</v>
      </c>
      <c r="P1027" s="1">
        <v>1</v>
      </c>
      <c r="Q1027" s="1" t="s">
        <v>1658</v>
      </c>
      <c r="R1027" s="1">
        <v>0</v>
      </c>
      <c r="S1027" s="1" t="s">
        <v>6283</v>
      </c>
      <c r="T1027" s="6" t="s">
        <v>6283</v>
      </c>
      <c r="U1027" s="1" t="str">
        <f t="shared" si="16"/>
        <v>Yes</v>
      </c>
      <c r="W1027" s="1" t="s">
        <v>6284</v>
      </c>
      <c r="X1027" s="1" t="str">
        <f>IF(COUNTIF('MyWells Drilling Comp'!F:F,E1027)=0,"Missing","Exist")</f>
        <v>Exist</v>
      </c>
    </row>
    <row r="1028" hidden="1" spans="1:24">
      <c r="A1028" s="1" t="s">
        <v>5265</v>
      </c>
      <c r="B1028" s="1" t="s">
        <v>90</v>
      </c>
      <c r="C1028" s="1" t="s">
        <v>6285</v>
      </c>
      <c r="D1028" s="1" t="s">
        <v>6286</v>
      </c>
      <c r="E1028" s="2" t="s">
        <v>1042</v>
      </c>
      <c r="F1028" s="2" t="s">
        <v>6287</v>
      </c>
      <c r="G1028" s="1">
        <v>1</v>
      </c>
      <c r="H1028" s="1" t="s">
        <v>1663</v>
      </c>
      <c r="I1028" s="1" t="s">
        <v>1657</v>
      </c>
      <c r="J1028" s="1" t="s">
        <v>1658</v>
      </c>
      <c r="K1028" s="1" t="s">
        <v>1658</v>
      </c>
      <c r="L1028" s="1" t="s">
        <v>1658</v>
      </c>
      <c r="M1028" s="1" t="s">
        <v>1658</v>
      </c>
      <c r="N1028" s="1" t="s">
        <v>1658</v>
      </c>
      <c r="O1028" s="1" t="s">
        <v>1658</v>
      </c>
      <c r="P1028" s="1">
        <v>1</v>
      </c>
      <c r="Q1028" s="1" t="s">
        <v>1658</v>
      </c>
      <c r="R1028" s="1">
        <v>0</v>
      </c>
      <c r="S1028" s="1" t="s">
        <v>6288</v>
      </c>
      <c r="T1028" s="6" t="s">
        <v>6288</v>
      </c>
      <c r="U1028" s="1" t="str">
        <f t="shared" si="16"/>
        <v>Yes</v>
      </c>
      <c r="W1028" s="1" t="s">
        <v>6289</v>
      </c>
      <c r="X1028" s="1" t="str">
        <f>IF(COUNTIF('MyWells Drilling Comp'!F:F,E1028)=0,"Missing","Exist")</f>
        <v>Exist</v>
      </c>
    </row>
    <row r="1029" hidden="1" spans="1:24">
      <c r="A1029" s="1" t="s">
        <v>5265</v>
      </c>
      <c r="B1029" s="1" t="s">
        <v>90</v>
      </c>
      <c r="C1029" s="1" t="s">
        <v>6290</v>
      </c>
      <c r="D1029" s="1" t="s">
        <v>6286</v>
      </c>
      <c r="E1029" s="2" t="s">
        <v>1042</v>
      </c>
      <c r="F1029" s="2" t="s">
        <v>6291</v>
      </c>
      <c r="G1029" s="1">
        <v>1</v>
      </c>
      <c r="H1029" s="1" t="s">
        <v>1656</v>
      </c>
      <c r="I1029" s="1" t="s">
        <v>1657</v>
      </c>
      <c r="J1029" s="1" t="s">
        <v>1658</v>
      </c>
      <c r="K1029" s="1" t="s">
        <v>1658</v>
      </c>
      <c r="L1029" s="1" t="s">
        <v>1658</v>
      </c>
      <c r="M1029" s="1" t="s">
        <v>1658</v>
      </c>
      <c r="N1029" s="1" t="s">
        <v>1658</v>
      </c>
      <c r="O1029" s="1" t="s">
        <v>1658</v>
      </c>
      <c r="P1029" s="1">
        <v>1</v>
      </c>
      <c r="Q1029" s="1" t="s">
        <v>1658</v>
      </c>
      <c r="R1029" s="1">
        <v>0</v>
      </c>
      <c r="S1029" s="1" t="s">
        <v>6292</v>
      </c>
      <c r="T1029" s="6" t="s">
        <v>6292</v>
      </c>
      <c r="U1029" s="1" t="str">
        <f t="shared" si="16"/>
        <v>Yes</v>
      </c>
      <c r="W1029" s="1" t="s">
        <v>6293</v>
      </c>
      <c r="X1029" s="1" t="str">
        <f>IF(COUNTIF('MyWells Drilling Comp'!F:F,E1029)=0,"Missing","Exist")</f>
        <v>Exist</v>
      </c>
    </row>
    <row r="1030" hidden="1" spans="1:24">
      <c r="A1030" s="1" t="s">
        <v>5265</v>
      </c>
      <c r="B1030" s="1" t="s">
        <v>90</v>
      </c>
      <c r="C1030" s="1" t="s">
        <v>6294</v>
      </c>
      <c r="D1030" s="1" t="s">
        <v>6295</v>
      </c>
      <c r="E1030" s="2" t="s">
        <v>207</v>
      </c>
      <c r="F1030" s="2" t="s">
        <v>6296</v>
      </c>
      <c r="G1030" s="1">
        <v>1</v>
      </c>
      <c r="H1030" s="1" t="s">
        <v>1663</v>
      </c>
      <c r="I1030" s="1" t="s">
        <v>1657</v>
      </c>
      <c r="J1030" s="1" t="s">
        <v>1658</v>
      </c>
      <c r="K1030" s="1" t="s">
        <v>1658</v>
      </c>
      <c r="L1030" s="1" t="s">
        <v>1658</v>
      </c>
      <c r="M1030" s="1" t="s">
        <v>1658</v>
      </c>
      <c r="N1030" s="1" t="s">
        <v>1658</v>
      </c>
      <c r="O1030" s="1" t="s">
        <v>1658</v>
      </c>
      <c r="P1030" s="1">
        <v>1</v>
      </c>
      <c r="Q1030" s="1" t="s">
        <v>1658</v>
      </c>
      <c r="R1030" s="1">
        <v>0</v>
      </c>
      <c r="S1030" s="1" t="s">
        <v>6297</v>
      </c>
      <c r="T1030" s="6" t="s">
        <v>6297</v>
      </c>
      <c r="U1030" s="1" t="str">
        <f t="shared" si="16"/>
        <v>Yes</v>
      </c>
      <c r="W1030" s="1" t="s">
        <v>6298</v>
      </c>
      <c r="X1030" s="1" t="str">
        <f>IF(COUNTIF('MyWells Drilling Comp'!F:F,E1030)=0,"Missing","Exist")</f>
        <v>Exist</v>
      </c>
    </row>
    <row r="1031" hidden="1" spans="1:24">
      <c r="A1031" s="1" t="s">
        <v>5265</v>
      </c>
      <c r="B1031" s="1" t="s">
        <v>90</v>
      </c>
      <c r="C1031" s="7" t="s">
        <v>6299</v>
      </c>
      <c r="D1031" s="1" t="s">
        <v>6295</v>
      </c>
      <c r="E1031" s="2" t="s">
        <v>207</v>
      </c>
      <c r="F1031" s="2" t="s">
        <v>6300</v>
      </c>
      <c r="G1031" s="1">
        <v>1</v>
      </c>
      <c r="H1031" s="1" t="s">
        <v>1656</v>
      </c>
      <c r="I1031" s="1" t="s">
        <v>1657</v>
      </c>
      <c r="J1031" s="1" t="s">
        <v>1658</v>
      </c>
      <c r="K1031" s="1" t="s">
        <v>1658</v>
      </c>
      <c r="L1031" s="1" t="s">
        <v>1658</v>
      </c>
      <c r="M1031" s="1" t="s">
        <v>1658</v>
      </c>
      <c r="N1031" s="1" t="s">
        <v>1658</v>
      </c>
      <c r="O1031" s="1" t="s">
        <v>1658</v>
      </c>
      <c r="P1031" s="1">
        <v>1</v>
      </c>
      <c r="Q1031" s="1" t="s">
        <v>1658</v>
      </c>
      <c r="R1031" s="1">
        <v>0</v>
      </c>
      <c r="S1031" s="1" t="s">
        <v>6301</v>
      </c>
      <c r="T1031" s="6" t="s">
        <v>6301</v>
      </c>
      <c r="U1031" s="1" t="str">
        <f t="shared" si="16"/>
        <v>Yes</v>
      </c>
      <c r="W1031" s="1" t="s">
        <v>6302</v>
      </c>
      <c r="X1031" s="1" t="str">
        <f>IF(COUNTIF('MyWells Drilling Comp'!F:F,E1031)=0,"Missing","Exist")</f>
        <v>Exist</v>
      </c>
    </row>
    <row r="1032" spans="1:24">
      <c r="A1032" s="1" t="s">
        <v>5265</v>
      </c>
      <c r="B1032" s="1" t="s">
        <v>90</v>
      </c>
      <c r="C1032" s="1" t="s">
        <v>6303</v>
      </c>
      <c r="D1032" s="1" t="s">
        <v>6304</v>
      </c>
      <c r="E1032" s="2" t="s">
        <v>6305</v>
      </c>
      <c r="F1032" s="2" t="s">
        <v>6306</v>
      </c>
      <c r="G1032" s="1">
        <v>1</v>
      </c>
      <c r="H1032" s="1" t="s">
        <v>1663</v>
      </c>
      <c r="I1032" s="1" t="s">
        <v>1657</v>
      </c>
      <c r="J1032" s="1" t="s">
        <v>1658</v>
      </c>
      <c r="K1032" s="1" t="s">
        <v>1658</v>
      </c>
      <c r="L1032" s="1" t="s">
        <v>1658</v>
      </c>
      <c r="M1032" s="1" t="s">
        <v>1658</v>
      </c>
      <c r="N1032" s="1" t="s">
        <v>1658</v>
      </c>
      <c r="O1032" s="1" t="s">
        <v>1658</v>
      </c>
      <c r="P1032" s="1">
        <v>1</v>
      </c>
      <c r="Q1032" s="1" t="s">
        <v>1658</v>
      </c>
      <c r="R1032" s="1">
        <v>0</v>
      </c>
      <c r="S1032" s="1" t="s">
        <v>6307</v>
      </c>
      <c r="T1032" s="6" t="s">
        <v>6307</v>
      </c>
      <c r="U1032" s="1" t="str">
        <f t="shared" si="16"/>
        <v>Yes</v>
      </c>
      <c r="W1032" s="1" t="s">
        <v>6308</v>
      </c>
      <c r="X1032" s="1" t="str">
        <f>IF(COUNTIF('MyWells Drilling Comp'!F:F,E1032)=0,"Missing","Exist")</f>
        <v>Missing</v>
      </c>
    </row>
    <row r="1033" hidden="1" spans="1:24">
      <c r="A1033" s="1" t="s">
        <v>5265</v>
      </c>
      <c r="B1033" s="1" t="s">
        <v>90</v>
      </c>
      <c r="C1033" s="1" t="s">
        <v>6309</v>
      </c>
      <c r="D1033" s="1" t="s">
        <v>6304</v>
      </c>
      <c r="E1033" s="2" t="s">
        <v>6305</v>
      </c>
      <c r="F1033" s="2" t="s">
        <v>6310</v>
      </c>
      <c r="G1033" s="1">
        <v>1</v>
      </c>
      <c r="H1033" s="1" t="s">
        <v>1656</v>
      </c>
      <c r="I1033" s="1" t="s">
        <v>1657</v>
      </c>
      <c r="J1033" s="1" t="s">
        <v>1658</v>
      </c>
      <c r="K1033" s="1" t="s">
        <v>1658</v>
      </c>
      <c r="L1033" s="1" t="s">
        <v>1658</v>
      </c>
      <c r="M1033" s="1" t="s">
        <v>1658</v>
      </c>
      <c r="N1033" s="1" t="s">
        <v>1658</v>
      </c>
      <c r="O1033" s="1" t="s">
        <v>1658</v>
      </c>
      <c r="P1033" s="1">
        <v>1</v>
      </c>
      <c r="Q1033" s="1" t="s">
        <v>1658</v>
      </c>
      <c r="R1033" s="1">
        <v>0</v>
      </c>
      <c r="S1033" s="1" t="s">
        <v>1763</v>
      </c>
      <c r="T1033" s="1" t="s">
        <v>1763</v>
      </c>
      <c r="U1033" s="1" t="str">
        <f t="shared" si="16"/>
        <v>Yes</v>
      </c>
      <c r="W1033" s="1" t="s">
        <v>6311</v>
      </c>
      <c r="X1033" s="1" t="str">
        <f>IF(COUNTIF('MyWells Drilling Comp'!F:F,E1033)=0,"Missing","Exist")</f>
        <v>Missing</v>
      </c>
    </row>
    <row r="1034" spans="1:24">
      <c r="A1034" s="1" t="s">
        <v>5265</v>
      </c>
      <c r="B1034" s="1" t="s">
        <v>90</v>
      </c>
      <c r="C1034" s="1" t="s">
        <v>6312</v>
      </c>
      <c r="D1034" s="1" t="s">
        <v>6313</v>
      </c>
      <c r="E1034" s="2" t="s">
        <v>6314</v>
      </c>
      <c r="F1034" s="2" t="s">
        <v>6315</v>
      </c>
      <c r="G1034" s="1">
        <v>1</v>
      </c>
      <c r="H1034" s="1" t="s">
        <v>1663</v>
      </c>
      <c r="I1034" s="1" t="s">
        <v>1657</v>
      </c>
      <c r="J1034" s="1" t="s">
        <v>1658</v>
      </c>
      <c r="K1034" s="1" t="s">
        <v>1658</v>
      </c>
      <c r="L1034" s="1" t="s">
        <v>1658</v>
      </c>
      <c r="M1034" s="1" t="s">
        <v>1658</v>
      </c>
      <c r="N1034" s="1" t="s">
        <v>1658</v>
      </c>
      <c r="O1034" s="1" t="s">
        <v>1658</v>
      </c>
      <c r="P1034" s="1">
        <v>1</v>
      </c>
      <c r="Q1034" s="1" t="s">
        <v>1658</v>
      </c>
      <c r="R1034" s="1">
        <v>0</v>
      </c>
      <c r="S1034" s="1" t="s">
        <v>6316</v>
      </c>
      <c r="T1034" s="6" t="s">
        <v>6316</v>
      </c>
      <c r="U1034" s="1" t="str">
        <f t="shared" si="16"/>
        <v>Yes</v>
      </c>
      <c r="W1034" s="1" t="s">
        <v>6317</v>
      </c>
      <c r="X1034" s="1" t="str">
        <f>IF(COUNTIF('MyWells Drilling Comp'!F:F,E1034)=0,"Missing","Exist")</f>
        <v>Missing</v>
      </c>
    </row>
    <row r="1035" hidden="1" spans="1:24">
      <c r="A1035" s="1" t="s">
        <v>5265</v>
      </c>
      <c r="B1035" s="1" t="s">
        <v>90</v>
      </c>
      <c r="C1035" s="1" t="s">
        <v>6318</v>
      </c>
      <c r="D1035" s="1" t="s">
        <v>6313</v>
      </c>
      <c r="E1035" s="2" t="s">
        <v>6314</v>
      </c>
      <c r="F1035" s="2" t="s">
        <v>6319</v>
      </c>
      <c r="G1035" s="1">
        <v>1</v>
      </c>
      <c r="H1035" s="1" t="s">
        <v>1656</v>
      </c>
      <c r="I1035" s="1" t="s">
        <v>1657</v>
      </c>
      <c r="J1035" s="1" t="s">
        <v>1658</v>
      </c>
      <c r="K1035" s="1" t="s">
        <v>1658</v>
      </c>
      <c r="L1035" s="1" t="s">
        <v>1658</v>
      </c>
      <c r="M1035" s="1" t="s">
        <v>1658</v>
      </c>
      <c r="N1035" s="1" t="s">
        <v>1658</v>
      </c>
      <c r="O1035" s="1" t="s">
        <v>1658</v>
      </c>
      <c r="P1035" s="1">
        <v>1</v>
      </c>
      <c r="Q1035" s="1" t="s">
        <v>1658</v>
      </c>
      <c r="R1035" s="1">
        <v>0</v>
      </c>
      <c r="S1035" s="1" t="s">
        <v>6320</v>
      </c>
      <c r="T1035" s="6" t="s">
        <v>6320</v>
      </c>
      <c r="U1035" s="1" t="str">
        <f t="shared" si="16"/>
        <v>Yes</v>
      </c>
      <c r="W1035" s="1" t="s">
        <v>6321</v>
      </c>
      <c r="X1035" s="1" t="str">
        <f>IF(COUNTIF('MyWells Drilling Comp'!F:F,E1035)=0,"Missing","Exist")</f>
        <v>Missing</v>
      </c>
    </row>
    <row r="1036" hidden="1" spans="1:24">
      <c r="A1036" s="1" t="s">
        <v>5265</v>
      </c>
      <c r="B1036" s="1" t="s">
        <v>90</v>
      </c>
      <c r="C1036" s="1" t="s">
        <v>6322</v>
      </c>
      <c r="D1036" s="1" t="s">
        <v>6323</v>
      </c>
      <c r="E1036" s="2" t="s">
        <v>1591</v>
      </c>
      <c r="F1036" s="2" t="s">
        <v>6324</v>
      </c>
      <c r="G1036" s="1">
        <v>1</v>
      </c>
      <c r="H1036" s="1" t="s">
        <v>1663</v>
      </c>
      <c r="I1036" s="1" t="s">
        <v>1657</v>
      </c>
      <c r="J1036" s="1" t="s">
        <v>1658</v>
      </c>
      <c r="K1036" s="1" t="s">
        <v>1658</v>
      </c>
      <c r="L1036" s="1" t="s">
        <v>1658</v>
      </c>
      <c r="M1036" s="1" t="s">
        <v>1658</v>
      </c>
      <c r="N1036" s="1" t="s">
        <v>1658</v>
      </c>
      <c r="O1036" s="1" t="s">
        <v>1658</v>
      </c>
      <c r="P1036" s="1">
        <v>1</v>
      </c>
      <c r="Q1036" s="1" t="s">
        <v>1658</v>
      </c>
      <c r="R1036" s="1">
        <v>0</v>
      </c>
      <c r="S1036" s="1" t="s">
        <v>6325</v>
      </c>
      <c r="T1036" s="6" t="s">
        <v>6325</v>
      </c>
      <c r="U1036" s="1" t="str">
        <f t="shared" si="16"/>
        <v>Yes</v>
      </c>
      <c r="W1036" s="1" t="s">
        <v>6326</v>
      </c>
      <c r="X1036" s="1" t="str">
        <f>IF(COUNTIF('MyWells Drilling Comp'!F:F,E1036)=0,"Missing","Exist")</f>
        <v>Exist</v>
      </c>
    </row>
    <row r="1037" hidden="1" spans="1:24">
      <c r="A1037" s="1" t="s">
        <v>5265</v>
      </c>
      <c r="B1037" s="1" t="s">
        <v>90</v>
      </c>
      <c r="C1037" s="1" t="s">
        <v>6327</v>
      </c>
      <c r="D1037" s="1" t="s">
        <v>6323</v>
      </c>
      <c r="E1037" s="2" t="s">
        <v>1591</v>
      </c>
      <c r="F1037" s="2" t="s">
        <v>6328</v>
      </c>
      <c r="G1037" s="1">
        <v>1</v>
      </c>
      <c r="H1037" s="1" t="s">
        <v>1656</v>
      </c>
      <c r="I1037" s="1" t="s">
        <v>1657</v>
      </c>
      <c r="J1037" s="1" t="s">
        <v>1658</v>
      </c>
      <c r="K1037" s="1" t="s">
        <v>1658</v>
      </c>
      <c r="L1037" s="1" t="s">
        <v>1658</v>
      </c>
      <c r="M1037" s="1" t="s">
        <v>1658</v>
      </c>
      <c r="N1037" s="1" t="s">
        <v>1658</v>
      </c>
      <c r="O1037" s="1" t="s">
        <v>1658</v>
      </c>
      <c r="P1037" s="1">
        <v>1</v>
      </c>
      <c r="Q1037" s="1" t="s">
        <v>1658</v>
      </c>
      <c r="R1037" s="1">
        <v>0</v>
      </c>
      <c r="S1037" s="1" t="s">
        <v>6329</v>
      </c>
      <c r="T1037" s="6" t="s">
        <v>6329</v>
      </c>
      <c r="U1037" s="1" t="str">
        <f t="shared" si="16"/>
        <v>Yes</v>
      </c>
      <c r="W1037" s="1" t="s">
        <v>6330</v>
      </c>
      <c r="X1037" s="1" t="str">
        <f>IF(COUNTIF('MyWells Drilling Comp'!F:F,E1037)=0,"Missing","Exist")</f>
        <v>Exist</v>
      </c>
    </row>
    <row r="1038" hidden="1" spans="1:24">
      <c r="A1038" s="1" t="s">
        <v>5265</v>
      </c>
      <c r="B1038" s="1" t="s">
        <v>90</v>
      </c>
      <c r="C1038" s="1" t="s">
        <v>6331</v>
      </c>
      <c r="D1038" s="7" t="s">
        <v>6332</v>
      </c>
      <c r="E1038" s="2" t="s">
        <v>1335</v>
      </c>
      <c r="F1038" s="2" t="s">
        <v>6333</v>
      </c>
      <c r="G1038" s="1">
        <v>1</v>
      </c>
      <c r="H1038" s="1" t="s">
        <v>1663</v>
      </c>
      <c r="I1038" s="1" t="s">
        <v>1657</v>
      </c>
      <c r="J1038" s="1" t="s">
        <v>1658</v>
      </c>
      <c r="K1038" s="1" t="s">
        <v>1658</v>
      </c>
      <c r="L1038" s="1" t="s">
        <v>1658</v>
      </c>
      <c r="M1038" s="1" t="s">
        <v>1658</v>
      </c>
      <c r="N1038" s="1" t="s">
        <v>1658</v>
      </c>
      <c r="O1038" s="1" t="s">
        <v>1658</v>
      </c>
      <c r="P1038" s="1">
        <v>1</v>
      </c>
      <c r="Q1038" s="1" t="s">
        <v>1658</v>
      </c>
      <c r="R1038" s="1">
        <v>0</v>
      </c>
      <c r="S1038" s="1" t="s">
        <v>6334</v>
      </c>
      <c r="T1038" s="6" t="s">
        <v>6334</v>
      </c>
      <c r="U1038" s="1" t="str">
        <f t="shared" si="16"/>
        <v>Yes</v>
      </c>
      <c r="W1038" s="1" t="s">
        <v>6335</v>
      </c>
      <c r="X1038" s="1" t="str">
        <f>IF(COUNTIF('MyWells Drilling Comp'!F:F,E1038)=0,"Missing","Exist")</f>
        <v>Exist</v>
      </c>
    </row>
    <row r="1039" hidden="1" spans="1:24">
      <c r="A1039" s="1" t="s">
        <v>5265</v>
      </c>
      <c r="B1039" s="1" t="s">
        <v>90</v>
      </c>
      <c r="C1039" s="1" t="s">
        <v>6336</v>
      </c>
      <c r="D1039" s="7" t="s">
        <v>6332</v>
      </c>
      <c r="E1039" s="2" t="s">
        <v>1335</v>
      </c>
      <c r="F1039" s="2" t="s">
        <v>6337</v>
      </c>
      <c r="G1039" s="1">
        <v>1</v>
      </c>
      <c r="H1039" s="1" t="s">
        <v>1656</v>
      </c>
      <c r="I1039" s="1" t="s">
        <v>1657</v>
      </c>
      <c r="J1039" s="1" t="s">
        <v>1658</v>
      </c>
      <c r="K1039" s="1" t="s">
        <v>1658</v>
      </c>
      <c r="L1039" s="1" t="s">
        <v>1658</v>
      </c>
      <c r="M1039" s="1" t="s">
        <v>1658</v>
      </c>
      <c r="N1039" s="1" t="s">
        <v>1658</v>
      </c>
      <c r="O1039" s="1" t="s">
        <v>1658</v>
      </c>
      <c r="P1039" s="1">
        <v>1</v>
      </c>
      <c r="Q1039" s="1" t="s">
        <v>1658</v>
      </c>
      <c r="R1039" s="1">
        <v>0</v>
      </c>
      <c r="S1039" s="1" t="s">
        <v>6338</v>
      </c>
      <c r="T1039" s="6" t="s">
        <v>6338</v>
      </c>
      <c r="U1039" s="1" t="str">
        <f t="shared" si="16"/>
        <v>Yes</v>
      </c>
      <c r="W1039" s="1" t="s">
        <v>6339</v>
      </c>
      <c r="X1039" s="1" t="str">
        <f>IF(COUNTIF('MyWells Drilling Comp'!F:F,E1039)=0,"Missing","Exist")</f>
        <v>Exist</v>
      </c>
    </row>
    <row r="1040" hidden="1" spans="1:24">
      <c r="A1040" s="1" t="s">
        <v>5265</v>
      </c>
      <c r="B1040" s="1" t="s">
        <v>90</v>
      </c>
      <c r="C1040" s="1" t="s">
        <v>6340</v>
      </c>
      <c r="D1040" s="1" t="s">
        <v>6341</v>
      </c>
      <c r="E1040" s="2" t="s">
        <v>1159</v>
      </c>
      <c r="F1040" s="2" t="s">
        <v>6342</v>
      </c>
      <c r="G1040" s="1">
        <v>1</v>
      </c>
      <c r="H1040" s="1" t="s">
        <v>1656</v>
      </c>
      <c r="I1040" s="1" t="s">
        <v>1657</v>
      </c>
      <c r="J1040" s="1" t="s">
        <v>1658</v>
      </c>
      <c r="K1040" s="1" t="s">
        <v>1658</v>
      </c>
      <c r="L1040" s="1" t="s">
        <v>1658</v>
      </c>
      <c r="M1040" s="1" t="s">
        <v>1658</v>
      </c>
      <c r="N1040" s="1" t="s">
        <v>1658</v>
      </c>
      <c r="O1040" s="1" t="s">
        <v>1658</v>
      </c>
      <c r="P1040" s="1">
        <v>1</v>
      </c>
      <c r="Q1040" s="1" t="s">
        <v>1658</v>
      </c>
      <c r="R1040" s="1">
        <v>0</v>
      </c>
      <c r="S1040" s="1" t="s">
        <v>6343</v>
      </c>
      <c r="T1040" s="6" t="s">
        <v>6343</v>
      </c>
      <c r="U1040" s="1" t="str">
        <f t="shared" si="16"/>
        <v>Yes</v>
      </c>
      <c r="W1040" s="1" t="s">
        <v>6344</v>
      </c>
      <c r="X1040" s="1" t="str">
        <f>IF(COUNTIF('MyWells Drilling Comp'!F:F,E1040)=0,"Missing","Exist")</f>
        <v>Exist</v>
      </c>
    </row>
    <row r="1041" hidden="1" spans="1:24">
      <c r="A1041" s="1" t="s">
        <v>5265</v>
      </c>
      <c r="B1041" s="1" t="s">
        <v>90</v>
      </c>
      <c r="C1041" s="1" t="s">
        <v>6345</v>
      </c>
      <c r="D1041" s="1" t="s">
        <v>6341</v>
      </c>
      <c r="E1041" s="2" t="s">
        <v>1159</v>
      </c>
      <c r="F1041" s="2" t="s">
        <v>6346</v>
      </c>
      <c r="G1041" s="1">
        <v>1</v>
      </c>
      <c r="H1041" s="1" t="s">
        <v>1663</v>
      </c>
      <c r="I1041" s="1" t="s">
        <v>1657</v>
      </c>
      <c r="J1041" s="1" t="s">
        <v>1658</v>
      </c>
      <c r="K1041" s="1" t="s">
        <v>1658</v>
      </c>
      <c r="L1041" s="1" t="s">
        <v>1658</v>
      </c>
      <c r="M1041" s="1" t="s">
        <v>1658</v>
      </c>
      <c r="N1041" s="1" t="s">
        <v>1658</v>
      </c>
      <c r="O1041" s="1" t="s">
        <v>1658</v>
      </c>
      <c r="P1041" s="1">
        <v>1</v>
      </c>
      <c r="Q1041" s="1" t="s">
        <v>1658</v>
      </c>
      <c r="R1041" s="1">
        <v>0</v>
      </c>
      <c r="S1041" s="1" t="s">
        <v>6347</v>
      </c>
      <c r="T1041" s="6" t="s">
        <v>6347</v>
      </c>
      <c r="U1041" s="1" t="str">
        <f t="shared" si="16"/>
        <v>Yes</v>
      </c>
      <c r="W1041" s="1" t="s">
        <v>6348</v>
      </c>
      <c r="X1041" s="1" t="str">
        <f>IF(COUNTIF('MyWells Drilling Comp'!F:F,E1041)=0,"Missing","Exist")</f>
        <v>Exist</v>
      </c>
    </row>
    <row r="1042" hidden="1" spans="1:24">
      <c r="A1042" s="1" t="s">
        <v>5265</v>
      </c>
      <c r="B1042" s="1" t="s">
        <v>90</v>
      </c>
      <c r="C1042" s="1" t="s">
        <v>6349</v>
      </c>
      <c r="D1042" s="1" t="s">
        <v>6350</v>
      </c>
      <c r="E1042" s="2" t="s">
        <v>506</v>
      </c>
      <c r="F1042" s="2" t="s">
        <v>6351</v>
      </c>
      <c r="G1042" s="1">
        <v>1</v>
      </c>
      <c r="H1042" s="1" t="s">
        <v>1663</v>
      </c>
      <c r="I1042" s="1" t="s">
        <v>1657</v>
      </c>
      <c r="J1042" s="1" t="s">
        <v>1658</v>
      </c>
      <c r="K1042" s="1" t="s">
        <v>1658</v>
      </c>
      <c r="L1042" s="1" t="s">
        <v>1658</v>
      </c>
      <c r="M1042" s="1" t="s">
        <v>1658</v>
      </c>
      <c r="N1042" s="1" t="s">
        <v>1658</v>
      </c>
      <c r="O1042" s="1" t="s">
        <v>1658</v>
      </c>
      <c r="P1042" s="1">
        <v>1</v>
      </c>
      <c r="Q1042" s="1" t="s">
        <v>1658</v>
      </c>
      <c r="R1042" s="1">
        <v>0</v>
      </c>
      <c r="S1042" s="1" t="s">
        <v>6352</v>
      </c>
      <c r="T1042" s="1" t="s">
        <v>6352</v>
      </c>
      <c r="U1042" s="1" t="str">
        <f t="shared" si="16"/>
        <v>Yes</v>
      </c>
      <c r="W1042" s="1" t="s">
        <v>6353</v>
      </c>
      <c r="X1042" s="1" t="str">
        <f>IF(COUNTIF('MyWells Drilling Comp'!F:F,E1042)=0,"Missing","Exist")</f>
        <v>Exist</v>
      </c>
    </row>
    <row r="1043" hidden="1" spans="1:24">
      <c r="A1043" s="1" t="s">
        <v>5265</v>
      </c>
      <c r="B1043" s="1" t="s">
        <v>90</v>
      </c>
      <c r="C1043" s="1" t="s">
        <v>6354</v>
      </c>
      <c r="D1043" s="1" t="s">
        <v>6350</v>
      </c>
      <c r="E1043" s="2" t="s">
        <v>506</v>
      </c>
      <c r="F1043" s="2" t="s">
        <v>6355</v>
      </c>
      <c r="G1043" s="1">
        <v>1</v>
      </c>
      <c r="H1043" s="1" t="s">
        <v>1656</v>
      </c>
      <c r="I1043" s="1" t="s">
        <v>1657</v>
      </c>
      <c r="J1043" s="1" t="s">
        <v>1658</v>
      </c>
      <c r="K1043" s="1" t="s">
        <v>1658</v>
      </c>
      <c r="L1043" s="1" t="s">
        <v>1658</v>
      </c>
      <c r="M1043" s="1" t="s">
        <v>1658</v>
      </c>
      <c r="N1043" s="1" t="s">
        <v>1658</v>
      </c>
      <c r="O1043" s="1" t="s">
        <v>1658</v>
      </c>
      <c r="P1043" s="1">
        <v>1</v>
      </c>
      <c r="Q1043" s="1" t="s">
        <v>1658</v>
      </c>
      <c r="R1043" s="1">
        <v>0</v>
      </c>
      <c r="S1043" s="1" t="s">
        <v>6356</v>
      </c>
      <c r="T1043" s="1" t="s">
        <v>6356</v>
      </c>
      <c r="U1043" s="1" t="str">
        <f t="shared" si="16"/>
        <v>Yes</v>
      </c>
      <c r="W1043" s="1" t="s">
        <v>6357</v>
      </c>
      <c r="X1043" s="1" t="str">
        <f>IF(COUNTIF('MyWells Drilling Comp'!F:F,E1043)=0,"Missing","Exist")</f>
        <v>Exist</v>
      </c>
    </row>
    <row r="1044" hidden="1" spans="1:24">
      <c r="A1044" s="1" t="s">
        <v>5265</v>
      </c>
      <c r="B1044" s="1" t="s">
        <v>90</v>
      </c>
      <c r="C1044" s="1" t="s">
        <v>6358</v>
      </c>
      <c r="D1044" s="1" t="s">
        <v>6359</v>
      </c>
      <c r="E1044" s="2" t="s">
        <v>1083</v>
      </c>
      <c r="F1044" s="2" t="s">
        <v>6360</v>
      </c>
      <c r="G1044" s="1">
        <v>1</v>
      </c>
      <c r="H1044" s="1" t="s">
        <v>1663</v>
      </c>
      <c r="I1044" s="1" t="s">
        <v>1657</v>
      </c>
      <c r="J1044" s="1" t="s">
        <v>1658</v>
      </c>
      <c r="K1044" s="1" t="s">
        <v>1658</v>
      </c>
      <c r="L1044" s="1" t="s">
        <v>1658</v>
      </c>
      <c r="M1044" s="1" t="s">
        <v>1658</v>
      </c>
      <c r="N1044" s="1" t="s">
        <v>1658</v>
      </c>
      <c r="O1044" s="1" t="s">
        <v>1658</v>
      </c>
      <c r="P1044" s="1">
        <v>1</v>
      </c>
      <c r="Q1044" s="1" t="s">
        <v>1658</v>
      </c>
      <c r="R1044" s="1">
        <v>0</v>
      </c>
      <c r="S1044" s="1" t="s">
        <v>6361</v>
      </c>
      <c r="T1044" s="6" t="s">
        <v>6361</v>
      </c>
      <c r="U1044" s="1" t="str">
        <f t="shared" si="16"/>
        <v>Yes</v>
      </c>
      <c r="W1044" s="1" t="s">
        <v>6362</v>
      </c>
      <c r="X1044" s="1" t="str">
        <f>IF(COUNTIF('MyWells Drilling Comp'!F:F,E1044)=0,"Missing","Exist")</f>
        <v>Exist</v>
      </c>
    </row>
    <row r="1045" hidden="1" spans="1:24">
      <c r="A1045" s="1" t="s">
        <v>5265</v>
      </c>
      <c r="B1045" s="1" t="s">
        <v>90</v>
      </c>
      <c r="C1045" s="1" t="s">
        <v>6363</v>
      </c>
      <c r="D1045" s="1" t="s">
        <v>6359</v>
      </c>
      <c r="E1045" s="2" t="s">
        <v>1083</v>
      </c>
      <c r="F1045" s="2" t="s">
        <v>6364</v>
      </c>
      <c r="G1045" s="1">
        <v>1</v>
      </c>
      <c r="H1045" s="1" t="s">
        <v>1656</v>
      </c>
      <c r="I1045" s="1" t="s">
        <v>1657</v>
      </c>
      <c r="J1045" s="1" t="s">
        <v>1658</v>
      </c>
      <c r="K1045" s="1" t="s">
        <v>1658</v>
      </c>
      <c r="L1045" s="1" t="s">
        <v>1658</v>
      </c>
      <c r="M1045" s="1" t="s">
        <v>1658</v>
      </c>
      <c r="N1045" s="1" t="s">
        <v>1658</v>
      </c>
      <c r="O1045" s="1" t="s">
        <v>1658</v>
      </c>
      <c r="P1045" s="1">
        <v>1</v>
      </c>
      <c r="Q1045" s="1" t="s">
        <v>1658</v>
      </c>
      <c r="R1045" s="1">
        <v>0</v>
      </c>
      <c r="S1045" s="1" t="s">
        <v>6365</v>
      </c>
      <c r="T1045" s="6" t="s">
        <v>6366</v>
      </c>
      <c r="U1045" s="1" t="str">
        <f t="shared" si="16"/>
        <v>No</v>
      </c>
      <c r="W1045" s="1" t="s">
        <v>6367</v>
      </c>
      <c r="X1045" s="1" t="str">
        <f>IF(COUNTIF('MyWells Drilling Comp'!F:F,E1045)=0,"Missing","Exist")</f>
        <v>Exist</v>
      </c>
    </row>
    <row r="1046" hidden="1" spans="1:24">
      <c r="A1046" s="1" t="s">
        <v>5265</v>
      </c>
      <c r="B1046" s="1" t="s">
        <v>90</v>
      </c>
      <c r="C1046" s="1" t="s">
        <v>6368</v>
      </c>
      <c r="D1046" s="1" t="s">
        <v>6369</v>
      </c>
      <c r="E1046" s="2" t="s">
        <v>644</v>
      </c>
      <c r="F1046" s="2" t="s">
        <v>6370</v>
      </c>
      <c r="G1046" s="1">
        <v>1</v>
      </c>
      <c r="H1046" s="1" t="s">
        <v>1663</v>
      </c>
      <c r="I1046" s="1" t="s">
        <v>1657</v>
      </c>
      <c r="J1046" s="1" t="s">
        <v>1658</v>
      </c>
      <c r="K1046" s="1" t="s">
        <v>1658</v>
      </c>
      <c r="L1046" s="1" t="s">
        <v>1658</v>
      </c>
      <c r="M1046" s="1" t="s">
        <v>1658</v>
      </c>
      <c r="N1046" s="1" t="s">
        <v>1658</v>
      </c>
      <c r="O1046" s="1" t="s">
        <v>1658</v>
      </c>
      <c r="P1046" s="1">
        <v>1</v>
      </c>
      <c r="Q1046" s="1" t="s">
        <v>1658</v>
      </c>
      <c r="R1046" s="1">
        <v>0</v>
      </c>
      <c r="S1046" s="1" t="s">
        <v>6371</v>
      </c>
      <c r="T1046" s="6" t="s">
        <v>6371</v>
      </c>
      <c r="U1046" s="1" t="str">
        <f t="shared" si="16"/>
        <v>Yes</v>
      </c>
      <c r="W1046" s="1" t="s">
        <v>6372</v>
      </c>
      <c r="X1046" s="1" t="str">
        <f>IF(COUNTIF('MyWells Drilling Comp'!F:F,E1046)=0,"Missing","Exist")</f>
        <v>Exist</v>
      </c>
    </row>
    <row r="1047" hidden="1" spans="1:24">
      <c r="A1047" s="1" t="s">
        <v>5265</v>
      </c>
      <c r="B1047" s="1" t="s">
        <v>90</v>
      </c>
      <c r="C1047" s="1" t="s">
        <v>6373</v>
      </c>
      <c r="D1047" s="1" t="s">
        <v>6369</v>
      </c>
      <c r="E1047" s="2" t="s">
        <v>644</v>
      </c>
      <c r="F1047" s="2" t="s">
        <v>6374</v>
      </c>
      <c r="G1047" s="1">
        <v>1</v>
      </c>
      <c r="H1047" s="1" t="s">
        <v>1656</v>
      </c>
      <c r="I1047" s="1" t="s">
        <v>1657</v>
      </c>
      <c r="J1047" s="1" t="s">
        <v>1658</v>
      </c>
      <c r="K1047" s="1" t="s">
        <v>1658</v>
      </c>
      <c r="L1047" s="1" t="s">
        <v>1658</v>
      </c>
      <c r="M1047" s="1" t="s">
        <v>1658</v>
      </c>
      <c r="N1047" s="1" t="s">
        <v>1658</v>
      </c>
      <c r="O1047" s="1" t="s">
        <v>1658</v>
      </c>
      <c r="P1047" s="1">
        <v>1</v>
      </c>
      <c r="Q1047" s="1" t="s">
        <v>1658</v>
      </c>
      <c r="R1047" s="1">
        <v>0</v>
      </c>
      <c r="S1047" s="1" t="s">
        <v>6375</v>
      </c>
      <c r="T1047" s="6" t="s">
        <v>6375</v>
      </c>
      <c r="U1047" s="1" t="str">
        <f t="shared" si="16"/>
        <v>Yes</v>
      </c>
      <c r="W1047" s="1" t="s">
        <v>6376</v>
      </c>
      <c r="X1047" s="1" t="str">
        <f>IF(COUNTIF('MyWells Drilling Comp'!F:F,E1047)=0,"Missing","Exist")</f>
        <v>Exist</v>
      </c>
    </row>
    <row r="1048" hidden="1" spans="1:24">
      <c r="A1048" s="1" t="s">
        <v>5265</v>
      </c>
      <c r="B1048" s="1" t="s">
        <v>90</v>
      </c>
      <c r="C1048" s="1" t="s">
        <v>6377</v>
      </c>
      <c r="D1048" s="1" t="s">
        <v>6378</v>
      </c>
      <c r="E1048" s="2" t="s">
        <v>1532</v>
      </c>
      <c r="F1048" s="2" t="s">
        <v>6379</v>
      </c>
      <c r="G1048" s="1">
        <v>1</v>
      </c>
      <c r="H1048" s="1" t="s">
        <v>1663</v>
      </c>
      <c r="I1048" s="1" t="s">
        <v>1657</v>
      </c>
      <c r="J1048" s="1" t="s">
        <v>1658</v>
      </c>
      <c r="K1048" s="1" t="s">
        <v>1658</v>
      </c>
      <c r="L1048" s="1" t="s">
        <v>1658</v>
      </c>
      <c r="M1048" s="1" t="s">
        <v>1658</v>
      </c>
      <c r="N1048" s="1" t="s">
        <v>1658</v>
      </c>
      <c r="O1048" s="1" t="s">
        <v>1658</v>
      </c>
      <c r="P1048" s="1">
        <v>1</v>
      </c>
      <c r="Q1048" s="1" t="s">
        <v>1658</v>
      </c>
      <c r="R1048" s="1">
        <v>0</v>
      </c>
      <c r="S1048" s="1" t="s">
        <v>6380</v>
      </c>
      <c r="T1048" s="6" t="s">
        <v>6380</v>
      </c>
      <c r="U1048" s="1" t="str">
        <f t="shared" si="16"/>
        <v>Yes</v>
      </c>
      <c r="W1048" s="1" t="s">
        <v>6381</v>
      </c>
      <c r="X1048" s="1" t="str">
        <f>IF(COUNTIF('MyWells Drilling Comp'!F:F,E1048)=0,"Missing","Exist")</f>
        <v>Exist</v>
      </c>
    </row>
    <row r="1049" hidden="1" spans="1:24">
      <c r="A1049" s="1" t="s">
        <v>5265</v>
      </c>
      <c r="B1049" s="1" t="s">
        <v>90</v>
      </c>
      <c r="C1049" s="1" t="s">
        <v>6382</v>
      </c>
      <c r="D1049" s="1" t="s">
        <v>6378</v>
      </c>
      <c r="E1049" s="2" t="s">
        <v>1532</v>
      </c>
      <c r="F1049" s="2" t="s">
        <v>6383</v>
      </c>
      <c r="G1049" s="1">
        <v>1</v>
      </c>
      <c r="H1049" s="1" t="s">
        <v>1656</v>
      </c>
      <c r="I1049" s="1" t="s">
        <v>1657</v>
      </c>
      <c r="J1049" s="1" t="s">
        <v>1658</v>
      </c>
      <c r="K1049" s="1" t="s">
        <v>1658</v>
      </c>
      <c r="L1049" s="1" t="s">
        <v>1658</v>
      </c>
      <c r="M1049" s="1" t="s">
        <v>1658</v>
      </c>
      <c r="N1049" s="1" t="s">
        <v>1658</v>
      </c>
      <c r="O1049" s="1" t="s">
        <v>1658</v>
      </c>
      <c r="P1049" s="1">
        <v>1</v>
      </c>
      <c r="Q1049" s="1" t="s">
        <v>1658</v>
      </c>
      <c r="R1049" s="1">
        <v>0</v>
      </c>
      <c r="S1049" s="1" t="s">
        <v>6384</v>
      </c>
      <c r="T1049" s="6" t="s">
        <v>6384</v>
      </c>
      <c r="U1049" s="1" t="str">
        <f t="shared" si="16"/>
        <v>Yes</v>
      </c>
      <c r="W1049" s="1" t="s">
        <v>6385</v>
      </c>
      <c r="X1049" s="1" t="str">
        <f>IF(COUNTIF('MyWells Drilling Comp'!F:F,E1049)=0,"Missing","Exist")</f>
        <v>Exist</v>
      </c>
    </row>
    <row r="1050" hidden="1" spans="1:24">
      <c r="A1050" s="1" t="s">
        <v>5265</v>
      </c>
      <c r="B1050" s="1" t="s">
        <v>90</v>
      </c>
      <c r="C1050" s="1" t="s">
        <v>6386</v>
      </c>
      <c r="D1050" s="1" t="s">
        <v>6387</v>
      </c>
      <c r="E1050" s="2" t="s">
        <v>1601</v>
      </c>
      <c r="F1050" s="8" t="s">
        <v>6388</v>
      </c>
      <c r="G1050" s="1">
        <v>1</v>
      </c>
      <c r="H1050" s="1" t="s">
        <v>1656</v>
      </c>
      <c r="I1050" s="1" t="s">
        <v>1657</v>
      </c>
      <c r="J1050" s="1" t="s">
        <v>1658</v>
      </c>
      <c r="K1050" s="1" t="s">
        <v>1658</v>
      </c>
      <c r="L1050" s="1" t="s">
        <v>1658</v>
      </c>
      <c r="M1050" s="1" t="s">
        <v>1658</v>
      </c>
      <c r="N1050" s="1" t="s">
        <v>1658</v>
      </c>
      <c r="O1050" s="1" t="s">
        <v>1658</v>
      </c>
      <c r="P1050" s="1">
        <v>1</v>
      </c>
      <c r="Q1050" s="1" t="s">
        <v>1658</v>
      </c>
      <c r="R1050" s="1">
        <v>0</v>
      </c>
      <c r="S1050" s="1" t="s">
        <v>6389</v>
      </c>
      <c r="T1050" s="6" t="s">
        <v>6389</v>
      </c>
      <c r="U1050" s="1" t="str">
        <f t="shared" si="16"/>
        <v>Yes</v>
      </c>
      <c r="W1050" s="1" t="s">
        <v>6390</v>
      </c>
      <c r="X1050" s="1" t="str">
        <f>IF(COUNTIF('MyWells Drilling Comp'!F:F,E1050)=0,"Missing","Exist")</f>
        <v>Exist</v>
      </c>
    </row>
    <row r="1051" hidden="1" spans="1:24">
      <c r="A1051" s="1" t="s">
        <v>5265</v>
      </c>
      <c r="B1051" s="1" t="s">
        <v>90</v>
      </c>
      <c r="C1051" s="1" t="s">
        <v>6391</v>
      </c>
      <c r="D1051" s="1" t="s">
        <v>6387</v>
      </c>
      <c r="E1051" s="2" t="s">
        <v>1601</v>
      </c>
      <c r="F1051" s="2" t="s">
        <v>6392</v>
      </c>
      <c r="G1051" s="1">
        <v>1</v>
      </c>
      <c r="H1051" s="1" t="s">
        <v>1663</v>
      </c>
      <c r="I1051" s="1" t="s">
        <v>1657</v>
      </c>
      <c r="J1051" s="1" t="s">
        <v>1658</v>
      </c>
      <c r="K1051" s="1" t="s">
        <v>1658</v>
      </c>
      <c r="L1051" s="1" t="s">
        <v>1658</v>
      </c>
      <c r="M1051" s="1" t="s">
        <v>1658</v>
      </c>
      <c r="N1051" s="1" t="s">
        <v>1658</v>
      </c>
      <c r="O1051" s="1" t="s">
        <v>1658</v>
      </c>
      <c r="P1051" s="1">
        <v>1</v>
      </c>
      <c r="Q1051" s="1" t="s">
        <v>1658</v>
      </c>
      <c r="R1051" s="1">
        <v>0</v>
      </c>
      <c r="S1051" s="1" t="s">
        <v>6393</v>
      </c>
      <c r="T1051" s="6" t="s">
        <v>6393</v>
      </c>
      <c r="U1051" s="1" t="str">
        <f t="shared" si="16"/>
        <v>Yes</v>
      </c>
      <c r="W1051" s="1" t="s">
        <v>6394</v>
      </c>
      <c r="X1051" s="1" t="str">
        <f>IF(COUNTIF('MyWells Drilling Comp'!F:F,E1051)=0,"Missing","Exist")</f>
        <v>Exist</v>
      </c>
    </row>
    <row r="1052" hidden="1" spans="1:24">
      <c r="A1052" s="1" t="s">
        <v>5265</v>
      </c>
      <c r="B1052" s="1" t="s">
        <v>90</v>
      </c>
      <c r="C1052" s="1" t="s">
        <v>6395</v>
      </c>
      <c r="D1052" s="7" t="s">
        <v>6396</v>
      </c>
      <c r="E1052" s="2" t="s">
        <v>947</v>
      </c>
      <c r="F1052" s="2" t="s">
        <v>6397</v>
      </c>
      <c r="G1052" s="1">
        <v>1</v>
      </c>
      <c r="H1052" s="1" t="s">
        <v>1663</v>
      </c>
      <c r="I1052" s="1" t="s">
        <v>1657</v>
      </c>
      <c r="J1052" s="1" t="s">
        <v>1658</v>
      </c>
      <c r="K1052" s="1" t="s">
        <v>1658</v>
      </c>
      <c r="L1052" s="1" t="s">
        <v>1658</v>
      </c>
      <c r="M1052" s="1" t="s">
        <v>1658</v>
      </c>
      <c r="N1052" s="1" t="s">
        <v>1658</v>
      </c>
      <c r="O1052" s="1" t="s">
        <v>1658</v>
      </c>
      <c r="P1052" s="1">
        <v>1</v>
      </c>
      <c r="Q1052" s="1" t="s">
        <v>1658</v>
      </c>
      <c r="R1052" s="1">
        <v>0</v>
      </c>
      <c r="S1052" s="1" t="s">
        <v>6398</v>
      </c>
      <c r="T1052" s="6" t="s">
        <v>6398</v>
      </c>
      <c r="U1052" s="1" t="str">
        <f t="shared" si="16"/>
        <v>Yes</v>
      </c>
      <c r="W1052" s="1" t="s">
        <v>6399</v>
      </c>
      <c r="X1052" s="1" t="str">
        <f>IF(COUNTIF('MyWells Drilling Comp'!F:F,E1052)=0,"Missing","Exist")</f>
        <v>Exist</v>
      </c>
    </row>
    <row r="1053" hidden="1" spans="1:24">
      <c r="A1053" s="1" t="s">
        <v>5265</v>
      </c>
      <c r="B1053" s="1" t="s">
        <v>90</v>
      </c>
      <c r="C1053" s="1" t="s">
        <v>6400</v>
      </c>
      <c r="D1053" s="7" t="s">
        <v>6396</v>
      </c>
      <c r="E1053" s="2" t="s">
        <v>947</v>
      </c>
      <c r="F1053" s="2" t="s">
        <v>6401</v>
      </c>
      <c r="G1053" s="1">
        <v>1</v>
      </c>
      <c r="H1053" s="1" t="s">
        <v>1656</v>
      </c>
      <c r="I1053" s="1" t="s">
        <v>1657</v>
      </c>
      <c r="J1053" s="1" t="s">
        <v>1658</v>
      </c>
      <c r="K1053" s="1" t="s">
        <v>1658</v>
      </c>
      <c r="L1053" s="1" t="s">
        <v>1658</v>
      </c>
      <c r="M1053" s="1" t="s">
        <v>1658</v>
      </c>
      <c r="N1053" s="1" t="s">
        <v>1658</v>
      </c>
      <c r="O1053" s="1" t="s">
        <v>1658</v>
      </c>
      <c r="P1053" s="1">
        <v>1</v>
      </c>
      <c r="Q1053" s="1" t="s">
        <v>1658</v>
      </c>
      <c r="R1053" s="1">
        <v>0</v>
      </c>
      <c r="S1053" s="1" t="s">
        <v>6402</v>
      </c>
      <c r="T1053" s="6" t="s">
        <v>6402</v>
      </c>
      <c r="U1053" s="1" t="str">
        <f t="shared" si="16"/>
        <v>Yes</v>
      </c>
      <c r="W1053" s="1" t="s">
        <v>6403</v>
      </c>
      <c r="X1053" s="1" t="str">
        <f>IF(COUNTIF('MyWells Drilling Comp'!F:F,E1053)=0,"Missing","Exist")</f>
        <v>Exist</v>
      </c>
    </row>
    <row r="1054" hidden="1" spans="1:24">
      <c r="A1054" s="1" t="s">
        <v>5265</v>
      </c>
      <c r="B1054" s="1" t="s">
        <v>90</v>
      </c>
      <c r="C1054" s="1" t="s">
        <v>6404</v>
      </c>
      <c r="D1054" s="1" t="s">
        <v>6405</v>
      </c>
      <c r="E1054" s="2" t="s">
        <v>873</v>
      </c>
      <c r="F1054" s="2" t="s">
        <v>6406</v>
      </c>
      <c r="G1054" s="1">
        <v>1</v>
      </c>
      <c r="H1054" s="1" t="s">
        <v>1663</v>
      </c>
      <c r="I1054" s="1" t="s">
        <v>1657</v>
      </c>
      <c r="J1054" s="1" t="s">
        <v>1658</v>
      </c>
      <c r="K1054" s="1" t="s">
        <v>1658</v>
      </c>
      <c r="L1054" s="1" t="s">
        <v>1658</v>
      </c>
      <c r="M1054" s="1" t="s">
        <v>1658</v>
      </c>
      <c r="N1054" s="1" t="s">
        <v>1658</v>
      </c>
      <c r="O1054" s="1" t="s">
        <v>1658</v>
      </c>
      <c r="P1054" s="1">
        <v>1</v>
      </c>
      <c r="Q1054" s="1" t="s">
        <v>1658</v>
      </c>
      <c r="R1054" s="1">
        <v>0</v>
      </c>
      <c r="S1054" s="1" t="s">
        <v>6407</v>
      </c>
      <c r="T1054" s="6"/>
      <c r="U1054" s="1" t="str">
        <f t="shared" si="16"/>
        <v>No</v>
      </c>
      <c r="W1054" s="1" t="s">
        <v>6408</v>
      </c>
      <c r="X1054" s="1" t="str">
        <f>IF(COUNTIF('MyWells Drilling Comp'!F:F,E1054)=0,"Missing","Exist")</f>
        <v>Exist</v>
      </c>
    </row>
    <row r="1055" hidden="1" spans="1:24">
      <c r="A1055" s="1" t="s">
        <v>5265</v>
      </c>
      <c r="B1055" s="1" t="s">
        <v>90</v>
      </c>
      <c r="C1055" s="1" t="s">
        <v>6409</v>
      </c>
      <c r="D1055" s="1" t="s">
        <v>6405</v>
      </c>
      <c r="E1055" s="2" t="s">
        <v>873</v>
      </c>
      <c r="F1055" s="2" t="s">
        <v>6410</v>
      </c>
      <c r="G1055" s="1">
        <v>1</v>
      </c>
      <c r="H1055" s="1" t="s">
        <v>1656</v>
      </c>
      <c r="I1055" s="1" t="s">
        <v>1657</v>
      </c>
      <c r="J1055" s="1" t="s">
        <v>1658</v>
      </c>
      <c r="K1055" s="1" t="s">
        <v>1658</v>
      </c>
      <c r="L1055" s="1" t="s">
        <v>1658</v>
      </c>
      <c r="M1055" s="1" t="s">
        <v>1658</v>
      </c>
      <c r="N1055" s="1" t="s">
        <v>1658</v>
      </c>
      <c r="O1055" s="1" t="s">
        <v>1658</v>
      </c>
      <c r="P1055" s="1">
        <v>1</v>
      </c>
      <c r="Q1055" s="1" t="s">
        <v>1658</v>
      </c>
      <c r="R1055" s="1">
        <v>0</v>
      </c>
      <c r="S1055" s="1" t="s">
        <v>6411</v>
      </c>
      <c r="T1055" s="6"/>
      <c r="U1055" s="1" t="str">
        <f t="shared" si="16"/>
        <v>No</v>
      </c>
      <c r="W1055" s="1" t="s">
        <v>6412</v>
      </c>
      <c r="X1055" s="1" t="str">
        <f>IF(COUNTIF('MyWells Drilling Comp'!F:F,E1055)=0,"Missing","Exist")</f>
        <v>Exist</v>
      </c>
    </row>
    <row r="1056" hidden="1" spans="1:24">
      <c r="A1056" s="1" t="s">
        <v>5265</v>
      </c>
      <c r="B1056" s="1" t="s">
        <v>90</v>
      </c>
      <c r="C1056" s="1" t="s">
        <v>6413</v>
      </c>
      <c r="D1056" s="1" t="s">
        <v>6414</v>
      </c>
      <c r="E1056" s="2" t="s">
        <v>565</v>
      </c>
      <c r="F1056" s="2" t="s">
        <v>6415</v>
      </c>
      <c r="G1056" s="1">
        <v>1</v>
      </c>
      <c r="H1056" s="1" t="s">
        <v>1663</v>
      </c>
      <c r="I1056" s="1" t="s">
        <v>1657</v>
      </c>
      <c r="J1056" s="1" t="s">
        <v>1658</v>
      </c>
      <c r="K1056" s="1" t="s">
        <v>1658</v>
      </c>
      <c r="L1056" s="1" t="s">
        <v>1658</v>
      </c>
      <c r="M1056" s="1" t="s">
        <v>1658</v>
      </c>
      <c r="N1056" s="1" t="s">
        <v>1658</v>
      </c>
      <c r="O1056" s="1" t="s">
        <v>1658</v>
      </c>
      <c r="P1056" s="1">
        <v>1</v>
      </c>
      <c r="Q1056" s="1" t="s">
        <v>1658</v>
      </c>
      <c r="R1056" s="1">
        <v>0</v>
      </c>
      <c r="S1056" s="1" t="s">
        <v>6416</v>
      </c>
      <c r="T1056" s="6" t="s">
        <v>6416</v>
      </c>
      <c r="U1056" s="1" t="str">
        <f t="shared" si="16"/>
        <v>Yes</v>
      </c>
      <c r="W1056" s="1" t="s">
        <v>6417</v>
      </c>
      <c r="X1056" s="1" t="str">
        <f>IF(COUNTIF('MyWells Drilling Comp'!F:F,E1056)=0,"Missing","Exist")</f>
        <v>Exist</v>
      </c>
    </row>
    <row r="1057" hidden="1" spans="1:24">
      <c r="A1057" s="1" t="s">
        <v>5265</v>
      </c>
      <c r="B1057" s="1" t="s">
        <v>90</v>
      </c>
      <c r="C1057" s="1" t="s">
        <v>6418</v>
      </c>
      <c r="D1057" s="1" t="s">
        <v>6414</v>
      </c>
      <c r="E1057" s="2" t="s">
        <v>565</v>
      </c>
      <c r="F1057" s="2" t="s">
        <v>6419</v>
      </c>
      <c r="G1057" s="1">
        <v>1</v>
      </c>
      <c r="H1057" s="1" t="s">
        <v>1656</v>
      </c>
      <c r="I1057" s="1" t="s">
        <v>1657</v>
      </c>
      <c r="J1057" s="1" t="s">
        <v>1658</v>
      </c>
      <c r="K1057" s="1" t="s">
        <v>1658</v>
      </c>
      <c r="L1057" s="1" t="s">
        <v>1658</v>
      </c>
      <c r="M1057" s="1" t="s">
        <v>1658</v>
      </c>
      <c r="N1057" s="1" t="s">
        <v>1658</v>
      </c>
      <c r="O1057" s="1" t="s">
        <v>1658</v>
      </c>
      <c r="P1057" s="1">
        <v>1</v>
      </c>
      <c r="Q1057" s="1" t="s">
        <v>1658</v>
      </c>
      <c r="R1057" s="1">
        <v>0</v>
      </c>
      <c r="S1057" s="1" t="s">
        <v>6420</v>
      </c>
      <c r="T1057" s="6" t="s">
        <v>6420</v>
      </c>
      <c r="U1057" s="1" t="str">
        <f t="shared" si="16"/>
        <v>Yes</v>
      </c>
      <c r="W1057" s="1" t="s">
        <v>6421</v>
      </c>
      <c r="X1057" s="1" t="str">
        <f>IF(COUNTIF('MyWells Drilling Comp'!F:F,E1057)=0,"Missing","Exist")</f>
        <v>Exist</v>
      </c>
    </row>
    <row r="1058" hidden="1" spans="1:24">
      <c r="A1058" s="1" t="s">
        <v>5265</v>
      </c>
      <c r="B1058" s="1" t="s">
        <v>90</v>
      </c>
      <c r="C1058" s="1" t="s">
        <v>6422</v>
      </c>
      <c r="D1058" s="1" t="s">
        <v>6423</v>
      </c>
      <c r="E1058" s="2" t="s">
        <v>724</v>
      </c>
      <c r="F1058" s="2" t="s">
        <v>6424</v>
      </c>
      <c r="G1058" s="1">
        <v>1</v>
      </c>
      <c r="H1058" s="1" t="s">
        <v>1656</v>
      </c>
      <c r="I1058" s="1" t="s">
        <v>1657</v>
      </c>
      <c r="J1058" s="1" t="s">
        <v>1658</v>
      </c>
      <c r="K1058" s="1" t="s">
        <v>1658</v>
      </c>
      <c r="L1058" s="1" t="s">
        <v>1658</v>
      </c>
      <c r="M1058" s="1" t="s">
        <v>1658</v>
      </c>
      <c r="N1058" s="1" t="s">
        <v>1658</v>
      </c>
      <c r="O1058" s="1" t="s">
        <v>1658</v>
      </c>
      <c r="P1058" s="1">
        <v>1</v>
      </c>
      <c r="Q1058" s="1" t="s">
        <v>1658</v>
      </c>
      <c r="R1058" s="1">
        <v>0</v>
      </c>
      <c r="S1058" s="1" t="s">
        <v>6425</v>
      </c>
      <c r="T1058" s="6" t="s">
        <v>6425</v>
      </c>
      <c r="U1058" s="1" t="str">
        <f t="shared" si="16"/>
        <v>Yes</v>
      </c>
      <c r="W1058" s="1" t="s">
        <v>6426</v>
      </c>
      <c r="X1058" s="1" t="str">
        <f>IF(COUNTIF('MyWells Drilling Comp'!F:F,E1058)=0,"Missing","Exist")</f>
        <v>Exist</v>
      </c>
    </row>
    <row r="1059" hidden="1" spans="1:24">
      <c r="A1059" s="1" t="s">
        <v>5265</v>
      </c>
      <c r="B1059" s="1" t="s">
        <v>90</v>
      </c>
      <c r="C1059" s="1" t="s">
        <v>6427</v>
      </c>
      <c r="D1059" s="1" t="s">
        <v>6423</v>
      </c>
      <c r="E1059" s="2" t="s">
        <v>724</v>
      </c>
      <c r="F1059" s="2" t="s">
        <v>6428</v>
      </c>
      <c r="G1059" s="1">
        <v>1</v>
      </c>
      <c r="H1059" s="1" t="s">
        <v>1663</v>
      </c>
      <c r="I1059" s="1" t="s">
        <v>1657</v>
      </c>
      <c r="J1059" s="1" t="s">
        <v>1658</v>
      </c>
      <c r="K1059" s="1" t="s">
        <v>1658</v>
      </c>
      <c r="L1059" s="1" t="s">
        <v>1658</v>
      </c>
      <c r="M1059" s="1" t="s">
        <v>1658</v>
      </c>
      <c r="N1059" s="1" t="s">
        <v>1658</v>
      </c>
      <c r="O1059" s="1" t="s">
        <v>1658</v>
      </c>
      <c r="P1059" s="1">
        <v>1</v>
      </c>
      <c r="Q1059" s="1" t="s">
        <v>1658</v>
      </c>
      <c r="R1059" s="1">
        <v>0</v>
      </c>
      <c r="S1059" s="1" t="s">
        <v>6429</v>
      </c>
      <c r="T1059" s="6" t="s">
        <v>6429</v>
      </c>
      <c r="U1059" s="1" t="str">
        <f t="shared" si="16"/>
        <v>Yes</v>
      </c>
      <c r="W1059" s="1" t="s">
        <v>6430</v>
      </c>
      <c r="X1059" s="1" t="str">
        <f>IF(COUNTIF('MyWells Drilling Comp'!F:F,E1059)=0,"Missing","Exist")</f>
        <v>Exist</v>
      </c>
    </row>
    <row r="1060" hidden="1" spans="1:24">
      <c r="A1060" s="1" t="s">
        <v>5265</v>
      </c>
      <c r="B1060" s="1" t="s">
        <v>90</v>
      </c>
      <c r="C1060" s="1" t="s">
        <v>6431</v>
      </c>
      <c r="D1060" s="1" t="s">
        <v>6432</v>
      </c>
      <c r="E1060" s="2" t="s">
        <v>1307</v>
      </c>
      <c r="F1060" s="2" t="s">
        <v>6433</v>
      </c>
      <c r="G1060" s="1">
        <v>1</v>
      </c>
      <c r="H1060" s="1" t="s">
        <v>1663</v>
      </c>
      <c r="I1060" s="1" t="s">
        <v>1657</v>
      </c>
      <c r="J1060" s="1" t="s">
        <v>1658</v>
      </c>
      <c r="K1060" s="1" t="s">
        <v>1658</v>
      </c>
      <c r="L1060" s="1" t="s">
        <v>1658</v>
      </c>
      <c r="M1060" s="1" t="s">
        <v>1658</v>
      </c>
      <c r="N1060" s="1" t="s">
        <v>1658</v>
      </c>
      <c r="O1060" s="1" t="s">
        <v>1658</v>
      </c>
      <c r="P1060" s="1">
        <v>1</v>
      </c>
      <c r="Q1060" s="1" t="s">
        <v>1658</v>
      </c>
      <c r="R1060" s="1">
        <v>0</v>
      </c>
      <c r="S1060" s="1" t="s">
        <v>2533</v>
      </c>
      <c r="T1060" s="6"/>
      <c r="U1060" s="1" t="str">
        <f t="shared" si="16"/>
        <v>No</v>
      </c>
      <c r="W1060" s="1" t="s">
        <v>6434</v>
      </c>
      <c r="X1060" s="1" t="str">
        <f>IF(COUNTIF('MyWells Drilling Comp'!F:F,E1060)=0,"Missing","Exist")</f>
        <v>Exist</v>
      </c>
    </row>
    <row r="1061" hidden="1" spans="1:24">
      <c r="A1061" s="1" t="s">
        <v>5265</v>
      </c>
      <c r="B1061" s="1" t="s">
        <v>90</v>
      </c>
      <c r="C1061" s="1" t="s">
        <v>6435</v>
      </c>
      <c r="D1061" s="1" t="s">
        <v>6432</v>
      </c>
      <c r="E1061" s="2" t="s">
        <v>1307</v>
      </c>
      <c r="F1061" s="2" t="s">
        <v>6436</v>
      </c>
      <c r="G1061" s="1">
        <v>1</v>
      </c>
      <c r="H1061" s="1" t="s">
        <v>1656</v>
      </c>
      <c r="I1061" s="1" t="s">
        <v>1657</v>
      </c>
      <c r="J1061" s="1" t="s">
        <v>1658</v>
      </c>
      <c r="K1061" s="1" t="s">
        <v>1658</v>
      </c>
      <c r="L1061" s="1" t="s">
        <v>1658</v>
      </c>
      <c r="M1061" s="1" t="s">
        <v>1658</v>
      </c>
      <c r="N1061" s="1" t="s">
        <v>1658</v>
      </c>
      <c r="O1061" s="1" t="s">
        <v>1658</v>
      </c>
      <c r="P1061" s="1">
        <v>1</v>
      </c>
      <c r="Q1061" s="1" t="s">
        <v>1658</v>
      </c>
      <c r="R1061" s="1">
        <v>0</v>
      </c>
      <c r="S1061" s="1" t="s">
        <v>2528</v>
      </c>
      <c r="T1061" s="6"/>
      <c r="U1061" s="1" t="str">
        <f t="shared" si="16"/>
        <v>No</v>
      </c>
      <c r="W1061" s="1" t="s">
        <v>6437</v>
      </c>
      <c r="X1061" s="1" t="str">
        <f>IF(COUNTIF('MyWells Drilling Comp'!F:F,E1061)=0,"Missing","Exist")</f>
        <v>Exist</v>
      </c>
    </row>
    <row r="1062" hidden="1" spans="1:24">
      <c r="A1062" s="1" t="s">
        <v>5265</v>
      </c>
      <c r="B1062" s="1" t="s">
        <v>90</v>
      </c>
      <c r="C1062" s="1" t="s">
        <v>6438</v>
      </c>
      <c r="D1062" s="1" t="s">
        <v>6439</v>
      </c>
      <c r="E1062" s="2" t="s">
        <v>462</v>
      </c>
      <c r="F1062" s="2" t="s">
        <v>6440</v>
      </c>
      <c r="G1062" s="1">
        <v>1</v>
      </c>
      <c r="H1062" s="1" t="s">
        <v>1663</v>
      </c>
      <c r="I1062" s="1" t="s">
        <v>1657</v>
      </c>
      <c r="J1062" s="1" t="s">
        <v>1658</v>
      </c>
      <c r="K1062" s="1" t="s">
        <v>1658</v>
      </c>
      <c r="L1062" s="1" t="s">
        <v>1658</v>
      </c>
      <c r="M1062" s="1" t="s">
        <v>1658</v>
      </c>
      <c r="N1062" s="1" t="s">
        <v>1658</v>
      </c>
      <c r="O1062" s="1" t="s">
        <v>1658</v>
      </c>
      <c r="P1062" s="1">
        <v>1</v>
      </c>
      <c r="Q1062" s="1" t="s">
        <v>1658</v>
      </c>
      <c r="R1062" s="1">
        <v>0</v>
      </c>
      <c r="S1062" s="1" t="s">
        <v>6441</v>
      </c>
      <c r="T1062" s="6" t="s">
        <v>6441</v>
      </c>
      <c r="U1062" s="1" t="str">
        <f t="shared" si="16"/>
        <v>Yes</v>
      </c>
      <c r="W1062" s="1" t="s">
        <v>6442</v>
      </c>
      <c r="X1062" s="1" t="str">
        <f>IF(COUNTIF('MyWells Drilling Comp'!F:F,E1062)=0,"Missing","Exist")</f>
        <v>Exist</v>
      </c>
    </row>
    <row r="1063" hidden="1" spans="1:24">
      <c r="A1063" s="1" t="s">
        <v>5265</v>
      </c>
      <c r="B1063" s="1" t="s">
        <v>90</v>
      </c>
      <c r="C1063" s="1" t="s">
        <v>6443</v>
      </c>
      <c r="D1063" s="1" t="s">
        <v>6439</v>
      </c>
      <c r="E1063" s="2" t="s">
        <v>462</v>
      </c>
      <c r="F1063" s="2" t="s">
        <v>6444</v>
      </c>
      <c r="G1063" s="1">
        <v>1</v>
      </c>
      <c r="H1063" s="1" t="s">
        <v>1656</v>
      </c>
      <c r="I1063" s="1" t="s">
        <v>1657</v>
      </c>
      <c r="J1063" s="1" t="s">
        <v>1658</v>
      </c>
      <c r="K1063" s="1" t="s">
        <v>1658</v>
      </c>
      <c r="L1063" s="1" t="s">
        <v>1658</v>
      </c>
      <c r="M1063" s="1" t="s">
        <v>1658</v>
      </c>
      <c r="N1063" s="1" t="s">
        <v>1658</v>
      </c>
      <c r="O1063" s="1" t="s">
        <v>1658</v>
      </c>
      <c r="P1063" s="1">
        <v>1</v>
      </c>
      <c r="Q1063" s="1" t="s">
        <v>1658</v>
      </c>
      <c r="R1063" s="1">
        <v>0</v>
      </c>
      <c r="S1063" s="1" t="s">
        <v>6445</v>
      </c>
      <c r="T1063" s="6" t="s">
        <v>6445</v>
      </c>
      <c r="U1063" s="1" t="str">
        <f t="shared" si="16"/>
        <v>Yes</v>
      </c>
      <c r="W1063" s="1" t="s">
        <v>6446</v>
      </c>
      <c r="X1063" s="1" t="str">
        <f>IF(COUNTIF('MyWells Drilling Comp'!F:F,E1063)=0,"Missing","Exist")</f>
        <v>Exist</v>
      </c>
    </row>
    <row r="1064" hidden="1" spans="1:24">
      <c r="A1064" s="1" t="s">
        <v>5265</v>
      </c>
      <c r="B1064" s="1" t="s">
        <v>90</v>
      </c>
      <c r="C1064" s="1" t="s">
        <v>6447</v>
      </c>
      <c r="D1064" s="1" t="s">
        <v>6448</v>
      </c>
      <c r="E1064" s="2" t="s">
        <v>567</v>
      </c>
      <c r="F1064" s="2" t="s">
        <v>6449</v>
      </c>
      <c r="G1064" s="1">
        <v>1</v>
      </c>
      <c r="H1064" s="1" t="s">
        <v>1663</v>
      </c>
      <c r="I1064" s="1" t="s">
        <v>1657</v>
      </c>
      <c r="J1064" s="1" t="s">
        <v>1658</v>
      </c>
      <c r="K1064" s="1" t="s">
        <v>1658</v>
      </c>
      <c r="L1064" s="1" t="s">
        <v>1658</v>
      </c>
      <c r="M1064" s="1" t="s">
        <v>1658</v>
      </c>
      <c r="N1064" s="1" t="s">
        <v>1658</v>
      </c>
      <c r="O1064" s="1" t="s">
        <v>1658</v>
      </c>
      <c r="P1064" s="1">
        <v>1</v>
      </c>
      <c r="Q1064" s="1" t="s">
        <v>1658</v>
      </c>
      <c r="R1064" s="1">
        <v>0</v>
      </c>
      <c r="S1064" s="1" t="s">
        <v>6450</v>
      </c>
      <c r="T1064" s="6" t="s">
        <v>6450</v>
      </c>
      <c r="U1064" s="1" t="str">
        <f t="shared" si="16"/>
        <v>Yes</v>
      </c>
      <c r="W1064" s="1" t="s">
        <v>6451</v>
      </c>
      <c r="X1064" s="1" t="str">
        <f>IF(COUNTIF('MyWells Drilling Comp'!F:F,E1064)=0,"Missing","Exist")</f>
        <v>Exist</v>
      </c>
    </row>
    <row r="1065" hidden="1" spans="1:24">
      <c r="A1065" s="1" t="s">
        <v>5265</v>
      </c>
      <c r="B1065" s="1" t="s">
        <v>90</v>
      </c>
      <c r="C1065" s="1" t="s">
        <v>6452</v>
      </c>
      <c r="D1065" s="1" t="s">
        <v>6448</v>
      </c>
      <c r="E1065" s="2" t="s">
        <v>567</v>
      </c>
      <c r="F1065" s="2" t="s">
        <v>6453</v>
      </c>
      <c r="G1065" s="1">
        <v>1</v>
      </c>
      <c r="H1065" s="1" t="s">
        <v>1656</v>
      </c>
      <c r="I1065" s="1" t="s">
        <v>1657</v>
      </c>
      <c r="J1065" s="1" t="s">
        <v>1658</v>
      </c>
      <c r="K1065" s="1" t="s">
        <v>1658</v>
      </c>
      <c r="L1065" s="1" t="s">
        <v>1658</v>
      </c>
      <c r="M1065" s="1" t="s">
        <v>1658</v>
      </c>
      <c r="N1065" s="1" t="s">
        <v>1658</v>
      </c>
      <c r="O1065" s="1" t="s">
        <v>1658</v>
      </c>
      <c r="P1065" s="1">
        <v>1</v>
      </c>
      <c r="Q1065" s="1" t="s">
        <v>1658</v>
      </c>
      <c r="R1065" s="1">
        <v>0</v>
      </c>
      <c r="S1065" s="1" t="s">
        <v>6454</v>
      </c>
      <c r="T1065" s="6" t="s">
        <v>6454</v>
      </c>
      <c r="U1065" s="1" t="str">
        <f t="shared" si="16"/>
        <v>Yes</v>
      </c>
      <c r="W1065" s="1" t="s">
        <v>6455</v>
      </c>
      <c r="X1065" s="1" t="str">
        <f>IF(COUNTIF('MyWells Drilling Comp'!F:F,E1065)=0,"Missing","Exist")</f>
        <v>Exist</v>
      </c>
    </row>
    <row r="1066" hidden="1" spans="1:24">
      <c r="A1066" s="1" t="s">
        <v>5265</v>
      </c>
      <c r="B1066" s="1" t="s">
        <v>90</v>
      </c>
      <c r="C1066" s="1" t="s">
        <v>6456</v>
      </c>
      <c r="D1066" s="1" t="s">
        <v>6457</v>
      </c>
      <c r="E1066" s="2" t="s">
        <v>940</v>
      </c>
      <c r="F1066" s="2" t="s">
        <v>6458</v>
      </c>
      <c r="G1066" s="1">
        <v>1</v>
      </c>
      <c r="H1066" s="1" t="s">
        <v>1656</v>
      </c>
      <c r="I1066" s="1" t="s">
        <v>1657</v>
      </c>
      <c r="J1066" s="1" t="s">
        <v>1658</v>
      </c>
      <c r="K1066" s="1" t="s">
        <v>1658</v>
      </c>
      <c r="L1066" s="1" t="s">
        <v>1658</v>
      </c>
      <c r="M1066" s="1" t="s">
        <v>1658</v>
      </c>
      <c r="N1066" s="1" t="s">
        <v>1658</v>
      </c>
      <c r="O1066" s="1" t="s">
        <v>1658</v>
      </c>
      <c r="P1066" s="1">
        <v>1</v>
      </c>
      <c r="Q1066" s="1" t="s">
        <v>1658</v>
      </c>
      <c r="R1066" s="1">
        <v>0</v>
      </c>
      <c r="S1066" s="1" t="s">
        <v>6459</v>
      </c>
      <c r="T1066" s="6" t="s">
        <v>6459</v>
      </c>
      <c r="U1066" s="1" t="str">
        <f t="shared" si="16"/>
        <v>Yes</v>
      </c>
      <c r="W1066" s="1" t="s">
        <v>6460</v>
      </c>
      <c r="X1066" s="1" t="str">
        <f>IF(COUNTIF('MyWells Drilling Comp'!F:F,E1066)=0,"Missing","Exist")</f>
        <v>Exist</v>
      </c>
    </row>
    <row r="1067" hidden="1" spans="1:24">
      <c r="A1067" s="1" t="s">
        <v>5265</v>
      </c>
      <c r="B1067" s="1" t="s">
        <v>90</v>
      </c>
      <c r="C1067" s="1" t="s">
        <v>6461</v>
      </c>
      <c r="D1067" s="1" t="s">
        <v>6457</v>
      </c>
      <c r="E1067" s="2" t="s">
        <v>940</v>
      </c>
      <c r="F1067" s="2" t="s">
        <v>6462</v>
      </c>
      <c r="G1067" s="1">
        <v>1</v>
      </c>
      <c r="H1067" s="1" t="s">
        <v>1663</v>
      </c>
      <c r="I1067" s="1" t="s">
        <v>1657</v>
      </c>
      <c r="J1067" s="1" t="s">
        <v>1658</v>
      </c>
      <c r="K1067" s="1" t="s">
        <v>1658</v>
      </c>
      <c r="L1067" s="1" t="s">
        <v>1658</v>
      </c>
      <c r="M1067" s="1" t="s">
        <v>1658</v>
      </c>
      <c r="N1067" s="1" t="s">
        <v>1658</v>
      </c>
      <c r="O1067" s="1" t="s">
        <v>1658</v>
      </c>
      <c r="P1067" s="1">
        <v>1</v>
      </c>
      <c r="Q1067" s="1" t="s">
        <v>1658</v>
      </c>
      <c r="R1067" s="1">
        <v>0</v>
      </c>
      <c r="S1067" s="1" t="s">
        <v>6463</v>
      </c>
      <c r="T1067" s="6" t="s">
        <v>6463</v>
      </c>
      <c r="U1067" s="1" t="str">
        <f t="shared" si="16"/>
        <v>Yes</v>
      </c>
      <c r="W1067" s="1" t="s">
        <v>6464</v>
      </c>
      <c r="X1067" s="1" t="str">
        <f>IF(COUNTIF('MyWells Drilling Comp'!F:F,E1067)=0,"Missing","Exist")</f>
        <v>Exist</v>
      </c>
    </row>
    <row r="1068" hidden="1" spans="1:24">
      <c r="A1068" s="1" t="s">
        <v>5265</v>
      </c>
      <c r="B1068" s="1" t="s">
        <v>90</v>
      </c>
      <c r="C1068" s="1" t="s">
        <v>6465</v>
      </c>
      <c r="D1068" s="1" t="s">
        <v>6466</v>
      </c>
      <c r="E1068" s="2" t="s">
        <v>1535</v>
      </c>
      <c r="F1068" s="2" t="s">
        <v>6467</v>
      </c>
      <c r="G1068" s="1">
        <v>1</v>
      </c>
      <c r="H1068" s="1" t="s">
        <v>1656</v>
      </c>
      <c r="I1068" s="1" t="s">
        <v>1657</v>
      </c>
      <c r="J1068" s="1" t="s">
        <v>1658</v>
      </c>
      <c r="K1068" s="1" t="s">
        <v>1658</v>
      </c>
      <c r="L1068" s="1" t="s">
        <v>1658</v>
      </c>
      <c r="M1068" s="1" t="s">
        <v>1658</v>
      </c>
      <c r="N1068" s="1" t="s">
        <v>1658</v>
      </c>
      <c r="O1068" s="1" t="s">
        <v>1658</v>
      </c>
      <c r="P1068" s="1">
        <v>1</v>
      </c>
      <c r="Q1068" s="1" t="s">
        <v>1658</v>
      </c>
      <c r="R1068" s="1">
        <v>0</v>
      </c>
      <c r="S1068" s="1" t="s">
        <v>6468</v>
      </c>
      <c r="T1068" s="6" t="s">
        <v>6468</v>
      </c>
      <c r="U1068" s="1" t="str">
        <f t="shared" si="16"/>
        <v>Yes</v>
      </c>
      <c r="W1068" s="1" t="s">
        <v>6469</v>
      </c>
      <c r="X1068" s="1" t="str">
        <f>IF(COUNTIF('MyWells Drilling Comp'!F:F,E1068)=0,"Missing","Exist")</f>
        <v>Exist</v>
      </c>
    </row>
    <row r="1069" hidden="1" spans="1:24">
      <c r="A1069" s="1" t="s">
        <v>5265</v>
      </c>
      <c r="B1069" s="1" t="s">
        <v>90</v>
      </c>
      <c r="C1069" s="1" t="s">
        <v>6470</v>
      </c>
      <c r="D1069" s="1" t="s">
        <v>6466</v>
      </c>
      <c r="E1069" s="2" t="s">
        <v>1535</v>
      </c>
      <c r="F1069" s="2" t="s">
        <v>6471</v>
      </c>
      <c r="G1069" s="1">
        <v>1</v>
      </c>
      <c r="H1069" s="1" t="s">
        <v>1663</v>
      </c>
      <c r="I1069" s="1" t="s">
        <v>1657</v>
      </c>
      <c r="J1069" s="1" t="s">
        <v>1658</v>
      </c>
      <c r="K1069" s="1" t="s">
        <v>1658</v>
      </c>
      <c r="L1069" s="1" t="s">
        <v>1658</v>
      </c>
      <c r="M1069" s="1" t="s">
        <v>1658</v>
      </c>
      <c r="N1069" s="1" t="s">
        <v>1658</v>
      </c>
      <c r="O1069" s="1" t="s">
        <v>1658</v>
      </c>
      <c r="P1069" s="1">
        <v>1</v>
      </c>
      <c r="Q1069" s="1" t="s">
        <v>1658</v>
      </c>
      <c r="R1069" s="1">
        <v>0</v>
      </c>
      <c r="S1069" s="1" t="s">
        <v>6472</v>
      </c>
      <c r="T1069" s="6" t="s">
        <v>6472</v>
      </c>
      <c r="U1069" s="1" t="str">
        <f t="shared" si="16"/>
        <v>Yes</v>
      </c>
      <c r="W1069" s="1" t="s">
        <v>6473</v>
      </c>
      <c r="X1069" s="1" t="str">
        <f>IF(COUNTIF('MyWells Drilling Comp'!F:F,E1069)=0,"Missing","Exist")</f>
        <v>Exist</v>
      </c>
    </row>
    <row r="1070" hidden="1" spans="1:24">
      <c r="A1070" s="1" t="s">
        <v>5265</v>
      </c>
      <c r="B1070" s="1" t="s">
        <v>90</v>
      </c>
      <c r="C1070" s="1" t="s">
        <v>6474</v>
      </c>
      <c r="D1070" s="1" t="s">
        <v>6475</v>
      </c>
      <c r="E1070" s="2" t="s">
        <v>815</v>
      </c>
      <c r="F1070" s="2" t="s">
        <v>6476</v>
      </c>
      <c r="G1070" s="1">
        <v>1</v>
      </c>
      <c r="H1070" s="1" t="s">
        <v>1663</v>
      </c>
      <c r="I1070" s="1" t="s">
        <v>1657</v>
      </c>
      <c r="J1070" s="1" t="s">
        <v>1658</v>
      </c>
      <c r="K1070" s="1" t="s">
        <v>1658</v>
      </c>
      <c r="L1070" s="1" t="s">
        <v>1658</v>
      </c>
      <c r="M1070" s="1" t="s">
        <v>1658</v>
      </c>
      <c r="N1070" s="1" t="s">
        <v>1658</v>
      </c>
      <c r="O1070" s="1" t="s">
        <v>1658</v>
      </c>
      <c r="P1070" s="1">
        <v>1</v>
      </c>
      <c r="Q1070" s="1" t="s">
        <v>1658</v>
      </c>
      <c r="R1070" s="1">
        <v>0</v>
      </c>
      <c r="S1070" s="1" t="s">
        <v>6477</v>
      </c>
      <c r="T1070" s="6" t="s">
        <v>6477</v>
      </c>
      <c r="U1070" s="1" t="str">
        <f t="shared" si="16"/>
        <v>Yes</v>
      </c>
      <c r="W1070" s="1" t="s">
        <v>6478</v>
      </c>
      <c r="X1070" s="1" t="str">
        <f>IF(COUNTIF('MyWells Drilling Comp'!F:F,E1070)=0,"Missing","Exist")</f>
        <v>Exist</v>
      </c>
    </row>
    <row r="1071" hidden="1" spans="1:24">
      <c r="A1071" s="1" t="s">
        <v>5265</v>
      </c>
      <c r="B1071" s="1" t="s">
        <v>90</v>
      </c>
      <c r="C1071" s="1" t="s">
        <v>6479</v>
      </c>
      <c r="D1071" s="1" t="s">
        <v>6475</v>
      </c>
      <c r="E1071" s="2" t="s">
        <v>815</v>
      </c>
      <c r="F1071" s="2" t="s">
        <v>6480</v>
      </c>
      <c r="G1071" s="1">
        <v>1</v>
      </c>
      <c r="H1071" s="1" t="s">
        <v>1656</v>
      </c>
      <c r="I1071" s="1" t="s">
        <v>1657</v>
      </c>
      <c r="J1071" s="1" t="s">
        <v>1658</v>
      </c>
      <c r="K1071" s="1" t="s">
        <v>1658</v>
      </c>
      <c r="L1071" s="1" t="s">
        <v>1658</v>
      </c>
      <c r="M1071" s="1" t="s">
        <v>1658</v>
      </c>
      <c r="N1071" s="1" t="s">
        <v>1658</v>
      </c>
      <c r="O1071" s="1" t="s">
        <v>1658</v>
      </c>
      <c r="P1071" s="1">
        <v>1</v>
      </c>
      <c r="Q1071" s="1" t="s">
        <v>1658</v>
      </c>
      <c r="R1071" s="1">
        <v>0</v>
      </c>
      <c r="S1071" s="1" t="s">
        <v>6481</v>
      </c>
      <c r="T1071" s="6" t="s">
        <v>6481</v>
      </c>
      <c r="U1071" s="1" t="str">
        <f t="shared" si="16"/>
        <v>Yes</v>
      </c>
      <c r="W1071" s="1" t="s">
        <v>6482</v>
      </c>
      <c r="X1071" s="1" t="str">
        <f>IF(COUNTIF('MyWells Drilling Comp'!F:F,E1071)=0,"Missing","Exist")</f>
        <v>Exist</v>
      </c>
    </row>
    <row r="1072" hidden="1" spans="1:24">
      <c r="A1072" s="1" t="s">
        <v>5265</v>
      </c>
      <c r="B1072" s="1" t="s">
        <v>90</v>
      </c>
      <c r="C1072" s="1" t="s">
        <v>6483</v>
      </c>
      <c r="D1072" s="1" t="s">
        <v>6484</v>
      </c>
      <c r="E1072" s="2" t="s">
        <v>1037</v>
      </c>
      <c r="F1072" s="2" t="s">
        <v>6485</v>
      </c>
      <c r="G1072" s="1">
        <v>1</v>
      </c>
      <c r="H1072" s="1" t="s">
        <v>1663</v>
      </c>
      <c r="I1072" s="1" t="s">
        <v>1657</v>
      </c>
      <c r="J1072" s="1" t="s">
        <v>1658</v>
      </c>
      <c r="K1072" s="1" t="s">
        <v>1658</v>
      </c>
      <c r="L1072" s="1" t="s">
        <v>1658</v>
      </c>
      <c r="M1072" s="1" t="s">
        <v>1658</v>
      </c>
      <c r="N1072" s="1" t="s">
        <v>1658</v>
      </c>
      <c r="O1072" s="1" t="s">
        <v>1658</v>
      </c>
      <c r="P1072" s="1">
        <v>1</v>
      </c>
      <c r="Q1072" s="1" t="s">
        <v>1658</v>
      </c>
      <c r="R1072" s="1">
        <v>0</v>
      </c>
      <c r="S1072" s="1" t="s">
        <v>6486</v>
      </c>
      <c r="T1072" s="6" t="s">
        <v>6486</v>
      </c>
      <c r="U1072" s="1" t="str">
        <f t="shared" si="16"/>
        <v>Yes</v>
      </c>
      <c r="W1072" s="1" t="s">
        <v>6487</v>
      </c>
      <c r="X1072" s="1" t="str">
        <f>IF(COUNTIF('MyWells Drilling Comp'!F:F,E1072)=0,"Missing","Exist")</f>
        <v>Exist</v>
      </c>
    </row>
    <row r="1073" hidden="1" spans="1:24">
      <c r="A1073" s="1" t="s">
        <v>5265</v>
      </c>
      <c r="B1073" s="1" t="s">
        <v>90</v>
      </c>
      <c r="C1073" s="1" t="s">
        <v>6488</v>
      </c>
      <c r="D1073" s="1" t="s">
        <v>6484</v>
      </c>
      <c r="E1073" s="2" t="s">
        <v>1037</v>
      </c>
      <c r="F1073" s="2" t="s">
        <v>6489</v>
      </c>
      <c r="G1073" s="1">
        <v>1</v>
      </c>
      <c r="H1073" s="1" t="s">
        <v>1656</v>
      </c>
      <c r="I1073" s="1" t="s">
        <v>1657</v>
      </c>
      <c r="J1073" s="1" t="s">
        <v>1658</v>
      </c>
      <c r="K1073" s="1" t="s">
        <v>1658</v>
      </c>
      <c r="L1073" s="1" t="s">
        <v>1658</v>
      </c>
      <c r="M1073" s="1" t="s">
        <v>1658</v>
      </c>
      <c r="N1073" s="1" t="s">
        <v>1658</v>
      </c>
      <c r="O1073" s="1" t="s">
        <v>1658</v>
      </c>
      <c r="P1073" s="1">
        <v>1</v>
      </c>
      <c r="Q1073" s="1" t="s">
        <v>1658</v>
      </c>
      <c r="R1073" s="1">
        <v>0</v>
      </c>
      <c r="S1073" s="1" t="s">
        <v>6490</v>
      </c>
      <c r="T1073" s="6"/>
      <c r="U1073" s="1" t="str">
        <f t="shared" si="16"/>
        <v>No</v>
      </c>
      <c r="W1073" s="1" t="s">
        <v>6491</v>
      </c>
      <c r="X1073" s="1" t="str">
        <f>IF(COUNTIF('MyWells Drilling Comp'!F:F,E1073)=0,"Missing","Exist")</f>
        <v>Exist</v>
      </c>
    </row>
    <row r="1074" hidden="1" spans="1:24">
      <c r="A1074" s="1" t="s">
        <v>5265</v>
      </c>
      <c r="B1074" s="1" t="s">
        <v>90</v>
      </c>
      <c r="C1074" s="1" t="s">
        <v>6492</v>
      </c>
      <c r="D1074" s="1" t="s">
        <v>6493</v>
      </c>
      <c r="E1074" s="2" t="s">
        <v>896</v>
      </c>
      <c r="F1074" s="2" t="s">
        <v>6494</v>
      </c>
      <c r="G1074" s="1">
        <v>1</v>
      </c>
      <c r="H1074" s="1" t="s">
        <v>1656</v>
      </c>
      <c r="I1074" s="1" t="s">
        <v>1657</v>
      </c>
      <c r="J1074" s="1" t="s">
        <v>1658</v>
      </c>
      <c r="K1074" s="1" t="s">
        <v>1658</v>
      </c>
      <c r="L1074" s="1" t="s">
        <v>1658</v>
      </c>
      <c r="M1074" s="1" t="s">
        <v>1658</v>
      </c>
      <c r="N1074" s="1" t="s">
        <v>1658</v>
      </c>
      <c r="O1074" s="1" t="s">
        <v>1658</v>
      </c>
      <c r="P1074" s="1">
        <v>1</v>
      </c>
      <c r="Q1074" s="1" t="s">
        <v>1658</v>
      </c>
      <c r="R1074" s="1">
        <v>0</v>
      </c>
      <c r="S1074" s="1" t="s">
        <v>6495</v>
      </c>
      <c r="T1074" s="6" t="s">
        <v>6495</v>
      </c>
      <c r="U1074" s="1" t="str">
        <f t="shared" si="16"/>
        <v>Yes</v>
      </c>
      <c r="W1074" s="1" t="s">
        <v>6496</v>
      </c>
      <c r="X1074" s="1" t="str">
        <f>IF(COUNTIF('MyWells Drilling Comp'!F:F,E1074)=0,"Missing","Exist")</f>
        <v>Exist</v>
      </c>
    </row>
    <row r="1075" hidden="1" spans="1:24">
      <c r="A1075" s="1" t="s">
        <v>5265</v>
      </c>
      <c r="B1075" s="1" t="s">
        <v>90</v>
      </c>
      <c r="C1075" s="1" t="s">
        <v>6497</v>
      </c>
      <c r="D1075" s="1" t="s">
        <v>6493</v>
      </c>
      <c r="E1075" s="2" t="s">
        <v>896</v>
      </c>
      <c r="F1075" s="2" t="s">
        <v>6498</v>
      </c>
      <c r="G1075" s="1">
        <v>1</v>
      </c>
      <c r="H1075" s="1" t="s">
        <v>1663</v>
      </c>
      <c r="I1075" s="1" t="s">
        <v>1657</v>
      </c>
      <c r="J1075" s="1" t="s">
        <v>1658</v>
      </c>
      <c r="K1075" s="1" t="s">
        <v>1658</v>
      </c>
      <c r="L1075" s="1" t="s">
        <v>1658</v>
      </c>
      <c r="M1075" s="1" t="s">
        <v>1658</v>
      </c>
      <c r="N1075" s="1" t="s">
        <v>1658</v>
      </c>
      <c r="O1075" s="1" t="s">
        <v>1658</v>
      </c>
      <c r="P1075" s="1">
        <v>1</v>
      </c>
      <c r="Q1075" s="1" t="s">
        <v>1658</v>
      </c>
      <c r="R1075" s="1">
        <v>0</v>
      </c>
      <c r="S1075" s="1" t="s">
        <v>6499</v>
      </c>
      <c r="T1075" s="6" t="s">
        <v>6499</v>
      </c>
      <c r="U1075" s="1" t="str">
        <f t="shared" si="16"/>
        <v>Yes</v>
      </c>
      <c r="W1075" s="1" t="s">
        <v>6500</v>
      </c>
      <c r="X1075" s="1" t="str">
        <f>IF(COUNTIF('MyWells Drilling Comp'!F:F,E1075)=0,"Missing","Exist")</f>
        <v>Exist</v>
      </c>
    </row>
    <row r="1076" hidden="1" spans="1:24">
      <c r="A1076" s="1" t="s">
        <v>5265</v>
      </c>
      <c r="B1076" s="1" t="s">
        <v>90</v>
      </c>
      <c r="C1076" s="1" t="s">
        <v>6501</v>
      </c>
      <c r="D1076" s="1" t="s">
        <v>6502</v>
      </c>
      <c r="E1076" s="2" t="s">
        <v>804</v>
      </c>
      <c r="F1076" s="2" t="s">
        <v>6503</v>
      </c>
      <c r="G1076" s="1">
        <v>1</v>
      </c>
      <c r="H1076" s="1" t="s">
        <v>1663</v>
      </c>
      <c r="I1076" s="1" t="s">
        <v>1657</v>
      </c>
      <c r="J1076" s="1" t="s">
        <v>1658</v>
      </c>
      <c r="K1076" s="1" t="s">
        <v>1658</v>
      </c>
      <c r="L1076" s="1" t="s">
        <v>1658</v>
      </c>
      <c r="M1076" s="1" t="s">
        <v>1658</v>
      </c>
      <c r="N1076" s="1" t="s">
        <v>1658</v>
      </c>
      <c r="O1076" s="1" t="s">
        <v>1658</v>
      </c>
      <c r="P1076" s="1">
        <v>1</v>
      </c>
      <c r="Q1076" s="1" t="s">
        <v>1658</v>
      </c>
      <c r="R1076" s="1">
        <v>0</v>
      </c>
      <c r="S1076" s="1" t="s">
        <v>6504</v>
      </c>
      <c r="T1076" s="6" t="s">
        <v>6504</v>
      </c>
      <c r="U1076" s="1" t="str">
        <f t="shared" si="16"/>
        <v>Yes</v>
      </c>
      <c r="W1076" s="1" t="s">
        <v>6505</v>
      </c>
      <c r="X1076" s="1" t="str">
        <f>IF(COUNTIF('MyWells Drilling Comp'!F:F,E1076)=0,"Missing","Exist")</f>
        <v>Exist</v>
      </c>
    </row>
    <row r="1077" hidden="1" spans="1:24">
      <c r="A1077" s="1" t="s">
        <v>5265</v>
      </c>
      <c r="B1077" s="1" t="s">
        <v>90</v>
      </c>
      <c r="C1077" s="1" t="s">
        <v>6506</v>
      </c>
      <c r="D1077" s="1" t="s">
        <v>6502</v>
      </c>
      <c r="E1077" s="2" t="s">
        <v>804</v>
      </c>
      <c r="F1077" s="2" t="s">
        <v>6507</v>
      </c>
      <c r="G1077" s="1">
        <v>1</v>
      </c>
      <c r="H1077" s="1" t="s">
        <v>1656</v>
      </c>
      <c r="I1077" s="1" t="s">
        <v>1657</v>
      </c>
      <c r="J1077" s="1" t="s">
        <v>1658</v>
      </c>
      <c r="K1077" s="1" t="s">
        <v>1658</v>
      </c>
      <c r="L1077" s="1" t="s">
        <v>1658</v>
      </c>
      <c r="M1077" s="1" t="s">
        <v>1658</v>
      </c>
      <c r="N1077" s="1" t="s">
        <v>1658</v>
      </c>
      <c r="O1077" s="1" t="s">
        <v>1658</v>
      </c>
      <c r="P1077" s="1">
        <v>1</v>
      </c>
      <c r="Q1077" s="1" t="s">
        <v>1658</v>
      </c>
      <c r="R1077" s="1">
        <v>0</v>
      </c>
      <c r="S1077" s="1" t="s">
        <v>6508</v>
      </c>
      <c r="T1077" s="6" t="s">
        <v>6508</v>
      </c>
      <c r="U1077" s="1" t="str">
        <f t="shared" si="16"/>
        <v>Yes</v>
      </c>
      <c r="W1077" s="1" t="s">
        <v>6509</v>
      </c>
      <c r="X1077" s="1" t="str">
        <f>IF(COUNTIF('MyWells Drilling Comp'!F:F,E1077)=0,"Missing","Exist")</f>
        <v>Exist</v>
      </c>
    </row>
    <row r="1078" hidden="1" spans="1:24">
      <c r="A1078" s="1" t="s">
        <v>5265</v>
      </c>
      <c r="B1078" s="1" t="s">
        <v>90</v>
      </c>
      <c r="C1078" s="1" t="s">
        <v>6510</v>
      </c>
      <c r="D1078" s="1" t="s">
        <v>6511</v>
      </c>
      <c r="E1078" s="2" t="s">
        <v>618</v>
      </c>
      <c r="F1078" s="2" t="s">
        <v>6512</v>
      </c>
      <c r="G1078" s="1">
        <v>1</v>
      </c>
      <c r="H1078" s="1" t="s">
        <v>1663</v>
      </c>
      <c r="I1078" s="1" t="s">
        <v>1657</v>
      </c>
      <c r="J1078" s="1" t="s">
        <v>1658</v>
      </c>
      <c r="K1078" s="1" t="s">
        <v>1658</v>
      </c>
      <c r="L1078" s="1" t="s">
        <v>1658</v>
      </c>
      <c r="M1078" s="1" t="s">
        <v>1658</v>
      </c>
      <c r="N1078" s="1" t="s">
        <v>1658</v>
      </c>
      <c r="O1078" s="1" t="s">
        <v>1658</v>
      </c>
      <c r="P1078" s="1">
        <v>1</v>
      </c>
      <c r="Q1078" s="1" t="s">
        <v>1658</v>
      </c>
      <c r="R1078" s="1">
        <v>0</v>
      </c>
      <c r="S1078" s="1" t="s">
        <v>6513</v>
      </c>
      <c r="T1078" s="6"/>
      <c r="U1078" s="1" t="str">
        <f t="shared" si="16"/>
        <v>No</v>
      </c>
      <c r="W1078" s="1" t="s">
        <v>6514</v>
      </c>
      <c r="X1078" s="1" t="str">
        <f>IF(COUNTIF('MyWells Drilling Comp'!F:F,E1078)=0,"Missing","Exist")</f>
        <v>Exist</v>
      </c>
    </row>
    <row r="1079" hidden="1" spans="1:24">
      <c r="A1079" s="1" t="s">
        <v>5265</v>
      </c>
      <c r="B1079" s="1" t="s">
        <v>90</v>
      </c>
      <c r="C1079" s="1" t="s">
        <v>6515</v>
      </c>
      <c r="D1079" s="1" t="s">
        <v>6511</v>
      </c>
      <c r="E1079" s="2" t="s">
        <v>618</v>
      </c>
      <c r="F1079" s="2" t="s">
        <v>6516</v>
      </c>
      <c r="G1079" s="1">
        <v>1</v>
      </c>
      <c r="H1079" s="1" t="s">
        <v>1656</v>
      </c>
      <c r="I1079" s="1" t="s">
        <v>1657</v>
      </c>
      <c r="J1079" s="1" t="s">
        <v>1658</v>
      </c>
      <c r="K1079" s="1" t="s">
        <v>1658</v>
      </c>
      <c r="L1079" s="1" t="s">
        <v>1658</v>
      </c>
      <c r="M1079" s="1" t="s">
        <v>1658</v>
      </c>
      <c r="N1079" s="1" t="s">
        <v>1658</v>
      </c>
      <c r="O1079" s="1" t="s">
        <v>1658</v>
      </c>
      <c r="P1079" s="1">
        <v>1</v>
      </c>
      <c r="Q1079" s="1" t="s">
        <v>1658</v>
      </c>
      <c r="R1079" s="1">
        <v>0</v>
      </c>
      <c r="S1079" s="1" t="s">
        <v>6517</v>
      </c>
      <c r="T1079" s="6"/>
      <c r="U1079" s="1" t="str">
        <f t="shared" si="16"/>
        <v>No</v>
      </c>
      <c r="W1079" s="1" t="s">
        <v>6518</v>
      </c>
      <c r="X1079" s="1" t="str">
        <f>IF(COUNTIF('MyWells Drilling Comp'!F:F,E1079)=0,"Missing","Exist")</f>
        <v>Exist</v>
      </c>
    </row>
    <row r="1080" hidden="1" spans="1:24">
      <c r="A1080" s="1" t="s">
        <v>5265</v>
      </c>
      <c r="B1080" s="1" t="s">
        <v>90</v>
      </c>
      <c r="C1080" s="1" t="s">
        <v>6519</v>
      </c>
      <c r="D1080" s="1" t="s">
        <v>6520</v>
      </c>
      <c r="E1080" s="2" t="s">
        <v>791</v>
      </c>
      <c r="F1080" s="2" t="s">
        <v>6521</v>
      </c>
      <c r="G1080" s="1">
        <v>1</v>
      </c>
      <c r="H1080" s="1" t="s">
        <v>1656</v>
      </c>
      <c r="I1080" s="1" t="s">
        <v>1657</v>
      </c>
      <c r="J1080" s="1" t="s">
        <v>1658</v>
      </c>
      <c r="K1080" s="1" t="s">
        <v>1658</v>
      </c>
      <c r="L1080" s="1" t="s">
        <v>1658</v>
      </c>
      <c r="M1080" s="1" t="s">
        <v>1658</v>
      </c>
      <c r="N1080" s="1" t="s">
        <v>1658</v>
      </c>
      <c r="O1080" s="1" t="s">
        <v>1658</v>
      </c>
      <c r="P1080" s="1">
        <v>1</v>
      </c>
      <c r="Q1080" s="1" t="s">
        <v>1658</v>
      </c>
      <c r="R1080" s="1">
        <v>0</v>
      </c>
      <c r="S1080" s="1" t="s">
        <v>6522</v>
      </c>
      <c r="T1080" s="6" t="s">
        <v>6522</v>
      </c>
      <c r="U1080" s="1" t="str">
        <f t="shared" si="16"/>
        <v>Yes</v>
      </c>
      <c r="W1080" s="1" t="s">
        <v>6523</v>
      </c>
      <c r="X1080" s="1" t="str">
        <f>IF(COUNTIF('MyWells Drilling Comp'!F:F,E1080)=0,"Missing","Exist")</f>
        <v>Exist</v>
      </c>
    </row>
    <row r="1081" hidden="1" spans="1:24">
      <c r="A1081" s="1" t="s">
        <v>5265</v>
      </c>
      <c r="B1081" s="1" t="s">
        <v>90</v>
      </c>
      <c r="C1081" s="1" t="s">
        <v>6524</v>
      </c>
      <c r="D1081" s="1" t="s">
        <v>6520</v>
      </c>
      <c r="E1081" s="2" t="s">
        <v>791</v>
      </c>
      <c r="F1081" s="2" t="s">
        <v>6525</v>
      </c>
      <c r="G1081" s="1">
        <v>1</v>
      </c>
      <c r="H1081" s="1" t="s">
        <v>1663</v>
      </c>
      <c r="I1081" s="1" t="s">
        <v>1657</v>
      </c>
      <c r="J1081" s="1" t="s">
        <v>1658</v>
      </c>
      <c r="K1081" s="1" t="s">
        <v>1658</v>
      </c>
      <c r="L1081" s="1" t="s">
        <v>1658</v>
      </c>
      <c r="M1081" s="1" t="s">
        <v>1658</v>
      </c>
      <c r="N1081" s="1" t="s">
        <v>1658</v>
      </c>
      <c r="O1081" s="1" t="s">
        <v>1658</v>
      </c>
      <c r="P1081" s="1">
        <v>1</v>
      </c>
      <c r="Q1081" s="1" t="s">
        <v>1658</v>
      </c>
      <c r="R1081" s="1">
        <v>0</v>
      </c>
      <c r="S1081" s="1" t="s">
        <v>6526</v>
      </c>
      <c r="T1081" s="6" t="s">
        <v>6526</v>
      </c>
      <c r="U1081" s="1" t="str">
        <f t="shared" si="16"/>
        <v>Yes</v>
      </c>
      <c r="W1081" s="1" t="s">
        <v>6527</v>
      </c>
      <c r="X1081" s="1" t="str">
        <f>IF(COUNTIF('MyWells Drilling Comp'!F:F,E1081)=0,"Missing","Exist")</f>
        <v>Exist</v>
      </c>
    </row>
    <row r="1082" hidden="1" spans="1:24">
      <c r="A1082" s="1" t="s">
        <v>5265</v>
      </c>
      <c r="B1082" s="1" t="s">
        <v>90</v>
      </c>
      <c r="C1082" s="1" t="s">
        <v>6528</v>
      </c>
      <c r="D1082" s="1" t="s">
        <v>6529</v>
      </c>
      <c r="E1082" s="2" t="s">
        <v>829</v>
      </c>
      <c r="F1082" s="2" t="s">
        <v>6530</v>
      </c>
      <c r="G1082" s="1">
        <v>1</v>
      </c>
      <c r="H1082" s="1" t="s">
        <v>1656</v>
      </c>
      <c r="I1082" s="1" t="s">
        <v>1657</v>
      </c>
      <c r="J1082" s="1" t="s">
        <v>1658</v>
      </c>
      <c r="K1082" s="1" t="s">
        <v>1658</v>
      </c>
      <c r="L1082" s="1" t="s">
        <v>1658</v>
      </c>
      <c r="M1082" s="1" t="s">
        <v>1658</v>
      </c>
      <c r="N1082" s="1" t="s">
        <v>1658</v>
      </c>
      <c r="O1082" s="1" t="s">
        <v>1658</v>
      </c>
      <c r="P1082" s="1">
        <v>1</v>
      </c>
      <c r="Q1082" s="1" t="s">
        <v>1658</v>
      </c>
      <c r="R1082" s="1">
        <v>0</v>
      </c>
      <c r="S1082" s="1" t="s">
        <v>6531</v>
      </c>
      <c r="T1082" s="6" t="s">
        <v>6531</v>
      </c>
      <c r="U1082" s="1" t="str">
        <f t="shared" si="16"/>
        <v>Yes</v>
      </c>
      <c r="W1082" s="1" t="s">
        <v>6532</v>
      </c>
      <c r="X1082" s="1" t="str">
        <f>IF(COUNTIF('MyWells Drilling Comp'!F:F,E1082)=0,"Missing","Exist")</f>
        <v>Exist</v>
      </c>
    </row>
    <row r="1083" hidden="1" spans="1:24">
      <c r="A1083" s="1" t="s">
        <v>5265</v>
      </c>
      <c r="B1083" s="1" t="s">
        <v>90</v>
      </c>
      <c r="C1083" s="1" t="s">
        <v>6533</v>
      </c>
      <c r="D1083" s="1" t="s">
        <v>6529</v>
      </c>
      <c r="E1083" s="2" t="s">
        <v>829</v>
      </c>
      <c r="F1083" s="2" t="s">
        <v>6534</v>
      </c>
      <c r="G1083" s="1">
        <v>1</v>
      </c>
      <c r="H1083" s="1" t="s">
        <v>1663</v>
      </c>
      <c r="I1083" s="1" t="s">
        <v>1657</v>
      </c>
      <c r="J1083" s="1" t="s">
        <v>1658</v>
      </c>
      <c r="K1083" s="1" t="s">
        <v>1658</v>
      </c>
      <c r="L1083" s="1" t="s">
        <v>1658</v>
      </c>
      <c r="M1083" s="1" t="s">
        <v>1658</v>
      </c>
      <c r="N1083" s="1" t="s">
        <v>1658</v>
      </c>
      <c r="O1083" s="1" t="s">
        <v>1658</v>
      </c>
      <c r="P1083" s="1">
        <v>1</v>
      </c>
      <c r="Q1083" s="1" t="s">
        <v>1658</v>
      </c>
      <c r="R1083" s="1">
        <v>0</v>
      </c>
      <c r="S1083" s="1" t="s">
        <v>6535</v>
      </c>
      <c r="T1083" s="6" t="s">
        <v>6535</v>
      </c>
      <c r="U1083" s="1" t="str">
        <f t="shared" si="16"/>
        <v>Yes</v>
      </c>
      <c r="W1083" s="1" t="s">
        <v>6536</v>
      </c>
      <c r="X1083" s="1" t="str">
        <f>IF(COUNTIF('MyWells Drilling Comp'!F:F,E1083)=0,"Missing","Exist")</f>
        <v>Exist</v>
      </c>
    </row>
    <row r="1084" hidden="1" spans="1:24">
      <c r="A1084" s="1" t="s">
        <v>5265</v>
      </c>
      <c r="B1084" s="1" t="s">
        <v>90</v>
      </c>
      <c r="C1084" s="1" t="s">
        <v>6537</v>
      </c>
      <c r="D1084" s="1" t="s">
        <v>6538</v>
      </c>
      <c r="E1084" s="2" t="s">
        <v>636</v>
      </c>
      <c r="F1084" s="2" t="s">
        <v>6539</v>
      </c>
      <c r="G1084" s="1">
        <v>1</v>
      </c>
      <c r="H1084" s="1" t="s">
        <v>1656</v>
      </c>
      <c r="I1084" s="1" t="s">
        <v>1657</v>
      </c>
      <c r="J1084" s="1" t="s">
        <v>1658</v>
      </c>
      <c r="K1084" s="1" t="s">
        <v>1658</v>
      </c>
      <c r="L1084" s="1" t="s">
        <v>1658</v>
      </c>
      <c r="M1084" s="1" t="s">
        <v>1658</v>
      </c>
      <c r="N1084" s="1" t="s">
        <v>1658</v>
      </c>
      <c r="O1084" s="1" t="s">
        <v>1658</v>
      </c>
      <c r="P1084" s="1">
        <v>1</v>
      </c>
      <c r="Q1084" s="1" t="s">
        <v>1658</v>
      </c>
      <c r="R1084" s="1">
        <v>0</v>
      </c>
      <c r="S1084" s="1" t="s">
        <v>6540</v>
      </c>
      <c r="T1084" s="6" t="s">
        <v>6540</v>
      </c>
      <c r="U1084" s="1" t="str">
        <f t="shared" si="16"/>
        <v>Yes</v>
      </c>
      <c r="W1084" s="1" t="s">
        <v>6541</v>
      </c>
      <c r="X1084" s="1" t="str">
        <f>IF(COUNTIF('MyWells Drilling Comp'!F:F,E1084)=0,"Missing","Exist")</f>
        <v>Exist</v>
      </c>
    </row>
    <row r="1085" hidden="1" spans="1:24">
      <c r="A1085" s="1" t="s">
        <v>5265</v>
      </c>
      <c r="B1085" s="1" t="s">
        <v>90</v>
      </c>
      <c r="C1085" s="1" t="s">
        <v>6542</v>
      </c>
      <c r="D1085" s="1" t="s">
        <v>6538</v>
      </c>
      <c r="E1085" s="2" t="s">
        <v>636</v>
      </c>
      <c r="F1085" s="2" t="s">
        <v>6543</v>
      </c>
      <c r="G1085" s="1">
        <v>1</v>
      </c>
      <c r="H1085" s="1" t="s">
        <v>1663</v>
      </c>
      <c r="I1085" s="1" t="s">
        <v>1657</v>
      </c>
      <c r="J1085" s="1" t="s">
        <v>1658</v>
      </c>
      <c r="K1085" s="1" t="s">
        <v>1658</v>
      </c>
      <c r="L1085" s="1" t="s">
        <v>1658</v>
      </c>
      <c r="M1085" s="1" t="s">
        <v>1658</v>
      </c>
      <c r="N1085" s="1" t="s">
        <v>1658</v>
      </c>
      <c r="O1085" s="1" t="s">
        <v>1658</v>
      </c>
      <c r="P1085" s="1">
        <v>1</v>
      </c>
      <c r="Q1085" s="1" t="s">
        <v>1658</v>
      </c>
      <c r="R1085" s="1">
        <v>0</v>
      </c>
      <c r="S1085" s="1" t="s">
        <v>6544</v>
      </c>
      <c r="T1085" s="6" t="s">
        <v>6544</v>
      </c>
      <c r="U1085" s="1" t="str">
        <f t="shared" si="16"/>
        <v>Yes</v>
      </c>
      <c r="W1085" s="1" t="s">
        <v>6545</v>
      </c>
      <c r="X1085" s="1" t="str">
        <f>IF(COUNTIF('MyWells Drilling Comp'!F:F,E1085)=0,"Missing","Exist")</f>
        <v>Exist</v>
      </c>
    </row>
    <row r="1086" hidden="1" spans="1:24">
      <c r="A1086" s="1" t="s">
        <v>5265</v>
      </c>
      <c r="B1086" s="1" t="s">
        <v>90</v>
      </c>
      <c r="C1086" s="1" t="s">
        <v>6546</v>
      </c>
      <c r="D1086" s="1" t="s">
        <v>6547</v>
      </c>
      <c r="E1086" s="2" t="s">
        <v>605</v>
      </c>
      <c r="F1086" s="2" t="s">
        <v>6548</v>
      </c>
      <c r="G1086" s="1">
        <v>1</v>
      </c>
      <c r="H1086" s="1" t="s">
        <v>1656</v>
      </c>
      <c r="I1086" s="1" t="s">
        <v>1657</v>
      </c>
      <c r="J1086" s="1" t="s">
        <v>1658</v>
      </c>
      <c r="K1086" s="1" t="s">
        <v>1658</v>
      </c>
      <c r="L1086" s="1" t="s">
        <v>1658</v>
      </c>
      <c r="M1086" s="1" t="s">
        <v>1658</v>
      </c>
      <c r="N1086" s="1" t="s">
        <v>1658</v>
      </c>
      <c r="O1086" s="1" t="s">
        <v>1658</v>
      </c>
      <c r="P1086" s="1">
        <v>1</v>
      </c>
      <c r="Q1086" s="1" t="s">
        <v>1658</v>
      </c>
      <c r="R1086" s="1">
        <v>0</v>
      </c>
      <c r="S1086" s="1" t="s">
        <v>6549</v>
      </c>
      <c r="T1086" s="6" t="s">
        <v>6549</v>
      </c>
      <c r="U1086" s="1" t="str">
        <f t="shared" si="16"/>
        <v>Yes</v>
      </c>
      <c r="W1086" s="1" t="s">
        <v>6550</v>
      </c>
      <c r="X1086" s="1" t="str">
        <f>IF(COUNTIF('MyWells Drilling Comp'!F:F,E1086)=0,"Missing","Exist")</f>
        <v>Exist</v>
      </c>
    </row>
    <row r="1087" hidden="1" spans="1:24">
      <c r="A1087" s="1" t="s">
        <v>5265</v>
      </c>
      <c r="B1087" s="1" t="s">
        <v>90</v>
      </c>
      <c r="C1087" s="1" t="s">
        <v>6551</v>
      </c>
      <c r="D1087" s="1" t="s">
        <v>6547</v>
      </c>
      <c r="E1087" s="2" t="s">
        <v>605</v>
      </c>
      <c r="F1087" s="2" t="s">
        <v>6552</v>
      </c>
      <c r="G1087" s="1">
        <v>1</v>
      </c>
      <c r="H1087" s="1" t="s">
        <v>1663</v>
      </c>
      <c r="I1087" s="1" t="s">
        <v>1657</v>
      </c>
      <c r="J1087" s="1" t="s">
        <v>1658</v>
      </c>
      <c r="K1087" s="1" t="s">
        <v>1658</v>
      </c>
      <c r="L1087" s="1" t="s">
        <v>1658</v>
      </c>
      <c r="M1087" s="1" t="s">
        <v>1658</v>
      </c>
      <c r="N1087" s="1" t="s">
        <v>1658</v>
      </c>
      <c r="O1087" s="1" t="s">
        <v>1658</v>
      </c>
      <c r="P1087" s="1">
        <v>1</v>
      </c>
      <c r="Q1087" s="1" t="s">
        <v>1658</v>
      </c>
      <c r="R1087" s="1">
        <v>0</v>
      </c>
      <c r="S1087" s="1" t="s">
        <v>6553</v>
      </c>
      <c r="T1087" s="6" t="s">
        <v>6553</v>
      </c>
      <c r="U1087" s="1" t="str">
        <f t="shared" si="16"/>
        <v>Yes</v>
      </c>
      <c r="W1087" s="1" t="s">
        <v>6554</v>
      </c>
      <c r="X1087" s="1" t="str">
        <f>IF(COUNTIF('MyWells Drilling Comp'!F:F,E1087)=0,"Missing","Exist")</f>
        <v>Exist</v>
      </c>
    </row>
    <row r="1088" hidden="1" spans="1:24">
      <c r="A1088" s="1" t="s">
        <v>5265</v>
      </c>
      <c r="B1088" s="1" t="s">
        <v>90</v>
      </c>
      <c r="C1088" s="1" t="s">
        <v>6555</v>
      </c>
      <c r="D1088" s="1" t="s">
        <v>6556</v>
      </c>
      <c r="E1088" s="2" t="s">
        <v>1163</v>
      </c>
      <c r="F1088" s="2" t="s">
        <v>6557</v>
      </c>
      <c r="G1088" s="1">
        <v>1</v>
      </c>
      <c r="H1088" s="1" t="s">
        <v>1663</v>
      </c>
      <c r="I1088" s="1" t="s">
        <v>1657</v>
      </c>
      <c r="J1088" s="1" t="s">
        <v>1658</v>
      </c>
      <c r="K1088" s="1" t="s">
        <v>1658</v>
      </c>
      <c r="L1088" s="1" t="s">
        <v>1658</v>
      </c>
      <c r="M1088" s="1" t="s">
        <v>1658</v>
      </c>
      <c r="N1088" s="1" t="s">
        <v>1658</v>
      </c>
      <c r="O1088" s="1" t="s">
        <v>1658</v>
      </c>
      <c r="P1088" s="1">
        <v>1</v>
      </c>
      <c r="Q1088" s="1" t="s">
        <v>1658</v>
      </c>
      <c r="R1088" s="1">
        <v>0</v>
      </c>
      <c r="S1088" s="1" t="s">
        <v>6558</v>
      </c>
      <c r="T1088" s="6" t="s">
        <v>6558</v>
      </c>
      <c r="U1088" s="1" t="str">
        <f t="shared" si="16"/>
        <v>Yes</v>
      </c>
      <c r="W1088" s="1" t="s">
        <v>6559</v>
      </c>
      <c r="X1088" s="1" t="str">
        <f>IF(COUNTIF('MyWells Drilling Comp'!F:F,E1088)=0,"Missing","Exist")</f>
        <v>Exist</v>
      </c>
    </row>
    <row r="1089" hidden="1" spans="1:24">
      <c r="A1089" s="1" t="s">
        <v>5265</v>
      </c>
      <c r="B1089" s="1" t="s">
        <v>90</v>
      </c>
      <c r="C1089" s="1" t="s">
        <v>6560</v>
      </c>
      <c r="D1089" s="1" t="s">
        <v>6556</v>
      </c>
      <c r="E1089" s="2" t="s">
        <v>1163</v>
      </c>
      <c r="F1089" s="2" t="s">
        <v>6561</v>
      </c>
      <c r="G1089" s="1">
        <v>1</v>
      </c>
      <c r="H1089" s="1" t="s">
        <v>1656</v>
      </c>
      <c r="I1089" s="1" t="s">
        <v>1657</v>
      </c>
      <c r="J1089" s="1" t="s">
        <v>1658</v>
      </c>
      <c r="K1089" s="1" t="s">
        <v>1658</v>
      </c>
      <c r="L1089" s="1" t="s">
        <v>1658</v>
      </c>
      <c r="M1089" s="1" t="s">
        <v>1658</v>
      </c>
      <c r="N1089" s="1" t="s">
        <v>1658</v>
      </c>
      <c r="O1089" s="1" t="s">
        <v>1658</v>
      </c>
      <c r="P1089" s="1">
        <v>1</v>
      </c>
      <c r="Q1089" s="1" t="s">
        <v>1658</v>
      </c>
      <c r="R1089" s="1">
        <v>0</v>
      </c>
      <c r="S1089" s="1" t="s">
        <v>6562</v>
      </c>
      <c r="T1089" s="6" t="s">
        <v>6562</v>
      </c>
      <c r="U1089" s="1" t="str">
        <f t="shared" si="16"/>
        <v>Yes</v>
      </c>
      <c r="W1089" s="1" t="s">
        <v>6563</v>
      </c>
      <c r="X1089" s="1" t="str">
        <f>IF(COUNTIF('MyWells Drilling Comp'!F:F,E1089)=0,"Missing","Exist")</f>
        <v>Exist</v>
      </c>
    </row>
    <row r="1090" hidden="1" spans="1:24">
      <c r="A1090" s="1" t="s">
        <v>5265</v>
      </c>
      <c r="B1090" s="1" t="s">
        <v>90</v>
      </c>
      <c r="C1090" s="1" t="s">
        <v>6564</v>
      </c>
      <c r="D1090" s="1" t="s">
        <v>6565</v>
      </c>
      <c r="E1090" s="2" t="s">
        <v>80</v>
      </c>
      <c r="F1090" s="2" t="s">
        <v>6566</v>
      </c>
      <c r="G1090" s="1">
        <v>1</v>
      </c>
      <c r="H1090" s="1" t="s">
        <v>1656</v>
      </c>
      <c r="I1090" s="1" t="s">
        <v>1657</v>
      </c>
      <c r="J1090" s="1" t="s">
        <v>1658</v>
      </c>
      <c r="K1090" s="1" t="s">
        <v>1658</v>
      </c>
      <c r="L1090" s="1" t="s">
        <v>1658</v>
      </c>
      <c r="M1090" s="1" t="s">
        <v>1658</v>
      </c>
      <c r="N1090" s="1" t="s">
        <v>1658</v>
      </c>
      <c r="O1090" s="1" t="s">
        <v>1658</v>
      </c>
      <c r="P1090" s="1">
        <v>1</v>
      </c>
      <c r="Q1090" s="1" t="s">
        <v>1658</v>
      </c>
      <c r="R1090" s="1">
        <v>0</v>
      </c>
      <c r="S1090" s="1" t="s">
        <v>6567</v>
      </c>
      <c r="T1090" s="6" t="s">
        <v>6567</v>
      </c>
      <c r="U1090" s="1" t="str">
        <f t="shared" ref="U1090:U1153" si="17">IF(S1090=T1090,"Yes","No")</f>
        <v>Yes</v>
      </c>
      <c r="W1090" s="1" t="s">
        <v>6568</v>
      </c>
      <c r="X1090" s="1" t="str">
        <f>IF(COUNTIF('MyWells Drilling Comp'!F:F,E1090)=0,"Missing","Exist")</f>
        <v>Exist</v>
      </c>
    </row>
    <row r="1091" hidden="1" spans="1:24">
      <c r="A1091" s="1" t="s">
        <v>5265</v>
      </c>
      <c r="B1091" s="1" t="s">
        <v>90</v>
      </c>
      <c r="C1091" s="1" t="s">
        <v>6569</v>
      </c>
      <c r="D1091" s="1" t="s">
        <v>6565</v>
      </c>
      <c r="E1091" s="2" t="s">
        <v>80</v>
      </c>
      <c r="F1091" s="8" t="s">
        <v>6570</v>
      </c>
      <c r="G1091" s="1">
        <v>1</v>
      </c>
      <c r="H1091" s="1" t="s">
        <v>1663</v>
      </c>
      <c r="I1091" s="1" t="s">
        <v>1657</v>
      </c>
      <c r="J1091" s="1" t="s">
        <v>1658</v>
      </c>
      <c r="K1091" s="1" t="s">
        <v>1658</v>
      </c>
      <c r="L1091" s="1" t="s">
        <v>1658</v>
      </c>
      <c r="M1091" s="1" t="s">
        <v>1658</v>
      </c>
      <c r="N1091" s="1" t="s">
        <v>1658</v>
      </c>
      <c r="O1091" s="1" t="s">
        <v>1658</v>
      </c>
      <c r="P1091" s="1">
        <v>1</v>
      </c>
      <c r="Q1091" s="1" t="s">
        <v>1658</v>
      </c>
      <c r="R1091" s="1">
        <v>0</v>
      </c>
      <c r="S1091" s="1" t="s">
        <v>6571</v>
      </c>
      <c r="T1091" s="6" t="s">
        <v>6571</v>
      </c>
      <c r="U1091" s="1" t="str">
        <f t="shared" si="17"/>
        <v>Yes</v>
      </c>
      <c r="W1091" s="1" t="s">
        <v>6572</v>
      </c>
      <c r="X1091" s="1" t="str">
        <f>IF(COUNTIF('MyWells Drilling Comp'!F:F,E1091)=0,"Missing","Exist")</f>
        <v>Exist</v>
      </c>
    </row>
    <row r="1092" hidden="1" spans="1:24">
      <c r="A1092" s="1" t="s">
        <v>5265</v>
      </c>
      <c r="B1092" s="1" t="s">
        <v>90</v>
      </c>
      <c r="C1092" s="1" t="s">
        <v>6573</v>
      </c>
      <c r="D1092" s="1" t="s">
        <v>6574</v>
      </c>
      <c r="E1092" s="2" t="s">
        <v>1565</v>
      </c>
      <c r="F1092" s="2" t="s">
        <v>6575</v>
      </c>
      <c r="G1092" s="1">
        <v>1</v>
      </c>
      <c r="H1092" s="1" t="s">
        <v>1656</v>
      </c>
      <c r="I1092" s="1" t="s">
        <v>1657</v>
      </c>
      <c r="J1092" s="1" t="s">
        <v>1658</v>
      </c>
      <c r="K1092" s="1" t="s">
        <v>1658</v>
      </c>
      <c r="L1092" s="1" t="s">
        <v>1658</v>
      </c>
      <c r="M1092" s="1" t="s">
        <v>1658</v>
      </c>
      <c r="N1092" s="1" t="s">
        <v>1658</v>
      </c>
      <c r="O1092" s="1" t="s">
        <v>1658</v>
      </c>
      <c r="P1092" s="1">
        <v>1</v>
      </c>
      <c r="Q1092" s="1" t="s">
        <v>1658</v>
      </c>
      <c r="R1092" s="1">
        <v>0</v>
      </c>
      <c r="S1092" s="1" t="s">
        <v>6576</v>
      </c>
      <c r="T1092" s="6" t="s">
        <v>6576</v>
      </c>
      <c r="U1092" s="1" t="str">
        <f t="shared" si="17"/>
        <v>Yes</v>
      </c>
      <c r="W1092" s="1" t="s">
        <v>6577</v>
      </c>
      <c r="X1092" s="1" t="str">
        <f>IF(COUNTIF('MyWells Drilling Comp'!F:F,E1092)=0,"Missing","Exist")</f>
        <v>Exist</v>
      </c>
    </row>
    <row r="1093" hidden="1" spans="1:24">
      <c r="A1093" s="1" t="s">
        <v>5265</v>
      </c>
      <c r="B1093" s="1" t="s">
        <v>90</v>
      </c>
      <c r="C1093" s="1" t="s">
        <v>6578</v>
      </c>
      <c r="D1093" s="1" t="s">
        <v>6574</v>
      </c>
      <c r="E1093" s="2" t="s">
        <v>1565</v>
      </c>
      <c r="F1093" s="2" t="s">
        <v>6579</v>
      </c>
      <c r="G1093" s="1">
        <v>1</v>
      </c>
      <c r="H1093" s="1" t="s">
        <v>1663</v>
      </c>
      <c r="I1093" s="1" t="s">
        <v>1657</v>
      </c>
      <c r="J1093" s="1" t="s">
        <v>1658</v>
      </c>
      <c r="K1093" s="1" t="s">
        <v>1658</v>
      </c>
      <c r="L1093" s="1" t="s">
        <v>1658</v>
      </c>
      <c r="M1093" s="1" t="s">
        <v>1658</v>
      </c>
      <c r="N1093" s="1" t="s">
        <v>1658</v>
      </c>
      <c r="O1093" s="1" t="s">
        <v>1658</v>
      </c>
      <c r="P1093" s="1">
        <v>1</v>
      </c>
      <c r="Q1093" s="1" t="s">
        <v>1658</v>
      </c>
      <c r="R1093" s="1">
        <v>0</v>
      </c>
      <c r="S1093" s="1" t="s">
        <v>6580</v>
      </c>
      <c r="T1093" s="6" t="s">
        <v>6580</v>
      </c>
      <c r="U1093" s="1" t="str">
        <f t="shared" si="17"/>
        <v>Yes</v>
      </c>
      <c r="W1093" s="1" t="s">
        <v>6581</v>
      </c>
      <c r="X1093" s="1" t="str">
        <f>IF(COUNTIF('MyWells Drilling Comp'!F:F,E1093)=0,"Missing","Exist")</f>
        <v>Exist</v>
      </c>
    </row>
    <row r="1094" hidden="1" spans="1:24">
      <c r="A1094" s="1" t="s">
        <v>5265</v>
      </c>
      <c r="B1094" s="1" t="s">
        <v>90</v>
      </c>
      <c r="C1094" s="1" t="s">
        <v>6582</v>
      </c>
      <c r="D1094" s="1" t="s">
        <v>6583</v>
      </c>
      <c r="E1094" s="2" t="s">
        <v>197</v>
      </c>
      <c r="F1094" s="2" t="s">
        <v>6584</v>
      </c>
      <c r="G1094" s="1">
        <v>1</v>
      </c>
      <c r="H1094" s="1" t="s">
        <v>1656</v>
      </c>
      <c r="I1094" s="1" t="s">
        <v>1657</v>
      </c>
      <c r="J1094" s="1" t="s">
        <v>1658</v>
      </c>
      <c r="K1094" s="1" t="s">
        <v>1658</v>
      </c>
      <c r="L1094" s="1" t="s">
        <v>1658</v>
      </c>
      <c r="M1094" s="1" t="s">
        <v>1658</v>
      </c>
      <c r="N1094" s="1" t="s">
        <v>1658</v>
      </c>
      <c r="O1094" s="1" t="s">
        <v>1658</v>
      </c>
      <c r="P1094" s="1">
        <v>1</v>
      </c>
      <c r="Q1094" s="1" t="s">
        <v>1658</v>
      </c>
      <c r="R1094" s="1">
        <v>0</v>
      </c>
      <c r="S1094" s="1" t="s">
        <v>6585</v>
      </c>
      <c r="T1094" s="6"/>
      <c r="U1094" s="1" t="str">
        <f t="shared" si="17"/>
        <v>No</v>
      </c>
      <c r="W1094" s="1" t="s">
        <v>6586</v>
      </c>
      <c r="X1094" s="1" t="str">
        <f>IF(COUNTIF('MyWells Drilling Comp'!F:F,E1094)=0,"Missing","Exist")</f>
        <v>Exist</v>
      </c>
    </row>
    <row r="1095" hidden="1" spans="1:24">
      <c r="A1095" s="1" t="s">
        <v>5265</v>
      </c>
      <c r="B1095" s="1" t="s">
        <v>90</v>
      </c>
      <c r="C1095" s="1" t="s">
        <v>6587</v>
      </c>
      <c r="D1095" s="1" t="s">
        <v>6583</v>
      </c>
      <c r="E1095" s="2" t="s">
        <v>197</v>
      </c>
      <c r="F1095" s="2" t="s">
        <v>6588</v>
      </c>
      <c r="G1095" s="1">
        <v>1</v>
      </c>
      <c r="H1095" s="1" t="s">
        <v>1663</v>
      </c>
      <c r="I1095" s="1" t="s">
        <v>1657</v>
      </c>
      <c r="J1095" s="1" t="s">
        <v>1658</v>
      </c>
      <c r="K1095" s="1" t="s">
        <v>1658</v>
      </c>
      <c r="L1095" s="1" t="s">
        <v>1658</v>
      </c>
      <c r="M1095" s="1" t="s">
        <v>1658</v>
      </c>
      <c r="N1095" s="1" t="s">
        <v>1658</v>
      </c>
      <c r="O1095" s="1" t="s">
        <v>1658</v>
      </c>
      <c r="P1095" s="1">
        <v>1</v>
      </c>
      <c r="Q1095" s="1" t="s">
        <v>1658</v>
      </c>
      <c r="R1095" s="1">
        <v>0</v>
      </c>
      <c r="S1095" s="1" t="s">
        <v>6589</v>
      </c>
      <c r="T1095" s="6"/>
      <c r="U1095" s="1" t="str">
        <f t="shared" si="17"/>
        <v>No</v>
      </c>
      <c r="W1095" s="1" t="s">
        <v>6590</v>
      </c>
      <c r="X1095" s="1" t="str">
        <f>IF(COUNTIF('MyWells Drilling Comp'!F:F,E1095)=0,"Missing","Exist")</f>
        <v>Exist</v>
      </c>
    </row>
    <row r="1096" hidden="1" spans="1:24">
      <c r="A1096" s="1" t="s">
        <v>5265</v>
      </c>
      <c r="B1096" s="1" t="s">
        <v>90</v>
      </c>
      <c r="C1096" s="1" t="s">
        <v>6591</v>
      </c>
      <c r="D1096" s="1" t="s">
        <v>6592</v>
      </c>
      <c r="E1096" s="2" t="s">
        <v>1251</v>
      </c>
      <c r="F1096" s="2" t="s">
        <v>6593</v>
      </c>
      <c r="G1096" s="1">
        <v>1</v>
      </c>
      <c r="H1096" s="1" t="s">
        <v>1663</v>
      </c>
      <c r="I1096" s="1" t="s">
        <v>1657</v>
      </c>
      <c r="J1096" s="1" t="s">
        <v>1658</v>
      </c>
      <c r="K1096" s="1" t="s">
        <v>1658</v>
      </c>
      <c r="L1096" s="1" t="s">
        <v>1658</v>
      </c>
      <c r="M1096" s="1" t="s">
        <v>1658</v>
      </c>
      <c r="N1096" s="1" t="s">
        <v>1658</v>
      </c>
      <c r="O1096" s="1" t="s">
        <v>1658</v>
      </c>
      <c r="P1096" s="1">
        <v>1</v>
      </c>
      <c r="Q1096" s="1" t="s">
        <v>1658</v>
      </c>
      <c r="R1096" s="1">
        <v>0</v>
      </c>
      <c r="S1096" s="1" t="s">
        <v>6594</v>
      </c>
      <c r="T1096" s="6" t="s">
        <v>6594</v>
      </c>
      <c r="U1096" s="1" t="str">
        <f t="shared" si="17"/>
        <v>Yes</v>
      </c>
      <c r="W1096" s="1" t="s">
        <v>6595</v>
      </c>
      <c r="X1096" s="1" t="str">
        <f>IF(COUNTIF('MyWells Drilling Comp'!F:F,E1096)=0,"Missing","Exist")</f>
        <v>Exist</v>
      </c>
    </row>
    <row r="1097" hidden="1" spans="1:24">
      <c r="A1097" s="1" t="s">
        <v>5265</v>
      </c>
      <c r="B1097" s="1" t="s">
        <v>90</v>
      </c>
      <c r="C1097" s="1" t="s">
        <v>6596</v>
      </c>
      <c r="D1097" s="1" t="s">
        <v>6592</v>
      </c>
      <c r="E1097" s="2" t="s">
        <v>1251</v>
      </c>
      <c r="F1097" s="2" t="s">
        <v>6597</v>
      </c>
      <c r="G1097" s="1">
        <v>1</v>
      </c>
      <c r="H1097" s="1" t="s">
        <v>1656</v>
      </c>
      <c r="I1097" s="1" t="s">
        <v>1657</v>
      </c>
      <c r="J1097" s="1" t="s">
        <v>1658</v>
      </c>
      <c r="K1097" s="1" t="s">
        <v>1658</v>
      </c>
      <c r="L1097" s="1" t="s">
        <v>1658</v>
      </c>
      <c r="M1097" s="1" t="s">
        <v>1658</v>
      </c>
      <c r="N1097" s="1" t="s">
        <v>1658</v>
      </c>
      <c r="O1097" s="1" t="s">
        <v>1658</v>
      </c>
      <c r="P1097" s="1">
        <v>1</v>
      </c>
      <c r="Q1097" s="1" t="s">
        <v>1658</v>
      </c>
      <c r="R1097" s="1">
        <v>0</v>
      </c>
      <c r="S1097" s="1" t="s">
        <v>6598</v>
      </c>
      <c r="T1097" s="6" t="s">
        <v>6598</v>
      </c>
      <c r="U1097" s="1" t="str">
        <f t="shared" si="17"/>
        <v>Yes</v>
      </c>
      <c r="W1097" s="1" t="s">
        <v>6599</v>
      </c>
      <c r="X1097" s="1" t="str">
        <f>IF(COUNTIF('MyWells Drilling Comp'!F:F,E1097)=0,"Missing","Exist")</f>
        <v>Exist</v>
      </c>
    </row>
    <row r="1098" hidden="1" spans="1:24">
      <c r="A1098" s="1" t="s">
        <v>5265</v>
      </c>
      <c r="B1098" s="1" t="s">
        <v>90</v>
      </c>
      <c r="C1098" s="1" t="s">
        <v>6600</v>
      </c>
      <c r="D1098" s="1" t="s">
        <v>6601</v>
      </c>
      <c r="E1098" s="2" t="s">
        <v>1046</v>
      </c>
      <c r="F1098" s="2" t="s">
        <v>6602</v>
      </c>
      <c r="G1098" s="1">
        <v>1</v>
      </c>
      <c r="H1098" s="1" t="s">
        <v>1656</v>
      </c>
      <c r="I1098" s="1" t="s">
        <v>1657</v>
      </c>
      <c r="J1098" s="1" t="s">
        <v>1658</v>
      </c>
      <c r="K1098" s="1" t="s">
        <v>1658</v>
      </c>
      <c r="L1098" s="1" t="s">
        <v>1658</v>
      </c>
      <c r="M1098" s="1" t="s">
        <v>1658</v>
      </c>
      <c r="N1098" s="1" t="s">
        <v>1658</v>
      </c>
      <c r="O1098" s="1" t="s">
        <v>1658</v>
      </c>
      <c r="P1098" s="1">
        <v>1</v>
      </c>
      <c r="Q1098" s="1" t="s">
        <v>1658</v>
      </c>
      <c r="R1098" s="1">
        <v>0</v>
      </c>
      <c r="S1098" s="1" t="s">
        <v>6603</v>
      </c>
      <c r="T1098" s="6" t="s">
        <v>6603</v>
      </c>
      <c r="U1098" s="1" t="str">
        <f t="shared" si="17"/>
        <v>Yes</v>
      </c>
      <c r="W1098" s="1" t="s">
        <v>6604</v>
      </c>
      <c r="X1098" s="1" t="str">
        <f>IF(COUNTIF('MyWells Drilling Comp'!F:F,E1098)=0,"Missing","Exist")</f>
        <v>Exist</v>
      </c>
    </row>
    <row r="1099" hidden="1" spans="1:24">
      <c r="A1099" s="1" t="s">
        <v>5265</v>
      </c>
      <c r="B1099" s="1" t="s">
        <v>90</v>
      </c>
      <c r="C1099" s="1" t="s">
        <v>6605</v>
      </c>
      <c r="D1099" s="1" t="s">
        <v>6601</v>
      </c>
      <c r="E1099" s="2" t="s">
        <v>1046</v>
      </c>
      <c r="F1099" s="2" t="s">
        <v>6606</v>
      </c>
      <c r="G1099" s="1">
        <v>1</v>
      </c>
      <c r="H1099" s="1" t="s">
        <v>1663</v>
      </c>
      <c r="I1099" s="1" t="s">
        <v>1657</v>
      </c>
      <c r="J1099" s="1" t="s">
        <v>1658</v>
      </c>
      <c r="K1099" s="1" t="s">
        <v>1658</v>
      </c>
      <c r="L1099" s="1" t="s">
        <v>1658</v>
      </c>
      <c r="M1099" s="1" t="s">
        <v>1658</v>
      </c>
      <c r="N1099" s="1" t="s">
        <v>1658</v>
      </c>
      <c r="O1099" s="1" t="s">
        <v>1658</v>
      </c>
      <c r="P1099" s="1">
        <v>1</v>
      </c>
      <c r="Q1099" s="1" t="s">
        <v>1658</v>
      </c>
      <c r="R1099" s="1">
        <v>0</v>
      </c>
      <c r="S1099" s="1" t="s">
        <v>6607</v>
      </c>
      <c r="T1099" s="6" t="s">
        <v>6608</v>
      </c>
      <c r="U1099" s="1" t="str">
        <f t="shared" si="17"/>
        <v>Yes</v>
      </c>
      <c r="W1099" s="1" t="s">
        <v>6609</v>
      </c>
      <c r="X1099" s="1" t="str">
        <f>IF(COUNTIF('MyWells Drilling Comp'!F:F,E1099)=0,"Missing","Exist")</f>
        <v>Exist</v>
      </c>
    </row>
    <row r="1100" hidden="1" spans="1:24">
      <c r="A1100" s="1" t="s">
        <v>5265</v>
      </c>
      <c r="B1100" s="1" t="s">
        <v>90</v>
      </c>
      <c r="C1100" s="1" t="s">
        <v>6610</v>
      </c>
      <c r="D1100" s="1" t="s">
        <v>6611</v>
      </c>
      <c r="E1100" s="2" t="s">
        <v>779</v>
      </c>
      <c r="F1100" s="2" t="s">
        <v>6612</v>
      </c>
      <c r="G1100" s="1">
        <v>1</v>
      </c>
      <c r="H1100" s="1" t="s">
        <v>1663</v>
      </c>
      <c r="I1100" s="1" t="s">
        <v>1657</v>
      </c>
      <c r="J1100" s="1" t="s">
        <v>1658</v>
      </c>
      <c r="K1100" s="1" t="s">
        <v>1658</v>
      </c>
      <c r="L1100" s="1" t="s">
        <v>1658</v>
      </c>
      <c r="M1100" s="1" t="s">
        <v>1658</v>
      </c>
      <c r="N1100" s="1" t="s">
        <v>1658</v>
      </c>
      <c r="O1100" s="1" t="s">
        <v>1658</v>
      </c>
      <c r="P1100" s="1">
        <v>1</v>
      </c>
      <c r="Q1100" s="1" t="s">
        <v>1658</v>
      </c>
      <c r="R1100" s="1">
        <v>0</v>
      </c>
      <c r="S1100" s="1" t="s">
        <v>6613</v>
      </c>
      <c r="T1100" s="6" t="s">
        <v>6613</v>
      </c>
      <c r="U1100" s="1" t="str">
        <f t="shared" si="17"/>
        <v>Yes</v>
      </c>
      <c r="W1100" s="1" t="s">
        <v>6614</v>
      </c>
      <c r="X1100" s="1" t="str">
        <f>IF(COUNTIF('MyWells Drilling Comp'!F:F,E1100)=0,"Missing","Exist")</f>
        <v>Exist</v>
      </c>
    </row>
    <row r="1101" hidden="1" spans="1:24">
      <c r="A1101" s="1" t="s">
        <v>5265</v>
      </c>
      <c r="B1101" s="1" t="s">
        <v>90</v>
      </c>
      <c r="C1101" s="1" t="s">
        <v>6615</v>
      </c>
      <c r="D1101" s="1" t="s">
        <v>6611</v>
      </c>
      <c r="E1101" s="2" t="s">
        <v>779</v>
      </c>
      <c r="F1101" s="2" t="s">
        <v>6616</v>
      </c>
      <c r="G1101" s="1">
        <v>1</v>
      </c>
      <c r="H1101" s="1" t="s">
        <v>1656</v>
      </c>
      <c r="I1101" s="1" t="s">
        <v>1657</v>
      </c>
      <c r="J1101" s="1" t="s">
        <v>1658</v>
      </c>
      <c r="K1101" s="1" t="s">
        <v>1658</v>
      </c>
      <c r="L1101" s="1" t="s">
        <v>1658</v>
      </c>
      <c r="M1101" s="1" t="s">
        <v>1658</v>
      </c>
      <c r="N1101" s="1" t="s">
        <v>1658</v>
      </c>
      <c r="O1101" s="1" t="s">
        <v>1658</v>
      </c>
      <c r="P1101" s="1">
        <v>1</v>
      </c>
      <c r="Q1101" s="1" t="s">
        <v>1658</v>
      </c>
      <c r="R1101" s="1">
        <v>0</v>
      </c>
      <c r="S1101" s="1" t="s">
        <v>6617</v>
      </c>
      <c r="T1101" s="6" t="s">
        <v>6617</v>
      </c>
      <c r="U1101" s="1" t="str">
        <f t="shared" si="17"/>
        <v>Yes</v>
      </c>
      <c r="W1101" s="1" t="s">
        <v>6618</v>
      </c>
      <c r="X1101" s="1" t="str">
        <f>IF(COUNTIF('MyWells Drilling Comp'!F:F,E1101)=0,"Missing","Exist")</f>
        <v>Exist</v>
      </c>
    </row>
    <row r="1102" hidden="1" spans="1:24">
      <c r="A1102" s="1" t="s">
        <v>5265</v>
      </c>
      <c r="B1102" s="1" t="s">
        <v>90</v>
      </c>
      <c r="C1102" s="1" t="s">
        <v>6619</v>
      </c>
      <c r="D1102" s="1" t="s">
        <v>6620</v>
      </c>
      <c r="E1102" s="2" t="s">
        <v>184</v>
      </c>
      <c r="F1102" s="2" t="s">
        <v>6621</v>
      </c>
      <c r="G1102" s="1">
        <v>1</v>
      </c>
      <c r="H1102" s="1" t="s">
        <v>1663</v>
      </c>
      <c r="I1102" s="1" t="s">
        <v>1657</v>
      </c>
      <c r="J1102" s="1" t="s">
        <v>1658</v>
      </c>
      <c r="K1102" s="1" t="s">
        <v>1658</v>
      </c>
      <c r="L1102" s="1" t="s">
        <v>1658</v>
      </c>
      <c r="M1102" s="1" t="s">
        <v>1658</v>
      </c>
      <c r="N1102" s="1" t="s">
        <v>1658</v>
      </c>
      <c r="O1102" s="1" t="s">
        <v>1658</v>
      </c>
      <c r="P1102" s="1">
        <v>1</v>
      </c>
      <c r="Q1102" s="1" t="s">
        <v>1658</v>
      </c>
      <c r="R1102" s="1">
        <v>0</v>
      </c>
      <c r="S1102" s="1" t="s">
        <v>6622</v>
      </c>
      <c r="T1102" s="6" t="s">
        <v>6622</v>
      </c>
      <c r="U1102" s="1" t="str">
        <f t="shared" si="17"/>
        <v>Yes</v>
      </c>
      <c r="W1102" s="1" t="s">
        <v>6623</v>
      </c>
      <c r="X1102" s="1" t="str">
        <f>IF(COUNTIF('MyWells Drilling Comp'!F:F,E1102)=0,"Missing","Exist")</f>
        <v>Exist</v>
      </c>
    </row>
    <row r="1103" hidden="1" spans="1:24">
      <c r="A1103" s="1" t="s">
        <v>5265</v>
      </c>
      <c r="B1103" s="1" t="s">
        <v>90</v>
      </c>
      <c r="C1103" s="1" t="s">
        <v>6624</v>
      </c>
      <c r="D1103" s="1" t="s">
        <v>6620</v>
      </c>
      <c r="E1103" s="2" t="s">
        <v>184</v>
      </c>
      <c r="F1103" s="2" t="s">
        <v>6625</v>
      </c>
      <c r="G1103" s="1">
        <v>1</v>
      </c>
      <c r="H1103" s="1" t="s">
        <v>1656</v>
      </c>
      <c r="I1103" s="1" t="s">
        <v>1657</v>
      </c>
      <c r="J1103" s="1" t="s">
        <v>1658</v>
      </c>
      <c r="K1103" s="1" t="s">
        <v>1658</v>
      </c>
      <c r="L1103" s="1" t="s">
        <v>1658</v>
      </c>
      <c r="M1103" s="1" t="s">
        <v>1658</v>
      </c>
      <c r="N1103" s="1" t="s">
        <v>1658</v>
      </c>
      <c r="O1103" s="1" t="s">
        <v>1658</v>
      </c>
      <c r="P1103" s="1">
        <v>1</v>
      </c>
      <c r="Q1103" s="1" t="s">
        <v>1658</v>
      </c>
      <c r="R1103" s="1">
        <v>0</v>
      </c>
      <c r="S1103" s="1" t="s">
        <v>6626</v>
      </c>
      <c r="T1103" s="6" t="s">
        <v>6626</v>
      </c>
      <c r="U1103" s="1" t="str">
        <f t="shared" si="17"/>
        <v>Yes</v>
      </c>
      <c r="W1103" s="1" t="s">
        <v>6627</v>
      </c>
      <c r="X1103" s="1" t="str">
        <f>IF(COUNTIF('MyWells Drilling Comp'!F:F,E1103)=0,"Missing","Exist")</f>
        <v>Exist</v>
      </c>
    </row>
    <row r="1104" hidden="1" spans="1:24">
      <c r="A1104" s="1" t="s">
        <v>5265</v>
      </c>
      <c r="B1104" s="1" t="s">
        <v>90</v>
      </c>
      <c r="C1104" s="1" t="s">
        <v>6628</v>
      </c>
      <c r="D1104" s="1" t="s">
        <v>6629</v>
      </c>
      <c r="E1104" s="2" t="s">
        <v>1243</v>
      </c>
      <c r="F1104" s="2" t="s">
        <v>6630</v>
      </c>
      <c r="G1104" s="1">
        <v>1</v>
      </c>
      <c r="H1104" s="1" t="s">
        <v>1656</v>
      </c>
      <c r="I1104" s="1" t="s">
        <v>1657</v>
      </c>
      <c r="J1104" s="1" t="s">
        <v>1658</v>
      </c>
      <c r="K1104" s="1" t="s">
        <v>1658</v>
      </c>
      <c r="L1104" s="1" t="s">
        <v>1658</v>
      </c>
      <c r="M1104" s="1" t="s">
        <v>1658</v>
      </c>
      <c r="N1104" s="1" t="s">
        <v>1658</v>
      </c>
      <c r="O1104" s="1" t="s">
        <v>1658</v>
      </c>
      <c r="P1104" s="1">
        <v>1</v>
      </c>
      <c r="Q1104" s="1" t="s">
        <v>1658</v>
      </c>
      <c r="R1104" s="1">
        <v>0</v>
      </c>
      <c r="S1104" s="1" t="s">
        <v>6631</v>
      </c>
      <c r="T1104" s="6" t="s">
        <v>6631</v>
      </c>
      <c r="U1104" s="1" t="str">
        <f t="shared" si="17"/>
        <v>Yes</v>
      </c>
      <c r="W1104" s="1" t="s">
        <v>6632</v>
      </c>
      <c r="X1104" s="1" t="str">
        <f>IF(COUNTIF('MyWells Drilling Comp'!F:F,E1104)=0,"Missing","Exist")</f>
        <v>Exist</v>
      </c>
    </row>
    <row r="1105" hidden="1" spans="1:24">
      <c r="A1105" s="1" t="s">
        <v>5265</v>
      </c>
      <c r="B1105" s="1" t="s">
        <v>90</v>
      </c>
      <c r="C1105" s="1" t="s">
        <v>6633</v>
      </c>
      <c r="D1105" s="1" t="s">
        <v>6629</v>
      </c>
      <c r="E1105" s="2" t="s">
        <v>1243</v>
      </c>
      <c r="F1105" s="2" t="s">
        <v>6634</v>
      </c>
      <c r="G1105" s="1">
        <v>1</v>
      </c>
      <c r="H1105" s="1" t="s">
        <v>1663</v>
      </c>
      <c r="I1105" s="1" t="s">
        <v>1657</v>
      </c>
      <c r="J1105" s="1" t="s">
        <v>1658</v>
      </c>
      <c r="K1105" s="1" t="s">
        <v>1658</v>
      </c>
      <c r="L1105" s="1" t="s">
        <v>1658</v>
      </c>
      <c r="M1105" s="1" t="s">
        <v>1658</v>
      </c>
      <c r="N1105" s="1" t="s">
        <v>1658</v>
      </c>
      <c r="O1105" s="1" t="s">
        <v>1658</v>
      </c>
      <c r="P1105" s="1">
        <v>1</v>
      </c>
      <c r="Q1105" s="1" t="s">
        <v>1658</v>
      </c>
      <c r="R1105" s="1">
        <v>0</v>
      </c>
      <c r="S1105" s="1" t="s">
        <v>6635</v>
      </c>
      <c r="T1105" s="6" t="s">
        <v>6635</v>
      </c>
      <c r="U1105" s="1" t="str">
        <f t="shared" si="17"/>
        <v>Yes</v>
      </c>
      <c r="W1105" s="1" t="s">
        <v>6636</v>
      </c>
      <c r="X1105" s="1" t="str">
        <f>IF(COUNTIF('MyWells Drilling Comp'!F:F,E1105)=0,"Missing","Exist")</f>
        <v>Exist</v>
      </c>
    </row>
    <row r="1106" hidden="1" spans="1:24">
      <c r="A1106" s="1" t="s">
        <v>5265</v>
      </c>
      <c r="B1106" s="1" t="s">
        <v>90</v>
      </c>
      <c r="C1106" s="1" t="s">
        <v>6637</v>
      </c>
      <c r="D1106" s="1" t="s">
        <v>6638</v>
      </c>
      <c r="E1106" s="2" t="s">
        <v>1197</v>
      </c>
      <c r="F1106" s="2" t="s">
        <v>6639</v>
      </c>
      <c r="G1106" s="1">
        <v>1</v>
      </c>
      <c r="H1106" s="1" t="s">
        <v>1656</v>
      </c>
      <c r="I1106" s="1" t="s">
        <v>1657</v>
      </c>
      <c r="J1106" s="1" t="s">
        <v>1658</v>
      </c>
      <c r="K1106" s="1" t="s">
        <v>1658</v>
      </c>
      <c r="L1106" s="1" t="s">
        <v>1658</v>
      </c>
      <c r="M1106" s="1" t="s">
        <v>1658</v>
      </c>
      <c r="N1106" s="1" t="s">
        <v>1658</v>
      </c>
      <c r="O1106" s="1" t="s">
        <v>1658</v>
      </c>
      <c r="P1106" s="1">
        <v>1</v>
      </c>
      <c r="Q1106" s="1" t="s">
        <v>1658</v>
      </c>
      <c r="R1106" s="1">
        <v>0</v>
      </c>
      <c r="S1106" s="1" t="s">
        <v>6640</v>
      </c>
      <c r="T1106" s="6"/>
      <c r="U1106" s="1" t="str">
        <f t="shared" si="17"/>
        <v>No</v>
      </c>
      <c r="W1106" s="1" t="s">
        <v>6641</v>
      </c>
      <c r="X1106" s="1" t="str">
        <f>IF(COUNTIF('MyWells Drilling Comp'!F:F,E1106)=0,"Missing","Exist")</f>
        <v>Exist</v>
      </c>
    </row>
    <row r="1107" hidden="1" spans="1:24">
      <c r="A1107" s="1" t="s">
        <v>5265</v>
      </c>
      <c r="B1107" s="1" t="s">
        <v>90</v>
      </c>
      <c r="C1107" s="1" t="s">
        <v>6642</v>
      </c>
      <c r="D1107" s="1" t="s">
        <v>6638</v>
      </c>
      <c r="E1107" s="2" t="s">
        <v>1197</v>
      </c>
      <c r="F1107" s="2" t="s">
        <v>6643</v>
      </c>
      <c r="G1107" s="1">
        <v>1</v>
      </c>
      <c r="H1107" s="1" t="s">
        <v>1663</v>
      </c>
      <c r="I1107" s="1" t="s">
        <v>1657</v>
      </c>
      <c r="J1107" s="1" t="s">
        <v>1658</v>
      </c>
      <c r="K1107" s="1" t="s">
        <v>1658</v>
      </c>
      <c r="L1107" s="1" t="s">
        <v>1658</v>
      </c>
      <c r="M1107" s="1" t="s">
        <v>1658</v>
      </c>
      <c r="N1107" s="1" t="s">
        <v>1658</v>
      </c>
      <c r="O1107" s="1" t="s">
        <v>1658</v>
      </c>
      <c r="P1107" s="1">
        <v>1</v>
      </c>
      <c r="Q1107" s="1" t="s">
        <v>1658</v>
      </c>
      <c r="R1107" s="1">
        <v>0</v>
      </c>
      <c r="S1107" s="1" t="s">
        <v>6644</v>
      </c>
      <c r="T1107" s="6" t="s">
        <v>6644</v>
      </c>
      <c r="U1107" s="1" t="str">
        <f t="shared" si="17"/>
        <v>Yes</v>
      </c>
      <c r="W1107" s="1" t="s">
        <v>6645</v>
      </c>
      <c r="X1107" s="1" t="str">
        <f>IF(COUNTIF('MyWells Drilling Comp'!F:F,E1107)=0,"Missing","Exist")</f>
        <v>Exist</v>
      </c>
    </row>
    <row r="1108" hidden="1" spans="1:24">
      <c r="A1108" s="1" t="s">
        <v>5265</v>
      </c>
      <c r="B1108" s="1" t="s">
        <v>90</v>
      </c>
      <c r="C1108" s="1" t="s">
        <v>6646</v>
      </c>
      <c r="D1108" s="1" t="s">
        <v>6647</v>
      </c>
      <c r="E1108" s="2" t="s">
        <v>1487</v>
      </c>
      <c r="F1108" s="2" t="s">
        <v>6648</v>
      </c>
      <c r="G1108" s="1">
        <v>1</v>
      </c>
      <c r="H1108" s="1" t="s">
        <v>1663</v>
      </c>
      <c r="I1108" s="1" t="s">
        <v>1657</v>
      </c>
      <c r="J1108" s="1" t="s">
        <v>1658</v>
      </c>
      <c r="K1108" s="1" t="s">
        <v>1658</v>
      </c>
      <c r="L1108" s="1" t="s">
        <v>1658</v>
      </c>
      <c r="M1108" s="1" t="s">
        <v>1658</v>
      </c>
      <c r="N1108" s="1" t="s">
        <v>1658</v>
      </c>
      <c r="O1108" s="1" t="s">
        <v>1658</v>
      </c>
      <c r="P1108" s="1">
        <v>1</v>
      </c>
      <c r="Q1108" s="1" t="s">
        <v>1658</v>
      </c>
      <c r="R1108" s="1">
        <v>0</v>
      </c>
      <c r="S1108" s="1" t="s">
        <v>6649</v>
      </c>
      <c r="T1108" s="6" t="s">
        <v>6649</v>
      </c>
      <c r="U1108" s="1" t="str">
        <f t="shared" si="17"/>
        <v>Yes</v>
      </c>
      <c r="W1108" s="1" t="s">
        <v>6650</v>
      </c>
      <c r="X1108" s="1" t="str">
        <f>IF(COUNTIF('MyWells Drilling Comp'!F:F,E1108)=0,"Missing","Exist")</f>
        <v>Exist</v>
      </c>
    </row>
    <row r="1109" hidden="1" spans="1:24">
      <c r="A1109" s="1" t="s">
        <v>5265</v>
      </c>
      <c r="B1109" s="1" t="s">
        <v>90</v>
      </c>
      <c r="C1109" s="1" t="s">
        <v>6651</v>
      </c>
      <c r="D1109" s="1" t="s">
        <v>6647</v>
      </c>
      <c r="E1109" s="2" t="s">
        <v>1487</v>
      </c>
      <c r="F1109" s="8" t="s">
        <v>6652</v>
      </c>
      <c r="G1109" s="1">
        <v>1</v>
      </c>
      <c r="H1109" s="1" t="s">
        <v>1656</v>
      </c>
      <c r="I1109" s="1" t="s">
        <v>1657</v>
      </c>
      <c r="J1109" s="1" t="s">
        <v>1658</v>
      </c>
      <c r="K1109" s="1" t="s">
        <v>1658</v>
      </c>
      <c r="L1109" s="1" t="s">
        <v>1658</v>
      </c>
      <c r="M1109" s="1" t="s">
        <v>1658</v>
      </c>
      <c r="N1109" s="1" t="s">
        <v>1658</v>
      </c>
      <c r="O1109" s="1" t="s">
        <v>1658</v>
      </c>
      <c r="P1109" s="1">
        <v>1</v>
      </c>
      <c r="Q1109" s="1" t="s">
        <v>1658</v>
      </c>
      <c r="R1109" s="1">
        <v>0</v>
      </c>
      <c r="S1109" s="1" t="s">
        <v>6653</v>
      </c>
      <c r="T1109" s="6" t="s">
        <v>6653</v>
      </c>
      <c r="U1109" s="1" t="str">
        <f t="shared" si="17"/>
        <v>Yes</v>
      </c>
      <c r="W1109" s="1" t="s">
        <v>6654</v>
      </c>
      <c r="X1109" s="1" t="str">
        <f>IF(COUNTIF('MyWells Drilling Comp'!F:F,E1109)=0,"Missing","Exist")</f>
        <v>Exist</v>
      </c>
    </row>
    <row r="1110" hidden="1" spans="1:24">
      <c r="A1110" s="1" t="s">
        <v>5265</v>
      </c>
      <c r="B1110" s="1" t="s">
        <v>90</v>
      </c>
      <c r="C1110" s="1" t="s">
        <v>6655</v>
      </c>
      <c r="D1110" s="1" t="s">
        <v>6656</v>
      </c>
      <c r="E1110" s="2" t="s">
        <v>754</v>
      </c>
      <c r="F1110" s="2" t="s">
        <v>6657</v>
      </c>
      <c r="G1110" s="1">
        <v>1</v>
      </c>
      <c r="H1110" s="1" t="s">
        <v>1663</v>
      </c>
      <c r="I1110" s="1" t="s">
        <v>1657</v>
      </c>
      <c r="J1110" s="1" t="s">
        <v>1658</v>
      </c>
      <c r="K1110" s="1" t="s">
        <v>1658</v>
      </c>
      <c r="L1110" s="1" t="s">
        <v>1658</v>
      </c>
      <c r="M1110" s="1" t="s">
        <v>1658</v>
      </c>
      <c r="N1110" s="1" t="s">
        <v>1658</v>
      </c>
      <c r="O1110" s="1" t="s">
        <v>1658</v>
      </c>
      <c r="P1110" s="1">
        <v>1</v>
      </c>
      <c r="Q1110" s="1" t="s">
        <v>1658</v>
      </c>
      <c r="R1110" s="1">
        <v>0</v>
      </c>
      <c r="S1110" s="1" t="s">
        <v>6658</v>
      </c>
      <c r="T1110" s="6" t="s">
        <v>6658</v>
      </c>
      <c r="U1110" s="1" t="str">
        <f t="shared" si="17"/>
        <v>Yes</v>
      </c>
      <c r="W1110" s="1" t="s">
        <v>6659</v>
      </c>
      <c r="X1110" s="1" t="str">
        <f>IF(COUNTIF('MyWells Drilling Comp'!F:F,E1110)=0,"Missing","Exist")</f>
        <v>Exist</v>
      </c>
    </row>
    <row r="1111" hidden="1" spans="1:24">
      <c r="A1111" s="1" t="s">
        <v>5265</v>
      </c>
      <c r="B1111" s="1" t="s">
        <v>90</v>
      </c>
      <c r="C1111" s="1" t="s">
        <v>6660</v>
      </c>
      <c r="D1111" s="1" t="s">
        <v>6656</v>
      </c>
      <c r="E1111" s="2" t="s">
        <v>754</v>
      </c>
      <c r="F1111" s="2" t="s">
        <v>6661</v>
      </c>
      <c r="G1111" s="1">
        <v>1</v>
      </c>
      <c r="H1111" s="1" t="s">
        <v>1656</v>
      </c>
      <c r="I1111" s="1" t="s">
        <v>1657</v>
      </c>
      <c r="J1111" s="1" t="s">
        <v>1658</v>
      </c>
      <c r="K1111" s="1" t="s">
        <v>1658</v>
      </c>
      <c r="L1111" s="1" t="s">
        <v>1658</v>
      </c>
      <c r="M1111" s="1" t="s">
        <v>1658</v>
      </c>
      <c r="N1111" s="1" t="s">
        <v>1658</v>
      </c>
      <c r="O1111" s="1" t="s">
        <v>1658</v>
      </c>
      <c r="P1111" s="1">
        <v>1</v>
      </c>
      <c r="Q1111" s="1" t="s">
        <v>1658</v>
      </c>
      <c r="R1111" s="1">
        <v>0</v>
      </c>
      <c r="S1111" s="1" t="s">
        <v>6662</v>
      </c>
      <c r="T1111" s="6" t="s">
        <v>6662</v>
      </c>
      <c r="U1111" s="1" t="str">
        <f t="shared" si="17"/>
        <v>Yes</v>
      </c>
      <c r="W1111" s="1" t="s">
        <v>6663</v>
      </c>
      <c r="X1111" s="1" t="str">
        <f>IF(COUNTIF('MyWells Drilling Comp'!F:F,E1111)=0,"Missing","Exist")</f>
        <v>Exist</v>
      </c>
    </row>
    <row r="1112" hidden="1" spans="1:24">
      <c r="A1112" s="1" t="s">
        <v>5265</v>
      </c>
      <c r="B1112" s="1" t="s">
        <v>90</v>
      </c>
      <c r="C1112" s="1" t="s">
        <v>6664</v>
      </c>
      <c r="D1112" s="1" t="s">
        <v>6665</v>
      </c>
      <c r="E1112" s="2" t="s">
        <v>511</v>
      </c>
      <c r="F1112" s="2" t="s">
        <v>6666</v>
      </c>
      <c r="G1112" s="1">
        <v>1</v>
      </c>
      <c r="H1112" s="1" t="s">
        <v>1663</v>
      </c>
      <c r="I1112" s="1" t="s">
        <v>1657</v>
      </c>
      <c r="J1112" s="1" t="s">
        <v>1658</v>
      </c>
      <c r="K1112" s="1" t="s">
        <v>1658</v>
      </c>
      <c r="L1112" s="1" t="s">
        <v>1658</v>
      </c>
      <c r="M1112" s="1" t="s">
        <v>1658</v>
      </c>
      <c r="N1112" s="1" t="s">
        <v>1658</v>
      </c>
      <c r="O1112" s="1" t="s">
        <v>1658</v>
      </c>
      <c r="P1112" s="1">
        <v>1</v>
      </c>
      <c r="Q1112" s="1" t="s">
        <v>1658</v>
      </c>
      <c r="R1112" s="1">
        <v>0</v>
      </c>
      <c r="S1112" s="1" t="s">
        <v>6667</v>
      </c>
      <c r="T1112" s="6"/>
      <c r="U1112" s="1" t="str">
        <f t="shared" si="17"/>
        <v>No</v>
      </c>
      <c r="W1112" s="1" t="s">
        <v>6668</v>
      </c>
      <c r="X1112" s="1" t="str">
        <f>IF(COUNTIF('MyWells Drilling Comp'!F:F,E1112)=0,"Missing","Exist")</f>
        <v>Exist</v>
      </c>
    </row>
    <row r="1113" hidden="1" spans="1:24">
      <c r="A1113" s="1" t="s">
        <v>5265</v>
      </c>
      <c r="B1113" s="1" t="s">
        <v>90</v>
      </c>
      <c r="C1113" s="1" t="s">
        <v>6669</v>
      </c>
      <c r="D1113" s="1" t="s">
        <v>6665</v>
      </c>
      <c r="E1113" s="2" t="s">
        <v>511</v>
      </c>
      <c r="F1113" s="2" t="s">
        <v>6670</v>
      </c>
      <c r="G1113" s="1">
        <v>1</v>
      </c>
      <c r="H1113" s="1" t="s">
        <v>1656</v>
      </c>
      <c r="I1113" s="1" t="s">
        <v>1657</v>
      </c>
      <c r="J1113" s="1" t="s">
        <v>1658</v>
      </c>
      <c r="K1113" s="1" t="s">
        <v>1658</v>
      </c>
      <c r="L1113" s="1" t="s">
        <v>1658</v>
      </c>
      <c r="M1113" s="1" t="s">
        <v>1658</v>
      </c>
      <c r="N1113" s="1" t="s">
        <v>1658</v>
      </c>
      <c r="O1113" s="1" t="s">
        <v>1658</v>
      </c>
      <c r="P1113" s="1">
        <v>1</v>
      </c>
      <c r="Q1113" s="1" t="s">
        <v>1658</v>
      </c>
      <c r="R1113" s="1">
        <v>0</v>
      </c>
      <c r="S1113" s="1" t="s">
        <v>6671</v>
      </c>
      <c r="T1113" s="6" t="s">
        <v>6671</v>
      </c>
      <c r="U1113" s="1" t="str">
        <f t="shared" si="17"/>
        <v>Yes</v>
      </c>
      <c r="W1113" s="1" t="s">
        <v>6672</v>
      </c>
      <c r="X1113" s="1" t="str">
        <f>IF(COUNTIF('MyWells Drilling Comp'!F:F,E1113)=0,"Missing","Exist")</f>
        <v>Exist</v>
      </c>
    </row>
    <row r="1114" hidden="1" spans="1:24">
      <c r="A1114" s="1" t="s">
        <v>5265</v>
      </c>
      <c r="B1114" s="1" t="s">
        <v>90</v>
      </c>
      <c r="C1114" s="1" t="s">
        <v>6673</v>
      </c>
      <c r="D1114" s="1" t="s">
        <v>6674</v>
      </c>
      <c r="E1114" s="2" t="s">
        <v>787</v>
      </c>
      <c r="F1114" s="2" t="s">
        <v>6675</v>
      </c>
      <c r="G1114" s="1">
        <v>1</v>
      </c>
      <c r="H1114" s="1" t="s">
        <v>1656</v>
      </c>
      <c r="I1114" s="1" t="s">
        <v>1657</v>
      </c>
      <c r="J1114" s="1" t="s">
        <v>1658</v>
      </c>
      <c r="K1114" s="1" t="s">
        <v>1658</v>
      </c>
      <c r="L1114" s="1" t="s">
        <v>1658</v>
      </c>
      <c r="M1114" s="1" t="s">
        <v>1658</v>
      </c>
      <c r="N1114" s="1" t="s">
        <v>1658</v>
      </c>
      <c r="O1114" s="1" t="s">
        <v>1658</v>
      </c>
      <c r="P1114" s="1">
        <v>1</v>
      </c>
      <c r="Q1114" s="1" t="s">
        <v>1658</v>
      </c>
      <c r="R1114" s="1">
        <v>0</v>
      </c>
      <c r="S1114" s="1" t="s">
        <v>6676</v>
      </c>
      <c r="T1114" s="6" t="s">
        <v>6676</v>
      </c>
      <c r="U1114" s="1" t="str">
        <f t="shared" si="17"/>
        <v>Yes</v>
      </c>
      <c r="W1114" s="1" t="s">
        <v>6677</v>
      </c>
      <c r="X1114" s="1" t="str">
        <f>IF(COUNTIF('MyWells Drilling Comp'!F:F,E1114)=0,"Missing","Exist")</f>
        <v>Exist</v>
      </c>
    </row>
    <row r="1115" hidden="1" spans="1:24">
      <c r="A1115" s="1" t="s">
        <v>5265</v>
      </c>
      <c r="B1115" s="1" t="s">
        <v>90</v>
      </c>
      <c r="C1115" s="1" t="s">
        <v>6678</v>
      </c>
      <c r="D1115" s="1" t="s">
        <v>6674</v>
      </c>
      <c r="E1115" s="2" t="s">
        <v>787</v>
      </c>
      <c r="F1115" s="2" t="s">
        <v>6679</v>
      </c>
      <c r="G1115" s="1">
        <v>1</v>
      </c>
      <c r="H1115" s="1" t="s">
        <v>1663</v>
      </c>
      <c r="I1115" s="1" t="s">
        <v>1657</v>
      </c>
      <c r="J1115" s="1" t="s">
        <v>1658</v>
      </c>
      <c r="K1115" s="1" t="s">
        <v>1658</v>
      </c>
      <c r="L1115" s="1" t="s">
        <v>1658</v>
      </c>
      <c r="M1115" s="1" t="s">
        <v>1658</v>
      </c>
      <c r="N1115" s="1" t="s">
        <v>1658</v>
      </c>
      <c r="O1115" s="1" t="s">
        <v>1658</v>
      </c>
      <c r="P1115" s="1">
        <v>1</v>
      </c>
      <c r="Q1115" s="1" t="s">
        <v>1658</v>
      </c>
      <c r="R1115" s="1">
        <v>0</v>
      </c>
      <c r="S1115" s="1" t="s">
        <v>6680</v>
      </c>
      <c r="T1115" s="6" t="s">
        <v>6680</v>
      </c>
      <c r="U1115" s="1" t="str">
        <f t="shared" si="17"/>
        <v>Yes</v>
      </c>
      <c r="W1115" s="1" t="s">
        <v>6681</v>
      </c>
      <c r="X1115" s="1" t="str">
        <f>IF(COUNTIF('MyWells Drilling Comp'!F:F,E1115)=0,"Missing","Exist")</f>
        <v>Exist</v>
      </c>
    </row>
    <row r="1116" hidden="1" spans="1:24">
      <c r="A1116" s="1" t="s">
        <v>5265</v>
      </c>
      <c r="B1116" s="1" t="s">
        <v>90</v>
      </c>
      <c r="C1116" s="1" t="s">
        <v>6682</v>
      </c>
      <c r="D1116" s="1" t="s">
        <v>6683</v>
      </c>
      <c r="E1116" s="2" t="s">
        <v>675</v>
      </c>
      <c r="F1116" s="2" t="s">
        <v>6684</v>
      </c>
      <c r="G1116" s="1">
        <v>1</v>
      </c>
      <c r="H1116" s="1" t="s">
        <v>1656</v>
      </c>
      <c r="I1116" s="1" t="s">
        <v>1657</v>
      </c>
      <c r="J1116" s="1" t="s">
        <v>1658</v>
      </c>
      <c r="K1116" s="1" t="s">
        <v>1658</v>
      </c>
      <c r="L1116" s="1" t="s">
        <v>1658</v>
      </c>
      <c r="M1116" s="1" t="s">
        <v>1658</v>
      </c>
      <c r="N1116" s="1" t="s">
        <v>1658</v>
      </c>
      <c r="O1116" s="1" t="s">
        <v>1658</v>
      </c>
      <c r="P1116" s="1">
        <v>1</v>
      </c>
      <c r="Q1116" s="1" t="s">
        <v>1658</v>
      </c>
      <c r="R1116" s="1">
        <v>0</v>
      </c>
      <c r="S1116" s="1" t="s">
        <v>6685</v>
      </c>
      <c r="T1116" s="6" t="s">
        <v>6685</v>
      </c>
      <c r="U1116" s="1" t="str">
        <f t="shared" si="17"/>
        <v>Yes</v>
      </c>
      <c r="W1116" s="1" t="s">
        <v>6686</v>
      </c>
      <c r="X1116" s="1" t="str">
        <f>IF(COUNTIF('MyWells Drilling Comp'!F:F,E1116)=0,"Missing","Exist")</f>
        <v>Exist</v>
      </c>
    </row>
    <row r="1117" hidden="1" spans="1:24">
      <c r="A1117" s="1" t="s">
        <v>5265</v>
      </c>
      <c r="B1117" s="1" t="s">
        <v>90</v>
      </c>
      <c r="C1117" s="1" t="s">
        <v>6687</v>
      </c>
      <c r="D1117" s="1" t="s">
        <v>6683</v>
      </c>
      <c r="E1117" s="2" t="s">
        <v>675</v>
      </c>
      <c r="F1117" s="2" t="s">
        <v>6688</v>
      </c>
      <c r="G1117" s="1">
        <v>1</v>
      </c>
      <c r="H1117" s="1" t="s">
        <v>1663</v>
      </c>
      <c r="I1117" s="1" t="s">
        <v>1657</v>
      </c>
      <c r="J1117" s="1" t="s">
        <v>1658</v>
      </c>
      <c r="K1117" s="1" t="s">
        <v>1658</v>
      </c>
      <c r="L1117" s="1" t="s">
        <v>1658</v>
      </c>
      <c r="M1117" s="1" t="s">
        <v>1658</v>
      </c>
      <c r="N1117" s="1" t="s">
        <v>1658</v>
      </c>
      <c r="O1117" s="1" t="s">
        <v>1658</v>
      </c>
      <c r="P1117" s="1">
        <v>1</v>
      </c>
      <c r="Q1117" s="1" t="s">
        <v>1658</v>
      </c>
      <c r="R1117" s="1">
        <v>0</v>
      </c>
      <c r="S1117" s="1" t="s">
        <v>6689</v>
      </c>
      <c r="T1117" s="6" t="s">
        <v>6689</v>
      </c>
      <c r="U1117" s="1" t="str">
        <f t="shared" si="17"/>
        <v>Yes</v>
      </c>
      <c r="W1117" s="1" t="s">
        <v>6690</v>
      </c>
      <c r="X1117" s="1" t="str">
        <f>IF(COUNTIF('MyWells Drilling Comp'!F:F,E1117)=0,"Missing","Exist")</f>
        <v>Exist</v>
      </c>
    </row>
    <row r="1118" hidden="1" spans="1:24">
      <c r="A1118" s="1" t="s">
        <v>5265</v>
      </c>
      <c r="B1118" s="1" t="s">
        <v>90</v>
      </c>
      <c r="C1118" s="1" t="s">
        <v>6691</v>
      </c>
      <c r="D1118" s="1" t="s">
        <v>6692</v>
      </c>
      <c r="E1118" s="2" t="s">
        <v>111</v>
      </c>
      <c r="F1118" s="2" t="s">
        <v>6693</v>
      </c>
      <c r="G1118" s="1">
        <v>1</v>
      </c>
      <c r="H1118" s="1" t="s">
        <v>1656</v>
      </c>
      <c r="I1118" s="1" t="s">
        <v>1657</v>
      </c>
      <c r="J1118" s="1" t="s">
        <v>1658</v>
      </c>
      <c r="K1118" s="1" t="s">
        <v>1658</v>
      </c>
      <c r="L1118" s="1" t="s">
        <v>1658</v>
      </c>
      <c r="M1118" s="1" t="s">
        <v>1658</v>
      </c>
      <c r="N1118" s="1" t="s">
        <v>1658</v>
      </c>
      <c r="O1118" s="1" t="s">
        <v>1658</v>
      </c>
      <c r="P1118" s="1">
        <v>1</v>
      </c>
      <c r="Q1118" s="1" t="s">
        <v>1658</v>
      </c>
      <c r="R1118" s="1">
        <v>0</v>
      </c>
      <c r="S1118" s="1" t="s">
        <v>6694</v>
      </c>
      <c r="T1118" s="6" t="s">
        <v>6694</v>
      </c>
      <c r="U1118" s="1" t="str">
        <f t="shared" si="17"/>
        <v>Yes</v>
      </c>
      <c r="W1118" s="1" t="s">
        <v>6695</v>
      </c>
      <c r="X1118" s="1" t="str">
        <f>IF(COUNTIF('MyWells Drilling Comp'!F:F,E1118)=0,"Missing","Exist")</f>
        <v>Exist</v>
      </c>
    </row>
    <row r="1119" hidden="1" spans="1:24">
      <c r="A1119" s="1" t="s">
        <v>5265</v>
      </c>
      <c r="B1119" s="1" t="s">
        <v>90</v>
      </c>
      <c r="C1119" s="1" t="s">
        <v>6696</v>
      </c>
      <c r="D1119" s="1" t="s">
        <v>6692</v>
      </c>
      <c r="E1119" s="2" t="s">
        <v>111</v>
      </c>
      <c r="F1119" s="2" t="s">
        <v>6697</v>
      </c>
      <c r="G1119" s="1">
        <v>1</v>
      </c>
      <c r="H1119" s="1" t="s">
        <v>1663</v>
      </c>
      <c r="I1119" s="1" t="s">
        <v>1657</v>
      </c>
      <c r="J1119" s="1" t="s">
        <v>1658</v>
      </c>
      <c r="K1119" s="1" t="s">
        <v>1658</v>
      </c>
      <c r="L1119" s="1" t="s">
        <v>1658</v>
      </c>
      <c r="M1119" s="1" t="s">
        <v>1658</v>
      </c>
      <c r="N1119" s="1" t="s">
        <v>1658</v>
      </c>
      <c r="O1119" s="1" t="s">
        <v>1658</v>
      </c>
      <c r="P1119" s="1">
        <v>1</v>
      </c>
      <c r="Q1119" s="1" t="s">
        <v>1658</v>
      </c>
      <c r="R1119" s="1">
        <v>0</v>
      </c>
      <c r="S1119" s="1" t="s">
        <v>6698</v>
      </c>
      <c r="T1119" s="6" t="s">
        <v>6698</v>
      </c>
      <c r="U1119" s="1" t="str">
        <f t="shared" si="17"/>
        <v>Yes</v>
      </c>
      <c r="W1119" s="1" t="s">
        <v>6699</v>
      </c>
      <c r="X1119" s="1" t="str">
        <f>IF(COUNTIF('MyWells Drilling Comp'!F:F,E1119)=0,"Missing","Exist")</f>
        <v>Exist</v>
      </c>
    </row>
    <row r="1120" hidden="1" spans="1:24">
      <c r="A1120" s="1" t="s">
        <v>5265</v>
      </c>
      <c r="B1120" s="1" t="s">
        <v>90</v>
      </c>
      <c r="C1120" s="1" t="s">
        <v>6700</v>
      </c>
      <c r="D1120" s="1" t="s">
        <v>6701</v>
      </c>
      <c r="E1120" s="2" t="s">
        <v>1271</v>
      </c>
      <c r="F1120" s="2" t="s">
        <v>6702</v>
      </c>
      <c r="G1120" s="1">
        <v>1</v>
      </c>
      <c r="H1120" s="1" t="s">
        <v>1663</v>
      </c>
      <c r="I1120" s="1" t="s">
        <v>1657</v>
      </c>
      <c r="J1120" s="1" t="s">
        <v>1658</v>
      </c>
      <c r="K1120" s="1" t="s">
        <v>1658</v>
      </c>
      <c r="L1120" s="1" t="s">
        <v>1658</v>
      </c>
      <c r="M1120" s="1" t="s">
        <v>1658</v>
      </c>
      <c r="N1120" s="1" t="s">
        <v>1658</v>
      </c>
      <c r="O1120" s="1" t="s">
        <v>1658</v>
      </c>
      <c r="P1120" s="1">
        <v>1</v>
      </c>
      <c r="Q1120" s="1" t="s">
        <v>1658</v>
      </c>
      <c r="R1120" s="1">
        <v>0</v>
      </c>
      <c r="S1120" s="1" t="s">
        <v>6703</v>
      </c>
      <c r="T1120" s="6" t="s">
        <v>6703</v>
      </c>
      <c r="U1120" s="1" t="str">
        <f t="shared" si="17"/>
        <v>Yes</v>
      </c>
      <c r="W1120" s="1" t="s">
        <v>6704</v>
      </c>
      <c r="X1120" s="1" t="str">
        <f>IF(COUNTIF('MyWells Drilling Comp'!F:F,E1120)=0,"Missing","Exist")</f>
        <v>Exist</v>
      </c>
    </row>
    <row r="1121" hidden="1" spans="1:24">
      <c r="A1121" s="1" t="s">
        <v>5265</v>
      </c>
      <c r="B1121" s="1" t="s">
        <v>90</v>
      </c>
      <c r="C1121" s="1" t="s">
        <v>6705</v>
      </c>
      <c r="D1121" s="1" t="s">
        <v>6701</v>
      </c>
      <c r="E1121" s="2" t="s">
        <v>1271</v>
      </c>
      <c r="F1121" s="2" t="s">
        <v>6706</v>
      </c>
      <c r="G1121" s="1">
        <v>1</v>
      </c>
      <c r="H1121" s="1" t="s">
        <v>1656</v>
      </c>
      <c r="I1121" s="1" t="s">
        <v>1657</v>
      </c>
      <c r="J1121" s="1" t="s">
        <v>1658</v>
      </c>
      <c r="K1121" s="1" t="s">
        <v>1658</v>
      </c>
      <c r="L1121" s="1" t="s">
        <v>1658</v>
      </c>
      <c r="M1121" s="1" t="s">
        <v>1658</v>
      </c>
      <c r="N1121" s="1" t="s">
        <v>1658</v>
      </c>
      <c r="O1121" s="1" t="s">
        <v>1658</v>
      </c>
      <c r="P1121" s="1">
        <v>1</v>
      </c>
      <c r="Q1121" s="1" t="s">
        <v>1658</v>
      </c>
      <c r="R1121" s="1">
        <v>0</v>
      </c>
      <c r="S1121" s="1" t="s">
        <v>5405</v>
      </c>
      <c r="T1121" s="6"/>
      <c r="U1121" s="1" t="str">
        <f t="shared" si="17"/>
        <v>No</v>
      </c>
      <c r="W1121" s="1" t="s">
        <v>6707</v>
      </c>
      <c r="X1121" s="1" t="str">
        <f>IF(COUNTIF('MyWells Drilling Comp'!F:F,E1121)=0,"Missing","Exist")</f>
        <v>Exist</v>
      </c>
    </row>
    <row r="1122" hidden="1" spans="1:24">
      <c r="A1122" s="1" t="s">
        <v>5265</v>
      </c>
      <c r="B1122" s="1" t="s">
        <v>90</v>
      </c>
      <c r="C1122" s="1" t="s">
        <v>6708</v>
      </c>
      <c r="D1122" s="1" t="s">
        <v>6709</v>
      </c>
      <c r="E1122" s="2" t="s">
        <v>1234</v>
      </c>
      <c r="F1122" s="2" t="s">
        <v>6710</v>
      </c>
      <c r="G1122" s="1">
        <v>1</v>
      </c>
      <c r="H1122" s="1" t="s">
        <v>1656</v>
      </c>
      <c r="I1122" s="1" t="s">
        <v>1657</v>
      </c>
      <c r="J1122" s="1" t="s">
        <v>1658</v>
      </c>
      <c r="K1122" s="1" t="s">
        <v>1658</v>
      </c>
      <c r="L1122" s="1" t="s">
        <v>1658</v>
      </c>
      <c r="M1122" s="1" t="s">
        <v>1658</v>
      </c>
      <c r="N1122" s="1" t="s">
        <v>1658</v>
      </c>
      <c r="O1122" s="1" t="s">
        <v>1658</v>
      </c>
      <c r="P1122" s="1">
        <v>1</v>
      </c>
      <c r="Q1122" s="1" t="s">
        <v>1658</v>
      </c>
      <c r="R1122" s="1">
        <v>0</v>
      </c>
      <c r="S1122" s="1" t="s">
        <v>6711</v>
      </c>
      <c r="T1122" s="6" t="s">
        <v>6711</v>
      </c>
      <c r="U1122" s="1" t="str">
        <f t="shared" si="17"/>
        <v>Yes</v>
      </c>
      <c r="W1122" s="1" t="s">
        <v>6712</v>
      </c>
      <c r="X1122" s="1" t="str">
        <f>IF(COUNTIF('MyWells Drilling Comp'!F:F,E1122)=0,"Missing","Exist")</f>
        <v>Exist</v>
      </c>
    </row>
    <row r="1123" hidden="1" spans="1:24">
      <c r="A1123" s="1" t="s">
        <v>5265</v>
      </c>
      <c r="B1123" s="1" t="s">
        <v>90</v>
      </c>
      <c r="C1123" s="1" t="s">
        <v>6713</v>
      </c>
      <c r="D1123" s="1" t="s">
        <v>6709</v>
      </c>
      <c r="E1123" s="2" t="s">
        <v>1234</v>
      </c>
      <c r="F1123" s="2" t="s">
        <v>6714</v>
      </c>
      <c r="G1123" s="1">
        <v>1</v>
      </c>
      <c r="H1123" s="1" t="s">
        <v>1663</v>
      </c>
      <c r="I1123" s="1" t="s">
        <v>1657</v>
      </c>
      <c r="J1123" s="1" t="s">
        <v>1658</v>
      </c>
      <c r="K1123" s="1" t="s">
        <v>1658</v>
      </c>
      <c r="L1123" s="1" t="s">
        <v>1658</v>
      </c>
      <c r="M1123" s="1" t="s">
        <v>1658</v>
      </c>
      <c r="N1123" s="1" t="s">
        <v>1658</v>
      </c>
      <c r="O1123" s="1" t="s">
        <v>1658</v>
      </c>
      <c r="P1123" s="1">
        <v>1</v>
      </c>
      <c r="Q1123" s="1" t="s">
        <v>1658</v>
      </c>
      <c r="R1123" s="1">
        <v>0</v>
      </c>
      <c r="S1123" s="1" t="s">
        <v>6715</v>
      </c>
      <c r="T1123" s="6"/>
      <c r="U1123" s="1" t="str">
        <f t="shared" si="17"/>
        <v>No</v>
      </c>
      <c r="W1123" s="1" t="s">
        <v>6716</v>
      </c>
      <c r="X1123" s="1" t="str">
        <f>IF(COUNTIF('MyWells Drilling Comp'!F:F,E1123)=0,"Missing","Exist")</f>
        <v>Exist</v>
      </c>
    </row>
    <row r="1124" hidden="1" spans="1:24">
      <c r="A1124" s="1" t="s">
        <v>5265</v>
      </c>
      <c r="B1124" s="1" t="s">
        <v>90</v>
      </c>
      <c r="C1124" s="1" t="s">
        <v>6717</v>
      </c>
      <c r="D1124" s="1" t="s">
        <v>6718</v>
      </c>
      <c r="E1124" s="2" t="s">
        <v>1265</v>
      </c>
      <c r="F1124" s="2" t="s">
        <v>6719</v>
      </c>
      <c r="G1124" s="1">
        <v>1</v>
      </c>
      <c r="H1124" s="1" t="s">
        <v>1663</v>
      </c>
      <c r="I1124" s="1" t="s">
        <v>1657</v>
      </c>
      <c r="J1124" s="1" t="s">
        <v>1658</v>
      </c>
      <c r="K1124" s="1" t="s">
        <v>1658</v>
      </c>
      <c r="L1124" s="1" t="s">
        <v>1658</v>
      </c>
      <c r="M1124" s="1" t="s">
        <v>1658</v>
      </c>
      <c r="N1124" s="1" t="s">
        <v>1658</v>
      </c>
      <c r="O1124" s="1" t="s">
        <v>1658</v>
      </c>
      <c r="P1124" s="1">
        <v>1</v>
      </c>
      <c r="Q1124" s="1" t="s">
        <v>1658</v>
      </c>
      <c r="R1124" s="1">
        <v>0</v>
      </c>
      <c r="S1124" s="1" t="s">
        <v>6720</v>
      </c>
      <c r="T1124" s="6" t="s">
        <v>6721</v>
      </c>
      <c r="U1124" s="1" t="str">
        <f t="shared" si="17"/>
        <v>No</v>
      </c>
      <c r="W1124" s="1" t="s">
        <v>6722</v>
      </c>
      <c r="X1124" s="1" t="str">
        <f>IF(COUNTIF('MyWells Drilling Comp'!F:F,E1124)=0,"Missing","Exist")</f>
        <v>Exist</v>
      </c>
    </row>
    <row r="1125" hidden="1" spans="1:24">
      <c r="A1125" s="1" t="s">
        <v>5265</v>
      </c>
      <c r="B1125" s="1" t="s">
        <v>90</v>
      </c>
      <c r="C1125" s="1" t="s">
        <v>6723</v>
      </c>
      <c r="D1125" s="1" t="s">
        <v>6718</v>
      </c>
      <c r="E1125" s="2" t="s">
        <v>1265</v>
      </c>
      <c r="F1125" s="2" t="s">
        <v>6724</v>
      </c>
      <c r="G1125" s="1">
        <v>1</v>
      </c>
      <c r="H1125" s="1" t="s">
        <v>1656</v>
      </c>
      <c r="I1125" s="1" t="s">
        <v>1657</v>
      </c>
      <c r="J1125" s="1" t="s">
        <v>1658</v>
      </c>
      <c r="K1125" s="1" t="s">
        <v>1658</v>
      </c>
      <c r="L1125" s="1" t="s">
        <v>1658</v>
      </c>
      <c r="M1125" s="1" t="s">
        <v>1658</v>
      </c>
      <c r="N1125" s="1" t="s">
        <v>1658</v>
      </c>
      <c r="O1125" s="1" t="s">
        <v>1658</v>
      </c>
      <c r="P1125" s="1">
        <v>1</v>
      </c>
      <c r="Q1125" s="1" t="s">
        <v>1658</v>
      </c>
      <c r="R1125" s="1">
        <v>0</v>
      </c>
      <c r="S1125" s="1" t="s">
        <v>6725</v>
      </c>
      <c r="T1125" s="6" t="s">
        <v>6725</v>
      </c>
      <c r="U1125" s="1" t="str">
        <f t="shared" si="17"/>
        <v>Yes</v>
      </c>
      <c r="W1125" s="1" t="s">
        <v>6726</v>
      </c>
      <c r="X1125" s="1" t="str">
        <f>IF(COUNTIF('MyWells Drilling Comp'!F:F,E1125)=0,"Missing","Exist")</f>
        <v>Exist</v>
      </c>
    </row>
    <row r="1126" hidden="1" spans="1:24">
      <c r="A1126" s="1" t="s">
        <v>5265</v>
      </c>
      <c r="B1126" s="1" t="s">
        <v>90</v>
      </c>
      <c r="C1126" s="1" t="s">
        <v>6727</v>
      </c>
      <c r="D1126" s="1" t="s">
        <v>6728</v>
      </c>
      <c r="E1126" s="2" t="s">
        <v>693</v>
      </c>
      <c r="F1126" s="2" t="s">
        <v>6729</v>
      </c>
      <c r="G1126" s="1">
        <v>1</v>
      </c>
      <c r="H1126" s="1" t="s">
        <v>1663</v>
      </c>
      <c r="I1126" s="1" t="s">
        <v>1657</v>
      </c>
      <c r="J1126" s="1" t="s">
        <v>1658</v>
      </c>
      <c r="K1126" s="1" t="s">
        <v>1658</v>
      </c>
      <c r="L1126" s="1" t="s">
        <v>1658</v>
      </c>
      <c r="M1126" s="1" t="s">
        <v>1658</v>
      </c>
      <c r="N1126" s="1" t="s">
        <v>1658</v>
      </c>
      <c r="O1126" s="1" t="s">
        <v>1658</v>
      </c>
      <c r="P1126" s="1">
        <v>1</v>
      </c>
      <c r="Q1126" s="1" t="s">
        <v>1658</v>
      </c>
      <c r="R1126" s="1">
        <v>0</v>
      </c>
      <c r="S1126" s="1" t="s">
        <v>6730</v>
      </c>
      <c r="T1126" s="6" t="s">
        <v>6730</v>
      </c>
      <c r="U1126" s="1" t="str">
        <f t="shared" si="17"/>
        <v>Yes</v>
      </c>
      <c r="W1126" s="1" t="s">
        <v>6731</v>
      </c>
      <c r="X1126" s="1" t="str">
        <f>IF(COUNTIF('MyWells Drilling Comp'!F:F,E1126)=0,"Missing","Exist")</f>
        <v>Exist</v>
      </c>
    </row>
    <row r="1127" hidden="1" spans="1:24">
      <c r="A1127" s="1" t="s">
        <v>5265</v>
      </c>
      <c r="B1127" s="1" t="s">
        <v>90</v>
      </c>
      <c r="C1127" s="1" t="s">
        <v>6732</v>
      </c>
      <c r="D1127" s="1" t="s">
        <v>6728</v>
      </c>
      <c r="E1127" s="2" t="s">
        <v>693</v>
      </c>
      <c r="F1127" s="2" t="s">
        <v>6733</v>
      </c>
      <c r="G1127" s="1">
        <v>1</v>
      </c>
      <c r="H1127" s="1" t="s">
        <v>1656</v>
      </c>
      <c r="I1127" s="1" t="s">
        <v>1657</v>
      </c>
      <c r="J1127" s="1" t="s">
        <v>1658</v>
      </c>
      <c r="K1127" s="1" t="s">
        <v>1658</v>
      </c>
      <c r="L1127" s="1" t="s">
        <v>1658</v>
      </c>
      <c r="M1127" s="1" t="s">
        <v>1658</v>
      </c>
      <c r="N1127" s="1" t="s">
        <v>1658</v>
      </c>
      <c r="O1127" s="1" t="s">
        <v>1658</v>
      </c>
      <c r="P1127" s="1">
        <v>1</v>
      </c>
      <c r="Q1127" s="1" t="s">
        <v>1658</v>
      </c>
      <c r="R1127" s="1">
        <v>0</v>
      </c>
      <c r="S1127" s="1" t="s">
        <v>6734</v>
      </c>
      <c r="T1127" s="6"/>
      <c r="U1127" s="1" t="str">
        <f t="shared" si="17"/>
        <v>No</v>
      </c>
      <c r="W1127" s="1" t="s">
        <v>6735</v>
      </c>
      <c r="X1127" s="1" t="str">
        <f>IF(COUNTIF('MyWells Drilling Comp'!F:F,E1127)=0,"Missing","Exist")</f>
        <v>Exist</v>
      </c>
    </row>
    <row r="1128" hidden="1" spans="1:24">
      <c r="A1128" s="1" t="s">
        <v>5265</v>
      </c>
      <c r="B1128" s="1" t="s">
        <v>90</v>
      </c>
      <c r="C1128" s="1" t="s">
        <v>6736</v>
      </c>
      <c r="D1128" s="1" t="s">
        <v>6737</v>
      </c>
      <c r="E1128" s="2" t="s">
        <v>756</v>
      </c>
      <c r="F1128" s="2" t="s">
        <v>6738</v>
      </c>
      <c r="G1128" s="1">
        <v>1</v>
      </c>
      <c r="H1128" s="1" t="s">
        <v>1663</v>
      </c>
      <c r="I1128" s="1" t="s">
        <v>1657</v>
      </c>
      <c r="J1128" s="1" t="s">
        <v>1658</v>
      </c>
      <c r="K1128" s="1" t="s">
        <v>1658</v>
      </c>
      <c r="L1128" s="1" t="s">
        <v>1658</v>
      </c>
      <c r="M1128" s="1" t="s">
        <v>1658</v>
      </c>
      <c r="N1128" s="1" t="s">
        <v>1658</v>
      </c>
      <c r="O1128" s="1" t="s">
        <v>1658</v>
      </c>
      <c r="P1128" s="1">
        <v>1</v>
      </c>
      <c r="Q1128" s="1" t="s">
        <v>1658</v>
      </c>
      <c r="R1128" s="1">
        <v>0</v>
      </c>
      <c r="S1128" s="1" t="s">
        <v>6739</v>
      </c>
      <c r="T1128" s="6" t="s">
        <v>6739</v>
      </c>
      <c r="U1128" s="1" t="str">
        <f t="shared" si="17"/>
        <v>Yes</v>
      </c>
      <c r="W1128" s="1" t="s">
        <v>6740</v>
      </c>
      <c r="X1128" s="1" t="str">
        <f>IF(COUNTIF('MyWells Drilling Comp'!F:F,E1128)=0,"Missing","Exist")</f>
        <v>Exist</v>
      </c>
    </row>
    <row r="1129" hidden="1" spans="1:24">
      <c r="A1129" s="1" t="s">
        <v>5265</v>
      </c>
      <c r="B1129" s="1" t="s">
        <v>90</v>
      </c>
      <c r="C1129" s="1" t="s">
        <v>6741</v>
      </c>
      <c r="D1129" s="1" t="s">
        <v>6737</v>
      </c>
      <c r="E1129" s="2" t="s">
        <v>756</v>
      </c>
      <c r="F1129" s="2" t="s">
        <v>6742</v>
      </c>
      <c r="G1129" s="1">
        <v>1</v>
      </c>
      <c r="H1129" s="1" t="s">
        <v>1656</v>
      </c>
      <c r="I1129" s="1" t="s">
        <v>1657</v>
      </c>
      <c r="J1129" s="1" t="s">
        <v>1658</v>
      </c>
      <c r="K1129" s="1" t="s">
        <v>1658</v>
      </c>
      <c r="L1129" s="1" t="s">
        <v>1658</v>
      </c>
      <c r="M1129" s="1" t="s">
        <v>1658</v>
      </c>
      <c r="N1129" s="1" t="s">
        <v>1658</v>
      </c>
      <c r="O1129" s="1" t="s">
        <v>1658</v>
      </c>
      <c r="P1129" s="1">
        <v>1</v>
      </c>
      <c r="Q1129" s="1" t="s">
        <v>1658</v>
      </c>
      <c r="R1129" s="1">
        <v>0</v>
      </c>
      <c r="S1129" s="1" t="s">
        <v>6743</v>
      </c>
      <c r="T1129" s="6" t="s">
        <v>6743</v>
      </c>
      <c r="U1129" s="1" t="str">
        <f t="shared" si="17"/>
        <v>Yes</v>
      </c>
      <c r="W1129" s="1" t="s">
        <v>6744</v>
      </c>
      <c r="X1129" s="1" t="str">
        <f>IF(COUNTIF('MyWells Drilling Comp'!F:F,E1129)=0,"Missing","Exist")</f>
        <v>Exist</v>
      </c>
    </row>
    <row r="1130" hidden="1" spans="1:24">
      <c r="A1130" s="1" t="s">
        <v>5265</v>
      </c>
      <c r="B1130" s="1" t="s">
        <v>90</v>
      </c>
      <c r="C1130" s="1" t="s">
        <v>6745</v>
      </c>
      <c r="D1130" s="1" t="s">
        <v>6746</v>
      </c>
      <c r="E1130" s="2" t="s">
        <v>1106</v>
      </c>
      <c r="F1130" s="2" t="s">
        <v>6747</v>
      </c>
      <c r="G1130" s="1">
        <v>1</v>
      </c>
      <c r="H1130" s="1" t="s">
        <v>1663</v>
      </c>
      <c r="I1130" s="1" t="s">
        <v>1657</v>
      </c>
      <c r="J1130" s="1" t="s">
        <v>1658</v>
      </c>
      <c r="K1130" s="1" t="s">
        <v>1658</v>
      </c>
      <c r="L1130" s="1" t="s">
        <v>1658</v>
      </c>
      <c r="M1130" s="1" t="s">
        <v>1658</v>
      </c>
      <c r="N1130" s="1" t="s">
        <v>1658</v>
      </c>
      <c r="O1130" s="1" t="s">
        <v>1658</v>
      </c>
      <c r="P1130" s="1">
        <v>1</v>
      </c>
      <c r="Q1130" s="1" t="s">
        <v>1658</v>
      </c>
      <c r="R1130" s="1">
        <v>0</v>
      </c>
      <c r="S1130" s="1" t="s">
        <v>6748</v>
      </c>
      <c r="T1130" s="6" t="s">
        <v>6748</v>
      </c>
      <c r="U1130" s="1" t="str">
        <f t="shared" si="17"/>
        <v>Yes</v>
      </c>
      <c r="W1130" s="1" t="s">
        <v>6749</v>
      </c>
      <c r="X1130" s="1" t="str">
        <f>IF(COUNTIF('MyWells Drilling Comp'!F:F,E1130)=0,"Missing","Exist")</f>
        <v>Exist</v>
      </c>
    </row>
    <row r="1131" hidden="1" spans="1:24">
      <c r="A1131" s="1" t="s">
        <v>5265</v>
      </c>
      <c r="B1131" s="1" t="s">
        <v>90</v>
      </c>
      <c r="C1131" s="1" t="s">
        <v>6750</v>
      </c>
      <c r="D1131" s="1" t="s">
        <v>6746</v>
      </c>
      <c r="E1131" s="2" t="s">
        <v>1106</v>
      </c>
      <c r="F1131" s="2" t="s">
        <v>6751</v>
      </c>
      <c r="G1131" s="1">
        <v>1</v>
      </c>
      <c r="H1131" s="1" t="s">
        <v>1656</v>
      </c>
      <c r="I1131" s="1" t="s">
        <v>1657</v>
      </c>
      <c r="J1131" s="1" t="s">
        <v>1658</v>
      </c>
      <c r="K1131" s="1" t="s">
        <v>1658</v>
      </c>
      <c r="L1131" s="1" t="s">
        <v>1658</v>
      </c>
      <c r="M1131" s="1" t="s">
        <v>1658</v>
      </c>
      <c r="N1131" s="1" t="s">
        <v>1658</v>
      </c>
      <c r="O1131" s="1" t="s">
        <v>1658</v>
      </c>
      <c r="P1131" s="1">
        <v>1</v>
      </c>
      <c r="Q1131" s="1" t="s">
        <v>1658</v>
      </c>
      <c r="R1131" s="1">
        <v>0</v>
      </c>
      <c r="S1131" s="1" t="s">
        <v>6752</v>
      </c>
      <c r="T1131" s="6" t="s">
        <v>6752</v>
      </c>
      <c r="U1131" s="1" t="str">
        <f t="shared" si="17"/>
        <v>Yes</v>
      </c>
      <c r="W1131" s="1" t="s">
        <v>6753</v>
      </c>
      <c r="X1131" s="1" t="str">
        <f>IF(COUNTIF('MyWells Drilling Comp'!F:F,E1131)=0,"Missing","Exist")</f>
        <v>Exist</v>
      </c>
    </row>
    <row r="1132" hidden="1" spans="1:24">
      <c r="A1132" s="1" t="s">
        <v>5265</v>
      </c>
      <c r="B1132" s="1" t="s">
        <v>90</v>
      </c>
      <c r="C1132" s="1" t="s">
        <v>6754</v>
      </c>
      <c r="D1132" s="1" t="s">
        <v>6755</v>
      </c>
      <c r="E1132" s="2" t="s">
        <v>1616</v>
      </c>
      <c r="F1132" s="2" t="s">
        <v>6756</v>
      </c>
      <c r="G1132" s="1">
        <v>1</v>
      </c>
      <c r="H1132" s="1" t="s">
        <v>1663</v>
      </c>
      <c r="I1132" s="1" t="s">
        <v>1657</v>
      </c>
      <c r="J1132" s="1" t="s">
        <v>1658</v>
      </c>
      <c r="K1132" s="1" t="s">
        <v>1658</v>
      </c>
      <c r="L1132" s="1" t="s">
        <v>1658</v>
      </c>
      <c r="M1132" s="1" t="s">
        <v>1658</v>
      </c>
      <c r="N1132" s="1" t="s">
        <v>1658</v>
      </c>
      <c r="O1132" s="1" t="s">
        <v>1658</v>
      </c>
      <c r="P1132" s="1">
        <v>1</v>
      </c>
      <c r="Q1132" s="1" t="s">
        <v>1658</v>
      </c>
      <c r="R1132" s="1">
        <v>0</v>
      </c>
      <c r="S1132" s="1" t="s">
        <v>6757</v>
      </c>
      <c r="T1132" s="6" t="s">
        <v>6757</v>
      </c>
      <c r="U1132" s="1" t="str">
        <f t="shared" si="17"/>
        <v>Yes</v>
      </c>
      <c r="W1132" s="1" t="s">
        <v>6758</v>
      </c>
      <c r="X1132" s="1" t="str">
        <f>IF(COUNTIF('MyWells Drilling Comp'!F:F,E1132)=0,"Missing","Exist")</f>
        <v>Exist</v>
      </c>
    </row>
    <row r="1133" hidden="1" spans="1:24">
      <c r="A1133" s="1" t="s">
        <v>5265</v>
      </c>
      <c r="B1133" s="1" t="s">
        <v>90</v>
      </c>
      <c r="C1133" s="1" t="s">
        <v>6759</v>
      </c>
      <c r="D1133" s="1" t="s">
        <v>6755</v>
      </c>
      <c r="E1133" s="2" t="s">
        <v>1616</v>
      </c>
      <c r="F1133" s="2" t="s">
        <v>6760</v>
      </c>
      <c r="G1133" s="1">
        <v>1</v>
      </c>
      <c r="H1133" s="1" t="s">
        <v>1656</v>
      </c>
      <c r="I1133" s="1" t="s">
        <v>1657</v>
      </c>
      <c r="J1133" s="1" t="s">
        <v>1658</v>
      </c>
      <c r="K1133" s="1" t="s">
        <v>1658</v>
      </c>
      <c r="L1133" s="1" t="s">
        <v>1658</v>
      </c>
      <c r="M1133" s="1" t="s">
        <v>1658</v>
      </c>
      <c r="N1133" s="1" t="s">
        <v>1658</v>
      </c>
      <c r="O1133" s="1" t="s">
        <v>1658</v>
      </c>
      <c r="P1133" s="1">
        <v>1</v>
      </c>
      <c r="Q1133" s="1" t="s">
        <v>1658</v>
      </c>
      <c r="R1133" s="1">
        <v>0</v>
      </c>
      <c r="S1133" s="1" t="s">
        <v>6761</v>
      </c>
      <c r="T1133" s="6" t="s">
        <v>6761</v>
      </c>
      <c r="U1133" s="1" t="str">
        <f t="shared" si="17"/>
        <v>Yes</v>
      </c>
      <c r="W1133" s="1" t="s">
        <v>6762</v>
      </c>
      <c r="X1133" s="1" t="str">
        <f>IF(COUNTIF('MyWells Drilling Comp'!F:F,E1133)=0,"Missing","Exist")</f>
        <v>Exist</v>
      </c>
    </row>
    <row r="1134" hidden="1" spans="1:24">
      <c r="A1134" s="1" t="s">
        <v>5265</v>
      </c>
      <c r="B1134" s="1" t="s">
        <v>90</v>
      </c>
      <c r="C1134" s="1" t="s">
        <v>6763</v>
      </c>
      <c r="D1134" s="1" t="s">
        <v>6764</v>
      </c>
      <c r="E1134" s="2" t="s">
        <v>927</v>
      </c>
      <c r="F1134" s="2" t="s">
        <v>6765</v>
      </c>
      <c r="G1134" s="1">
        <v>1</v>
      </c>
      <c r="H1134" s="1" t="s">
        <v>1656</v>
      </c>
      <c r="I1134" s="1" t="s">
        <v>1657</v>
      </c>
      <c r="J1134" s="1" t="s">
        <v>1658</v>
      </c>
      <c r="K1134" s="1" t="s">
        <v>1658</v>
      </c>
      <c r="L1134" s="1" t="s">
        <v>1658</v>
      </c>
      <c r="M1134" s="1" t="s">
        <v>1658</v>
      </c>
      <c r="N1134" s="1" t="s">
        <v>1658</v>
      </c>
      <c r="O1134" s="1" t="s">
        <v>1658</v>
      </c>
      <c r="P1134" s="1">
        <v>1</v>
      </c>
      <c r="Q1134" s="1" t="s">
        <v>1658</v>
      </c>
      <c r="R1134" s="1">
        <v>0</v>
      </c>
      <c r="S1134" s="1" t="s">
        <v>6766</v>
      </c>
      <c r="T1134" s="6" t="s">
        <v>6766</v>
      </c>
      <c r="U1134" s="1" t="str">
        <f t="shared" si="17"/>
        <v>Yes</v>
      </c>
      <c r="W1134" s="1" t="s">
        <v>6767</v>
      </c>
      <c r="X1134" s="1" t="str">
        <f>IF(COUNTIF('MyWells Drilling Comp'!F:F,E1134)=0,"Missing","Exist")</f>
        <v>Exist</v>
      </c>
    </row>
    <row r="1135" hidden="1" spans="1:24">
      <c r="A1135" s="1" t="s">
        <v>5265</v>
      </c>
      <c r="B1135" s="1" t="s">
        <v>90</v>
      </c>
      <c r="C1135" s="1" t="s">
        <v>6768</v>
      </c>
      <c r="D1135" s="1" t="s">
        <v>6764</v>
      </c>
      <c r="E1135" s="2" t="s">
        <v>927</v>
      </c>
      <c r="F1135" s="2" t="s">
        <v>6769</v>
      </c>
      <c r="G1135" s="1">
        <v>1</v>
      </c>
      <c r="H1135" s="1" t="s">
        <v>1663</v>
      </c>
      <c r="I1135" s="1" t="s">
        <v>1657</v>
      </c>
      <c r="J1135" s="1" t="s">
        <v>1658</v>
      </c>
      <c r="K1135" s="1" t="s">
        <v>1658</v>
      </c>
      <c r="L1135" s="1" t="s">
        <v>1658</v>
      </c>
      <c r="M1135" s="1" t="s">
        <v>1658</v>
      </c>
      <c r="N1135" s="1" t="s">
        <v>1658</v>
      </c>
      <c r="O1135" s="1" t="s">
        <v>1658</v>
      </c>
      <c r="P1135" s="1">
        <v>1</v>
      </c>
      <c r="Q1135" s="1" t="s">
        <v>1658</v>
      </c>
      <c r="R1135" s="1">
        <v>0</v>
      </c>
      <c r="S1135" s="1" t="s">
        <v>6770</v>
      </c>
      <c r="T1135" s="6" t="s">
        <v>6770</v>
      </c>
      <c r="U1135" s="1" t="str">
        <f t="shared" si="17"/>
        <v>Yes</v>
      </c>
      <c r="W1135" s="1" t="s">
        <v>6771</v>
      </c>
      <c r="X1135" s="1" t="str">
        <f>IF(COUNTIF('MyWells Drilling Comp'!F:F,E1135)=0,"Missing","Exist")</f>
        <v>Exist</v>
      </c>
    </row>
    <row r="1136" hidden="1" spans="1:24">
      <c r="A1136" s="1" t="s">
        <v>5265</v>
      </c>
      <c r="B1136" s="1" t="s">
        <v>90</v>
      </c>
      <c r="C1136" s="1" t="s">
        <v>6772</v>
      </c>
      <c r="D1136" s="1" t="s">
        <v>6773</v>
      </c>
      <c r="E1136" s="2" t="s">
        <v>792</v>
      </c>
      <c r="F1136" s="2" t="s">
        <v>6774</v>
      </c>
      <c r="G1136" s="1">
        <v>1</v>
      </c>
      <c r="H1136" s="1" t="s">
        <v>1656</v>
      </c>
      <c r="I1136" s="1" t="s">
        <v>1657</v>
      </c>
      <c r="J1136" s="1" t="s">
        <v>1658</v>
      </c>
      <c r="K1136" s="1" t="s">
        <v>1658</v>
      </c>
      <c r="L1136" s="1" t="s">
        <v>1658</v>
      </c>
      <c r="M1136" s="1" t="s">
        <v>1658</v>
      </c>
      <c r="N1136" s="1" t="s">
        <v>1658</v>
      </c>
      <c r="O1136" s="1" t="s">
        <v>1658</v>
      </c>
      <c r="P1136" s="1">
        <v>1</v>
      </c>
      <c r="Q1136" s="1" t="s">
        <v>1658</v>
      </c>
      <c r="R1136" s="1">
        <v>0</v>
      </c>
      <c r="S1136" s="1" t="s">
        <v>6775</v>
      </c>
      <c r="T1136" s="6" t="s">
        <v>6775</v>
      </c>
      <c r="U1136" s="1" t="str">
        <f t="shared" si="17"/>
        <v>Yes</v>
      </c>
      <c r="W1136" s="1" t="s">
        <v>6776</v>
      </c>
      <c r="X1136" s="1" t="str">
        <f>IF(COUNTIF('MyWells Drilling Comp'!F:F,E1136)=0,"Missing","Exist")</f>
        <v>Exist</v>
      </c>
    </row>
    <row r="1137" hidden="1" spans="1:24">
      <c r="A1137" s="1" t="s">
        <v>5265</v>
      </c>
      <c r="B1137" s="1" t="s">
        <v>90</v>
      </c>
      <c r="C1137" s="1" t="s">
        <v>6777</v>
      </c>
      <c r="D1137" s="1" t="s">
        <v>6773</v>
      </c>
      <c r="E1137" s="2" t="s">
        <v>792</v>
      </c>
      <c r="F1137" s="2" t="s">
        <v>6778</v>
      </c>
      <c r="G1137" s="1">
        <v>1</v>
      </c>
      <c r="H1137" s="1" t="s">
        <v>1663</v>
      </c>
      <c r="I1137" s="1" t="s">
        <v>1657</v>
      </c>
      <c r="J1137" s="1" t="s">
        <v>1658</v>
      </c>
      <c r="K1137" s="1" t="s">
        <v>1658</v>
      </c>
      <c r="L1137" s="1" t="s">
        <v>1658</v>
      </c>
      <c r="M1137" s="1" t="s">
        <v>1658</v>
      </c>
      <c r="N1137" s="1" t="s">
        <v>1658</v>
      </c>
      <c r="O1137" s="1" t="s">
        <v>1658</v>
      </c>
      <c r="P1137" s="1">
        <v>1</v>
      </c>
      <c r="Q1137" s="1" t="s">
        <v>1658</v>
      </c>
      <c r="R1137" s="1">
        <v>0</v>
      </c>
      <c r="S1137" s="1" t="s">
        <v>6779</v>
      </c>
      <c r="T1137" s="6" t="s">
        <v>6779</v>
      </c>
      <c r="U1137" s="1" t="str">
        <f t="shared" si="17"/>
        <v>Yes</v>
      </c>
      <c r="W1137" s="1" t="s">
        <v>6780</v>
      </c>
      <c r="X1137" s="1" t="str">
        <f>IF(COUNTIF('MyWells Drilling Comp'!F:F,E1137)=0,"Missing","Exist")</f>
        <v>Exist</v>
      </c>
    </row>
    <row r="1138" hidden="1" spans="1:24">
      <c r="A1138" s="1" t="s">
        <v>5265</v>
      </c>
      <c r="B1138" s="1" t="s">
        <v>90</v>
      </c>
      <c r="C1138" s="1" t="s">
        <v>6781</v>
      </c>
      <c r="D1138" s="1" t="s">
        <v>6782</v>
      </c>
      <c r="E1138" s="2" t="s">
        <v>906</v>
      </c>
      <c r="F1138" s="2" t="s">
        <v>6783</v>
      </c>
      <c r="G1138" s="1">
        <v>1</v>
      </c>
      <c r="H1138" s="1" t="s">
        <v>1663</v>
      </c>
      <c r="I1138" s="1" t="s">
        <v>1657</v>
      </c>
      <c r="J1138" s="1" t="s">
        <v>1658</v>
      </c>
      <c r="K1138" s="1" t="s">
        <v>1658</v>
      </c>
      <c r="L1138" s="1" t="s">
        <v>1658</v>
      </c>
      <c r="M1138" s="1" t="s">
        <v>1658</v>
      </c>
      <c r="N1138" s="1" t="s">
        <v>1658</v>
      </c>
      <c r="O1138" s="1" t="s">
        <v>1658</v>
      </c>
      <c r="P1138" s="1">
        <v>1</v>
      </c>
      <c r="Q1138" s="1" t="s">
        <v>1658</v>
      </c>
      <c r="R1138" s="1">
        <v>0</v>
      </c>
      <c r="S1138" s="1" t="s">
        <v>6784</v>
      </c>
      <c r="T1138" s="6" t="s">
        <v>6784</v>
      </c>
      <c r="U1138" s="1" t="str">
        <f t="shared" si="17"/>
        <v>Yes</v>
      </c>
      <c r="W1138" s="1" t="s">
        <v>6785</v>
      </c>
      <c r="X1138" s="1" t="str">
        <f>IF(COUNTIF('MyWells Drilling Comp'!F:F,E1138)=0,"Missing","Exist")</f>
        <v>Exist</v>
      </c>
    </row>
    <row r="1139" hidden="1" spans="1:24">
      <c r="A1139" s="1" t="s">
        <v>5265</v>
      </c>
      <c r="B1139" s="1" t="s">
        <v>90</v>
      </c>
      <c r="C1139" s="1" t="s">
        <v>6786</v>
      </c>
      <c r="D1139" s="1" t="s">
        <v>6782</v>
      </c>
      <c r="E1139" s="2" t="s">
        <v>906</v>
      </c>
      <c r="F1139" s="2" t="s">
        <v>6787</v>
      </c>
      <c r="G1139" s="1">
        <v>1</v>
      </c>
      <c r="H1139" s="1" t="s">
        <v>1656</v>
      </c>
      <c r="I1139" s="1" t="s">
        <v>1657</v>
      </c>
      <c r="J1139" s="1" t="s">
        <v>1658</v>
      </c>
      <c r="K1139" s="1" t="s">
        <v>1658</v>
      </c>
      <c r="L1139" s="1" t="s">
        <v>1658</v>
      </c>
      <c r="M1139" s="1" t="s">
        <v>1658</v>
      </c>
      <c r="N1139" s="1" t="s">
        <v>1658</v>
      </c>
      <c r="O1139" s="1" t="s">
        <v>1658</v>
      </c>
      <c r="P1139" s="1">
        <v>1</v>
      </c>
      <c r="Q1139" s="1" t="s">
        <v>1658</v>
      </c>
      <c r="R1139" s="1">
        <v>0</v>
      </c>
      <c r="S1139" s="1" t="s">
        <v>6788</v>
      </c>
      <c r="T1139" s="6" t="s">
        <v>6788</v>
      </c>
      <c r="U1139" s="1" t="str">
        <f t="shared" si="17"/>
        <v>Yes</v>
      </c>
      <c r="W1139" s="1" t="s">
        <v>6789</v>
      </c>
      <c r="X1139" s="1" t="str">
        <f>IF(COUNTIF('MyWells Drilling Comp'!F:F,E1139)=0,"Missing","Exist")</f>
        <v>Exist</v>
      </c>
    </row>
    <row r="1140" hidden="1" spans="1:24">
      <c r="A1140" s="1" t="s">
        <v>5265</v>
      </c>
      <c r="B1140" s="1" t="s">
        <v>90</v>
      </c>
      <c r="C1140" s="1" t="s">
        <v>6790</v>
      </c>
      <c r="D1140" s="1" t="s">
        <v>6791</v>
      </c>
      <c r="E1140" s="2" t="s">
        <v>1133</v>
      </c>
      <c r="F1140" s="2" t="s">
        <v>6792</v>
      </c>
      <c r="G1140" s="1">
        <v>1</v>
      </c>
      <c r="H1140" s="1" t="s">
        <v>1656</v>
      </c>
      <c r="I1140" s="1" t="s">
        <v>1657</v>
      </c>
      <c r="J1140" s="1" t="s">
        <v>1658</v>
      </c>
      <c r="K1140" s="1" t="s">
        <v>1658</v>
      </c>
      <c r="L1140" s="1" t="s">
        <v>1658</v>
      </c>
      <c r="M1140" s="1" t="s">
        <v>1658</v>
      </c>
      <c r="N1140" s="1" t="s">
        <v>1658</v>
      </c>
      <c r="O1140" s="1" t="s">
        <v>1658</v>
      </c>
      <c r="P1140" s="1">
        <v>1</v>
      </c>
      <c r="Q1140" s="1" t="s">
        <v>1658</v>
      </c>
      <c r="R1140" s="1">
        <v>0</v>
      </c>
      <c r="S1140" s="1" t="s">
        <v>6793</v>
      </c>
      <c r="T1140" s="6" t="s">
        <v>6793</v>
      </c>
      <c r="U1140" s="1" t="str">
        <f t="shared" si="17"/>
        <v>Yes</v>
      </c>
      <c r="W1140" s="1" t="s">
        <v>6794</v>
      </c>
      <c r="X1140" s="1" t="str">
        <f>IF(COUNTIF('MyWells Drilling Comp'!F:F,E1140)=0,"Missing","Exist")</f>
        <v>Exist</v>
      </c>
    </row>
    <row r="1141" hidden="1" spans="1:24">
      <c r="A1141" s="1" t="s">
        <v>5265</v>
      </c>
      <c r="B1141" s="1" t="s">
        <v>90</v>
      </c>
      <c r="C1141" s="1" t="s">
        <v>6795</v>
      </c>
      <c r="D1141" s="1" t="s">
        <v>6791</v>
      </c>
      <c r="E1141" s="2" t="s">
        <v>1133</v>
      </c>
      <c r="F1141" s="2" t="s">
        <v>6796</v>
      </c>
      <c r="G1141" s="1">
        <v>1</v>
      </c>
      <c r="H1141" s="1" t="s">
        <v>1663</v>
      </c>
      <c r="I1141" s="1" t="s">
        <v>1657</v>
      </c>
      <c r="J1141" s="1" t="s">
        <v>1658</v>
      </c>
      <c r="K1141" s="1" t="s">
        <v>1658</v>
      </c>
      <c r="L1141" s="1" t="s">
        <v>1658</v>
      </c>
      <c r="M1141" s="1" t="s">
        <v>1658</v>
      </c>
      <c r="N1141" s="1" t="s">
        <v>1658</v>
      </c>
      <c r="O1141" s="1" t="s">
        <v>1658</v>
      </c>
      <c r="P1141" s="1">
        <v>1</v>
      </c>
      <c r="Q1141" s="1" t="s">
        <v>1658</v>
      </c>
      <c r="R1141" s="1">
        <v>0</v>
      </c>
      <c r="S1141" s="1" t="s">
        <v>6797</v>
      </c>
      <c r="T1141" s="6" t="s">
        <v>6797</v>
      </c>
      <c r="U1141" s="1" t="str">
        <f t="shared" si="17"/>
        <v>Yes</v>
      </c>
      <c r="W1141" s="1" t="s">
        <v>6798</v>
      </c>
      <c r="X1141" s="1" t="str">
        <f>IF(COUNTIF('MyWells Drilling Comp'!F:F,E1141)=0,"Missing","Exist")</f>
        <v>Exist</v>
      </c>
    </row>
    <row r="1142" hidden="1" spans="1:24">
      <c r="A1142" s="1" t="s">
        <v>5265</v>
      </c>
      <c r="B1142" s="1" t="s">
        <v>90</v>
      </c>
      <c r="C1142" s="1" t="s">
        <v>6799</v>
      </c>
      <c r="D1142" s="1" t="s">
        <v>6800</v>
      </c>
      <c r="E1142" s="2" t="s">
        <v>1555</v>
      </c>
      <c r="F1142" s="2" t="s">
        <v>6801</v>
      </c>
      <c r="G1142" s="1">
        <v>1</v>
      </c>
      <c r="H1142" s="1" t="s">
        <v>1656</v>
      </c>
      <c r="I1142" s="1" t="s">
        <v>1657</v>
      </c>
      <c r="J1142" s="1" t="s">
        <v>1658</v>
      </c>
      <c r="K1142" s="1" t="s">
        <v>1658</v>
      </c>
      <c r="L1142" s="1" t="s">
        <v>1658</v>
      </c>
      <c r="M1142" s="1" t="s">
        <v>1658</v>
      </c>
      <c r="N1142" s="1" t="s">
        <v>1658</v>
      </c>
      <c r="O1142" s="1" t="s">
        <v>1658</v>
      </c>
      <c r="P1142" s="1">
        <v>1</v>
      </c>
      <c r="Q1142" s="1" t="s">
        <v>1658</v>
      </c>
      <c r="R1142" s="1">
        <v>0</v>
      </c>
      <c r="S1142" s="1" t="s">
        <v>3650</v>
      </c>
      <c r="T1142" s="6"/>
      <c r="U1142" s="1" t="str">
        <f t="shared" si="17"/>
        <v>No</v>
      </c>
      <c r="W1142" s="1" t="s">
        <v>6802</v>
      </c>
      <c r="X1142" s="1" t="str">
        <f>IF(COUNTIF('MyWells Drilling Comp'!F:F,E1142)=0,"Missing","Exist")</f>
        <v>Exist</v>
      </c>
    </row>
    <row r="1143" hidden="1" spans="1:24">
      <c r="A1143" s="1" t="s">
        <v>5265</v>
      </c>
      <c r="B1143" s="1" t="s">
        <v>90</v>
      </c>
      <c r="C1143" s="1" t="s">
        <v>6803</v>
      </c>
      <c r="D1143" s="1" t="s">
        <v>6800</v>
      </c>
      <c r="E1143" s="2" t="s">
        <v>1555</v>
      </c>
      <c r="F1143" s="2" t="s">
        <v>6804</v>
      </c>
      <c r="G1143" s="1">
        <v>1</v>
      </c>
      <c r="H1143" s="1" t="s">
        <v>1663</v>
      </c>
      <c r="I1143" s="1" t="s">
        <v>1657</v>
      </c>
      <c r="J1143" s="1" t="s">
        <v>1658</v>
      </c>
      <c r="K1143" s="1" t="s">
        <v>1658</v>
      </c>
      <c r="L1143" s="1" t="s">
        <v>1658</v>
      </c>
      <c r="M1143" s="1" t="s">
        <v>1658</v>
      </c>
      <c r="N1143" s="1" t="s">
        <v>1658</v>
      </c>
      <c r="O1143" s="1" t="s">
        <v>1658</v>
      </c>
      <c r="P1143" s="1">
        <v>1</v>
      </c>
      <c r="Q1143" s="1" t="s">
        <v>1658</v>
      </c>
      <c r="R1143" s="1">
        <v>0</v>
      </c>
      <c r="S1143" s="1" t="s">
        <v>6805</v>
      </c>
      <c r="T1143" s="6" t="s">
        <v>6805</v>
      </c>
      <c r="U1143" s="1" t="str">
        <f t="shared" si="17"/>
        <v>Yes</v>
      </c>
      <c r="W1143" s="1" t="s">
        <v>6806</v>
      </c>
      <c r="X1143" s="1" t="str">
        <f>IF(COUNTIF('MyWells Drilling Comp'!F:F,E1143)=0,"Missing","Exist")</f>
        <v>Exist</v>
      </c>
    </row>
    <row r="1144" hidden="1" spans="1:24">
      <c r="A1144" s="1" t="s">
        <v>5265</v>
      </c>
      <c r="B1144" s="1" t="s">
        <v>90</v>
      </c>
      <c r="C1144" s="1" t="s">
        <v>6807</v>
      </c>
      <c r="D1144" s="1" t="s">
        <v>6808</v>
      </c>
      <c r="E1144" s="2" t="s">
        <v>1300</v>
      </c>
      <c r="F1144" s="2" t="s">
        <v>6809</v>
      </c>
      <c r="G1144" s="1">
        <v>1</v>
      </c>
      <c r="H1144" s="1" t="s">
        <v>1663</v>
      </c>
      <c r="I1144" s="1" t="s">
        <v>1657</v>
      </c>
      <c r="J1144" s="1" t="s">
        <v>1658</v>
      </c>
      <c r="K1144" s="1" t="s">
        <v>1658</v>
      </c>
      <c r="L1144" s="1" t="s">
        <v>1658</v>
      </c>
      <c r="M1144" s="1" t="s">
        <v>1658</v>
      </c>
      <c r="N1144" s="1" t="s">
        <v>1658</v>
      </c>
      <c r="O1144" s="1" t="s">
        <v>1658</v>
      </c>
      <c r="P1144" s="1">
        <v>1</v>
      </c>
      <c r="Q1144" s="1" t="s">
        <v>1658</v>
      </c>
      <c r="R1144" s="1">
        <v>0</v>
      </c>
      <c r="S1144" s="1" t="s">
        <v>6810</v>
      </c>
      <c r="T1144" s="6" t="s">
        <v>6810</v>
      </c>
      <c r="U1144" s="1" t="str">
        <f t="shared" si="17"/>
        <v>Yes</v>
      </c>
      <c r="W1144" s="1" t="s">
        <v>6811</v>
      </c>
      <c r="X1144" s="1" t="str">
        <f>IF(COUNTIF('MyWells Drilling Comp'!F:F,E1144)=0,"Missing","Exist")</f>
        <v>Exist</v>
      </c>
    </row>
    <row r="1145" hidden="1" spans="1:24">
      <c r="A1145" s="1" t="s">
        <v>5265</v>
      </c>
      <c r="B1145" s="1" t="s">
        <v>90</v>
      </c>
      <c r="C1145" s="1" t="s">
        <v>6812</v>
      </c>
      <c r="D1145" s="1" t="s">
        <v>6808</v>
      </c>
      <c r="E1145" s="2" t="s">
        <v>1300</v>
      </c>
      <c r="F1145" s="2" t="s">
        <v>6813</v>
      </c>
      <c r="G1145" s="1">
        <v>1</v>
      </c>
      <c r="H1145" s="1" t="s">
        <v>1656</v>
      </c>
      <c r="I1145" s="1" t="s">
        <v>1657</v>
      </c>
      <c r="J1145" s="1" t="s">
        <v>1658</v>
      </c>
      <c r="K1145" s="1" t="s">
        <v>1658</v>
      </c>
      <c r="L1145" s="1" t="s">
        <v>1658</v>
      </c>
      <c r="M1145" s="1" t="s">
        <v>1658</v>
      </c>
      <c r="N1145" s="1" t="s">
        <v>1658</v>
      </c>
      <c r="O1145" s="1" t="s">
        <v>1658</v>
      </c>
      <c r="P1145" s="1">
        <v>1</v>
      </c>
      <c r="Q1145" s="1" t="s">
        <v>1658</v>
      </c>
      <c r="R1145" s="1">
        <v>0</v>
      </c>
      <c r="S1145" s="1" t="s">
        <v>4682</v>
      </c>
      <c r="T1145" s="6" t="s">
        <v>4683</v>
      </c>
      <c r="U1145" s="1" t="str">
        <f t="shared" si="17"/>
        <v>No</v>
      </c>
      <c r="W1145" s="1" t="s">
        <v>6814</v>
      </c>
      <c r="X1145" s="1" t="str">
        <f>IF(COUNTIF('MyWells Drilling Comp'!F:F,E1145)=0,"Missing","Exist")</f>
        <v>Exist</v>
      </c>
    </row>
    <row r="1146" hidden="1" spans="1:24">
      <c r="A1146" s="1" t="s">
        <v>5265</v>
      </c>
      <c r="B1146" s="1" t="s">
        <v>90</v>
      </c>
      <c r="C1146" s="1" t="s">
        <v>6815</v>
      </c>
      <c r="D1146" s="1" t="s">
        <v>6816</v>
      </c>
      <c r="E1146" s="2" t="s">
        <v>1233</v>
      </c>
      <c r="F1146" s="2" t="s">
        <v>6817</v>
      </c>
      <c r="G1146" s="1">
        <v>1</v>
      </c>
      <c r="H1146" s="1" t="s">
        <v>1656</v>
      </c>
      <c r="I1146" s="1" t="s">
        <v>1657</v>
      </c>
      <c r="J1146" s="1" t="s">
        <v>1658</v>
      </c>
      <c r="K1146" s="1" t="s">
        <v>1658</v>
      </c>
      <c r="L1146" s="1" t="s">
        <v>1658</v>
      </c>
      <c r="M1146" s="1" t="s">
        <v>1658</v>
      </c>
      <c r="N1146" s="1" t="s">
        <v>1658</v>
      </c>
      <c r="O1146" s="1" t="s">
        <v>1658</v>
      </c>
      <c r="P1146" s="1">
        <v>1</v>
      </c>
      <c r="Q1146" s="1" t="s">
        <v>1658</v>
      </c>
      <c r="R1146" s="1">
        <v>0</v>
      </c>
      <c r="S1146" s="1" t="s">
        <v>6818</v>
      </c>
      <c r="T1146" s="6" t="s">
        <v>6818</v>
      </c>
      <c r="U1146" s="1" t="str">
        <f t="shared" si="17"/>
        <v>Yes</v>
      </c>
      <c r="W1146" s="1" t="s">
        <v>6819</v>
      </c>
      <c r="X1146" s="1" t="str">
        <f>IF(COUNTIF('MyWells Drilling Comp'!F:F,E1146)=0,"Missing","Exist")</f>
        <v>Exist</v>
      </c>
    </row>
    <row r="1147" hidden="1" spans="1:24">
      <c r="A1147" s="1" t="s">
        <v>5265</v>
      </c>
      <c r="B1147" s="1" t="s">
        <v>90</v>
      </c>
      <c r="C1147" s="1" t="s">
        <v>6820</v>
      </c>
      <c r="D1147" s="1" t="s">
        <v>6816</v>
      </c>
      <c r="E1147" s="2" t="s">
        <v>1233</v>
      </c>
      <c r="F1147" s="2" t="s">
        <v>6821</v>
      </c>
      <c r="G1147" s="1">
        <v>1</v>
      </c>
      <c r="H1147" s="1" t="s">
        <v>1663</v>
      </c>
      <c r="I1147" s="1" t="s">
        <v>1657</v>
      </c>
      <c r="J1147" s="1" t="s">
        <v>1658</v>
      </c>
      <c r="K1147" s="1" t="s">
        <v>1658</v>
      </c>
      <c r="L1147" s="1" t="s">
        <v>1658</v>
      </c>
      <c r="M1147" s="1" t="s">
        <v>1658</v>
      </c>
      <c r="N1147" s="1" t="s">
        <v>1658</v>
      </c>
      <c r="O1147" s="1" t="s">
        <v>1658</v>
      </c>
      <c r="P1147" s="1">
        <v>1</v>
      </c>
      <c r="Q1147" s="1" t="s">
        <v>1658</v>
      </c>
      <c r="R1147" s="1">
        <v>0</v>
      </c>
      <c r="S1147" s="1" t="s">
        <v>6822</v>
      </c>
      <c r="T1147" s="6"/>
      <c r="U1147" s="1" t="str">
        <f t="shared" si="17"/>
        <v>No</v>
      </c>
      <c r="W1147" s="1" t="s">
        <v>6823</v>
      </c>
      <c r="X1147" s="1" t="str">
        <f>IF(COUNTIF('MyWells Drilling Comp'!F:F,E1147)=0,"Missing","Exist")</f>
        <v>Exist</v>
      </c>
    </row>
    <row r="1148" hidden="1" spans="1:24">
      <c r="A1148" s="1" t="s">
        <v>5265</v>
      </c>
      <c r="B1148" s="1" t="s">
        <v>90</v>
      </c>
      <c r="C1148" s="1" t="s">
        <v>6824</v>
      </c>
      <c r="D1148" s="1" t="s">
        <v>6825</v>
      </c>
      <c r="E1148" s="2" t="s">
        <v>1205</v>
      </c>
      <c r="F1148" s="2" t="s">
        <v>6826</v>
      </c>
      <c r="G1148" s="1">
        <v>1</v>
      </c>
      <c r="H1148" s="1" t="s">
        <v>1663</v>
      </c>
      <c r="I1148" s="1" t="s">
        <v>1657</v>
      </c>
      <c r="J1148" s="1" t="s">
        <v>1658</v>
      </c>
      <c r="K1148" s="1" t="s">
        <v>1658</v>
      </c>
      <c r="L1148" s="1" t="s">
        <v>1658</v>
      </c>
      <c r="M1148" s="1" t="s">
        <v>1658</v>
      </c>
      <c r="N1148" s="1" t="s">
        <v>1658</v>
      </c>
      <c r="O1148" s="1" t="s">
        <v>1658</v>
      </c>
      <c r="P1148" s="1">
        <v>1</v>
      </c>
      <c r="Q1148" s="1" t="s">
        <v>1658</v>
      </c>
      <c r="R1148" s="1">
        <v>0</v>
      </c>
      <c r="S1148" s="1" t="s">
        <v>6827</v>
      </c>
      <c r="T1148" s="6"/>
      <c r="U1148" s="1" t="str">
        <f t="shared" si="17"/>
        <v>No</v>
      </c>
      <c r="W1148" s="1" t="s">
        <v>6828</v>
      </c>
      <c r="X1148" s="1" t="str">
        <f>IF(COUNTIF('MyWells Drilling Comp'!F:F,E1148)=0,"Missing","Exist")</f>
        <v>Exist</v>
      </c>
    </row>
    <row r="1149" hidden="1" spans="1:24">
      <c r="A1149" s="1" t="s">
        <v>5265</v>
      </c>
      <c r="B1149" s="1" t="s">
        <v>90</v>
      </c>
      <c r="C1149" s="1" t="s">
        <v>6829</v>
      </c>
      <c r="D1149" s="1" t="s">
        <v>6825</v>
      </c>
      <c r="E1149" s="2" t="s">
        <v>1205</v>
      </c>
      <c r="F1149" s="2" t="s">
        <v>6830</v>
      </c>
      <c r="G1149" s="1">
        <v>1</v>
      </c>
      <c r="H1149" s="1" t="s">
        <v>1656</v>
      </c>
      <c r="I1149" s="1" t="s">
        <v>1657</v>
      </c>
      <c r="J1149" s="1" t="s">
        <v>1658</v>
      </c>
      <c r="K1149" s="1" t="s">
        <v>1658</v>
      </c>
      <c r="L1149" s="1" t="s">
        <v>1658</v>
      </c>
      <c r="M1149" s="1" t="s">
        <v>1658</v>
      </c>
      <c r="N1149" s="1" t="s">
        <v>1658</v>
      </c>
      <c r="O1149" s="1" t="s">
        <v>1658</v>
      </c>
      <c r="P1149" s="1">
        <v>1</v>
      </c>
      <c r="Q1149" s="1" t="s">
        <v>1658</v>
      </c>
      <c r="R1149" s="1">
        <v>0</v>
      </c>
      <c r="S1149" s="1" t="s">
        <v>6831</v>
      </c>
      <c r="T1149" s="6" t="s">
        <v>6831</v>
      </c>
      <c r="U1149" s="1" t="str">
        <f t="shared" si="17"/>
        <v>Yes</v>
      </c>
      <c r="W1149" s="1" t="s">
        <v>6832</v>
      </c>
      <c r="X1149" s="1" t="str">
        <f>IF(COUNTIF('MyWells Drilling Comp'!F:F,E1149)=0,"Missing","Exist")</f>
        <v>Exist</v>
      </c>
    </row>
    <row r="1150" hidden="1" spans="1:24">
      <c r="A1150" s="1" t="s">
        <v>5265</v>
      </c>
      <c r="B1150" s="1" t="s">
        <v>90</v>
      </c>
      <c r="C1150" s="1" t="s">
        <v>6833</v>
      </c>
      <c r="D1150" s="1" t="s">
        <v>6834</v>
      </c>
      <c r="E1150" s="2" t="s">
        <v>617</v>
      </c>
      <c r="F1150" s="2" t="s">
        <v>6835</v>
      </c>
      <c r="G1150" s="1">
        <v>1</v>
      </c>
      <c r="H1150" s="1" t="s">
        <v>1663</v>
      </c>
      <c r="I1150" s="1" t="s">
        <v>1657</v>
      </c>
      <c r="J1150" s="1" t="s">
        <v>1658</v>
      </c>
      <c r="K1150" s="1" t="s">
        <v>1658</v>
      </c>
      <c r="L1150" s="1" t="s">
        <v>1658</v>
      </c>
      <c r="M1150" s="1" t="s">
        <v>1658</v>
      </c>
      <c r="N1150" s="1" t="s">
        <v>1658</v>
      </c>
      <c r="O1150" s="1" t="s">
        <v>1658</v>
      </c>
      <c r="P1150" s="1">
        <v>1</v>
      </c>
      <c r="Q1150" s="1" t="s">
        <v>1658</v>
      </c>
      <c r="R1150" s="1">
        <v>0</v>
      </c>
      <c r="S1150" s="1" t="s">
        <v>6836</v>
      </c>
      <c r="T1150" s="6"/>
      <c r="U1150" s="1" t="str">
        <f t="shared" si="17"/>
        <v>No</v>
      </c>
      <c r="W1150" s="1" t="s">
        <v>6837</v>
      </c>
      <c r="X1150" s="1" t="str">
        <f>IF(COUNTIF('MyWells Drilling Comp'!F:F,E1150)=0,"Missing","Exist")</f>
        <v>Exist</v>
      </c>
    </row>
    <row r="1151" hidden="1" spans="1:24">
      <c r="A1151" s="1" t="s">
        <v>5265</v>
      </c>
      <c r="B1151" s="1" t="s">
        <v>90</v>
      </c>
      <c r="C1151" s="1" t="s">
        <v>6838</v>
      </c>
      <c r="D1151" s="1" t="s">
        <v>6834</v>
      </c>
      <c r="E1151" s="2" t="s">
        <v>617</v>
      </c>
      <c r="F1151" s="8" t="s">
        <v>6839</v>
      </c>
      <c r="G1151" s="1">
        <v>1</v>
      </c>
      <c r="H1151" s="1" t="s">
        <v>1656</v>
      </c>
      <c r="I1151" s="1" t="s">
        <v>1657</v>
      </c>
      <c r="J1151" s="1" t="s">
        <v>1658</v>
      </c>
      <c r="K1151" s="1" t="s">
        <v>1658</v>
      </c>
      <c r="L1151" s="1" t="s">
        <v>1658</v>
      </c>
      <c r="M1151" s="1" t="s">
        <v>1658</v>
      </c>
      <c r="N1151" s="1" t="s">
        <v>1658</v>
      </c>
      <c r="O1151" s="1" t="s">
        <v>1658</v>
      </c>
      <c r="P1151" s="1">
        <v>1</v>
      </c>
      <c r="Q1151" s="1" t="s">
        <v>1658</v>
      </c>
      <c r="R1151" s="1">
        <v>0</v>
      </c>
      <c r="S1151" s="1" t="s">
        <v>6840</v>
      </c>
      <c r="T1151" s="6"/>
      <c r="U1151" s="1" t="str">
        <f t="shared" si="17"/>
        <v>No</v>
      </c>
      <c r="W1151" s="1" t="s">
        <v>6841</v>
      </c>
      <c r="X1151" s="1" t="str">
        <f>IF(COUNTIF('MyWells Drilling Comp'!F:F,E1151)=0,"Missing","Exist")</f>
        <v>Exist</v>
      </c>
    </row>
    <row r="1152" hidden="1" spans="1:24">
      <c r="A1152" s="1" t="s">
        <v>5265</v>
      </c>
      <c r="B1152" s="1" t="s">
        <v>90</v>
      </c>
      <c r="C1152" s="1" t="s">
        <v>6842</v>
      </c>
      <c r="D1152" s="1" t="s">
        <v>6843</v>
      </c>
      <c r="E1152" s="2" t="s">
        <v>1213</v>
      </c>
      <c r="F1152" s="2" t="s">
        <v>6844</v>
      </c>
      <c r="G1152" s="1">
        <v>1</v>
      </c>
      <c r="H1152" s="1" t="s">
        <v>1656</v>
      </c>
      <c r="I1152" s="1" t="s">
        <v>1657</v>
      </c>
      <c r="J1152" s="1" t="s">
        <v>1658</v>
      </c>
      <c r="K1152" s="1" t="s">
        <v>1658</v>
      </c>
      <c r="L1152" s="1" t="s">
        <v>1658</v>
      </c>
      <c r="M1152" s="1" t="s">
        <v>1658</v>
      </c>
      <c r="N1152" s="1" t="s">
        <v>1658</v>
      </c>
      <c r="O1152" s="1" t="s">
        <v>1658</v>
      </c>
      <c r="P1152" s="1">
        <v>1</v>
      </c>
      <c r="Q1152" s="1" t="s">
        <v>1658</v>
      </c>
      <c r="R1152" s="1">
        <v>0</v>
      </c>
      <c r="S1152" s="1" t="s">
        <v>6845</v>
      </c>
      <c r="T1152" s="6" t="s">
        <v>6845</v>
      </c>
      <c r="U1152" s="1" t="str">
        <f t="shared" si="17"/>
        <v>Yes</v>
      </c>
      <c r="W1152" s="1" t="s">
        <v>6846</v>
      </c>
      <c r="X1152" s="1" t="str">
        <f>IF(COUNTIF('MyWells Drilling Comp'!F:F,E1152)=0,"Missing","Exist")</f>
        <v>Exist</v>
      </c>
    </row>
    <row r="1153" hidden="1" spans="1:24">
      <c r="A1153" s="1" t="s">
        <v>5265</v>
      </c>
      <c r="B1153" s="1" t="s">
        <v>90</v>
      </c>
      <c r="C1153" s="1" t="s">
        <v>6847</v>
      </c>
      <c r="D1153" s="1" t="s">
        <v>6843</v>
      </c>
      <c r="E1153" s="2" t="s">
        <v>1213</v>
      </c>
      <c r="F1153" s="2" t="s">
        <v>6848</v>
      </c>
      <c r="G1153" s="1">
        <v>1</v>
      </c>
      <c r="H1153" s="1" t="s">
        <v>1663</v>
      </c>
      <c r="I1153" s="1" t="s">
        <v>1657</v>
      </c>
      <c r="J1153" s="1" t="s">
        <v>1658</v>
      </c>
      <c r="K1153" s="1" t="s">
        <v>1658</v>
      </c>
      <c r="L1153" s="1" t="s">
        <v>1658</v>
      </c>
      <c r="M1153" s="1" t="s">
        <v>1658</v>
      </c>
      <c r="N1153" s="1" t="s">
        <v>1658</v>
      </c>
      <c r="O1153" s="1" t="s">
        <v>1658</v>
      </c>
      <c r="P1153" s="1">
        <v>1</v>
      </c>
      <c r="Q1153" s="1" t="s">
        <v>1658</v>
      </c>
      <c r="R1153" s="1">
        <v>0</v>
      </c>
      <c r="S1153" s="1" t="s">
        <v>6849</v>
      </c>
      <c r="T1153" s="6" t="s">
        <v>6849</v>
      </c>
      <c r="U1153" s="1" t="str">
        <f t="shared" si="17"/>
        <v>Yes</v>
      </c>
      <c r="W1153" s="1" t="s">
        <v>6850</v>
      </c>
      <c r="X1153" s="1" t="str">
        <f>IF(COUNTIF('MyWells Drilling Comp'!F:F,E1153)=0,"Missing","Exist")</f>
        <v>Exist</v>
      </c>
    </row>
    <row r="1154" hidden="1" spans="1:24">
      <c r="A1154" s="1" t="s">
        <v>5265</v>
      </c>
      <c r="B1154" s="1" t="s">
        <v>90</v>
      </c>
      <c r="C1154" s="1" t="s">
        <v>6851</v>
      </c>
      <c r="D1154" s="1" t="s">
        <v>6852</v>
      </c>
      <c r="E1154" s="2" t="s">
        <v>811</v>
      </c>
      <c r="F1154" s="2" t="s">
        <v>6853</v>
      </c>
      <c r="G1154" s="1">
        <v>1</v>
      </c>
      <c r="H1154" s="1" t="s">
        <v>1656</v>
      </c>
      <c r="I1154" s="1" t="s">
        <v>1657</v>
      </c>
      <c r="J1154" s="1" t="s">
        <v>1658</v>
      </c>
      <c r="K1154" s="1" t="s">
        <v>1658</v>
      </c>
      <c r="L1154" s="1" t="s">
        <v>1658</v>
      </c>
      <c r="M1154" s="1" t="s">
        <v>1658</v>
      </c>
      <c r="N1154" s="1" t="s">
        <v>1658</v>
      </c>
      <c r="O1154" s="1" t="s">
        <v>1658</v>
      </c>
      <c r="P1154" s="1">
        <v>1</v>
      </c>
      <c r="Q1154" s="1" t="s">
        <v>1658</v>
      </c>
      <c r="R1154" s="1">
        <v>0</v>
      </c>
      <c r="S1154" s="1" t="s">
        <v>6854</v>
      </c>
      <c r="T1154" s="6" t="s">
        <v>6854</v>
      </c>
      <c r="U1154" s="1" t="str">
        <f t="shared" ref="U1154:U1217" si="18">IF(S1154=T1154,"Yes","No")</f>
        <v>Yes</v>
      </c>
      <c r="W1154" s="1" t="s">
        <v>6855</v>
      </c>
      <c r="X1154" s="1" t="str">
        <f>IF(COUNTIF('MyWells Drilling Comp'!F:F,E1154)=0,"Missing","Exist")</f>
        <v>Exist</v>
      </c>
    </row>
    <row r="1155" hidden="1" spans="1:24">
      <c r="A1155" s="1" t="s">
        <v>5265</v>
      </c>
      <c r="B1155" s="1" t="s">
        <v>90</v>
      </c>
      <c r="C1155" s="1" t="s">
        <v>6856</v>
      </c>
      <c r="D1155" s="1" t="s">
        <v>6852</v>
      </c>
      <c r="E1155" s="2" t="s">
        <v>811</v>
      </c>
      <c r="F1155" s="2" t="s">
        <v>6857</v>
      </c>
      <c r="G1155" s="1">
        <v>1</v>
      </c>
      <c r="H1155" s="1" t="s">
        <v>1663</v>
      </c>
      <c r="I1155" s="1" t="s">
        <v>1657</v>
      </c>
      <c r="J1155" s="1" t="s">
        <v>1658</v>
      </c>
      <c r="K1155" s="1" t="s">
        <v>1658</v>
      </c>
      <c r="L1155" s="1" t="s">
        <v>1658</v>
      </c>
      <c r="M1155" s="1" t="s">
        <v>1658</v>
      </c>
      <c r="N1155" s="1" t="s">
        <v>1658</v>
      </c>
      <c r="O1155" s="1" t="s">
        <v>1658</v>
      </c>
      <c r="P1155" s="1">
        <v>1</v>
      </c>
      <c r="Q1155" s="1" t="s">
        <v>1658</v>
      </c>
      <c r="R1155" s="1">
        <v>0</v>
      </c>
      <c r="S1155" s="1" t="s">
        <v>6858</v>
      </c>
      <c r="T1155" s="6" t="s">
        <v>6858</v>
      </c>
      <c r="U1155" s="1" t="str">
        <f t="shared" si="18"/>
        <v>Yes</v>
      </c>
      <c r="W1155" s="1" t="s">
        <v>6859</v>
      </c>
      <c r="X1155" s="1" t="str">
        <f>IF(COUNTIF('MyWells Drilling Comp'!F:F,E1155)=0,"Missing","Exist")</f>
        <v>Exist</v>
      </c>
    </row>
    <row r="1156" hidden="1" spans="1:24">
      <c r="A1156" s="1" t="s">
        <v>5265</v>
      </c>
      <c r="B1156" s="1" t="s">
        <v>90</v>
      </c>
      <c r="C1156" s="1" t="s">
        <v>6860</v>
      </c>
      <c r="D1156" s="1" t="s">
        <v>6861</v>
      </c>
      <c r="E1156" s="2" t="s">
        <v>1226</v>
      </c>
      <c r="F1156" s="2" t="s">
        <v>6862</v>
      </c>
      <c r="G1156" s="1">
        <v>1</v>
      </c>
      <c r="H1156" s="1" t="s">
        <v>1663</v>
      </c>
      <c r="I1156" s="1" t="s">
        <v>1657</v>
      </c>
      <c r="J1156" s="1" t="s">
        <v>1658</v>
      </c>
      <c r="K1156" s="1" t="s">
        <v>1658</v>
      </c>
      <c r="L1156" s="1" t="s">
        <v>1658</v>
      </c>
      <c r="M1156" s="1" t="s">
        <v>1658</v>
      </c>
      <c r="N1156" s="1" t="s">
        <v>1658</v>
      </c>
      <c r="O1156" s="1" t="s">
        <v>1658</v>
      </c>
      <c r="P1156" s="1">
        <v>1</v>
      </c>
      <c r="Q1156" s="1" t="s">
        <v>1658</v>
      </c>
      <c r="R1156" s="1">
        <v>0</v>
      </c>
      <c r="S1156" s="1" t="s">
        <v>6863</v>
      </c>
      <c r="T1156" s="6" t="s">
        <v>6863</v>
      </c>
      <c r="U1156" s="1" t="str">
        <f t="shared" si="18"/>
        <v>Yes</v>
      </c>
      <c r="W1156" s="1" t="s">
        <v>6864</v>
      </c>
      <c r="X1156" s="1" t="str">
        <f>IF(COUNTIF('MyWells Drilling Comp'!F:F,E1156)=0,"Missing","Exist")</f>
        <v>Exist</v>
      </c>
    </row>
    <row r="1157" hidden="1" spans="1:24">
      <c r="A1157" s="1" t="s">
        <v>5265</v>
      </c>
      <c r="B1157" s="1" t="s">
        <v>90</v>
      </c>
      <c r="C1157" s="1" t="s">
        <v>6865</v>
      </c>
      <c r="D1157" s="1" t="s">
        <v>6861</v>
      </c>
      <c r="E1157" s="2" t="s">
        <v>1226</v>
      </c>
      <c r="F1157" s="2" t="s">
        <v>6866</v>
      </c>
      <c r="G1157" s="1">
        <v>1</v>
      </c>
      <c r="H1157" s="1" t="s">
        <v>1656</v>
      </c>
      <c r="I1157" s="1" t="s">
        <v>1657</v>
      </c>
      <c r="J1157" s="1" t="s">
        <v>1658</v>
      </c>
      <c r="K1157" s="1" t="s">
        <v>1658</v>
      </c>
      <c r="L1157" s="1" t="s">
        <v>1658</v>
      </c>
      <c r="M1157" s="1" t="s">
        <v>1658</v>
      </c>
      <c r="N1157" s="1" t="s">
        <v>1658</v>
      </c>
      <c r="O1157" s="1" t="s">
        <v>1658</v>
      </c>
      <c r="P1157" s="1">
        <v>1</v>
      </c>
      <c r="Q1157" s="1" t="s">
        <v>1658</v>
      </c>
      <c r="R1157" s="1">
        <v>0</v>
      </c>
      <c r="S1157" s="1" t="s">
        <v>6867</v>
      </c>
      <c r="T1157" s="6"/>
      <c r="U1157" s="1" t="str">
        <f t="shared" si="18"/>
        <v>No</v>
      </c>
      <c r="W1157" s="1" t="s">
        <v>6868</v>
      </c>
      <c r="X1157" s="1" t="str">
        <f>IF(COUNTIF('MyWells Drilling Comp'!F:F,E1157)=0,"Missing","Exist")</f>
        <v>Exist</v>
      </c>
    </row>
    <row r="1158" hidden="1" spans="1:24">
      <c r="A1158" s="1" t="s">
        <v>5265</v>
      </c>
      <c r="B1158" s="1" t="s">
        <v>90</v>
      </c>
      <c r="C1158" s="1" t="s">
        <v>6869</v>
      </c>
      <c r="D1158" s="1" t="s">
        <v>6870</v>
      </c>
      <c r="E1158" s="2" t="s">
        <v>1195</v>
      </c>
      <c r="F1158" s="2" t="s">
        <v>6871</v>
      </c>
      <c r="G1158" s="1">
        <v>1</v>
      </c>
      <c r="H1158" s="1" t="s">
        <v>1656</v>
      </c>
      <c r="I1158" s="1" t="s">
        <v>1657</v>
      </c>
      <c r="J1158" s="1" t="s">
        <v>1658</v>
      </c>
      <c r="K1158" s="1" t="s">
        <v>1658</v>
      </c>
      <c r="L1158" s="1" t="s">
        <v>1658</v>
      </c>
      <c r="M1158" s="1" t="s">
        <v>1658</v>
      </c>
      <c r="N1158" s="1" t="s">
        <v>1658</v>
      </c>
      <c r="O1158" s="1" t="s">
        <v>1658</v>
      </c>
      <c r="P1158" s="1">
        <v>1</v>
      </c>
      <c r="Q1158" s="1" t="s">
        <v>1658</v>
      </c>
      <c r="R1158" s="1">
        <v>0</v>
      </c>
      <c r="S1158" s="1" t="s">
        <v>6872</v>
      </c>
      <c r="T1158" s="6"/>
      <c r="U1158" s="1" t="str">
        <f t="shared" si="18"/>
        <v>No</v>
      </c>
      <c r="W1158" s="1" t="s">
        <v>6873</v>
      </c>
      <c r="X1158" s="1" t="str">
        <f>IF(COUNTIF('MyWells Drilling Comp'!F:F,E1158)=0,"Missing","Exist")</f>
        <v>Exist</v>
      </c>
    </row>
    <row r="1159" hidden="1" spans="1:24">
      <c r="A1159" s="1" t="s">
        <v>5265</v>
      </c>
      <c r="B1159" s="1" t="s">
        <v>90</v>
      </c>
      <c r="C1159" s="1" t="s">
        <v>6874</v>
      </c>
      <c r="D1159" s="1" t="s">
        <v>6870</v>
      </c>
      <c r="E1159" s="2" t="s">
        <v>1195</v>
      </c>
      <c r="F1159" s="2" t="s">
        <v>6875</v>
      </c>
      <c r="G1159" s="1">
        <v>1</v>
      </c>
      <c r="H1159" s="1" t="s">
        <v>1663</v>
      </c>
      <c r="I1159" s="1" t="s">
        <v>1657</v>
      </c>
      <c r="J1159" s="1" t="s">
        <v>1658</v>
      </c>
      <c r="K1159" s="1" t="s">
        <v>1658</v>
      </c>
      <c r="L1159" s="1" t="s">
        <v>1658</v>
      </c>
      <c r="M1159" s="1" t="s">
        <v>1658</v>
      </c>
      <c r="N1159" s="1" t="s">
        <v>1658</v>
      </c>
      <c r="O1159" s="1" t="s">
        <v>1658</v>
      </c>
      <c r="P1159" s="1">
        <v>1</v>
      </c>
      <c r="Q1159" s="1" t="s">
        <v>1658</v>
      </c>
      <c r="R1159" s="1">
        <v>0</v>
      </c>
      <c r="S1159" s="1" t="s">
        <v>6876</v>
      </c>
      <c r="T1159" s="6"/>
      <c r="U1159" s="1" t="str">
        <f t="shared" si="18"/>
        <v>No</v>
      </c>
      <c r="W1159" s="1" t="s">
        <v>6877</v>
      </c>
      <c r="X1159" s="1" t="str">
        <f>IF(COUNTIF('MyWells Drilling Comp'!F:F,E1159)=0,"Missing","Exist")</f>
        <v>Exist</v>
      </c>
    </row>
    <row r="1160" hidden="1" spans="1:24">
      <c r="A1160" s="1" t="s">
        <v>5265</v>
      </c>
      <c r="B1160" s="1" t="s">
        <v>90</v>
      </c>
      <c r="C1160" s="1" t="s">
        <v>6878</v>
      </c>
      <c r="D1160" s="1" t="s">
        <v>6879</v>
      </c>
      <c r="E1160" s="2" t="s">
        <v>1546</v>
      </c>
      <c r="F1160" s="2" t="s">
        <v>6880</v>
      </c>
      <c r="G1160" s="1">
        <v>1</v>
      </c>
      <c r="H1160" s="1" t="s">
        <v>1663</v>
      </c>
      <c r="I1160" s="1" t="s">
        <v>1657</v>
      </c>
      <c r="J1160" s="1" t="s">
        <v>1658</v>
      </c>
      <c r="K1160" s="1" t="s">
        <v>1658</v>
      </c>
      <c r="L1160" s="1" t="s">
        <v>1658</v>
      </c>
      <c r="M1160" s="1" t="s">
        <v>1658</v>
      </c>
      <c r="N1160" s="1" t="s">
        <v>1658</v>
      </c>
      <c r="O1160" s="1" t="s">
        <v>1658</v>
      </c>
      <c r="P1160" s="1">
        <v>1</v>
      </c>
      <c r="Q1160" s="1" t="s">
        <v>1658</v>
      </c>
      <c r="R1160" s="1">
        <v>0</v>
      </c>
      <c r="S1160" s="1" t="s">
        <v>6881</v>
      </c>
      <c r="T1160" s="6" t="s">
        <v>6881</v>
      </c>
      <c r="U1160" s="1" t="str">
        <f t="shared" si="18"/>
        <v>Yes</v>
      </c>
      <c r="W1160" s="1" t="s">
        <v>6882</v>
      </c>
      <c r="X1160" s="1" t="str">
        <f>IF(COUNTIF('MyWells Drilling Comp'!F:F,E1160)=0,"Missing","Exist")</f>
        <v>Exist</v>
      </c>
    </row>
    <row r="1161" hidden="1" spans="1:24">
      <c r="A1161" s="1" t="s">
        <v>5265</v>
      </c>
      <c r="B1161" s="1" t="s">
        <v>90</v>
      </c>
      <c r="C1161" s="1" t="s">
        <v>6883</v>
      </c>
      <c r="D1161" s="1" t="s">
        <v>6879</v>
      </c>
      <c r="E1161" s="2" t="s">
        <v>1546</v>
      </c>
      <c r="F1161" s="2" t="s">
        <v>6884</v>
      </c>
      <c r="G1161" s="1">
        <v>1</v>
      </c>
      <c r="H1161" s="1" t="s">
        <v>1656</v>
      </c>
      <c r="I1161" s="1" t="s">
        <v>1657</v>
      </c>
      <c r="J1161" s="1" t="s">
        <v>1658</v>
      </c>
      <c r="K1161" s="1" t="s">
        <v>1658</v>
      </c>
      <c r="L1161" s="1" t="s">
        <v>1658</v>
      </c>
      <c r="M1161" s="1" t="s">
        <v>1658</v>
      </c>
      <c r="N1161" s="1" t="s">
        <v>1658</v>
      </c>
      <c r="O1161" s="1" t="s">
        <v>1658</v>
      </c>
      <c r="P1161" s="1">
        <v>1</v>
      </c>
      <c r="Q1161" s="1" t="s">
        <v>1658</v>
      </c>
      <c r="R1161" s="1">
        <v>0</v>
      </c>
      <c r="S1161" s="1" t="s">
        <v>6885</v>
      </c>
      <c r="T1161" s="6" t="s">
        <v>6885</v>
      </c>
      <c r="U1161" s="1" t="str">
        <f t="shared" si="18"/>
        <v>Yes</v>
      </c>
      <c r="W1161" s="1" t="s">
        <v>6886</v>
      </c>
      <c r="X1161" s="1" t="str">
        <f>IF(COUNTIF('MyWells Drilling Comp'!F:F,E1161)=0,"Missing","Exist")</f>
        <v>Exist</v>
      </c>
    </row>
    <row r="1162" hidden="1" spans="1:24">
      <c r="A1162" s="1" t="s">
        <v>5265</v>
      </c>
      <c r="B1162" s="1" t="s">
        <v>90</v>
      </c>
      <c r="C1162" s="1" t="s">
        <v>6887</v>
      </c>
      <c r="D1162" s="1" t="s">
        <v>6888</v>
      </c>
      <c r="E1162" s="2" t="s">
        <v>1402</v>
      </c>
      <c r="F1162" s="2" t="s">
        <v>6889</v>
      </c>
      <c r="G1162" s="1">
        <v>1</v>
      </c>
      <c r="H1162" s="1" t="s">
        <v>1663</v>
      </c>
      <c r="I1162" s="1" t="s">
        <v>1657</v>
      </c>
      <c r="J1162" s="1" t="s">
        <v>1658</v>
      </c>
      <c r="K1162" s="1" t="s">
        <v>1658</v>
      </c>
      <c r="L1162" s="1" t="s">
        <v>1658</v>
      </c>
      <c r="M1162" s="1" t="s">
        <v>1658</v>
      </c>
      <c r="N1162" s="1" t="s">
        <v>1658</v>
      </c>
      <c r="O1162" s="1" t="s">
        <v>1658</v>
      </c>
      <c r="P1162" s="1">
        <v>1</v>
      </c>
      <c r="Q1162" s="1" t="s">
        <v>1658</v>
      </c>
      <c r="R1162" s="1">
        <v>0</v>
      </c>
      <c r="S1162" s="1" t="s">
        <v>6890</v>
      </c>
      <c r="T1162" s="6" t="s">
        <v>6890</v>
      </c>
      <c r="U1162" s="1" t="str">
        <f t="shared" si="18"/>
        <v>Yes</v>
      </c>
      <c r="W1162" s="1" t="s">
        <v>6891</v>
      </c>
      <c r="X1162" s="1" t="str">
        <f>IF(COUNTIF('MyWells Drilling Comp'!F:F,E1162)=0,"Missing","Exist")</f>
        <v>Exist</v>
      </c>
    </row>
    <row r="1163" hidden="1" spans="1:24">
      <c r="A1163" s="1" t="s">
        <v>5265</v>
      </c>
      <c r="B1163" s="1" t="s">
        <v>90</v>
      </c>
      <c r="C1163" s="1" t="s">
        <v>6892</v>
      </c>
      <c r="D1163" s="1" t="s">
        <v>6888</v>
      </c>
      <c r="E1163" s="2" t="s">
        <v>1402</v>
      </c>
      <c r="F1163" s="2" t="s">
        <v>6893</v>
      </c>
      <c r="G1163" s="1">
        <v>1</v>
      </c>
      <c r="H1163" s="1" t="s">
        <v>1656</v>
      </c>
      <c r="I1163" s="1" t="s">
        <v>1657</v>
      </c>
      <c r="J1163" s="1" t="s">
        <v>1658</v>
      </c>
      <c r="K1163" s="1" t="s">
        <v>1658</v>
      </c>
      <c r="L1163" s="1" t="s">
        <v>1658</v>
      </c>
      <c r="M1163" s="1" t="s">
        <v>1658</v>
      </c>
      <c r="N1163" s="1" t="s">
        <v>1658</v>
      </c>
      <c r="O1163" s="1" t="s">
        <v>1658</v>
      </c>
      <c r="P1163" s="1">
        <v>1</v>
      </c>
      <c r="Q1163" s="1" t="s">
        <v>1658</v>
      </c>
      <c r="R1163" s="1">
        <v>0</v>
      </c>
      <c r="S1163" s="1" t="s">
        <v>6894</v>
      </c>
      <c r="T1163" s="6" t="s">
        <v>6894</v>
      </c>
      <c r="U1163" s="1" t="str">
        <f t="shared" si="18"/>
        <v>Yes</v>
      </c>
      <c r="W1163" s="1" t="s">
        <v>6895</v>
      </c>
      <c r="X1163" s="1" t="str">
        <f>IF(COUNTIF('MyWells Drilling Comp'!F:F,E1163)=0,"Missing","Exist")</f>
        <v>Exist</v>
      </c>
    </row>
    <row r="1164" hidden="1" spans="1:24">
      <c r="A1164" s="1" t="s">
        <v>5265</v>
      </c>
      <c r="B1164" s="1" t="s">
        <v>90</v>
      </c>
      <c r="C1164" s="1" t="s">
        <v>6896</v>
      </c>
      <c r="D1164" s="1" t="s">
        <v>6897</v>
      </c>
      <c r="E1164" s="2" t="s">
        <v>1582</v>
      </c>
      <c r="F1164" s="2" t="s">
        <v>6898</v>
      </c>
      <c r="G1164" s="1">
        <v>1</v>
      </c>
      <c r="H1164" s="1" t="s">
        <v>1656</v>
      </c>
      <c r="I1164" s="1" t="s">
        <v>1657</v>
      </c>
      <c r="J1164" s="1" t="s">
        <v>1658</v>
      </c>
      <c r="K1164" s="1" t="s">
        <v>1658</v>
      </c>
      <c r="L1164" s="1" t="s">
        <v>1658</v>
      </c>
      <c r="M1164" s="1" t="s">
        <v>1658</v>
      </c>
      <c r="N1164" s="1" t="s">
        <v>1658</v>
      </c>
      <c r="O1164" s="1" t="s">
        <v>1658</v>
      </c>
      <c r="P1164" s="1">
        <v>1</v>
      </c>
      <c r="Q1164" s="1" t="s">
        <v>1658</v>
      </c>
      <c r="R1164" s="1">
        <v>0</v>
      </c>
      <c r="S1164" s="1" t="s">
        <v>6899</v>
      </c>
      <c r="T1164" s="6" t="s">
        <v>6899</v>
      </c>
      <c r="U1164" s="1" t="str">
        <f t="shared" si="18"/>
        <v>Yes</v>
      </c>
      <c r="W1164" s="1" t="s">
        <v>6900</v>
      </c>
      <c r="X1164" s="1" t="str">
        <f>IF(COUNTIF('MyWells Drilling Comp'!F:F,E1164)=0,"Missing","Exist")</f>
        <v>Exist</v>
      </c>
    </row>
    <row r="1165" hidden="1" spans="1:24">
      <c r="A1165" s="1" t="s">
        <v>5265</v>
      </c>
      <c r="B1165" s="1" t="s">
        <v>90</v>
      </c>
      <c r="C1165" s="1" t="s">
        <v>6901</v>
      </c>
      <c r="D1165" s="1" t="s">
        <v>6897</v>
      </c>
      <c r="E1165" s="2" t="s">
        <v>1582</v>
      </c>
      <c r="F1165" s="2" t="s">
        <v>6902</v>
      </c>
      <c r="G1165" s="1">
        <v>1</v>
      </c>
      <c r="H1165" s="1" t="s">
        <v>1663</v>
      </c>
      <c r="I1165" s="1" t="s">
        <v>1657</v>
      </c>
      <c r="J1165" s="1" t="s">
        <v>1658</v>
      </c>
      <c r="K1165" s="1" t="s">
        <v>1658</v>
      </c>
      <c r="L1165" s="1" t="s">
        <v>1658</v>
      </c>
      <c r="M1165" s="1" t="s">
        <v>1658</v>
      </c>
      <c r="N1165" s="1" t="s">
        <v>1658</v>
      </c>
      <c r="O1165" s="1" t="s">
        <v>1658</v>
      </c>
      <c r="P1165" s="1">
        <v>1</v>
      </c>
      <c r="Q1165" s="1" t="s">
        <v>1658</v>
      </c>
      <c r="R1165" s="1">
        <v>0</v>
      </c>
      <c r="S1165" s="1" t="s">
        <v>6903</v>
      </c>
      <c r="T1165" s="6" t="s">
        <v>6904</v>
      </c>
      <c r="U1165" s="1" t="str">
        <f t="shared" si="18"/>
        <v>No</v>
      </c>
      <c r="W1165" s="1" t="s">
        <v>6905</v>
      </c>
      <c r="X1165" s="1" t="str">
        <f>IF(COUNTIF('MyWells Drilling Comp'!F:F,E1165)=0,"Missing","Exist")</f>
        <v>Exist</v>
      </c>
    </row>
    <row r="1166" hidden="1" spans="1:24">
      <c r="A1166" s="1" t="s">
        <v>5265</v>
      </c>
      <c r="B1166" s="1" t="s">
        <v>90</v>
      </c>
      <c r="C1166" s="1" t="s">
        <v>6906</v>
      </c>
      <c r="D1166" s="1" t="s">
        <v>6907</v>
      </c>
      <c r="E1166" s="2" t="s">
        <v>1456</v>
      </c>
      <c r="F1166" s="2" t="s">
        <v>6908</v>
      </c>
      <c r="G1166" s="1">
        <v>1</v>
      </c>
      <c r="H1166" s="1" t="s">
        <v>1656</v>
      </c>
      <c r="I1166" s="1" t="s">
        <v>1657</v>
      </c>
      <c r="J1166" s="1" t="s">
        <v>1658</v>
      </c>
      <c r="K1166" s="1" t="s">
        <v>1658</v>
      </c>
      <c r="L1166" s="1" t="s">
        <v>1658</v>
      </c>
      <c r="M1166" s="1" t="s">
        <v>1658</v>
      </c>
      <c r="N1166" s="1" t="s">
        <v>1658</v>
      </c>
      <c r="O1166" s="1" t="s">
        <v>1658</v>
      </c>
      <c r="P1166" s="1">
        <v>1</v>
      </c>
      <c r="Q1166" s="1" t="s">
        <v>1658</v>
      </c>
      <c r="R1166" s="1">
        <v>0</v>
      </c>
      <c r="S1166" s="1" t="s">
        <v>6909</v>
      </c>
      <c r="T1166" s="6" t="s">
        <v>6909</v>
      </c>
      <c r="U1166" s="1" t="str">
        <f t="shared" si="18"/>
        <v>Yes</v>
      </c>
      <c r="W1166" s="1" t="s">
        <v>6910</v>
      </c>
      <c r="X1166" s="1" t="str">
        <f>IF(COUNTIF('MyWells Drilling Comp'!F:F,E1166)=0,"Missing","Exist")</f>
        <v>Exist</v>
      </c>
    </row>
    <row r="1167" hidden="1" spans="1:24">
      <c r="A1167" s="1" t="s">
        <v>5265</v>
      </c>
      <c r="B1167" s="1" t="s">
        <v>90</v>
      </c>
      <c r="C1167" s="7" t="s">
        <v>6911</v>
      </c>
      <c r="D1167" s="1" t="s">
        <v>6907</v>
      </c>
      <c r="E1167" s="2" t="s">
        <v>1456</v>
      </c>
      <c r="F1167" s="2" t="s">
        <v>6912</v>
      </c>
      <c r="G1167" s="1">
        <v>1</v>
      </c>
      <c r="H1167" s="1" t="s">
        <v>1663</v>
      </c>
      <c r="I1167" s="1" t="s">
        <v>1657</v>
      </c>
      <c r="J1167" s="1" t="s">
        <v>1658</v>
      </c>
      <c r="K1167" s="1" t="s">
        <v>1658</v>
      </c>
      <c r="L1167" s="1" t="s">
        <v>1658</v>
      </c>
      <c r="M1167" s="1" t="s">
        <v>1658</v>
      </c>
      <c r="N1167" s="1" t="s">
        <v>1658</v>
      </c>
      <c r="O1167" s="1" t="s">
        <v>1658</v>
      </c>
      <c r="P1167" s="1">
        <v>1</v>
      </c>
      <c r="Q1167" s="1" t="s">
        <v>1658</v>
      </c>
      <c r="R1167" s="1">
        <v>0</v>
      </c>
      <c r="S1167" s="1" t="s">
        <v>6913</v>
      </c>
      <c r="T1167" s="6" t="s">
        <v>6913</v>
      </c>
      <c r="U1167" s="1" t="str">
        <f t="shared" si="18"/>
        <v>Yes</v>
      </c>
      <c r="W1167" s="1" t="s">
        <v>6914</v>
      </c>
      <c r="X1167" s="1" t="str">
        <f>IF(COUNTIF('MyWells Drilling Comp'!F:F,E1167)=0,"Missing","Exist")</f>
        <v>Exist</v>
      </c>
    </row>
    <row r="1168" hidden="1" spans="1:24">
      <c r="A1168" s="1" t="s">
        <v>5265</v>
      </c>
      <c r="B1168" s="1" t="s">
        <v>90</v>
      </c>
      <c r="C1168" s="1" t="s">
        <v>6915</v>
      </c>
      <c r="D1168" s="1" t="s">
        <v>6916</v>
      </c>
      <c r="E1168" s="2" t="s">
        <v>1198</v>
      </c>
      <c r="F1168" s="2" t="s">
        <v>6917</v>
      </c>
      <c r="G1168" s="1">
        <v>1</v>
      </c>
      <c r="H1168" s="1" t="s">
        <v>1656</v>
      </c>
      <c r="I1168" s="1" t="s">
        <v>1657</v>
      </c>
      <c r="J1168" s="1" t="s">
        <v>1658</v>
      </c>
      <c r="K1168" s="1" t="s">
        <v>1658</v>
      </c>
      <c r="L1168" s="1" t="s">
        <v>1658</v>
      </c>
      <c r="M1168" s="1" t="s">
        <v>1658</v>
      </c>
      <c r="N1168" s="1" t="s">
        <v>1658</v>
      </c>
      <c r="O1168" s="1" t="s">
        <v>1658</v>
      </c>
      <c r="P1168" s="1">
        <v>1</v>
      </c>
      <c r="Q1168" s="1" t="s">
        <v>1658</v>
      </c>
      <c r="R1168" s="1">
        <v>0</v>
      </c>
      <c r="S1168" s="1" t="s">
        <v>6918</v>
      </c>
      <c r="T1168" s="6" t="s">
        <v>6918</v>
      </c>
      <c r="U1168" s="1" t="str">
        <f t="shared" si="18"/>
        <v>Yes</v>
      </c>
      <c r="W1168" s="1" t="s">
        <v>6919</v>
      </c>
      <c r="X1168" s="1" t="str">
        <f>IF(COUNTIF('MyWells Drilling Comp'!F:F,E1168)=0,"Missing","Exist")</f>
        <v>Exist</v>
      </c>
    </row>
    <row r="1169" hidden="1" spans="1:24">
      <c r="A1169" s="1" t="s">
        <v>5265</v>
      </c>
      <c r="B1169" s="1" t="s">
        <v>90</v>
      </c>
      <c r="C1169" s="1" t="s">
        <v>6920</v>
      </c>
      <c r="D1169" s="1" t="s">
        <v>6916</v>
      </c>
      <c r="E1169" s="2" t="s">
        <v>1198</v>
      </c>
      <c r="F1169" s="2" t="s">
        <v>6921</v>
      </c>
      <c r="G1169" s="1">
        <v>1</v>
      </c>
      <c r="H1169" s="1" t="s">
        <v>1663</v>
      </c>
      <c r="I1169" s="1" t="s">
        <v>1657</v>
      </c>
      <c r="J1169" s="1" t="s">
        <v>1658</v>
      </c>
      <c r="K1169" s="1" t="s">
        <v>1658</v>
      </c>
      <c r="L1169" s="1" t="s">
        <v>1658</v>
      </c>
      <c r="M1169" s="1" t="s">
        <v>1658</v>
      </c>
      <c r="N1169" s="1" t="s">
        <v>1658</v>
      </c>
      <c r="O1169" s="1" t="s">
        <v>1658</v>
      </c>
      <c r="P1169" s="1">
        <v>1</v>
      </c>
      <c r="Q1169" s="1" t="s">
        <v>1658</v>
      </c>
      <c r="R1169" s="1">
        <v>0</v>
      </c>
      <c r="S1169" s="1" t="s">
        <v>6922</v>
      </c>
      <c r="T1169" s="6" t="s">
        <v>6923</v>
      </c>
      <c r="U1169" s="1" t="str">
        <f t="shared" si="18"/>
        <v>No</v>
      </c>
      <c r="W1169" s="1" t="s">
        <v>6924</v>
      </c>
      <c r="X1169" s="1" t="str">
        <f>IF(COUNTIF('MyWells Drilling Comp'!F:F,E1169)=0,"Missing","Exist")</f>
        <v>Exist</v>
      </c>
    </row>
    <row r="1170" hidden="1" spans="1:24">
      <c r="A1170" s="1" t="s">
        <v>5265</v>
      </c>
      <c r="B1170" s="1" t="s">
        <v>90</v>
      </c>
      <c r="C1170" s="1" t="s">
        <v>6925</v>
      </c>
      <c r="D1170" s="1" t="s">
        <v>6926</v>
      </c>
      <c r="E1170" s="2" t="s">
        <v>879</v>
      </c>
      <c r="F1170" s="2" t="s">
        <v>6927</v>
      </c>
      <c r="G1170" s="1">
        <v>1</v>
      </c>
      <c r="H1170" s="1" t="s">
        <v>1663</v>
      </c>
      <c r="I1170" s="1" t="s">
        <v>1657</v>
      </c>
      <c r="J1170" s="1" t="s">
        <v>1658</v>
      </c>
      <c r="K1170" s="1" t="s">
        <v>1658</v>
      </c>
      <c r="L1170" s="1" t="s">
        <v>1658</v>
      </c>
      <c r="M1170" s="1" t="s">
        <v>1658</v>
      </c>
      <c r="N1170" s="1" t="s">
        <v>1658</v>
      </c>
      <c r="O1170" s="1" t="s">
        <v>1658</v>
      </c>
      <c r="P1170" s="1">
        <v>1</v>
      </c>
      <c r="Q1170" s="1" t="s">
        <v>1658</v>
      </c>
      <c r="R1170" s="1">
        <v>0</v>
      </c>
      <c r="S1170" s="1" t="s">
        <v>6928</v>
      </c>
      <c r="T1170" s="6" t="s">
        <v>6928</v>
      </c>
      <c r="U1170" s="1" t="str">
        <f t="shared" si="18"/>
        <v>Yes</v>
      </c>
      <c r="W1170" s="1" t="s">
        <v>6929</v>
      </c>
      <c r="X1170" s="1" t="str">
        <f>IF(COUNTIF('MyWells Drilling Comp'!F:F,E1170)=0,"Missing","Exist")</f>
        <v>Exist</v>
      </c>
    </row>
    <row r="1171" hidden="1" spans="1:24">
      <c r="A1171" s="1" t="s">
        <v>5265</v>
      </c>
      <c r="B1171" s="1" t="s">
        <v>90</v>
      </c>
      <c r="C1171" s="1" t="s">
        <v>6930</v>
      </c>
      <c r="D1171" s="1" t="s">
        <v>6926</v>
      </c>
      <c r="E1171" s="2" t="s">
        <v>879</v>
      </c>
      <c r="F1171" s="2" t="s">
        <v>6931</v>
      </c>
      <c r="G1171" s="1">
        <v>1</v>
      </c>
      <c r="H1171" s="1" t="s">
        <v>1656</v>
      </c>
      <c r="I1171" s="1" t="s">
        <v>1657</v>
      </c>
      <c r="J1171" s="1" t="s">
        <v>1658</v>
      </c>
      <c r="K1171" s="1" t="s">
        <v>1658</v>
      </c>
      <c r="L1171" s="1" t="s">
        <v>1658</v>
      </c>
      <c r="M1171" s="1" t="s">
        <v>1658</v>
      </c>
      <c r="N1171" s="1" t="s">
        <v>1658</v>
      </c>
      <c r="O1171" s="1" t="s">
        <v>1658</v>
      </c>
      <c r="P1171" s="1">
        <v>1</v>
      </c>
      <c r="Q1171" s="1" t="s">
        <v>1658</v>
      </c>
      <c r="R1171" s="1">
        <v>0</v>
      </c>
      <c r="S1171" s="1" t="s">
        <v>6932</v>
      </c>
      <c r="T1171" s="6" t="s">
        <v>6932</v>
      </c>
      <c r="U1171" s="1" t="str">
        <f t="shared" si="18"/>
        <v>Yes</v>
      </c>
      <c r="W1171" s="1" t="s">
        <v>6933</v>
      </c>
      <c r="X1171" s="1" t="str">
        <f>IF(COUNTIF('MyWells Drilling Comp'!F:F,E1171)=0,"Missing","Exist")</f>
        <v>Exist</v>
      </c>
    </row>
    <row r="1172" hidden="1" spans="1:24">
      <c r="A1172" s="1" t="s">
        <v>5265</v>
      </c>
      <c r="B1172" s="1" t="s">
        <v>90</v>
      </c>
      <c r="C1172" s="1" t="s">
        <v>6934</v>
      </c>
      <c r="D1172" s="1" t="s">
        <v>6935</v>
      </c>
      <c r="E1172" s="2" t="s">
        <v>6936</v>
      </c>
      <c r="F1172" s="2" t="s">
        <v>6937</v>
      </c>
      <c r="G1172" s="1">
        <v>1</v>
      </c>
      <c r="H1172" s="1" t="s">
        <v>1656</v>
      </c>
      <c r="I1172" s="1" t="s">
        <v>1657</v>
      </c>
      <c r="J1172" s="1" t="s">
        <v>1658</v>
      </c>
      <c r="K1172" s="1" t="s">
        <v>1658</v>
      </c>
      <c r="L1172" s="1" t="s">
        <v>1658</v>
      </c>
      <c r="M1172" s="1" t="s">
        <v>1658</v>
      </c>
      <c r="N1172" s="1" t="s">
        <v>1658</v>
      </c>
      <c r="O1172" s="1" t="s">
        <v>1658</v>
      </c>
      <c r="P1172" s="1">
        <v>1</v>
      </c>
      <c r="Q1172" s="1" t="s">
        <v>1658</v>
      </c>
      <c r="R1172" s="1">
        <v>0</v>
      </c>
      <c r="S1172" s="1" t="s">
        <v>6938</v>
      </c>
      <c r="T1172" s="6" t="s">
        <v>6938</v>
      </c>
      <c r="U1172" s="1" t="str">
        <f t="shared" si="18"/>
        <v>Yes</v>
      </c>
      <c r="W1172" s="1" t="s">
        <v>6939</v>
      </c>
      <c r="X1172" s="1" t="str">
        <f>IF(COUNTIF('MyWells Drilling Comp'!F:F,E1172)=0,"Missing","Exist")</f>
        <v>Missing</v>
      </c>
    </row>
    <row r="1173" spans="1:24">
      <c r="A1173" s="1" t="s">
        <v>5265</v>
      </c>
      <c r="B1173" s="1" t="s">
        <v>90</v>
      </c>
      <c r="C1173" s="1" t="s">
        <v>6940</v>
      </c>
      <c r="D1173" s="1" t="s">
        <v>6935</v>
      </c>
      <c r="E1173" s="2" t="s">
        <v>6936</v>
      </c>
      <c r="F1173" s="2" t="s">
        <v>6941</v>
      </c>
      <c r="G1173" s="1">
        <v>1</v>
      </c>
      <c r="H1173" s="1" t="s">
        <v>1663</v>
      </c>
      <c r="I1173" s="1" t="s">
        <v>1657</v>
      </c>
      <c r="J1173" s="1" t="s">
        <v>1658</v>
      </c>
      <c r="K1173" s="1" t="s">
        <v>1658</v>
      </c>
      <c r="L1173" s="1" t="s">
        <v>1658</v>
      </c>
      <c r="M1173" s="1" t="s">
        <v>1658</v>
      </c>
      <c r="N1173" s="1" t="s">
        <v>1658</v>
      </c>
      <c r="O1173" s="1" t="s">
        <v>1658</v>
      </c>
      <c r="P1173" s="1">
        <v>1</v>
      </c>
      <c r="Q1173" s="1" t="s">
        <v>1658</v>
      </c>
      <c r="R1173" s="1">
        <v>0</v>
      </c>
      <c r="S1173" s="1" t="s">
        <v>6942</v>
      </c>
      <c r="T1173" s="6" t="s">
        <v>6942</v>
      </c>
      <c r="U1173" s="1" t="str">
        <f t="shared" si="18"/>
        <v>Yes</v>
      </c>
      <c r="W1173" s="1" t="s">
        <v>6943</v>
      </c>
      <c r="X1173" s="1" t="str">
        <f>IF(COUNTIF('MyWells Drilling Comp'!F:F,E1173)=0,"Missing","Exist")</f>
        <v>Missing</v>
      </c>
    </row>
    <row r="1174" hidden="1" spans="1:24">
      <c r="A1174" s="1" t="s">
        <v>5265</v>
      </c>
      <c r="B1174" s="1" t="s">
        <v>90</v>
      </c>
      <c r="C1174" s="1" t="s">
        <v>6944</v>
      </c>
      <c r="D1174" s="1" t="s">
        <v>6945</v>
      </c>
      <c r="E1174" s="2" t="s">
        <v>802</v>
      </c>
      <c r="F1174" s="2" t="s">
        <v>6946</v>
      </c>
      <c r="G1174" s="1">
        <v>1</v>
      </c>
      <c r="H1174" s="1" t="s">
        <v>1656</v>
      </c>
      <c r="I1174" s="1" t="s">
        <v>1657</v>
      </c>
      <c r="J1174" s="1" t="s">
        <v>1658</v>
      </c>
      <c r="K1174" s="1" t="s">
        <v>1658</v>
      </c>
      <c r="L1174" s="1" t="s">
        <v>1658</v>
      </c>
      <c r="M1174" s="1" t="s">
        <v>1658</v>
      </c>
      <c r="N1174" s="1" t="s">
        <v>1658</v>
      </c>
      <c r="O1174" s="1" t="s">
        <v>1658</v>
      </c>
      <c r="P1174" s="1">
        <v>1</v>
      </c>
      <c r="Q1174" s="1" t="s">
        <v>1658</v>
      </c>
      <c r="R1174" s="1">
        <v>0</v>
      </c>
      <c r="S1174" s="1" t="s">
        <v>6947</v>
      </c>
      <c r="T1174" s="6" t="s">
        <v>6947</v>
      </c>
      <c r="U1174" s="1" t="str">
        <f t="shared" si="18"/>
        <v>Yes</v>
      </c>
      <c r="W1174" s="1" t="s">
        <v>6948</v>
      </c>
      <c r="X1174" s="1" t="str">
        <f>IF(COUNTIF('MyWells Drilling Comp'!F:F,E1174)=0,"Missing","Exist")</f>
        <v>Exist</v>
      </c>
    </row>
    <row r="1175" hidden="1" spans="1:24">
      <c r="A1175" s="1" t="s">
        <v>5265</v>
      </c>
      <c r="B1175" s="1" t="s">
        <v>90</v>
      </c>
      <c r="C1175" s="1" t="s">
        <v>6949</v>
      </c>
      <c r="D1175" s="1" t="s">
        <v>6945</v>
      </c>
      <c r="E1175" s="2" t="s">
        <v>802</v>
      </c>
      <c r="F1175" s="2" t="s">
        <v>6950</v>
      </c>
      <c r="G1175" s="1">
        <v>1</v>
      </c>
      <c r="H1175" s="1" t="s">
        <v>1663</v>
      </c>
      <c r="I1175" s="1" t="s">
        <v>1657</v>
      </c>
      <c r="J1175" s="1" t="s">
        <v>1658</v>
      </c>
      <c r="K1175" s="1" t="s">
        <v>1658</v>
      </c>
      <c r="L1175" s="1" t="s">
        <v>1658</v>
      </c>
      <c r="M1175" s="1" t="s">
        <v>1658</v>
      </c>
      <c r="N1175" s="1" t="s">
        <v>1658</v>
      </c>
      <c r="O1175" s="1" t="s">
        <v>1658</v>
      </c>
      <c r="P1175" s="1">
        <v>1</v>
      </c>
      <c r="Q1175" s="1" t="s">
        <v>1658</v>
      </c>
      <c r="R1175" s="1">
        <v>0</v>
      </c>
      <c r="S1175" s="1" t="s">
        <v>6951</v>
      </c>
      <c r="T1175" s="6" t="s">
        <v>6951</v>
      </c>
      <c r="U1175" s="1" t="str">
        <f t="shared" si="18"/>
        <v>Yes</v>
      </c>
      <c r="W1175" s="1" t="s">
        <v>6952</v>
      </c>
      <c r="X1175" s="1" t="str">
        <f>IF(COUNTIF('MyWells Drilling Comp'!F:F,E1175)=0,"Missing","Exist")</f>
        <v>Exist</v>
      </c>
    </row>
    <row r="1176" hidden="1" spans="1:24">
      <c r="A1176" s="1" t="s">
        <v>5265</v>
      </c>
      <c r="B1176" s="1" t="s">
        <v>90</v>
      </c>
      <c r="C1176" s="1" t="s">
        <v>6953</v>
      </c>
      <c r="D1176" s="1" t="s">
        <v>6954</v>
      </c>
      <c r="E1176" s="2" t="s">
        <v>1249</v>
      </c>
      <c r="F1176" s="2" t="s">
        <v>6955</v>
      </c>
      <c r="G1176" s="1">
        <v>1</v>
      </c>
      <c r="H1176" s="1" t="s">
        <v>1656</v>
      </c>
      <c r="I1176" s="1" t="s">
        <v>1657</v>
      </c>
      <c r="J1176" s="1" t="s">
        <v>1658</v>
      </c>
      <c r="K1176" s="1" t="s">
        <v>1658</v>
      </c>
      <c r="L1176" s="1" t="s">
        <v>1658</v>
      </c>
      <c r="M1176" s="1" t="s">
        <v>1658</v>
      </c>
      <c r="N1176" s="1" t="s">
        <v>1658</v>
      </c>
      <c r="O1176" s="1" t="s">
        <v>1658</v>
      </c>
      <c r="P1176" s="1">
        <v>1</v>
      </c>
      <c r="Q1176" s="1" t="s">
        <v>1658</v>
      </c>
      <c r="R1176" s="1">
        <v>0</v>
      </c>
      <c r="S1176" s="1" t="s">
        <v>6956</v>
      </c>
      <c r="T1176" s="6" t="s">
        <v>6956</v>
      </c>
      <c r="U1176" s="1" t="str">
        <f t="shared" si="18"/>
        <v>Yes</v>
      </c>
      <c r="W1176" s="1" t="s">
        <v>6957</v>
      </c>
      <c r="X1176" s="1" t="str">
        <f>IF(COUNTIF('MyWells Drilling Comp'!F:F,E1176)=0,"Missing","Exist")</f>
        <v>Exist</v>
      </c>
    </row>
    <row r="1177" hidden="1" spans="1:24">
      <c r="A1177" s="1" t="s">
        <v>5265</v>
      </c>
      <c r="B1177" s="1" t="s">
        <v>90</v>
      </c>
      <c r="C1177" s="1" t="s">
        <v>6958</v>
      </c>
      <c r="D1177" s="1" t="s">
        <v>6954</v>
      </c>
      <c r="E1177" s="2" t="s">
        <v>1249</v>
      </c>
      <c r="F1177" s="2" t="s">
        <v>6959</v>
      </c>
      <c r="G1177" s="1">
        <v>1</v>
      </c>
      <c r="H1177" s="1" t="s">
        <v>1663</v>
      </c>
      <c r="I1177" s="1" t="s">
        <v>1657</v>
      </c>
      <c r="J1177" s="1" t="s">
        <v>1658</v>
      </c>
      <c r="K1177" s="1" t="s">
        <v>1658</v>
      </c>
      <c r="L1177" s="1" t="s">
        <v>1658</v>
      </c>
      <c r="M1177" s="1" t="s">
        <v>1658</v>
      </c>
      <c r="N1177" s="1" t="s">
        <v>1658</v>
      </c>
      <c r="O1177" s="1" t="s">
        <v>1658</v>
      </c>
      <c r="P1177" s="1">
        <v>1</v>
      </c>
      <c r="Q1177" s="1" t="s">
        <v>1658</v>
      </c>
      <c r="R1177" s="1">
        <v>0</v>
      </c>
      <c r="S1177" s="1" t="s">
        <v>6960</v>
      </c>
      <c r="T1177" s="6"/>
      <c r="U1177" s="1" t="str">
        <f t="shared" si="18"/>
        <v>No</v>
      </c>
      <c r="W1177" s="1" t="s">
        <v>6961</v>
      </c>
      <c r="X1177" s="1" t="str">
        <f>IF(COUNTIF('MyWells Drilling Comp'!F:F,E1177)=0,"Missing","Exist")</f>
        <v>Exist</v>
      </c>
    </row>
    <row r="1178" hidden="1" spans="1:24">
      <c r="A1178" s="1" t="s">
        <v>5265</v>
      </c>
      <c r="B1178" s="1" t="s">
        <v>90</v>
      </c>
      <c r="C1178" s="1" t="s">
        <v>6962</v>
      </c>
      <c r="D1178" s="1" t="s">
        <v>6963</v>
      </c>
      <c r="E1178" s="2" t="s">
        <v>915</v>
      </c>
      <c r="F1178" s="2" t="s">
        <v>6964</v>
      </c>
      <c r="G1178" s="1">
        <v>1</v>
      </c>
      <c r="H1178" s="1" t="s">
        <v>1656</v>
      </c>
      <c r="I1178" s="1" t="s">
        <v>1657</v>
      </c>
      <c r="J1178" s="1" t="s">
        <v>1658</v>
      </c>
      <c r="K1178" s="1" t="s">
        <v>1658</v>
      </c>
      <c r="L1178" s="1" t="s">
        <v>1658</v>
      </c>
      <c r="M1178" s="1" t="s">
        <v>1658</v>
      </c>
      <c r="N1178" s="1" t="s">
        <v>1658</v>
      </c>
      <c r="O1178" s="1" t="s">
        <v>1658</v>
      </c>
      <c r="P1178" s="1">
        <v>1</v>
      </c>
      <c r="Q1178" s="1" t="s">
        <v>1658</v>
      </c>
      <c r="R1178" s="1">
        <v>0</v>
      </c>
      <c r="S1178" s="1" t="s">
        <v>6965</v>
      </c>
      <c r="T1178" s="6" t="s">
        <v>6965</v>
      </c>
      <c r="U1178" s="1" t="str">
        <f t="shared" si="18"/>
        <v>Yes</v>
      </c>
      <c r="W1178" s="1" t="s">
        <v>6966</v>
      </c>
      <c r="X1178" s="1" t="str">
        <f>IF(COUNTIF('MyWells Drilling Comp'!F:F,E1178)=0,"Missing","Exist")</f>
        <v>Exist</v>
      </c>
    </row>
    <row r="1179" hidden="1" spans="1:24">
      <c r="A1179" s="1" t="s">
        <v>5265</v>
      </c>
      <c r="B1179" s="1" t="s">
        <v>90</v>
      </c>
      <c r="C1179" s="1" t="s">
        <v>6967</v>
      </c>
      <c r="D1179" s="1" t="s">
        <v>6963</v>
      </c>
      <c r="E1179" s="2" t="s">
        <v>915</v>
      </c>
      <c r="F1179" s="2" t="s">
        <v>6968</v>
      </c>
      <c r="G1179" s="1">
        <v>1</v>
      </c>
      <c r="H1179" s="1" t="s">
        <v>1663</v>
      </c>
      <c r="I1179" s="1" t="s">
        <v>1657</v>
      </c>
      <c r="J1179" s="1" t="s">
        <v>1658</v>
      </c>
      <c r="K1179" s="1" t="s">
        <v>1658</v>
      </c>
      <c r="L1179" s="1" t="s">
        <v>1658</v>
      </c>
      <c r="M1179" s="1" t="s">
        <v>1658</v>
      </c>
      <c r="N1179" s="1" t="s">
        <v>1658</v>
      </c>
      <c r="O1179" s="1" t="s">
        <v>1658</v>
      </c>
      <c r="P1179" s="1">
        <v>1</v>
      </c>
      <c r="Q1179" s="1" t="s">
        <v>1658</v>
      </c>
      <c r="R1179" s="1">
        <v>0</v>
      </c>
      <c r="S1179" s="1" t="s">
        <v>6969</v>
      </c>
      <c r="T1179" s="6" t="s">
        <v>6969</v>
      </c>
      <c r="U1179" s="1" t="str">
        <f t="shared" si="18"/>
        <v>Yes</v>
      </c>
      <c r="W1179" s="1" t="s">
        <v>6970</v>
      </c>
      <c r="X1179" s="1" t="str">
        <f>IF(COUNTIF('MyWells Drilling Comp'!F:F,E1179)=0,"Missing","Exist")</f>
        <v>Exist</v>
      </c>
    </row>
    <row r="1180" hidden="1" spans="1:24">
      <c r="A1180" s="1" t="s">
        <v>5265</v>
      </c>
      <c r="B1180" s="1" t="s">
        <v>90</v>
      </c>
      <c r="C1180" s="1" t="s">
        <v>6971</v>
      </c>
      <c r="D1180" s="1" t="s">
        <v>6972</v>
      </c>
      <c r="E1180" s="2" t="s">
        <v>1052</v>
      </c>
      <c r="F1180" s="2" t="s">
        <v>6973</v>
      </c>
      <c r="G1180" s="1">
        <v>1</v>
      </c>
      <c r="H1180" s="1" t="s">
        <v>1656</v>
      </c>
      <c r="I1180" s="1" t="s">
        <v>1657</v>
      </c>
      <c r="J1180" s="1" t="s">
        <v>1658</v>
      </c>
      <c r="K1180" s="1" t="s">
        <v>1658</v>
      </c>
      <c r="L1180" s="1" t="s">
        <v>1658</v>
      </c>
      <c r="M1180" s="1" t="s">
        <v>1658</v>
      </c>
      <c r="N1180" s="1" t="s">
        <v>1658</v>
      </c>
      <c r="O1180" s="1" t="s">
        <v>1658</v>
      </c>
      <c r="P1180" s="1">
        <v>1</v>
      </c>
      <c r="Q1180" s="1" t="s">
        <v>1658</v>
      </c>
      <c r="R1180" s="1">
        <v>0</v>
      </c>
      <c r="S1180" s="1" t="s">
        <v>6974</v>
      </c>
      <c r="T1180" s="6" t="s">
        <v>6974</v>
      </c>
      <c r="U1180" s="1" t="str">
        <f t="shared" si="18"/>
        <v>Yes</v>
      </c>
      <c r="W1180" s="1" t="s">
        <v>6975</v>
      </c>
      <c r="X1180" s="1" t="str">
        <f>IF(COUNTIF('MyWells Drilling Comp'!F:F,E1180)=0,"Missing","Exist")</f>
        <v>Exist</v>
      </c>
    </row>
    <row r="1181" hidden="1" spans="1:24">
      <c r="A1181" s="1" t="s">
        <v>5265</v>
      </c>
      <c r="B1181" s="1" t="s">
        <v>90</v>
      </c>
      <c r="C1181" s="1" t="s">
        <v>6976</v>
      </c>
      <c r="D1181" s="1" t="s">
        <v>6972</v>
      </c>
      <c r="E1181" s="2" t="s">
        <v>1052</v>
      </c>
      <c r="F1181" s="2" t="s">
        <v>6977</v>
      </c>
      <c r="G1181" s="1">
        <v>1</v>
      </c>
      <c r="H1181" s="1" t="s">
        <v>1663</v>
      </c>
      <c r="I1181" s="1" t="s">
        <v>1657</v>
      </c>
      <c r="J1181" s="1" t="s">
        <v>1658</v>
      </c>
      <c r="K1181" s="1" t="s">
        <v>1658</v>
      </c>
      <c r="L1181" s="1" t="s">
        <v>1658</v>
      </c>
      <c r="M1181" s="1" t="s">
        <v>1658</v>
      </c>
      <c r="N1181" s="1" t="s">
        <v>1658</v>
      </c>
      <c r="O1181" s="1" t="s">
        <v>1658</v>
      </c>
      <c r="P1181" s="1">
        <v>1</v>
      </c>
      <c r="Q1181" s="1" t="s">
        <v>1658</v>
      </c>
      <c r="R1181" s="1">
        <v>0</v>
      </c>
      <c r="S1181" s="1" t="s">
        <v>6978</v>
      </c>
      <c r="T1181" s="6" t="s">
        <v>6978</v>
      </c>
      <c r="U1181" s="1" t="str">
        <f t="shared" si="18"/>
        <v>Yes</v>
      </c>
      <c r="W1181" s="1" t="s">
        <v>6979</v>
      </c>
      <c r="X1181" s="1" t="str">
        <f>IF(COUNTIF('MyWells Drilling Comp'!F:F,E1181)=0,"Missing","Exist")</f>
        <v>Exist</v>
      </c>
    </row>
    <row r="1182" hidden="1" spans="1:24">
      <c r="A1182" s="1" t="s">
        <v>5265</v>
      </c>
      <c r="B1182" s="1" t="s">
        <v>90</v>
      </c>
      <c r="C1182" s="1" t="s">
        <v>6980</v>
      </c>
      <c r="D1182" s="1" t="s">
        <v>6981</v>
      </c>
      <c r="E1182" s="2" t="s">
        <v>474</v>
      </c>
      <c r="F1182" s="2" t="s">
        <v>6982</v>
      </c>
      <c r="G1182" s="1">
        <v>1</v>
      </c>
      <c r="H1182" s="1" t="s">
        <v>1656</v>
      </c>
      <c r="I1182" s="1" t="s">
        <v>1657</v>
      </c>
      <c r="J1182" s="1" t="s">
        <v>1658</v>
      </c>
      <c r="K1182" s="1" t="s">
        <v>1658</v>
      </c>
      <c r="L1182" s="1" t="s">
        <v>1658</v>
      </c>
      <c r="M1182" s="1" t="s">
        <v>1658</v>
      </c>
      <c r="N1182" s="1" t="s">
        <v>1658</v>
      </c>
      <c r="O1182" s="1" t="s">
        <v>1658</v>
      </c>
      <c r="P1182" s="1">
        <v>1</v>
      </c>
      <c r="Q1182" s="1" t="s">
        <v>1658</v>
      </c>
      <c r="R1182" s="1">
        <v>0</v>
      </c>
      <c r="S1182" s="1" t="s">
        <v>6983</v>
      </c>
      <c r="T1182" s="6"/>
      <c r="U1182" s="1" t="str">
        <f t="shared" si="18"/>
        <v>No</v>
      </c>
      <c r="W1182" s="1" t="s">
        <v>6984</v>
      </c>
      <c r="X1182" s="1" t="str">
        <f>IF(COUNTIF('MyWells Drilling Comp'!F:F,E1182)=0,"Missing","Exist")</f>
        <v>Exist</v>
      </c>
    </row>
    <row r="1183" hidden="1" spans="1:24">
      <c r="A1183" s="1" t="s">
        <v>5265</v>
      </c>
      <c r="B1183" s="1" t="s">
        <v>90</v>
      </c>
      <c r="C1183" s="1" t="s">
        <v>6985</v>
      </c>
      <c r="D1183" s="1" t="s">
        <v>6981</v>
      </c>
      <c r="E1183" s="2" t="s">
        <v>474</v>
      </c>
      <c r="F1183" s="2" t="s">
        <v>6986</v>
      </c>
      <c r="G1183" s="1">
        <v>1</v>
      </c>
      <c r="H1183" s="1" t="s">
        <v>1663</v>
      </c>
      <c r="I1183" s="1" t="s">
        <v>1657</v>
      </c>
      <c r="J1183" s="1" t="s">
        <v>1658</v>
      </c>
      <c r="K1183" s="1" t="s">
        <v>1658</v>
      </c>
      <c r="L1183" s="1" t="s">
        <v>1658</v>
      </c>
      <c r="M1183" s="1" t="s">
        <v>1658</v>
      </c>
      <c r="N1183" s="1" t="s">
        <v>1658</v>
      </c>
      <c r="O1183" s="1" t="s">
        <v>1658</v>
      </c>
      <c r="P1183" s="1">
        <v>1</v>
      </c>
      <c r="Q1183" s="1" t="s">
        <v>1658</v>
      </c>
      <c r="R1183" s="1">
        <v>0</v>
      </c>
      <c r="S1183" s="1" t="s">
        <v>6987</v>
      </c>
      <c r="T1183" s="6" t="s">
        <v>6987</v>
      </c>
      <c r="U1183" s="1" t="str">
        <f t="shared" si="18"/>
        <v>Yes</v>
      </c>
      <c r="W1183" s="1" t="s">
        <v>6988</v>
      </c>
      <c r="X1183" s="1" t="str">
        <f>IF(COUNTIF('MyWells Drilling Comp'!F:F,E1183)=0,"Missing","Exist")</f>
        <v>Exist</v>
      </c>
    </row>
    <row r="1184" hidden="1" spans="1:24">
      <c r="A1184" s="1" t="s">
        <v>5265</v>
      </c>
      <c r="B1184" s="1" t="s">
        <v>90</v>
      </c>
      <c r="C1184" s="1" t="s">
        <v>6989</v>
      </c>
      <c r="D1184" s="1" t="s">
        <v>6990</v>
      </c>
      <c r="E1184" s="2" t="s">
        <v>730</v>
      </c>
      <c r="F1184" s="2" t="s">
        <v>6991</v>
      </c>
      <c r="G1184" s="1">
        <v>1</v>
      </c>
      <c r="H1184" s="1" t="s">
        <v>1663</v>
      </c>
      <c r="I1184" s="1" t="s">
        <v>1657</v>
      </c>
      <c r="J1184" s="1" t="s">
        <v>1658</v>
      </c>
      <c r="K1184" s="1" t="s">
        <v>1658</v>
      </c>
      <c r="L1184" s="1" t="s">
        <v>1658</v>
      </c>
      <c r="M1184" s="1" t="s">
        <v>1658</v>
      </c>
      <c r="N1184" s="1" t="s">
        <v>1658</v>
      </c>
      <c r="O1184" s="1" t="s">
        <v>1658</v>
      </c>
      <c r="P1184" s="1">
        <v>1</v>
      </c>
      <c r="Q1184" s="1" t="s">
        <v>1658</v>
      </c>
      <c r="R1184" s="1">
        <v>0</v>
      </c>
      <c r="S1184" s="1" t="s">
        <v>6992</v>
      </c>
      <c r="T1184" s="6"/>
      <c r="U1184" s="1" t="str">
        <f t="shared" si="18"/>
        <v>No</v>
      </c>
      <c r="W1184" s="1" t="s">
        <v>6993</v>
      </c>
      <c r="X1184" s="1" t="str">
        <f>IF(COUNTIF('MyWells Drilling Comp'!F:F,E1184)=0,"Missing","Exist")</f>
        <v>Exist</v>
      </c>
    </row>
    <row r="1185" hidden="1" spans="1:24">
      <c r="A1185" s="1" t="s">
        <v>5265</v>
      </c>
      <c r="B1185" s="1" t="s">
        <v>90</v>
      </c>
      <c r="C1185" s="1" t="s">
        <v>6994</v>
      </c>
      <c r="D1185" s="1" t="s">
        <v>6990</v>
      </c>
      <c r="E1185" s="2" t="s">
        <v>730</v>
      </c>
      <c r="F1185" s="2" t="s">
        <v>6995</v>
      </c>
      <c r="G1185" s="1">
        <v>1</v>
      </c>
      <c r="H1185" s="1" t="s">
        <v>1656</v>
      </c>
      <c r="I1185" s="1" t="s">
        <v>1657</v>
      </c>
      <c r="J1185" s="1" t="s">
        <v>1658</v>
      </c>
      <c r="K1185" s="1" t="s">
        <v>1658</v>
      </c>
      <c r="L1185" s="1" t="s">
        <v>1658</v>
      </c>
      <c r="M1185" s="1" t="s">
        <v>1658</v>
      </c>
      <c r="N1185" s="1" t="s">
        <v>1658</v>
      </c>
      <c r="O1185" s="1" t="s">
        <v>1658</v>
      </c>
      <c r="P1185" s="1">
        <v>1</v>
      </c>
      <c r="Q1185" s="1" t="s">
        <v>1658</v>
      </c>
      <c r="R1185" s="1">
        <v>0</v>
      </c>
      <c r="S1185" s="1" t="s">
        <v>5948</v>
      </c>
      <c r="T1185" s="6"/>
      <c r="U1185" s="1" t="str">
        <f t="shared" si="18"/>
        <v>No</v>
      </c>
      <c r="W1185" s="1" t="s">
        <v>6996</v>
      </c>
      <c r="X1185" s="1" t="str">
        <f>IF(COUNTIF('MyWells Drilling Comp'!F:F,E1185)=0,"Missing","Exist")</f>
        <v>Exist</v>
      </c>
    </row>
    <row r="1186" hidden="1" spans="1:24">
      <c r="A1186" s="1" t="s">
        <v>5265</v>
      </c>
      <c r="B1186" s="1" t="s">
        <v>90</v>
      </c>
      <c r="C1186" s="1" t="s">
        <v>6997</v>
      </c>
      <c r="D1186" s="1" t="s">
        <v>6998</v>
      </c>
      <c r="E1186" s="2" t="s">
        <v>707</v>
      </c>
      <c r="F1186" s="2" t="s">
        <v>6999</v>
      </c>
      <c r="G1186" s="1">
        <v>1</v>
      </c>
      <c r="H1186" s="1" t="s">
        <v>1663</v>
      </c>
      <c r="I1186" s="1" t="s">
        <v>1657</v>
      </c>
      <c r="J1186" s="1" t="s">
        <v>1658</v>
      </c>
      <c r="K1186" s="1" t="s">
        <v>1658</v>
      </c>
      <c r="L1186" s="1" t="s">
        <v>1658</v>
      </c>
      <c r="M1186" s="1" t="s">
        <v>1658</v>
      </c>
      <c r="N1186" s="1" t="s">
        <v>1658</v>
      </c>
      <c r="O1186" s="1" t="s">
        <v>1658</v>
      </c>
      <c r="P1186" s="1">
        <v>1</v>
      </c>
      <c r="Q1186" s="1" t="s">
        <v>1658</v>
      </c>
      <c r="R1186" s="1">
        <v>0</v>
      </c>
      <c r="S1186" s="1" t="s">
        <v>7000</v>
      </c>
      <c r="T1186" s="6" t="s">
        <v>7000</v>
      </c>
      <c r="U1186" s="1" t="str">
        <f t="shared" si="18"/>
        <v>Yes</v>
      </c>
      <c r="W1186" s="1" t="s">
        <v>7001</v>
      </c>
      <c r="X1186" s="1" t="str">
        <f>IF(COUNTIF('MyWells Drilling Comp'!F:F,E1186)=0,"Missing","Exist")</f>
        <v>Exist</v>
      </c>
    </row>
    <row r="1187" hidden="1" spans="1:24">
      <c r="A1187" s="1" t="s">
        <v>5265</v>
      </c>
      <c r="B1187" s="1" t="s">
        <v>90</v>
      </c>
      <c r="C1187" s="1" t="s">
        <v>7002</v>
      </c>
      <c r="D1187" s="1" t="s">
        <v>6998</v>
      </c>
      <c r="E1187" s="2" t="s">
        <v>707</v>
      </c>
      <c r="F1187" s="2" t="s">
        <v>7003</v>
      </c>
      <c r="G1187" s="1">
        <v>1</v>
      </c>
      <c r="H1187" s="1" t="s">
        <v>1656</v>
      </c>
      <c r="I1187" s="1" t="s">
        <v>1657</v>
      </c>
      <c r="J1187" s="1" t="s">
        <v>1658</v>
      </c>
      <c r="K1187" s="1" t="s">
        <v>1658</v>
      </c>
      <c r="L1187" s="1" t="s">
        <v>1658</v>
      </c>
      <c r="M1187" s="1" t="s">
        <v>1658</v>
      </c>
      <c r="N1187" s="1" t="s">
        <v>1658</v>
      </c>
      <c r="O1187" s="1" t="s">
        <v>1658</v>
      </c>
      <c r="P1187" s="1">
        <v>1</v>
      </c>
      <c r="Q1187" s="1" t="s">
        <v>1658</v>
      </c>
      <c r="R1187" s="1">
        <v>0</v>
      </c>
      <c r="S1187" s="1" t="s">
        <v>7004</v>
      </c>
      <c r="T1187" s="6"/>
      <c r="U1187" s="1" t="str">
        <f t="shared" si="18"/>
        <v>No</v>
      </c>
      <c r="W1187" s="1" t="s">
        <v>7005</v>
      </c>
      <c r="X1187" s="1" t="str">
        <f>IF(COUNTIF('MyWells Drilling Comp'!F:F,E1187)=0,"Missing","Exist")</f>
        <v>Exist</v>
      </c>
    </row>
    <row r="1188" hidden="1" spans="1:24">
      <c r="A1188" s="1" t="s">
        <v>5265</v>
      </c>
      <c r="B1188" s="1" t="s">
        <v>90</v>
      </c>
      <c r="C1188" s="1" t="s">
        <v>7006</v>
      </c>
      <c r="D1188" s="1" t="s">
        <v>7007</v>
      </c>
      <c r="E1188" s="2" t="s">
        <v>726</v>
      </c>
      <c r="F1188" s="2" t="s">
        <v>7008</v>
      </c>
      <c r="G1188" s="1">
        <v>1</v>
      </c>
      <c r="H1188" s="1" t="s">
        <v>1663</v>
      </c>
      <c r="I1188" s="1" t="s">
        <v>1657</v>
      </c>
      <c r="J1188" s="1" t="s">
        <v>1658</v>
      </c>
      <c r="K1188" s="1" t="s">
        <v>1658</v>
      </c>
      <c r="L1188" s="1" t="s">
        <v>1658</v>
      </c>
      <c r="M1188" s="1" t="s">
        <v>1658</v>
      </c>
      <c r="N1188" s="1" t="s">
        <v>1658</v>
      </c>
      <c r="O1188" s="1" t="s">
        <v>1658</v>
      </c>
      <c r="P1188" s="1">
        <v>1</v>
      </c>
      <c r="Q1188" s="1" t="s">
        <v>1658</v>
      </c>
      <c r="R1188" s="1">
        <v>0</v>
      </c>
      <c r="S1188" s="1" t="s">
        <v>7009</v>
      </c>
      <c r="T1188" s="6" t="s">
        <v>7009</v>
      </c>
      <c r="U1188" s="1" t="str">
        <f t="shared" si="18"/>
        <v>Yes</v>
      </c>
      <c r="W1188" s="1" t="s">
        <v>7010</v>
      </c>
      <c r="X1188" s="1" t="str">
        <f>IF(COUNTIF('MyWells Drilling Comp'!F:F,E1188)=0,"Missing","Exist")</f>
        <v>Exist</v>
      </c>
    </row>
    <row r="1189" hidden="1" spans="1:24">
      <c r="A1189" s="1" t="s">
        <v>5265</v>
      </c>
      <c r="B1189" s="1" t="s">
        <v>90</v>
      </c>
      <c r="C1189" s="1" t="s">
        <v>7011</v>
      </c>
      <c r="D1189" s="1" t="s">
        <v>7007</v>
      </c>
      <c r="E1189" s="2" t="s">
        <v>726</v>
      </c>
      <c r="F1189" s="2" t="s">
        <v>7012</v>
      </c>
      <c r="G1189" s="1">
        <v>1</v>
      </c>
      <c r="H1189" s="1" t="s">
        <v>1656</v>
      </c>
      <c r="I1189" s="1" t="s">
        <v>1657</v>
      </c>
      <c r="J1189" s="1" t="s">
        <v>1658</v>
      </c>
      <c r="K1189" s="1" t="s">
        <v>1658</v>
      </c>
      <c r="L1189" s="1" t="s">
        <v>1658</v>
      </c>
      <c r="M1189" s="1" t="s">
        <v>1658</v>
      </c>
      <c r="N1189" s="1" t="s">
        <v>1658</v>
      </c>
      <c r="O1189" s="1" t="s">
        <v>1658</v>
      </c>
      <c r="P1189" s="1">
        <v>1</v>
      </c>
      <c r="Q1189" s="1" t="s">
        <v>1658</v>
      </c>
      <c r="R1189" s="1">
        <v>0</v>
      </c>
      <c r="S1189" s="1" t="s">
        <v>5948</v>
      </c>
      <c r="T1189" s="6"/>
      <c r="U1189" s="1" t="str">
        <f t="shared" si="18"/>
        <v>No</v>
      </c>
      <c r="W1189" s="1" t="s">
        <v>7013</v>
      </c>
      <c r="X1189" s="1" t="str">
        <f>IF(COUNTIF('MyWells Drilling Comp'!F:F,E1189)=0,"Missing","Exist")</f>
        <v>Exist</v>
      </c>
    </row>
    <row r="1190" hidden="1" spans="1:24">
      <c r="A1190" s="1" t="s">
        <v>3044</v>
      </c>
      <c r="B1190" s="1" t="s">
        <v>90</v>
      </c>
      <c r="C1190" s="1" t="s">
        <v>7014</v>
      </c>
      <c r="D1190" s="1" t="s">
        <v>7015</v>
      </c>
      <c r="E1190" s="2" t="s">
        <v>1211</v>
      </c>
      <c r="F1190" s="2" t="s">
        <v>7016</v>
      </c>
      <c r="G1190" s="1">
        <v>1</v>
      </c>
      <c r="H1190" s="1" t="s">
        <v>1663</v>
      </c>
      <c r="I1190" s="1" t="s">
        <v>1657</v>
      </c>
      <c r="J1190" s="1" t="s">
        <v>1658</v>
      </c>
      <c r="K1190" s="1" t="s">
        <v>1658</v>
      </c>
      <c r="L1190" s="1" t="s">
        <v>1658</v>
      </c>
      <c r="M1190" s="1" t="s">
        <v>1658</v>
      </c>
      <c r="N1190" s="1" t="s">
        <v>1658</v>
      </c>
      <c r="O1190" s="1" t="s">
        <v>1658</v>
      </c>
      <c r="P1190" s="1">
        <v>1</v>
      </c>
      <c r="Q1190" s="1" t="s">
        <v>1658</v>
      </c>
      <c r="R1190" s="1">
        <v>0</v>
      </c>
      <c r="S1190" s="1" t="s">
        <v>7017</v>
      </c>
      <c r="T1190" s="6"/>
      <c r="U1190" s="1" t="str">
        <f t="shared" si="18"/>
        <v>No</v>
      </c>
      <c r="W1190" s="1" t="s">
        <v>7018</v>
      </c>
      <c r="X1190" s="1" t="str">
        <f>IF(COUNTIF('MyWells Drilling Comp'!F:F,E1190)=0,"Missing","Exist")</f>
        <v>Exist</v>
      </c>
    </row>
    <row r="1191" hidden="1" spans="1:24">
      <c r="A1191" s="1" t="s">
        <v>5265</v>
      </c>
      <c r="B1191" s="1" t="s">
        <v>90</v>
      </c>
      <c r="C1191" s="1" t="s">
        <v>7019</v>
      </c>
      <c r="D1191" s="1" t="s">
        <v>7015</v>
      </c>
      <c r="E1191" s="2" t="s">
        <v>1211</v>
      </c>
      <c r="F1191" s="2" t="s">
        <v>7020</v>
      </c>
      <c r="G1191" s="1">
        <v>1</v>
      </c>
      <c r="H1191" s="1" t="s">
        <v>1656</v>
      </c>
      <c r="I1191" s="1" t="s">
        <v>1657</v>
      </c>
      <c r="J1191" s="1" t="s">
        <v>1658</v>
      </c>
      <c r="K1191" s="1" t="s">
        <v>1658</v>
      </c>
      <c r="L1191" s="1" t="s">
        <v>1658</v>
      </c>
      <c r="M1191" s="1" t="s">
        <v>1658</v>
      </c>
      <c r="N1191" s="1" t="s">
        <v>1658</v>
      </c>
      <c r="O1191" s="1" t="s">
        <v>1658</v>
      </c>
      <c r="P1191" s="1">
        <v>1</v>
      </c>
      <c r="Q1191" s="1" t="s">
        <v>1658</v>
      </c>
      <c r="R1191" s="1">
        <v>0</v>
      </c>
      <c r="S1191" s="1" t="s">
        <v>7021</v>
      </c>
      <c r="T1191" s="6" t="s">
        <v>7021</v>
      </c>
      <c r="U1191" s="1" t="str">
        <f t="shared" si="18"/>
        <v>Yes</v>
      </c>
      <c r="W1191" s="1" t="s">
        <v>7022</v>
      </c>
      <c r="X1191" s="1" t="str">
        <f>IF(COUNTIF('MyWells Drilling Comp'!F:F,E1191)=0,"Missing","Exist")</f>
        <v>Exist</v>
      </c>
    </row>
    <row r="1192" hidden="1" spans="1:24">
      <c r="A1192" s="1" t="s">
        <v>5265</v>
      </c>
      <c r="B1192" s="1" t="s">
        <v>90</v>
      </c>
      <c r="C1192" s="1" t="s">
        <v>7023</v>
      </c>
      <c r="D1192" s="1" t="s">
        <v>7024</v>
      </c>
      <c r="E1192" s="2" t="s">
        <v>1296</v>
      </c>
      <c r="F1192" s="2" t="s">
        <v>7025</v>
      </c>
      <c r="G1192" s="1">
        <v>1</v>
      </c>
      <c r="H1192" s="1" t="s">
        <v>1663</v>
      </c>
      <c r="I1192" s="1" t="s">
        <v>1657</v>
      </c>
      <c r="J1192" s="1" t="s">
        <v>1658</v>
      </c>
      <c r="K1192" s="1" t="s">
        <v>1658</v>
      </c>
      <c r="L1192" s="1" t="s">
        <v>1658</v>
      </c>
      <c r="M1192" s="1" t="s">
        <v>1658</v>
      </c>
      <c r="N1192" s="1" t="s">
        <v>1658</v>
      </c>
      <c r="O1192" s="1" t="s">
        <v>1658</v>
      </c>
      <c r="P1192" s="1">
        <v>1</v>
      </c>
      <c r="Q1192" s="1" t="s">
        <v>1658</v>
      </c>
      <c r="R1192" s="1">
        <v>0</v>
      </c>
      <c r="S1192" s="1" t="s">
        <v>7026</v>
      </c>
      <c r="T1192" s="6" t="s">
        <v>7026</v>
      </c>
      <c r="U1192" s="1" t="str">
        <f t="shared" si="18"/>
        <v>Yes</v>
      </c>
      <c r="W1192" s="1" t="s">
        <v>7027</v>
      </c>
      <c r="X1192" s="1" t="str">
        <f>IF(COUNTIF('MyWells Drilling Comp'!F:F,E1192)=0,"Missing","Exist")</f>
        <v>Exist</v>
      </c>
    </row>
    <row r="1193" hidden="1" spans="1:24">
      <c r="A1193" s="1" t="s">
        <v>5265</v>
      </c>
      <c r="B1193" s="1" t="s">
        <v>90</v>
      </c>
      <c r="C1193" s="1" t="s">
        <v>7028</v>
      </c>
      <c r="D1193" s="1" t="s">
        <v>7024</v>
      </c>
      <c r="E1193" s="2" t="s">
        <v>1296</v>
      </c>
      <c r="F1193" s="2" t="s">
        <v>7029</v>
      </c>
      <c r="G1193" s="1">
        <v>1</v>
      </c>
      <c r="H1193" s="1" t="s">
        <v>1656</v>
      </c>
      <c r="I1193" s="1" t="s">
        <v>1657</v>
      </c>
      <c r="J1193" s="1" t="s">
        <v>1658</v>
      </c>
      <c r="K1193" s="1" t="s">
        <v>1658</v>
      </c>
      <c r="L1193" s="1" t="s">
        <v>1658</v>
      </c>
      <c r="M1193" s="1" t="s">
        <v>1658</v>
      </c>
      <c r="N1193" s="1" t="s">
        <v>1658</v>
      </c>
      <c r="O1193" s="1" t="s">
        <v>1658</v>
      </c>
      <c r="P1193" s="1">
        <v>1</v>
      </c>
      <c r="Q1193" s="1" t="s">
        <v>1658</v>
      </c>
      <c r="R1193" s="1">
        <v>0</v>
      </c>
      <c r="S1193" s="1" t="s">
        <v>7030</v>
      </c>
      <c r="T1193" s="6" t="s">
        <v>7030</v>
      </c>
      <c r="U1193" s="1" t="str">
        <f t="shared" si="18"/>
        <v>Yes</v>
      </c>
      <c r="W1193" s="1" t="s">
        <v>7031</v>
      </c>
      <c r="X1193" s="1" t="str">
        <f>IF(COUNTIF('MyWells Drilling Comp'!F:F,E1193)=0,"Missing","Exist")</f>
        <v>Exist</v>
      </c>
    </row>
    <row r="1194" hidden="1" spans="1:24">
      <c r="A1194" s="1" t="s">
        <v>5265</v>
      </c>
      <c r="B1194" s="1" t="s">
        <v>90</v>
      </c>
      <c r="C1194" s="1" t="s">
        <v>7032</v>
      </c>
      <c r="D1194" s="1" t="s">
        <v>7033</v>
      </c>
      <c r="E1194" s="2" t="s">
        <v>473</v>
      </c>
      <c r="F1194" s="2" t="s">
        <v>7034</v>
      </c>
      <c r="G1194" s="1">
        <v>1</v>
      </c>
      <c r="H1194" s="1" t="s">
        <v>1663</v>
      </c>
      <c r="I1194" s="1" t="s">
        <v>1657</v>
      </c>
      <c r="J1194" s="1" t="s">
        <v>1658</v>
      </c>
      <c r="K1194" s="1" t="s">
        <v>1658</v>
      </c>
      <c r="L1194" s="1" t="s">
        <v>1658</v>
      </c>
      <c r="M1194" s="1" t="s">
        <v>1658</v>
      </c>
      <c r="N1194" s="1" t="s">
        <v>1658</v>
      </c>
      <c r="O1194" s="1" t="s">
        <v>1658</v>
      </c>
      <c r="P1194" s="1">
        <v>1</v>
      </c>
      <c r="Q1194" s="1" t="s">
        <v>1658</v>
      </c>
      <c r="R1194" s="1">
        <v>0</v>
      </c>
      <c r="S1194" s="1" t="s">
        <v>7035</v>
      </c>
      <c r="T1194" s="6" t="s">
        <v>7035</v>
      </c>
      <c r="U1194" s="1" t="str">
        <f t="shared" si="18"/>
        <v>Yes</v>
      </c>
      <c r="W1194" s="1" t="s">
        <v>7036</v>
      </c>
      <c r="X1194" s="1" t="str">
        <f>IF(COUNTIF('MyWells Drilling Comp'!F:F,E1194)=0,"Missing","Exist")</f>
        <v>Exist</v>
      </c>
    </row>
    <row r="1195" hidden="1" spans="1:24">
      <c r="A1195" s="1" t="s">
        <v>5265</v>
      </c>
      <c r="B1195" s="1" t="s">
        <v>90</v>
      </c>
      <c r="C1195" s="1" t="s">
        <v>7037</v>
      </c>
      <c r="D1195" s="1" t="s">
        <v>7033</v>
      </c>
      <c r="E1195" s="2" t="s">
        <v>473</v>
      </c>
      <c r="F1195" s="2" t="s">
        <v>7038</v>
      </c>
      <c r="G1195" s="1">
        <v>1</v>
      </c>
      <c r="H1195" s="1" t="s">
        <v>1656</v>
      </c>
      <c r="I1195" s="1" t="s">
        <v>1657</v>
      </c>
      <c r="J1195" s="1" t="s">
        <v>1658</v>
      </c>
      <c r="K1195" s="1" t="s">
        <v>1658</v>
      </c>
      <c r="L1195" s="1" t="s">
        <v>1658</v>
      </c>
      <c r="M1195" s="1" t="s">
        <v>1658</v>
      </c>
      <c r="N1195" s="1" t="s">
        <v>1658</v>
      </c>
      <c r="O1195" s="1" t="s">
        <v>1658</v>
      </c>
      <c r="P1195" s="1">
        <v>1</v>
      </c>
      <c r="Q1195" s="1" t="s">
        <v>1658</v>
      </c>
      <c r="R1195" s="1">
        <v>0</v>
      </c>
      <c r="S1195" s="1" t="s">
        <v>7039</v>
      </c>
      <c r="T1195" s="6" t="s">
        <v>7039</v>
      </c>
      <c r="U1195" s="1" t="str">
        <f t="shared" si="18"/>
        <v>Yes</v>
      </c>
      <c r="W1195" s="1" t="s">
        <v>7040</v>
      </c>
      <c r="X1195" s="1" t="str">
        <f>IF(COUNTIF('MyWells Drilling Comp'!F:F,E1195)=0,"Missing","Exist")</f>
        <v>Exist</v>
      </c>
    </row>
    <row r="1196" hidden="1" spans="1:24">
      <c r="A1196" s="1" t="s">
        <v>5265</v>
      </c>
      <c r="B1196" s="1" t="s">
        <v>90</v>
      </c>
      <c r="C1196" s="1" t="s">
        <v>7041</v>
      </c>
      <c r="D1196" s="1" t="s">
        <v>7042</v>
      </c>
      <c r="E1196" s="2" t="s">
        <v>593</v>
      </c>
      <c r="F1196" s="2" t="s">
        <v>7043</v>
      </c>
      <c r="G1196" s="1">
        <v>1</v>
      </c>
      <c r="H1196" s="1" t="s">
        <v>1663</v>
      </c>
      <c r="I1196" s="1" t="s">
        <v>1657</v>
      </c>
      <c r="J1196" s="1" t="s">
        <v>1658</v>
      </c>
      <c r="K1196" s="1" t="s">
        <v>1658</v>
      </c>
      <c r="L1196" s="1" t="s">
        <v>1658</v>
      </c>
      <c r="M1196" s="1" t="s">
        <v>1658</v>
      </c>
      <c r="N1196" s="1" t="s">
        <v>1658</v>
      </c>
      <c r="O1196" s="1" t="s">
        <v>1658</v>
      </c>
      <c r="P1196" s="1">
        <v>1</v>
      </c>
      <c r="Q1196" s="1" t="s">
        <v>1658</v>
      </c>
      <c r="R1196" s="1">
        <v>0</v>
      </c>
      <c r="S1196" s="1" t="s">
        <v>7044</v>
      </c>
      <c r="T1196" s="6" t="s">
        <v>7044</v>
      </c>
      <c r="U1196" s="1" t="str">
        <f t="shared" si="18"/>
        <v>Yes</v>
      </c>
      <c r="W1196" s="1" t="s">
        <v>7045</v>
      </c>
      <c r="X1196" s="1" t="str">
        <f>IF(COUNTIF('MyWells Drilling Comp'!F:F,E1196)=0,"Missing","Exist")</f>
        <v>Exist</v>
      </c>
    </row>
    <row r="1197" hidden="1" spans="1:24">
      <c r="A1197" s="1" t="s">
        <v>5265</v>
      </c>
      <c r="B1197" s="1" t="s">
        <v>90</v>
      </c>
      <c r="C1197" s="1" t="s">
        <v>7046</v>
      </c>
      <c r="D1197" s="1" t="s">
        <v>7042</v>
      </c>
      <c r="E1197" s="2" t="s">
        <v>593</v>
      </c>
      <c r="F1197" s="2" t="s">
        <v>7047</v>
      </c>
      <c r="G1197" s="1">
        <v>1</v>
      </c>
      <c r="H1197" s="1" t="s">
        <v>1656</v>
      </c>
      <c r="I1197" s="1" t="s">
        <v>1657</v>
      </c>
      <c r="J1197" s="1" t="s">
        <v>1658</v>
      </c>
      <c r="K1197" s="1" t="s">
        <v>1658</v>
      </c>
      <c r="L1197" s="1" t="s">
        <v>1658</v>
      </c>
      <c r="M1197" s="1" t="s">
        <v>1658</v>
      </c>
      <c r="N1197" s="1" t="s">
        <v>1658</v>
      </c>
      <c r="O1197" s="1" t="s">
        <v>1658</v>
      </c>
      <c r="P1197" s="1">
        <v>1</v>
      </c>
      <c r="Q1197" s="1" t="s">
        <v>1658</v>
      </c>
      <c r="R1197" s="1">
        <v>0</v>
      </c>
      <c r="S1197" s="1" t="s">
        <v>7048</v>
      </c>
      <c r="T1197" s="6" t="s">
        <v>7048</v>
      </c>
      <c r="U1197" s="1" t="str">
        <f t="shared" si="18"/>
        <v>Yes</v>
      </c>
      <c r="W1197" s="1" t="s">
        <v>7049</v>
      </c>
      <c r="X1197" s="1" t="str">
        <f>IF(COUNTIF('MyWells Drilling Comp'!F:F,E1197)=0,"Missing","Exist")</f>
        <v>Exist</v>
      </c>
    </row>
    <row r="1198" hidden="1" spans="1:24">
      <c r="A1198" s="1" t="s">
        <v>5265</v>
      </c>
      <c r="B1198" s="1" t="s">
        <v>90</v>
      </c>
      <c r="C1198" s="1" t="s">
        <v>7050</v>
      </c>
      <c r="D1198" s="1" t="s">
        <v>7051</v>
      </c>
      <c r="E1198" s="2" t="s">
        <v>1528</v>
      </c>
      <c r="F1198" s="2" t="s">
        <v>7052</v>
      </c>
      <c r="G1198" s="1">
        <v>1</v>
      </c>
      <c r="H1198" s="1" t="s">
        <v>1663</v>
      </c>
      <c r="I1198" s="1" t="s">
        <v>1657</v>
      </c>
      <c r="J1198" s="1" t="s">
        <v>1658</v>
      </c>
      <c r="K1198" s="1" t="s">
        <v>1658</v>
      </c>
      <c r="L1198" s="1" t="s">
        <v>1658</v>
      </c>
      <c r="M1198" s="1" t="s">
        <v>1658</v>
      </c>
      <c r="N1198" s="1" t="s">
        <v>1658</v>
      </c>
      <c r="O1198" s="1" t="s">
        <v>1658</v>
      </c>
      <c r="P1198" s="1">
        <v>1</v>
      </c>
      <c r="Q1198" s="1" t="s">
        <v>1658</v>
      </c>
      <c r="R1198" s="1">
        <v>0</v>
      </c>
      <c r="S1198" s="1" t="s">
        <v>7053</v>
      </c>
      <c r="T1198" s="6"/>
      <c r="U1198" s="1" t="str">
        <f t="shared" si="18"/>
        <v>No</v>
      </c>
      <c r="W1198" s="1" t="s">
        <v>7054</v>
      </c>
      <c r="X1198" s="1" t="str">
        <f>IF(COUNTIF('MyWells Drilling Comp'!F:F,E1198)=0,"Missing","Exist")</f>
        <v>Exist</v>
      </c>
    </row>
    <row r="1199" hidden="1" spans="1:24">
      <c r="A1199" s="1" t="s">
        <v>5265</v>
      </c>
      <c r="B1199" s="1" t="s">
        <v>90</v>
      </c>
      <c r="C1199" s="1" t="s">
        <v>7055</v>
      </c>
      <c r="D1199" s="1" t="s">
        <v>7051</v>
      </c>
      <c r="E1199" s="2" t="s">
        <v>1528</v>
      </c>
      <c r="F1199" s="2" t="s">
        <v>7056</v>
      </c>
      <c r="G1199" s="1">
        <v>1</v>
      </c>
      <c r="H1199" s="1" t="s">
        <v>1656</v>
      </c>
      <c r="I1199" s="1" t="s">
        <v>1657</v>
      </c>
      <c r="J1199" s="1" t="s">
        <v>1658</v>
      </c>
      <c r="K1199" s="1" t="s">
        <v>1658</v>
      </c>
      <c r="L1199" s="1" t="s">
        <v>1658</v>
      </c>
      <c r="M1199" s="1" t="s">
        <v>1658</v>
      </c>
      <c r="N1199" s="1" t="s">
        <v>1658</v>
      </c>
      <c r="O1199" s="1" t="s">
        <v>1658</v>
      </c>
      <c r="P1199" s="1">
        <v>1</v>
      </c>
      <c r="Q1199" s="1" t="s">
        <v>1658</v>
      </c>
      <c r="R1199" s="1">
        <v>0</v>
      </c>
      <c r="S1199" s="1" t="s">
        <v>7057</v>
      </c>
      <c r="T1199" s="6"/>
      <c r="U1199" s="1" t="str">
        <f t="shared" si="18"/>
        <v>No</v>
      </c>
      <c r="W1199" s="1" t="s">
        <v>7058</v>
      </c>
      <c r="X1199" s="1" t="str">
        <f>IF(COUNTIF('MyWells Drilling Comp'!F:F,E1199)=0,"Missing","Exist")</f>
        <v>Exist</v>
      </c>
    </row>
    <row r="1200" hidden="1" spans="1:24">
      <c r="A1200" s="1" t="s">
        <v>5265</v>
      </c>
      <c r="B1200" s="1" t="s">
        <v>90</v>
      </c>
      <c r="C1200" s="1" t="s">
        <v>7059</v>
      </c>
      <c r="D1200" s="1" t="s">
        <v>7060</v>
      </c>
      <c r="E1200" s="2" t="s">
        <v>950</v>
      </c>
      <c r="F1200" s="2" t="s">
        <v>7061</v>
      </c>
      <c r="G1200" s="1">
        <v>1</v>
      </c>
      <c r="H1200" s="1" t="s">
        <v>1663</v>
      </c>
      <c r="I1200" s="1" t="s">
        <v>1657</v>
      </c>
      <c r="J1200" s="1" t="s">
        <v>1658</v>
      </c>
      <c r="K1200" s="1" t="s">
        <v>1658</v>
      </c>
      <c r="L1200" s="1" t="s">
        <v>1658</v>
      </c>
      <c r="M1200" s="1" t="s">
        <v>1658</v>
      </c>
      <c r="N1200" s="1" t="s">
        <v>1658</v>
      </c>
      <c r="O1200" s="1" t="s">
        <v>1658</v>
      </c>
      <c r="P1200" s="1">
        <v>1</v>
      </c>
      <c r="Q1200" s="1" t="s">
        <v>1658</v>
      </c>
      <c r="R1200" s="1">
        <v>0</v>
      </c>
      <c r="S1200" s="1" t="s">
        <v>7062</v>
      </c>
      <c r="T1200" s="6" t="s">
        <v>7062</v>
      </c>
      <c r="U1200" s="1" t="str">
        <f t="shared" si="18"/>
        <v>Yes</v>
      </c>
      <c r="W1200" s="1" t="s">
        <v>7063</v>
      </c>
      <c r="X1200" s="1" t="str">
        <f>IF(COUNTIF('MyWells Drilling Comp'!F:F,E1200)=0,"Missing","Exist")</f>
        <v>Exist</v>
      </c>
    </row>
    <row r="1201" hidden="1" spans="1:24">
      <c r="A1201" s="1" t="s">
        <v>5265</v>
      </c>
      <c r="B1201" s="1" t="s">
        <v>90</v>
      </c>
      <c r="C1201" s="1" t="s">
        <v>7064</v>
      </c>
      <c r="D1201" s="1" t="s">
        <v>7060</v>
      </c>
      <c r="E1201" s="2" t="s">
        <v>950</v>
      </c>
      <c r="F1201" s="2" t="s">
        <v>7065</v>
      </c>
      <c r="G1201" s="1">
        <v>1</v>
      </c>
      <c r="H1201" s="1" t="s">
        <v>1656</v>
      </c>
      <c r="I1201" s="1" t="s">
        <v>1657</v>
      </c>
      <c r="J1201" s="1" t="s">
        <v>1658</v>
      </c>
      <c r="K1201" s="1" t="s">
        <v>1658</v>
      </c>
      <c r="L1201" s="1" t="s">
        <v>1658</v>
      </c>
      <c r="M1201" s="1" t="s">
        <v>1658</v>
      </c>
      <c r="N1201" s="1" t="s">
        <v>1658</v>
      </c>
      <c r="O1201" s="1" t="s">
        <v>1658</v>
      </c>
      <c r="P1201" s="1">
        <v>1</v>
      </c>
      <c r="Q1201" s="1" t="s">
        <v>1658</v>
      </c>
      <c r="R1201" s="1">
        <v>0</v>
      </c>
      <c r="S1201" s="1" t="s">
        <v>6202</v>
      </c>
      <c r="T1201" s="6"/>
      <c r="U1201" s="1" t="str">
        <f t="shared" si="18"/>
        <v>No</v>
      </c>
      <c r="W1201" s="1" t="s">
        <v>7066</v>
      </c>
      <c r="X1201" s="1" t="str">
        <f>IF(COUNTIF('MyWells Drilling Comp'!F:F,E1201)=0,"Missing","Exist")</f>
        <v>Exist</v>
      </c>
    </row>
    <row r="1202" hidden="1" spans="1:24">
      <c r="A1202" s="1" t="s">
        <v>5265</v>
      </c>
      <c r="B1202" s="1" t="s">
        <v>90</v>
      </c>
      <c r="C1202" s="1" t="s">
        <v>7067</v>
      </c>
      <c r="D1202" s="1" t="s">
        <v>7068</v>
      </c>
      <c r="E1202" s="2" t="s">
        <v>997</v>
      </c>
      <c r="F1202" s="2" t="s">
        <v>7069</v>
      </c>
      <c r="G1202" s="1">
        <v>1</v>
      </c>
      <c r="H1202" s="1" t="s">
        <v>1663</v>
      </c>
      <c r="I1202" s="1" t="s">
        <v>1657</v>
      </c>
      <c r="J1202" s="1" t="s">
        <v>1658</v>
      </c>
      <c r="K1202" s="1" t="s">
        <v>1658</v>
      </c>
      <c r="L1202" s="1" t="s">
        <v>1658</v>
      </c>
      <c r="M1202" s="1" t="s">
        <v>1658</v>
      </c>
      <c r="N1202" s="1" t="s">
        <v>1658</v>
      </c>
      <c r="O1202" s="1" t="s">
        <v>1658</v>
      </c>
      <c r="P1202" s="1">
        <v>1</v>
      </c>
      <c r="Q1202" s="1" t="s">
        <v>1658</v>
      </c>
      <c r="R1202" s="1">
        <v>0</v>
      </c>
      <c r="S1202" s="1" t="s">
        <v>7070</v>
      </c>
      <c r="T1202" s="6" t="s">
        <v>7070</v>
      </c>
      <c r="U1202" s="1" t="str">
        <f t="shared" si="18"/>
        <v>Yes</v>
      </c>
      <c r="W1202" s="1" t="s">
        <v>7071</v>
      </c>
      <c r="X1202" s="1" t="str">
        <f>IF(COUNTIF('MyWells Drilling Comp'!F:F,E1202)=0,"Missing","Exist")</f>
        <v>Exist</v>
      </c>
    </row>
    <row r="1203" hidden="1" spans="1:24">
      <c r="A1203" s="1" t="s">
        <v>5265</v>
      </c>
      <c r="B1203" s="1" t="s">
        <v>90</v>
      </c>
      <c r="C1203" s="1" t="s">
        <v>7072</v>
      </c>
      <c r="D1203" s="1" t="s">
        <v>7068</v>
      </c>
      <c r="E1203" s="2" t="s">
        <v>997</v>
      </c>
      <c r="F1203" s="2" t="s">
        <v>7073</v>
      </c>
      <c r="G1203" s="1">
        <v>1</v>
      </c>
      <c r="H1203" s="1" t="s">
        <v>1656</v>
      </c>
      <c r="I1203" s="1" t="s">
        <v>1657</v>
      </c>
      <c r="J1203" s="1" t="s">
        <v>1658</v>
      </c>
      <c r="K1203" s="1" t="s">
        <v>1658</v>
      </c>
      <c r="L1203" s="1" t="s">
        <v>1658</v>
      </c>
      <c r="M1203" s="1" t="s">
        <v>1658</v>
      </c>
      <c r="N1203" s="1" t="s">
        <v>1658</v>
      </c>
      <c r="O1203" s="1" t="s">
        <v>1658</v>
      </c>
      <c r="P1203" s="1">
        <v>1</v>
      </c>
      <c r="Q1203" s="1" t="s">
        <v>1658</v>
      </c>
      <c r="R1203" s="1">
        <v>0</v>
      </c>
      <c r="S1203" s="1" t="s">
        <v>7074</v>
      </c>
      <c r="T1203" s="6" t="s">
        <v>7074</v>
      </c>
      <c r="U1203" s="1" t="str">
        <f t="shared" si="18"/>
        <v>Yes</v>
      </c>
      <c r="W1203" s="1" t="s">
        <v>7075</v>
      </c>
      <c r="X1203" s="1" t="str">
        <f>IF(COUNTIF('MyWells Drilling Comp'!F:F,E1203)=0,"Missing","Exist")</f>
        <v>Exist</v>
      </c>
    </row>
    <row r="1204" hidden="1" spans="1:24">
      <c r="A1204" s="1" t="s">
        <v>5265</v>
      </c>
      <c r="B1204" s="1" t="s">
        <v>90</v>
      </c>
      <c r="C1204" s="1" t="s">
        <v>7076</v>
      </c>
      <c r="D1204" s="1" t="s">
        <v>7077</v>
      </c>
      <c r="E1204" s="2" t="s">
        <v>849</v>
      </c>
      <c r="F1204" s="2" t="s">
        <v>7078</v>
      </c>
      <c r="G1204" s="1">
        <v>1</v>
      </c>
      <c r="H1204" s="1" t="s">
        <v>1656</v>
      </c>
      <c r="I1204" s="1" t="s">
        <v>1657</v>
      </c>
      <c r="J1204" s="1" t="s">
        <v>1658</v>
      </c>
      <c r="K1204" s="1" t="s">
        <v>1658</v>
      </c>
      <c r="L1204" s="1" t="s">
        <v>1658</v>
      </c>
      <c r="M1204" s="1" t="s">
        <v>1658</v>
      </c>
      <c r="N1204" s="1" t="s">
        <v>1658</v>
      </c>
      <c r="O1204" s="1" t="s">
        <v>1658</v>
      </c>
      <c r="P1204" s="1">
        <v>1</v>
      </c>
      <c r="Q1204" s="1" t="s">
        <v>1658</v>
      </c>
      <c r="R1204" s="1">
        <v>0</v>
      </c>
      <c r="S1204" s="1" t="s">
        <v>2984</v>
      </c>
      <c r="T1204" s="6"/>
      <c r="U1204" s="1" t="str">
        <f t="shared" si="18"/>
        <v>No</v>
      </c>
      <c r="W1204" s="1" t="s">
        <v>7079</v>
      </c>
      <c r="X1204" s="1" t="str">
        <f>IF(COUNTIF('MyWells Drilling Comp'!F:F,E1204)=0,"Missing","Exist")</f>
        <v>Exist</v>
      </c>
    </row>
    <row r="1205" hidden="1" spans="1:24">
      <c r="A1205" s="1" t="s">
        <v>5265</v>
      </c>
      <c r="B1205" s="1" t="s">
        <v>90</v>
      </c>
      <c r="C1205" s="1" t="s">
        <v>7080</v>
      </c>
      <c r="D1205" s="1" t="s">
        <v>7077</v>
      </c>
      <c r="E1205" s="2" t="s">
        <v>849</v>
      </c>
      <c r="F1205" s="2" t="s">
        <v>7081</v>
      </c>
      <c r="G1205" s="1">
        <v>1</v>
      </c>
      <c r="H1205" s="1" t="s">
        <v>1663</v>
      </c>
      <c r="I1205" s="1" t="s">
        <v>1657</v>
      </c>
      <c r="J1205" s="1" t="s">
        <v>1658</v>
      </c>
      <c r="K1205" s="1" t="s">
        <v>1658</v>
      </c>
      <c r="L1205" s="1" t="s">
        <v>1658</v>
      </c>
      <c r="M1205" s="1" t="s">
        <v>1658</v>
      </c>
      <c r="N1205" s="1" t="s">
        <v>1658</v>
      </c>
      <c r="O1205" s="1" t="s">
        <v>1658</v>
      </c>
      <c r="P1205" s="1">
        <v>1</v>
      </c>
      <c r="Q1205" s="1" t="s">
        <v>1658</v>
      </c>
      <c r="R1205" s="1">
        <v>0</v>
      </c>
      <c r="S1205" s="1" t="s">
        <v>2988</v>
      </c>
      <c r="T1205" s="6" t="s">
        <v>2988</v>
      </c>
      <c r="U1205" s="1" t="str">
        <f t="shared" si="18"/>
        <v>Yes</v>
      </c>
      <c r="W1205" s="1" t="s">
        <v>7082</v>
      </c>
      <c r="X1205" s="1" t="str">
        <f>IF(COUNTIF('MyWells Drilling Comp'!F:F,E1205)=0,"Missing","Exist")</f>
        <v>Exist</v>
      </c>
    </row>
    <row r="1206" hidden="1" spans="1:24">
      <c r="A1206" s="1" t="s">
        <v>5265</v>
      </c>
      <c r="B1206" s="1" t="s">
        <v>90</v>
      </c>
      <c r="C1206" s="1" t="s">
        <v>7083</v>
      </c>
      <c r="D1206" s="1" t="s">
        <v>7084</v>
      </c>
      <c r="E1206" s="2" t="s">
        <v>942</v>
      </c>
      <c r="F1206" s="2" t="s">
        <v>7085</v>
      </c>
      <c r="G1206" s="1">
        <v>1</v>
      </c>
      <c r="H1206" s="1" t="s">
        <v>1663</v>
      </c>
      <c r="I1206" s="1" t="s">
        <v>1657</v>
      </c>
      <c r="J1206" s="1" t="s">
        <v>1658</v>
      </c>
      <c r="K1206" s="1" t="s">
        <v>1658</v>
      </c>
      <c r="L1206" s="1" t="s">
        <v>1658</v>
      </c>
      <c r="M1206" s="1" t="s">
        <v>1658</v>
      </c>
      <c r="N1206" s="1" t="s">
        <v>1658</v>
      </c>
      <c r="O1206" s="1" t="s">
        <v>1658</v>
      </c>
      <c r="P1206" s="1">
        <v>1</v>
      </c>
      <c r="Q1206" s="1" t="s">
        <v>1658</v>
      </c>
      <c r="R1206" s="1">
        <v>0</v>
      </c>
      <c r="S1206" s="1" t="s">
        <v>7086</v>
      </c>
      <c r="T1206" s="6" t="s">
        <v>7086</v>
      </c>
      <c r="U1206" s="1" t="str">
        <f t="shared" si="18"/>
        <v>Yes</v>
      </c>
      <c r="W1206" s="1" t="s">
        <v>7087</v>
      </c>
      <c r="X1206" s="1" t="str">
        <f>IF(COUNTIF('MyWells Drilling Comp'!F:F,E1206)=0,"Missing","Exist")</f>
        <v>Exist</v>
      </c>
    </row>
    <row r="1207" hidden="1" spans="1:24">
      <c r="A1207" s="1" t="s">
        <v>5265</v>
      </c>
      <c r="B1207" s="1" t="s">
        <v>90</v>
      </c>
      <c r="C1207" s="1" t="s">
        <v>7088</v>
      </c>
      <c r="D1207" s="1" t="s">
        <v>7084</v>
      </c>
      <c r="E1207" s="2" t="s">
        <v>942</v>
      </c>
      <c r="F1207" s="2" t="s">
        <v>7089</v>
      </c>
      <c r="G1207" s="1">
        <v>1</v>
      </c>
      <c r="H1207" s="1" t="s">
        <v>1656</v>
      </c>
      <c r="I1207" s="1" t="s">
        <v>1657</v>
      </c>
      <c r="J1207" s="1" t="s">
        <v>1658</v>
      </c>
      <c r="K1207" s="1" t="s">
        <v>1658</v>
      </c>
      <c r="L1207" s="1" t="s">
        <v>1658</v>
      </c>
      <c r="M1207" s="1" t="s">
        <v>1658</v>
      </c>
      <c r="N1207" s="1" t="s">
        <v>1658</v>
      </c>
      <c r="O1207" s="1" t="s">
        <v>1658</v>
      </c>
      <c r="P1207" s="1">
        <v>1</v>
      </c>
      <c r="Q1207" s="1" t="s">
        <v>1658</v>
      </c>
      <c r="R1207" s="1">
        <v>0</v>
      </c>
      <c r="S1207" s="1" t="s">
        <v>7090</v>
      </c>
      <c r="T1207" s="6" t="s">
        <v>7090</v>
      </c>
      <c r="U1207" s="1" t="str">
        <f t="shared" si="18"/>
        <v>Yes</v>
      </c>
      <c r="W1207" s="1" t="s">
        <v>7091</v>
      </c>
      <c r="X1207" s="1" t="str">
        <f>IF(COUNTIF('MyWells Drilling Comp'!F:F,E1207)=0,"Missing","Exist")</f>
        <v>Exist</v>
      </c>
    </row>
    <row r="1208" hidden="1" spans="1:24">
      <c r="A1208" s="1" t="s">
        <v>5265</v>
      </c>
      <c r="B1208" s="1" t="s">
        <v>90</v>
      </c>
      <c r="C1208" s="1" t="s">
        <v>7092</v>
      </c>
      <c r="D1208" s="1" t="s">
        <v>7093</v>
      </c>
      <c r="E1208" s="2" t="s">
        <v>615</v>
      </c>
      <c r="F1208" s="2" t="s">
        <v>7094</v>
      </c>
      <c r="G1208" s="1">
        <v>1</v>
      </c>
      <c r="H1208" s="1" t="s">
        <v>1656</v>
      </c>
      <c r="I1208" s="1" t="s">
        <v>1657</v>
      </c>
      <c r="J1208" s="1" t="s">
        <v>1658</v>
      </c>
      <c r="K1208" s="1" t="s">
        <v>1658</v>
      </c>
      <c r="L1208" s="1" t="s">
        <v>1658</v>
      </c>
      <c r="M1208" s="1" t="s">
        <v>1658</v>
      </c>
      <c r="N1208" s="1" t="s">
        <v>1658</v>
      </c>
      <c r="O1208" s="1" t="s">
        <v>1658</v>
      </c>
      <c r="P1208" s="1">
        <v>1</v>
      </c>
      <c r="Q1208" s="1" t="s">
        <v>1658</v>
      </c>
      <c r="R1208" s="1">
        <v>0</v>
      </c>
      <c r="S1208" s="1" t="s">
        <v>7095</v>
      </c>
      <c r="T1208" s="6" t="s">
        <v>7096</v>
      </c>
      <c r="U1208" s="1" t="str">
        <f t="shared" si="18"/>
        <v>No</v>
      </c>
      <c r="W1208" s="1" t="s">
        <v>7097</v>
      </c>
      <c r="X1208" s="1" t="str">
        <f>IF(COUNTIF('MyWells Drilling Comp'!F:F,E1208)=0,"Missing","Exist")</f>
        <v>Exist</v>
      </c>
    </row>
    <row r="1209" hidden="1" spans="1:24">
      <c r="A1209" s="1" t="s">
        <v>5265</v>
      </c>
      <c r="B1209" s="1" t="s">
        <v>90</v>
      </c>
      <c r="C1209" s="1" t="s">
        <v>7098</v>
      </c>
      <c r="D1209" s="1" t="s">
        <v>7093</v>
      </c>
      <c r="E1209" s="2" t="s">
        <v>615</v>
      </c>
      <c r="F1209" s="2" t="s">
        <v>7099</v>
      </c>
      <c r="G1209" s="1">
        <v>1</v>
      </c>
      <c r="H1209" s="1" t="s">
        <v>1663</v>
      </c>
      <c r="I1209" s="1" t="s">
        <v>1657</v>
      </c>
      <c r="J1209" s="1" t="s">
        <v>1658</v>
      </c>
      <c r="K1209" s="1" t="s">
        <v>1658</v>
      </c>
      <c r="L1209" s="1" t="s">
        <v>1658</v>
      </c>
      <c r="M1209" s="1" t="s">
        <v>1658</v>
      </c>
      <c r="N1209" s="1" t="s">
        <v>1658</v>
      </c>
      <c r="O1209" s="1" t="s">
        <v>1658</v>
      </c>
      <c r="P1209" s="1">
        <v>1</v>
      </c>
      <c r="Q1209" s="1" t="s">
        <v>1658</v>
      </c>
      <c r="R1209" s="1">
        <v>0</v>
      </c>
      <c r="S1209" s="1" t="s">
        <v>7100</v>
      </c>
      <c r="T1209" s="6" t="s">
        <v>7100</v>
      </c>
      <c r="U1209" s="1" t="str">
        <f t="shared" si="18"/>
        <v>Yes</v>
      </c>
      <c r="W1209" s="1" t="s">
        <v>7101</v>
      </c>
      <c r="X1209" s="1" t="str">
        <f>IF(COUNTIF('MyWells Drilling Comp'!F:F,E1209)=0,"Missing","Exist")</f>
        <v>Exist</v>
      </c>
    </row>
    <row r="1210" hidden="1" spans="1:24">
      <c r="A1210" s="1" t="s">
        <v>5265</v>
      </c>
      <c r="B1210" s="1" t="s">
        <v>90</v>
      </c>
      <c r="C1210" s="1" t="s">
        <v>7102</v>
      </c>
      <c r="D1210" s="1" t="s">
        <v>7103</v>
      </c>
      <c r="E1210" s="2" t="s">
        <v>1417</v>
      </c>
      <c r="F1210" s="2" t="s">
        <v>7104</v>
      </c>
      <c r="G1210" s="1">
        <v>1</v>
      </c>
      <c r="H1210" s="1" t="s">
        <v>1656</v>
      </c>
      <c r="I1210" s="1" t="s">
        <v>1657</v>
      </c>
      <c r="J1210" s="1" t="s">
        <v>1658</v>
      </c>
      <c r="K1210" s="1" t="s">
        <v>1658</v>
      </c>
      <c r="L1210" s="1" t="s">
        <v>1658</v>
      </c>
      <c r="M1210" s="1" t="s">
        <v>1658</v>
      </c>
      <c r="N1210" s="1" t="s">
        <v>1658</v>
      </c>
      <c r="O1210" s="1" t="s">
        <v>1658</v>
      </c>
      <c r="P1210" s="1">
        <v>1</v>
      </c>
      <c r="Q1210" s="1" t="s">
        <v>1658</v>
      </c>
      <c r="R1210" s="1">
        <v>0</v>
      </c>
      <c r="S1210" s="1" t="s">
        <v>7105</v>
      </c>
      <c r="T1210" s="6" t="s">
        <v>7105</v>
      </c>
      <c r="U1210" s="1" t="str">
        <f t="shared" si="18"/>
        <v>Yes</v>
      </c>
      <c r="W1210" s="1" t="s">
        <v>7106</v>
      </c>
      <c r="X1210" s="1" t="str">
        <f>IF(COUNTIF('MyWells Drilling Comp'!F:F,E1210)=0,"Missing","Exist")</f>
        <v>Exist</v>
      </c>
    </row>
    <row r="1211" hidden="1" spans="1:24">
      <c r="A1211" s="1" t="s">
        <v>5265</v>
      </c>
      <c r="B1211" s="1" t="s">
        <v>90</v>
      </c>
      <c r="C1211" s="1" t="s">
        <v>7107</v>
      </c>
      <c r="D1211" s="1" t="s">
        <v>7103</v>
      </c>
      <c r="E1211" s="2" t="s">
        <v>1417</v>
      </c>
      <c r="F1211" s="2" t="s">
        <v>7108</v>
      </c>
      <c r="G1211" s="1">
        <v>1</v>
      </c>
      <c r="H1211" s="1" t="s">
        <v>1663</v>
      </c>
      <c r="I1211" s="1" t="s">
        <v>1657</v>
      </c>
      <c r="J1211" s="1" t="s">
        <v>1658</v>
      </c>
      <c r="K1211" s="1" t="s">
        <v>1658</v>
      </c>
      <c r="L1211" s="1" t="s">
        <v>1658</v>
      </c>
      <c r="M1211" s="1" t="s">
        <v>1658</v>
      </c>
      <c r="N1211" s="1" t="s">
        <v>1658</v>
      </c>
      <c r="O1211" s="1" t="s">
        <v>1658</v>
      </c>
      <c r="P1211" s="1">
        <v>1</v>
      </c>
      <c r="Q1211" s="1" t="s">
        <v>1658</v>
      </c>
      <c r="R1211" s="1">
        <v>0</v>
      </c>
      <c r="S1211" s="1" t="s">
        <v>7109</v>
      </c>
      <c r="T1211" s="6" t="s">
        <v>7109</v>
      </c>
      <c r="U1211" s="1" t="str">
        <f t="shared" si="18"/>
        <v>Yes</v>
      </c>
      <c r="W1211" s="1" t="s">
        <v>7110</v>
      </c>
      <c r="X1211" s="1" t="str">
        <f>IF(COUNTIF('MyWells Drilling Comp'!F:F,E1211)=0,"Missing","Exist")</f>
        <v>Exist</v>
      </c>
    </row>
    <row r="1212" hidden="1" spans="1:24">
      <c r="A1212" s="1" t="s">
        <v>5265</v>
      </c>
      <c r="B1212" s="1" t="s">
        <v>90</v>
      </c>
      <c r="C1212" s="1" t="s">
        <v>7111</v>
      </c>
      <c r="D1212" s="1" t="s">
        <v>7112</v>
      </c>
      <c r="E1212" s="2" t="s">
        <v>1598</v>
      </c>
      <c r="F1212" s="2" t="s">
        <v>7113</v>
      </c>
      <c r="G1212" s="1">
        <v>1</v>
      </c>
      <c r="H1212" s="1" t="s">
        <v>1656</v>
      </c>
      <c r="I1212" s="1" t="s">
        <v>1657</v>
      </c>
      <c r="J1212" s="1" t="s">
        <v>1658</v>
      </c>
      <c r="K1212" s="1" t="s">
        <v>1658</v>
      </c>
      <c r="L1212" s="1" t="s">
        <v>1658</v>
      </c>
      <c r="M1212" s="1" t="s">
        <v>1658</v>
      </c>
      <c r="N1212" s="1" t="s">
        <v>1658</v>
      </c>
      <c r="O1212" s="1" t="s">
        <v>1658</v>
      </c>
      <c r="P1212" s="1">
        <v>1</v>
      </c>
      <c r="Q1212" s="1" t="s">
        <v>1658</v>
      </c>
      <c r="R1212" s="1">
        <v>0</v>
      </c>
      <c r="S1212" s="1" t="s">
        <v>7114</v>
      </c>
      <c r="T1212" s="6"/>
      <c r="U1212" s="1" t="str">
        <f t="shared" si="18"/>
        <v>No</v>
      </c>
      <c r="W1212" s="1" t="s">
        <v>7115</v>
      </c>
      <c r="X1212" s="1" t="str">
        <f>IF(COUNTIF('MyWells Drilling Comp'!F:F,E1212)=0,"Missing","Exist")</f>
        <v>Exist</v>
      </c>
    </row>
    <row r="1213" hidden="1" spans="1:24">
      <c r="A1213" s="1" t="s">
        <v>5265</v>
      </c>
      <c r="B1213" s="1" t="s">
        <v>90</v>
      </c>
      <c r="C1213" s="1" t="s">
        <v>7116</v>
      </c>
      <c r="D1213" s="1" t="s">
        <v>7112</v>
      </c>
      <c r="E1213" s="2" t="s">
        <v>1598</v>
      </c>
      <c r="F1213" s="2" t="s">
        <v>7117</v>
      </c>
      <c r="G1213" s="1">
        <v>1</v>
      </c>
      <c r="H1213" s="1" t="s">
        <v>1663</v>
      </c>
      <c r="I1213" s="1" t="s">
        <v>1657</v>
      </c>
      <c r="J1213" s="1" t="s">
        <v>1658</v>
      </c>
      <c r="K1213" s="1" t="s">
        <v>1658</v>
      </c>
      <c r="L1213" s="1" t="s">
        <v>1658</v>
      </c>
      <c r="M1213" s="1" t="s">
        <v>1658</v>
      </c>
      <c r="N1213" s="1" t="s">
        <v>1658</v>
      </c>
      <c r="O1213" s="1" t="s">
        <v>1658</v>
      </c>
      <c r="P1213" s="1">
        <v>1</v>
      </c>
      <c r="Q1213" s="1" t="s">
        <v>1658</v>
      </c>
      <c r="R1213" s="1">
        <v>0</v>
      </c>
      <c r="S1213" s="1" t="s">
        <v>7118</v>
      </c>
      <c r="T1213" s="6"/>
      <c r="U1213" s="1" t="str">
        <f t="shared" si="18"/>
        <v>No</v>
      </c>
      <c r="W1213" s="1" t="s">
        <v>7119</v>
      </c>
      <c r="X1213" s="1" t="str">
        <f>IF(COUNTIF('MyWells Drilling Comp'!F:F,E1213)=0,"Missing","Exist")</f>
        <v>Exist</v>
      </c>
    </row>
    <row r="1214" hidden="1" spans="1:24">
      <c r="A1214" s="1" t="s">
        <v>5265</v>
      </c>
      <c r="B1214" s="1" t="s">
        <v>90</v>
      </c>
      <c r="C1214" s="1" t="s">
        <v>7120</v>
      </c>
      <c r="D1214" s="1" t="s">
        <v>7121</v>
      </c>
      <c r="E1214" s="2" t="s">
        <v>1062</v>
      </c>
      <c r="F1214" s="2" t="s">
        <v>7122</v>
      </c>
      <c r="G1214" s="1">
        <v>1</v>
      </c>
      <c r="H1214" s="1" t="s">
        <v>1663</v>
      </c>
      <c r="I1214" s="1" t="s">
        <v>1657</v>
      </c>
      <c r="J1214" s="1" t="s">
        <v>1658</v>
      </c>
      <c r="K1214" s="1" t="s">
        <v>1658</v>
      </c>
      <c r="L1214" s="1" t="s">
        <v>1658</v>
      </c>
      <c r="M1214" s="1" t="s">
        <v>1658</v>
      </c>
      <c r="N1214" s="1" t="s">
        <v>1658</v>
      </c>
      <c r="O1214" s="1" t="s">
        <v>1658</v>
      </c>
      <c r="P1214" s="1">
        <v>1</v>
      </c>
      <c r="Q1214" s="1" t="s">
        <v>1658</v>
      </c>
      <c r="R1214" s="1">
        <v>0</v>
      </c>
      <c r="S1214" s="1" t="s">
        <v>7123</v>
      </c>
      <c r="T1214" s="6" t="s">
        <v>7123</v>
      </c>
      <c r="U1214" s="1" t="str">
        <f t="shared" si="18"/>
        <v>Yes</v>
      </c>
      <c r="W1214" s="1" t="s">
        <v>7124</v>
      </c>
      <c r="X1214" s="1" t="str">
        <f>IF(COUNTIF('MyWells Drilling Comp'!F:F,E1214)=0,"Missing","Exist")</f>
        <v>Exist</v>
      </c>
    </row>
    <row r="1215" hidden="1" spans="1:24">
      <c r="A1215" s="1" t="s">
        <v>5265</v>
      </c>
      <c r="B1215" s="1" t="s">
        <v>90</v>
      </c>
      <c r="C1215" s="1" t="s">
        <v>7125</v>
      </c>
      <c r="D1215" s="1" t="s">
        <v>7121</v>
      </c>
      <c r="E1215" s="2" t="s">
        <v>1062</v>
      </c>
      <c r="F1215" s="2" t="s">
        <v>7126</v>
      </c>
      <c r="G1215" s="1">
        <v>1</v>
      </c>
      <c r="H1215" s="1" t="s">
        <v>1656</v>
      </c>
      <c r="I1215" s="1" t="s">
        <v>1657</v>
      </c>
      <c r="J1215" s="1" t="s">
        <v>1658</v>
      </c>
      <c r="K1215" s="1" t="s">
        <v>1658</v>
      </c>
      <c r="L1215" s="1" t="s">
        <v>1658</v>
      </c>
      <c r="M1215" s="1" t="s">
        <v>1658</v>
      </c>
      <c r="N1215" s="1" t="s">
        <v>1658</v>
      </c>
      <c r="O1215" s="1" t="s">
        <v>1658</v>
      </c>
      <c r="P1215" s="1">
        <v>1</v>
      </c>
      <c r="Q1215" s="1" t="s">
        <v>1658</v>
      </c>
      <c r="R1215" s="1">
        <v>0</v>
      </c>
      <c r="S1215" s="1" t="s">
        <v>7127</v>
      </c>
      <c r="T1215" s="6" t="s">
        <v>7127</v>
      </c>
      <c r="U1215" s="1" t="str">
        <f t="shared" si="18"/>
        <v>Yes</v>
      </c>
      <c r="W1215" s="1" t="s">
        <v>7128</v>
      </c>
      <c r="X1215" s="1" t="str">
        <f>IF(COUNTIF('MyWells Drilling Comp'!F:F,E1215)=0,"Missing","Exist")</f>
        <v>Exist</v>
      </c>
    </row>
    <row r="1216" hidden="1" spans="1:24">
      <c r="A1216" s="1" t="s">
        <v>5265</v>
      </c>
      <c r="B1216" s="1" t="s">
        <v>90</v>
      </c>
      <c r="C1216" s="1" t="s">
        <v>7129</v>
      </c>
      <c r="D1216" s="7" t="s">
        <v>7130</v>
      </c>
      <c r="E1216" s="2" t="s">
        <v>1283</v>
      </c>
      <c r="F1216" s="2" t="s">
        <v>7131</v>
      </c>
      <c r="G1216" s="1">
        <v>1</v>
      </c>
      <c r="H1216" s="1" t="s">
        <v>1663</v>
      </c>
      <c r="I1216" s="1" t="s">
        <v>1657</v>
      </c>
      <c r="J1216" s="1" t="s">
        <v>1658</v>
      </c>
      <c r="K1216" s="1" t="s">
        <v>1658</v>
      </c>
      <c r="L1216" s="1" t="s">
        <v>1658</v>
      </c>
      <c r="M1216" s="1" t="s">
        <v>1658</v>
      </c>
      <c r="N1216" s="1" t="s">
        <v>1658</v>
      </c>
      <c r="O1216" s="1" t="s">
        <v>1658</v>
      </c>
      <c r="P1216" s="1">
        <v>1</v>
      </c>
      <c r="Q1216" s="1" t="s">
        <v>1658</v>
      </c>
      <c r="R1216" s="1">
        <v>0</v>
      </c>
      <c r="S1216" s="1" t="s">
        <v>7132</v>
      </c>
      <c r="T1216" s="6" t="s">
        <v>7132</v>
      </c>
      <c r="U1216" s="1" t="str">
        <f t="shared" si="18"/>
        <v>Yes</v>
      </c>
      <c r="W1216" s="1" t="s">
        <v>7133</v>
      </c>
      <c r="X1216" s="1" t="str">
        <f>IF(COUNTIF('MyWells Drilling Comp'!F:F,E1216)=0,"Missing","Exist")</f>
        <v>Exist</v>
      </c>
    </row>
    <row r="1217" hidden="1" spans="1:24">
      <c r="A1217" s="1" t="s">
        <v>5265</v>
      </c>
      <c r="B1217" s="1" t="s">
        <v>90</v>
      </c>
      <c r="C1217" s="1" t="s">
        <v>7134</v>
      </c>
      <c r="D1217" s="7" t="s">
        <v>7130</v>
      </c>
      <c r="E1217" s="2" t="s">
        <v>1283</v>
      </c>
      <c r="F1217" s="2" t="s">
        <v>7135</v>
      </c>
      <c r="G1217" s="1">
        <v>1</v>
      </c>
      <c r="H1217" s="1" t="s">
        <v>1656</v>
      </c>
      <c r="I1217" s="1" t="s">
        <v>1657</v>
      </c>
      <c r="J1217" s="1" t="s">
        <v>1658</v>
      </c>
      <c r="K1217" s="1" t="s">
        <v>1658</v>
      </c>
      <c r="L1217" s="1" t="s">
        <v>1658</v>
      </c>
      <c r="M1217" s="1" t="s">
        <v>1658</v>
      </c>
      <c r="N1217" s="1" t="s">
        <v>1658</v>
      </c>
      <c r="O1217" s="1" t="s">
        <v>1658</v>
      </c>
      <c r="P1217" s="1">
        <v>1</v>
      </c>
      <c r="Q1217" s="1" t="s">
        <v>1658</v>
      </c>
      <c r="R1217" s="1">
        <v>0</v>
      </c>
      <c r="S1217" s="1" t="s">
        <v>3516</v>
      </c>
      <c r="T1217" s="6"/>
      <c r="U1217" s="1" t="str">
        <f t="shared" si="18"/>
        <v>No</v>
      </c>
      <c r="W1217" s="1" t="s">
        <v>7136</v>
      </c>
      <c r="X1217" s="1" t="str">
        <f>IF(COUNTIF('MyWells Drilling Comp'!F:F,E1217)=0,"Missing","Exist")</f>
        <v>Exist</v>
      </c>
    </row>
    <row r="1218" hidden="1" spans="1:24">
      <c r="A1218" s="1" t="s">
        <v>5265</v>
      </c>
      <c r="B1218" s="1" t="s">
        <v>90</v>
      </c>
      <c r="C1218" s="1" t="s">
        <v>7137</v>
      </c>
      <c r="D1218" s="1" t="s">
        <v>7138</v>
      </c>
      <c r="E1218" s="2" t="s">
        <v>1419</v>
      </c>
      <c r="F1218" s="2" t="s">
        <v>7139</v>
      </c>
      <c r="G1218" s="1">
        <v>1</v>
      </c>
      <c r="H1218" s="1" t="s">
        <v>1663</v>
      </c>
      <c r="I1218" s="1" t="s">
        <v>1657</v>
      </c>
      <c r="J1218" s="1" t="s">
        <v>1658</v>
      </c>
      <c r="K1218" s="1" t="s">
        <v>1658</v>
      </c>
      <c r="L1218" s="1" t="s">
        <v>1658</v>
      </c>
      <c r="M1218" s="1" t="s">
        <v>1658</v>
      </c>
      <c r="N1218" s="1" t="s">
        <v>1658</v>
      </c>
      <c r="O1218" s="1" t="s">
        <v>1658</v>
      </c>
      <c r="P1218" s="1">
        <v>1</v>
      </c>
      <c r="Q1218" s="1" t="s">
        <v>1658</v>
      </c>
      <c r="R1218" s="1">
        <v>0</v>
      </c>
      <c r="S1218" s="1" t="s">
        <v>7140</v>
      </c>
      <c r="T1218" s="6" t="s">
        <v>7140</v>
      </c>
      <c r="U1218" s="1" t="str">
        <f t="shared" ref="U1218:U1281" si="19">IF(S1218=T1218,"Yes","No")</f>
        <v>Yes</v>
      </c>
      <c r="W1218" s="1" t="s">
        <v>7141</v>
      </c>
      <c r="X1218" s="1" t="str">
        <f>IF(COUNTIF('MyWells Drilling Comp'!F:F,E1218)=0,"Missing","Exist")</f>
        <v>Exist</v>
      </c>
    </row>
    <row r="1219" hidden="1" spans="1:24">
      <c r="A1219" s="1" t="s">
        <v>5265</v>
      </c>
      <c r="B1219" s="1" t="s">
        <v>90</v>
      </c>
      <c r="C1219" s="1" t="s">
        <v>7142</v>
      </c>
      <c r="D1219" s="1" t="s">
        <v>7138</v>
      </c>
      <c r="E1219" s="2" t="s">
        <v>1419</v>
      </c>
      <c r="F1219" s="2" t="s">
        <v>7143</v>
      </c>
      <c r="G1219" s="1">
        <v>1</v>
      </c>
      <c r="H1219" s="1" t="s">
        <v>1656</v>
      </c>
      <c r="I1219" s="1" t="s">
        <v>1657</v>
      </c>
      <c r="J1219" s="1" t="s">
        <v>1658</v>
      </c>
      <c r="K1219" s="1" t="s">
        <v>1658</v>
      </c>
      <c r="L1219" s="1" t="s">
        <v>1658</v>
      </c>
      <c r="M1219" s="1" t="s">
        <v>1658</v>
      </c>
      <c r="N1219" s="1" t="s">
        <v>1658</v>
      </c>
      <c r="O1219" s="1" t="s">
        <v>1658</v>
      </c>
      <c r="P1219" s="1">
        <v>1</v>
      </c>
      <c r="Q1219" s="1" t="s">
        <v>1658</v>
      </c>
      <c r="R1219" s="1">
        <v>0</v>
      </c>
      <c r="S1219" s="1" t="s">
        <v>7144</v>
      </c>
      <c r="T1219" s="6" t="s">
        <v>7144</v>
      </c>
      <c r="U1219" s="1" t="str">
        <f t="shared" si="19"/>
        <v>Yes</v>
      </c>
      <c r="W1219" s="1" t="s">
        <v>7145</v>
      </c>
      <c r="X1219" s="1" t="str">
        <f>IF(COUNTIF('MyWells Drilling Comp'!F:F,E1219)=0,"Missing","Exist")</f>
        <v>Exist</v>
      </c>
    </row>
    <row r="1220" hidden="1" spans="1:24">
      <c r="A1220" s="1" t="s">
        <v>5265</v>
      </c>
      <c r="B1220" s="1" t="s">
        <v>90</v>
      </c>
      <c r="C1220" s="1" t="s">
        <v>7146</v>
      </c>
      <c r="D1220" s="1" t="s">
        <v>7147</v>
      </c>
      <c r="E1220" s="2" t="s">
        <v>907</v>
      </c>
      <c r="F1220" s="2" t="s">
        <v>7148</v>
      </c>
      <c r="G1220" s="1">
        <v>1</v>
      </c>
      <c r="H1220" s="1" t="s">
        <v>1656</v>
      </c>
      <c r="I1220" s="1" t="s">
        <v>1657</v>
      </c>
      <c r="J1220" s="1" t="s">
        <v>1658</v>
      </c>
      <c r="K1220" s="1" t="s">
        <v>1658</v>
      </c>
      <c r="L1220" s="1" t="s">
        <v>1658</v>
      </c>
      <c r="M1220" s="1" t="s">
        <v>1658</v>
      </c>
      <c r="N1220" s="1" t="s">
        <v>1658</v>
      </c>
      <c r="O1220" s="1" t="s">
        <v>1658</v>
      </c>
      <c r="P1220" s="1">
        <v>1</v>
      </c>
      <c r="Q1220" s="1" t="s">
        <v>1658</v>
      </c>
      <c r="R1220" s="1">
        <v>0</v>
      </c>
      <c r="S1220" s="1" t="s">
        <v>7149</v>
      </c>
      <c r="T1220" s="6" t="s">
        <v>7149</v>
      </c>
      <c r="U1220" s="1" t="str">
        <f t="shared" si="19"/>
        <v>Yes</v>
      </c>
      <c r="W1220" s="1" t="s">
        <v>7150</v>
      </c>
      <c r="X1220" s="1" t="str">
        <f>IF(COUNTIF('MyWells Drilling Comp'!F:F,E1220)=0,"Missing","Exist")</f>
        <v>Exist</v>
      </c>
    </row>
    <row r="1221" hidden="1" spans="1:24">
      <c r="A1221" s="1" t="s">
        <v>5265</v>
      </c>
      <c r="B1221" s="1" t="s">
        <v>90</v>
      </c>
      <c r="C1221" s="1" t="s">
        <v>7151</v>
      </c>
      <c r="D1221" s="1" t="s">
        <v>7147</v>
      </c>
      <c r="E1221" s="2" t="s">
        <v>907</v>
      </c>
      <c r="F1221" s="2" t="s">
        <v>7152</v>
      </c>
      <c r="G1221" s="1">
        <v>1</v>
      </c>
      <c r="H1221" s="1" t="s">
        <v>1663</v>
      </c>
      <c r="I1221" s="1" t="s">
        <v>1657</v>
      </c>
      <c r="J1221" s="1" t="s">
        <v>1658</v>
      </c>
      <c r="K1221" s="1" t="s">
        <v>1658</v>
      </c>
      <c r="L1221" s="1" t="s">
        <v>1658</v>
      </c>
      <c r="M1221" s="1" t="s">
        <v>1658</v>
      </c>
      <c r="N1221" s="1" t="s">
        <v>1658</v>
      </c>
      <c r="O1221" s="1" t="s">
        <v>1658</v>
      </c>
      <c r="P1221" s="1">
        <v>1</v>
      </c>
      <c r="Q1221" s="1" t="s">
        <v>1658</v>
      </c>
      <c r="R1221" s="1">
        <v>0</v>
      </c>
      <c r="S1221" s="1" t="s">
        <v>7153</v>
      </c>
      <c r="T1221" s="6"/>
      <c r="U1221" s="1" t="str">
        <f t="shared" si="19"/>
        <v>No</v>
      </c>
      <c r="W1221" s="1" t="s">
        <v>7154</v>
      </c>
      <c r="X1221" s="1" t="str">
        <f>IF(COUNTIF('MyWells Drilling Comp'!F:F,E1221)=0,"Missing","Exist")</f>
        <v>Exist</v>
      </c>
    </row>
    <row r="1222" hidden="1" spans="1:24">
      <c r="A1222" s="1" t="s">
        <v>5265</v>
      </c>
      <c r="B1222" s="1" t="s">
        <v>90</v>
      </c>
      <c r="C1222" s="1" t="s">
        <v>7155</v>
      </c>
      <c r="D1222" s="1" t="s">
        <v>7156</v>
      </c>
      <c r="E1222" s="2" t="s">
        <v>665</v>
      </c>
      <c r="F1222" s="2" t="s">
        <v>7157</v>
      </c>
      <c r="G1222" s="1">
        <v>1</v>
      </c>
      <c r="H1222" s="1" t="s">
        <v>1663</v>
      </c>
      <c r="I1222" s="1" t="s">
        <v>1657</v>
      </c>
      <c r="J1222" s="1" t="s">
        <v>1658</v>
      </c>
      <c r="K1222" s="1" t="s">
        <v>1658</v>
      </c>
      <c r="L1222" s="1" t="s">
        <v>1658</v>
      </c>
      <c r="M1222" s="1" t="s">
        <v>1658</v>
      </c>
      <c r="N1222" s="1" t="s">
        <v>1658</v>
      </c>
      <c r="O1222" s="1" t="s">
        <v>1658</v>
      </c>
      <c r="P1222" s="1">
        <v>1</v>
      </c>
      <c r="Q1222" s="1" t="s">
        <v>1658</v>
      </c>
      <c r="R1222" s="1">
        <v>0</v>
      </c>
      <c r="S1222" s="1" t="s">
        <v>7158</v>
      </c>
      <c r="T1222" s="6" t="s">
        <v>7158</v>
      </c>
      <c r="U1222" s="1" t="str">
        <f t="shared" si="19"/>
        <v>Yes</v>
      </c>
      <c r="W1222" s="1" t="s">
        <v>7159</v>
      </c>
      <c r="X1222" s="1" t="str">
        <f>IF(COUNTIF('MyWells Drilling Comp'!F:F,E1222)=0,"Missing","Exist")</f>
        <v>Exist</v>
      </c>
    </row>
    <row r="1223" hidden="1" spans="1:24">
      <c r="A1223" s="1" t="s">
        <v>5265</v>
      </c>
      <c r="B1223" s="1" t="s">
        <v>90</v>
      </c>
      <c r="C1223" s="1" t="s">
        <v>7160</v>
      </c>
      <c r="D1223" s="1" t="s">
        <v>7156</v>
      </c>
      <c r="E1223" s="2" t="s">
        <v>665</v>
      </c>
      <c r="F1223" s="2" t="s">
        <v>7161</v>
      </c>
      <c r="G1223" s="1">
        <v>1</v>
      </c>
      <c r="H1223" s="1" t="s">
        <v>1656</v>
      </c>
      <c r="I1223" s="1" t="s">
        <v>1657</v>
      </c>
      <c r="J1223" s="1" t="s">
        <v>1658</v>
      </c>
      <c r="K1223" s="1" t="s">
        <v>1658</v>
      </c>
      <c r="L1223" s="1" t="s">
        <v>1658</v>
      </c>
      <c r="M1223" s="1" t="s">
        <v>1658</v>
      </c>
      <c r="N1223" s="1" t="s">
        <v>1658</v>
      </c>
      <c r="O1223" s="1" t="s">
        <v>1658</v>
      </c>
      <c r="P1223" s="1">
        <v>1</v>
      </c>
      <c r="Q1223" s="1" t="s">
        <v>1658</v>
      </c>
      <c r="R1223" s="1">
        <v>0</v>
      </c>
      <c r="S1223" s="1" t="s">
        <v>7162</v>
      </c>
      <c r="T1223" s="6" t="s">
        <v>7162</v>
      </c>
      <c r="U1223" s="1" t="str">
        <f t="shared" si="19"/>
        <v>Yes</v>
      </c>
      <c r="W1223" s="1" t="s">
        <v>7163</v>
      </c>
      <c r="X1223" s="1" t="str">
        <f>IF(COUNTIF('MyWells Drilling Comp'!F:F,E1223)=0,"Missing","Exist")</f>
        <v>Exist</v>
      </c>
    </row>
    <row r="1224" hidden="1" spans="1:24">
      <c r="A1224" s="1" t="s">
        <v>5265</v>
      </c>
      <c r="B1224" s="1" t="s">
        <v>90</v>
      </c>
      <c r="C1224" s="1" t="s">
        <v>7164</v>
      </c>
      <c r="D1224" s="1" t="s">
        <v>7165</v>
      </c>
      <c r="E1224" s="2" t="s">
        <v>487</v>
      </c>
      <c r="F1224" s="2" t="s">
        <v>7166</v>
      </c>
      <c r="G1224" s="1">
        <v>1</v>
      </c>
      <c r="H1224" s="1" t="s">
        <v>1656</v>
      </c>
      <c r="I1224" s="1" t="s">
        <v>1657</v>
      </c>
      <c r="J1224" s="1" t="s">
        <v>1658</v>
      </c>
      <c r="K1224" s="1" t="s">
        <v>1658</v>
      </c>
      <c r="L1224" s="1" t="s">
        <v>1658</v>
      </c>
      <c r="M1224" s="1" t="s">
        <v>1658</v>
      </c>
      <c r="N1224" s="1" t="s">
        <v>1658</v>
      </c>
      <c r="O1224" s="1" t="s">
        <v>1658</v>
      </c>
      <c r="P1224" s="1">
        <v>1</v>
      </c>
      <c r="Q1224" s="1" t="s">
        <v>1658</v>
      </c>
      <c r="R1224" s="1">
        <v>0</v>
      </c>
      <c r="S1224" s="1" t="s">
        <v>7167</v>
      </c>
      <c r="T1224" s="6" t="s">
        <v>7167</v>
      </c>
      <c r="U1224" s="1" t="str">
        <f t="shared" si="19"/>
        <v>Yes</v>
      </c>
      <c r="W1224" s="1" t="s">
        <v>7168</v>
      </c>
      <c r="X1224" s="1" t="str">
        <f>IF(COUNTIF('MyWells Drilling Comp'!F:F,E1224)=0,"Missing","Exist")</f>
        <v>Exist</v>
      </c>
    </row>
    <row r="1225" hidden="1" spans="1:24">
      <c r="A1225" s="1" t="s">
        <v>5265</v>
      </c>
      <c r="B1225" s="1" t="s">
        <v>90</v>
      </c>
      <c r="C1225" s="1" t="s">
        <v>7169</v>
      </c>
      <c r="D1225" s="1" t="s">
        <v>7165</v>
      </c>
      <c r="E1225" s="2" t="s">
        <v>487</v>
      </c>
      <c r="F1225" s="2" t="s">
        <v>7170</v>
      </c>
      <c r="G1225" s="1">
        <v>1</v>
      </c>
      <c r="H1225" s="1" t="s">
        <v>1663</v>
      </c>
      <c r="I1225" s="1" t="s">
        <v>1657</v>
      </c>
      <c r="J1225" s="1" t="s">
        <v>1658</v>
      </c>
      <c r="K1225" s="1" t="s">
        <v>1658</v>
      </c>
      <c r="L1225" s="1" t="s">
        <v>1658</v>
      </c>
      <c r="M1225" s="1" t="s">
        <v>1658</v>
      </c>
      <c r="N1225" s="1" t="s">
        <v>1658</v>
      </c>
      <c r="O1225" s="1" t="s">
        <v>1658</v>
      </c>
      <c r="P1225" s="1">
        <v>1</v>
      </c>
      <c r="Q1225" s="1" t="s">
        <v>1658</v>
      </c>
      <c r="R1225" s="1">
        <v>0</v>
      </c>
      <c r="S1225" s="1" t="s">
        <v>7171</v>
      </c>
      <c r="T1225" s="6" t="s">
        <v>7171</v>
      </c>
      <c r="U1225" s="1" t="str">
        <f t="shared" si="19"/>
        <v>Yes</v>
      </c>
      <c r="W1225" s="1" t="s">
        <v>7172</v>
      </c>
      <c r="X1225" s="1" t="str">
        <f>IF(COUNTIF('MyWells Drilling Comp'!F:F,E1225)=0,"Missing","Exist")</f>
        <v>Exist</v>
      </c>
    </row>
    <row r="1226" hidden="1" spans="1:24">
      <c r="A1226" s="1" t="s">
        <v>5265</v>
      </c>
      <c r="B1226" s="1" t="s">
        <v>90</v>
      </c>
      <c r="C1226" s="1" t="s">
        <v>7173</v>
      </c>
      <c r="D1226" s="1" t="s">
        <v>7174</v>
      </c>
      <c r="E1226" s="2" t="s">
        <v>639</v>
      </c>
      <c r="F1226" s="2" t="s">
        <v>7175</v>
      </c>
      <c r="G1226" s="1">
        <v>1</v>
      </c>
      <c r="H1226" s="1" t="s">
        <v>1656</v>
      </c>
      <c r="I1226" s="1" t="s">
        <v>1657</v>
      </c>
      <c r="J1226" s="1" t="s">
        <v>1658</v>
      </c>
      <c r="K1226" s="1" t="s">
        <v>1658</v>
      </c>
      <c r="L1226" s="1" t="s">
        <v>1658</v>
      </c>
      <c r="M1226" s="1" t="s">
        <v>1658</v>
      </c>
      <c r="N1226" s="1" t="s">
        <v>1658</v>
      </c>
      <c r="O1226" s="1" t="s">
        <v>1658</v>
      </c>
      <c r="P1226" s="1">
        <v>1</v>
      </c>
      <c r="Q1226" s="1" t="s">
        <v>1658</v>
      </c>
      <c r="R1226" s="1">
        <v>0</v>
      </c>
      <c r="S1226" s="1" t="s">
        <v>7176</v>
      </c>
      <c r="T1226" s="6" t="s">
        <v>7176</v>
      </c>
      <c r="U1226" s="1" t="str">
        <f t="shared" si="19"/>
        <v>Yes</v>
      </c>
      <c r="W1226" s="1" t="s">
        <v>7177</v>
      </c>
      <c r="X1226" s="1" t="str">
        <f>IF(COUNTIF('MyWells Drilling Comp'!F:F,E1226)=0,"Missing","Exist")</f>
        <v>Exist</v>
      </c>
    </row>
    <row r="1227" hidden="1" spans="1:24">
      <c r="A1227" s="1" t="s">
        <v>5265</v>
      </c>
      <c r="B1227" s="1" t="s">
        <v>90</v>
      </c>
      <c r="C1227" s="1" t="s">
        <v>7178</v>
      </c>
      <c r="D1227" s="1" t="s">
        <v>7174</v>
      </c>
      <c r="E1227" s="2" t="s">
        <v>639</v>
      </c>
      <c r="F1227" s="2" t="s">
        <v>7179</v>
      </c>
      <c r="G1227" s="1">
        <v>1</v>
      </c>
      <c r="H1227" s="1" t="s">
        <v>1663</v>
      </c>
      <c r="I1227" s="1" t="s">
        <v>1657</v>
      </c>
      <c r="J1227" s="1" t="s">
        <v>1658</v>
      </c>
      <c r="K1227" s="1" t="s">
        <v>1658</v>
      </c>
      <c r="L1227" s="1" t="s">
        <v>1658</v>
      </c>
      <c r="M1227" s="1" t="s">
        <v>1658</v>
      </c>
      <c r="N1227" s="1" t="s">
        <v>1658</v>
      </c>
      <c r="O1227" s="1" t="s">
        <v>1658</v>
      </c>
      <c r="P1227" s="1">
        <v>1</v>
      </c>
      <c r="Q1227" s="1" t="s">
        <v>1658</v>
      </c>
      <c r="R1227" s="1">
        <v>0</v>
      </c>
      <c r="S1227" s="1" t="s">
        <v>7180</v>
      </c>
      <c r="T1227" s="6" t="s">
        <v>7180</v>
      </c>
      <c r="U1227" s="1" t="str">
        <f t="shared" si="19"/>
        <v>Yes</v>
      </c>
      <c r="W1227" s="1" t="s">
        <v>7181</v>
      </c>
      <c r="X1227" s="1" t="str">
        <f>IF(COUNTIF('MyWells Drilling Comp'!F:F,E1227)=0,"Missing","Exist")</f>
        <v>Exist</v>
      </c>
    </row>
    <row r="1228" hidden="1" spans="1:24">
      <c r="A1228" s="1" t="s">
        <v>5265</v>
      </c>
      <c r="B1228" s="1" t="s">
        <v>90</v>
      </c>
      <c r="C1228" s="1" t="s">
        <v>7182</v>
      </c>
      <c r="D1228" s="1" t="s">
        <v>7183</v>
      </c>
      <c r="E1228" s="2" t="s">
        <v>711</v>
      </c>
      <c r="F1228" s="2" t="s">
        <v>7184</v>
      </c>
      <c r="G1228" s="1">
        <v>1</v>
      </c>
      <c r="H1228" s="1" t="s">
        <v>1656</v>
      </c>
      <c r="I1228" s="1" t="s">
        <v>1657</v>
      </c>
      <c r="J1228" s="1" t="s">
        <v>1658</v>
      </c>
      <c r="K1228" s="1" t="s">
        <v>1658</v>
      </c>
      <c r="L1228" s="1" t="s">
        <v>1658</v>
      </c>
      <c r="M1228" s="1" t="s">
        <v>1658</v>
      </c>
      <c r="N1228" s="1" t="s">
        <v>1658</v>
      </c>
      <c r="O1228" s="1" t="s">
        <v>1658</v>
      </c>
      <c r="P1228" s="1">
        <v>1</v>
      </c>
      <c r="Q1228" s="1" t="s">
        <v>1658</v>
      </c>
      <c r="R1228" s="1">
        <v>0</v>
      </c>
      <c r="S1228" s="1" t="s">
        <v>7185</v>
      </c>
      <c r="T1228" s="6" t="s">
        <v>7185</v>
      </c>
      <c r="U1228" s="1" t="str">
        <f t="shared" si="19"/>
        <v>Yes</v>
      </c>
      <c r="W1228" s="1" t="s">
        <v>7186</v>
      </c>
      <c r="X1228" s="1" t="str">
        <f>IF(COUNTIF('MyWells Drilling Comp'!F:F,E1228)=0,"Missing","Exist")</f>
        <v>Exist</v>
      </c>
    </row>
    <row r="1229" hidden="1" spans="1:24">
      <c r="A1229" s="1" t="s">
        <v>5265</v>
      </c>
      <c r="B1229" s="1" t="s">
        <v>90</v>
      </c>
      <c r="C1229" s="1" t="s">
        <v>7187</v>
      </c>
      <c r="D1229" s="1" t="s">
        <v>7183</v>
      </c>
      <c r="E1229" s="2" t="s">
        <v>711</v>
      </c>
      <c r="F1229" s="2" t="s">
        <v>7188</v>
      </c>
      <c r="G1229" s="1">
        <v>1</v>
      </c>
      <c r="H1229" s="1" t="s">
        <v>1663</v>
      </c>
      <c r="I1229" s="1" t="s">
        <v>1657</v>
      </c>
      <c r="J1229" s="1" t="s">
        <v>1658</v>
      </c>
      <c r="K1229" s="1" t="s">
        <v>1658</v>
      </c>
      <c r="L1229" s="1" t="s">
        <v>1658</v>
      </c>
      <c r="M1229" s="1" t="s">
        <v>1658</v>
      </c>
      <c r="N1229" s="1" t="s">
        <v>1658</v>
      </c>
      <c r="O1229" s="1" t="s">
        <v>1658</v>
      </c>
      <c r="P1229" s="1">
        <v>1</v>
      </c>
      <c r="Q1229" s="1" t="s">
        <v>1658</v>
      </c>
      <c r="R1229" s="1">
        <v>0</v>
      </c>
      <c r="S1229" s="1" t="s">
        <v>7189</v>
      </c>
      <c r="T1229" s="6" t="s">
        <v>7189</v>
      </c>
      <c r="U1229" s="1" t="str">
        <f t="shared" si="19"/>
        <v>Yes</v>
      </c>
      <c r="W1229" s="1" t="s">
        <v>7190</v>
      </c>
      <c r="X1229" s="1" t="str">
        <f>IF(COUNTIF('MyWells Drilling Comp'!F:F,E1229)=0,"Missing","Exist")</f>
        <v>Exist</v>
      </c>
    </row>
    <row r="1230" hidden="1" spans="1:24">
      <c r="A1230" s="1" t="s">
        <v>5265</v>
      </c>
      <c r="B1230" s="1" t="s">
        <v>90</v>
      </c>
      <c r="C1230" s="1" t="s">
        <v>7191</v>
      </c>
      <c r="D1230" s="1" t="s">
        <v>7192</v>
      </c>
      <c r="E1230" s="2" t="s">
        <v>586</v>
      </c>
      <c r="F1230" s="2" t="s">
        <v>7193</v>
      </c>
      <c r="G1230" s="1">
        <v>1</v>
      </c>
      <c r="H1230" s="1" t="s">
        <v>1656</v>
      </c>
      <c r="I1230" s="1" t="s">
        <v>1657</v>
      </c>
      <c r="J1230" s="1" t="s">
        <v>1658</v>
      </c>
      <c r="K1230" s="1" t="s">
        <v>1658</v>
      </c>
      <c r="L1230" s="1" t="s">
        <v>1658</v>
      </c>
      <c r="M1230" s="1" t="s">
        <v>1658</v>
      </c>
      <c r="N1230" s="1" t="s">
        <v>1658</v>
      </c>
      <c r="O1230" s="1" t="s">
        <v>1658</v>
      </c>
      <c r="P1230" s="1">
        <v>1</v>
      </c>
      <c r="Q1230" s="1" t="s">
        <v>1658</v>
      </c>
      <c r="R1230" s="1">
        <v>0</v>
      </c>
      <c r="S1230" s="1" t="s">
        <v>7194</v>
      </c>
      <c r="T1230" s="6" t="s">
        <v>7194</v>
      </c>
      <c r="U1230" s="1" t="str">
        <f t="shared" si="19"/>
        <v>Yes</v>
      </c>
      <c r="W1230" s="1" t="s">
        <v>7195</v>
      </c>
      <c r="X1230" s="1" t="str">
        <f>IF(COUNTIF('MyWells Drilling Comp'!F:F,E1230)=0,"Missing","Exist")</f>
        <v>Exist</v>
      </c>
    </row>
    <row r="1231" hidden="1" spans="1:24">
      <c r="A1231" s="1" t="s">
        <v>5265</v>
      </c>
      <c r="B1231" s="1" t="s">
        <v>90</v>
      </c>
      <c r="C1231" s="1" t="s">
        <v>7196</v>
      </c>
      <c r="D1231" s="1" t="s">
        <v>7192</v>
      </c>
      <c r="E1231" s="2" t="s">
        <v>586</v>
      </c>
      <c r="F1231" s="2" t="s">
        <v>7197</v>
      </c>
      <c r="G1231" s="1">
        <v>1</v>
      </c>
      <c r="H1231" s="1" t="s">
        <v>1663</v>
      </c>
      <c r="I1231" s="1" t="s">
        <v>1657</v>
      </c>
      <c r="J1231" s="1" t="s">
        <v>1658</v>
      </c>
      <c r="K1231" s="1" t="s">
        <v>1658</v>
      </c>
      <c r="L1231" s="1" t="s">
        <v>1658</v>
      </c>
      <c r="M1231" s="1" t="s">
        <v>1658</v>
      </c>
      <c r="N1231" s="1" t="s">
        <v>1658</v>
      </c>
      <c r="O1231" s="1" t="s">
        <v>1658</v>
      </c>
      <c r="P1231" s="1">
        <v>1</v>
      </c>
      <c r="Q1231" s="1" t="s">
        <v>1658</v>
      </c>
      <c r="R1231" s="1">
        <v>0</v>
      </c>
      <c r="S1231" s="1" t="s">
        <v>7198</v>
      </c>
      <c r="T1231" s="6" t="s">
        <v>7198</v>
      </c>
      <c r="U1231" s="1" t="str">
        <f t="shared" si="19"/>
        <v>Yes</v>
      </c>
      <c r="W1231" s="1" t="s">
        <v>7199</v>
      </c>
      <c r="X1231" s="1" t="str">
        <f>IF(COUNTIF('MyWells Drilling Comp'!F:F,E1231)=0,"Missing","Exist")</f>
        <v>Exist</v>
      </c>
    </row>
    <row r="1232" hidden="1" spans="1:24">
      <c r="A1232" s="1" t="s">
        <v>5265</v>
      </c>
      <c r="B1232" s="1" t="s">
        <v>90</v>
      </c>
      <c r="C1232" s="1" t="s">
        <v>7200</v>
      </c>
      <c r="D1232" s="1" t="s">
        <v>7201</v>
      </c>
      <c r="E1232" s="2" t="s">
        <v>1482</v>
      </c>
      <c r="F1232" s="2" t="s">
        <v>7202</v>
      </c>
      <c r="G1232" s="1">
        <v>1</v>
      </c>
      <c r="H1232" s="1" t="s">
        <v>1663</v>
      </c>
      <c r="I1232" s="1" t="s">
        <v>1657</v>
      </c>
      <c r="J1232" s="1" t="s">
        <v>1658</v>
      </c>
      <c r="K1232" s="1" t="s">
        <v>1658</v>
      </c>
      <c r="L1232" s="1" t="s">
        <v>1658</v>
      </c>
      <c r="M1232" s="1" t="s">
        <v>1658</v>
      </c>
      <c r="N1232" s="1" t="s">
        <v>1658</v>
      </c>
      <c r="O1232" s="1" t="s">
        <v>1658</v>
      </c>
      <c r="P1232" s="1">
        <v>1</v>
      </c>
      <c r="Q1232" s="1" t="s">
        <v>1658</v>
      </c>
      <c r="R1232" s="1">
        <v>0</v>
      </c>
      <c r="S1232" s="1" t="s">
        <v>7203</v>
      </c>
      <c r="T1232" s="6" t="s">
        <v>7203</v>
      </c>
      <c r="U1232" s="1" t="str">
        <f t="shared" si="19"/>
        <v>Yes</v>
      </c>
      <c r="W1232" s="1" t="s">
        <v>7204</v>
      </c>
      <c r="X1232" s="1" t="str">
        <f>IF(COUNTIF('MyWells Drilling Comp'!F:F,E1232)=0,"Missing","Exist")</f>
        <v>Exist</v>
      </c>
    </row>
    <row r="1233" hidden="1" spans="1:24">
      <c r="A1233" s="1" t="s">
        <v>5265</v>
      </c>
      <c r="B1233" s="1" t="s">
        <v>90</v>
      </c>
      <c r="C1233" s="1" t="s">
        <v>7205</v>
      </c>
      <c r="D1233" s="1" t="s">
        <v>7201</v>
      </c>
      <c r="E1233" s="2" t="s">
        <v>1482</v>
      </c>
      <c r="F1233" s="2" t="s">
        <v>7206</v>
      </c>
      <c r="G1233" s="1">
        <v>1</v>
      </c>
      <c r="H1233" s="1" t="s">
        <v>1656</v>
      </c>
      <c r="I1233" s="1" t="s">
        <v>1657</v>
      </c>
      <c r="J1233" s="1" t="s">
        <v>1658</v>
      </c>
      <c r="K1233" s="1" t="s">
        <v>1658</v>
      </c>
      <c r="L1233" s="1" t="s">
        <v>1658</v>
      </c>
      <c r="M1233" s="1" t="s">
        <v>1658</v>
      </c>
      <c r="N1233" s="1" t="s">
        <v>1658</v>
      </c>
      <c r="O1233" s="1" t="s">
        <v>1658</v>
      </c>
      <c r="P1233" s="1">
        <v>1</v>
      </c>
      <c r="Q1233" s="1" t="s">
        <v>1658</v>
      </c>
      <c r="R1233" s="1">
        <v>0</v>
      </c>
      <c r="S1233" s="1" t="s">
        <v>7207</v>
      </c>
      <c r="T1233" s="6" t="s">
        <v>7207</v>
      </c>
      <c r="U1233" s="1" t="str">
        <f t="shared" si="19"/>
        <v>Yes</v>
      </c>
      <c r="W1233" s="1" t="s">
        <v>7208</v>
      </c>
      <c r="X1233" s="1" t="str">
        <f>IF(COUNTIF('MyWells Drilling Comp'!F:F,E1233)=0,"Missing","Exist")</f>
        <v>Exist</v>
      </c>
    </row>
    <row r="1234" hidden="1" spans="1:24">
      <c r="A1234" s="1" t="s">
        <v>5265</v>
      </c>
      <c r="B1234" s="1" t="s">
        <v>90</v>
      </c>
      <c r="C1234" s="7" t="s">
        <v>7209</v>
      </c>
      <c r="D1234" s="1" t="s">
        <v>7210</v>
      </c>
      <c r="E1234" s="2" t="s">
        <v>1524</v>
      </c>
      <c r="F1234" s="2" t="s">
        <v>7211</v>
      </c>
      <c r="G1234" s="1">
        <v>1</v>
      </c>
      <c r="H1234" s="1" t="s">
        <v>1663</v>
      </c>
      <c r="I1234" s="1" t="s">
        <v>1657</v>
      </c>
      <c r="J1234" s="1" t="s">
        <v>1658</v>
      </c>
      <c r="K1234" s="1" t="s">
        <v>1658</v>
      </c>
      <c r="L1234" s="1" t="s">
        <v>1658</v>
      </c>
      <c r="M1234" s="1" t="s">
        <v>1658</v>
      </c>
      <c r="N1234" s="1" t="s">
        <v>1658</v>
      </c>
      <c r="O1234" s="1" t="s">
        <v>1658</v>
      </c>
      <c r="P1234" s="1">
        <v>1</v>
      </c>
      <c r="Q1234" s="1" t="s">
        <v>1658</v>
      </c>
      <c r="R1234" s="1">
        <v>0</v>
      </c>
      <c r="S1234" s="1" t="s">
        <v>7212</v>
      </c>
      <c r="T1234" s="6" t="s">
        <v>7212</v>
      </c>
      <c r="U1234" s="1" t="str">
        <f t="shared" si="19"/>
        <v>Yes</v>
      </c>
      <c r="W1234" s="1" t="s">
        <v>7213</v>
      </c>
      <c r="X1234" s="1" t="str">
        <f>IF(COUNTIF('MyWells Drilling Comp'!F:F,E1234)=0,"Missing","Exist")</f>
        <v>Exist</v>
      </c>
    </row>
    <row r="1235" hidden="1" spans="1:24">
      <c r="A1235" s="1" t="s">
        <v>5265</v>
      </c>
      <c r="B1235" s="1" t="s">
        <v>90</v>
      </c>
      <c r="C1235" s="1" t="s">
        <v>7214</v>
      </c>
      <c r="D1235" s="1" t="s">
        <v>7210</v>
      </c>
      <c r="E1235" s="2" t="s">
        <v>1524</v>
      </c>
      <c r="F1235" s="2" t="s">
        <v>7215</v>
      </c>
      <c r="G1235" s="1">
        <v>1</v>
      </c>
      <c r="H1235" s="1" t="s">
        <v>1656</v>
      </c>
      <c r="I1235" s="1" t="s">
        <v>1657</v>
      </c>
      <c r="J1235" s="1" t="s">
        <v>1658</v>
      </c>
      <c r="K1235" s="1" t="s">
        <v>1658</v>
      </c>
      <c r="L1235" s="1" t="s">
        <v>1658</v>
      </c>
      <c r="M1235" s="1" t="s">
        <v>1658</v>
      </c>
      <c r="N1235" s="1" t="s">
        <v>1658</v>
      </c>
      <c r="O1235" s="1" t="s">
        <v>1658</v>
      </c>
      <c r="P1235" s="1">
        <v>1</v>
      </c>
      <c r="Q1235" s="1" t="s">
        <v>1658</v>
      </c>
      <c r="R1235" s="1">
        <v>0</v>
      </c>
      <c r="S1235" s="1" t="s">
        <v>7216</v>
      </c>
      <c r="T1235" s="6" t="s">
        <v>7216</v>
      </c>
      <c r="U1235" s="1" t="str">
        <f t="shared" si="19"/>
        <v>Yes</v>
      </c>
      <c r="W1235" s="1" t="s">
        <v>7217</v>
      </c>
      <c r="X1235" s="1" t="str">
        <f>IF(COUNTIF('MyWells Drilling Comp'!F:F,E1235)=0,"Missing","Exist")</f>
        <v>Exist</v>
      </c>
    </row>
    <row r="1236" hidden="1" spans="1:24">
      <c r="A1236" s="1" t="s">
        <v>5265</v>
      </c>
      <c r="B1236" s="1" t="s">
        <v>90</v>
      </c>
      <c r="C1236" s="1" t="s">
        <v>7218</v>
      </c>
      <c r="D1236" s="1" t="s">
        <v>7219</v>
      </c>
      <c r="E1236" s="2" t="s">
        <v>1321</v>
      </c>
      <c r="F1236" s="2" t="s">
        <v>7220</v>
      </c>
      <c r="G1236" s="1">
        <v>1</v>
      </c>
      <c r="H1236" s="1" t="s">
        <v>1656</v>
      </c>
      <c r="I1236" s="1" t="s">
        <v>1657</v>
      </c>
      <c r="J1236" s="1" t="s">
        <v>1658</v>
      </c>
      <c r="K1236" s="1" t="s">
        <v>1658</v>
      </c>
      <c r="L1236" s="1" t="s">
        <v>1658</v>
      </c>
      <c r="M1236" s="1" t="s">
        <v>1658</v>
      </c>
      <c r="N1236" s="1" t="s">
        <v>1658</v>
      </c>
      <c r="O1236" s="1" t="s">
        <v>1658</v>
      </c>
      <c r="P1236" s="1">
        <v>1</v>
      </c>
      <c r="Q1236" s="1" t="s">
        <v>1658</v>
      </c>
      <c r="R1236" s="1">
        <v>0</v>
      </c>
      <c r="S1236" s="1" t="s">
        <v>7221</v>
      </c>
      <c r="T1236" s="6" t="s">
        <v>7221</v>
      </c>
      <c r="U1236" s="1" t="str">
        <f t="shared" si="19"/>
        <v>Yes</v>
      </c>
      <c r="W1236" s="1" t="s">
        <v>7222</v>
      </c>
      <c r="X1236" s="1" t="str">
        <f>IF(COUNTIF('MyWells Drilling Comp'!F:F,E1236)=0,"Missing","Exist")</f>
        <v>Exist</v>
      </c>
    </row>
    <row r="1237" hidden="1" spans="1:24">
      <c r="A1237" s="1" t="s">
        <v>5265</v>
      </c>
      <c r="B1237" s="1" t="s">
        <v>90</v>
      </c>
      <c r="C1237" s="1" t="s">
        <v>7223</v>
      </c>
      <c r="D1237" s="1" t="s">
        <v>7219</v>
      </c>
      <c r="E1237" s="2" t="s">
        <v>1321</v>
      </c>
      <c r="F1237" s="8" t="s">
        <v>7224</v>
      </c>
      <c r="G1237" s="1">
        <v>1</v>
      </c>
      <c r="H1237" s="1" t="s">
        <v>1663</v>
      </c>
      <c r="I1237" s="1" t="s">
        <v>1657</v>
      </c>
      <c r="J1237" s="1" t="s">
        <v>1658</v>
      </c>
      <c r="K1237" s="1" t="s">
        <v>1658</v>
      </c>
      <c r="L1237" s="1" t="s">
        <v>1658</v>
      </c>
      <c r="M1237" s="1" t="s">
        <v>1658</v>
      </c>
      <c r="N1237" s="1" t="s">
        <v>1658</v>
      </c>
      <c r="O1237" s="1" t="s">
        <v>1658</v>
      </c>
      <c r="P1237" s="1">
        <v>1</v>
      </c>
      <c r="Q1237" s="1" t="s">
        <v>1658</v>
      </c>
      <c r="R1237" s="1">
        <v>0</v>
      </c>
      <c r="S1237" s="1" t="s">
        <v>7225</v>
      </c>
      <c r="T1237" s="6" t="s">
        <v>7225</v>
      </c>
      <c r="U1237" s="1" t="str">
        <f t="shared" si="19"/>
        <v>Yes</v>
      </c>
      <c r="W1237" s="1" t="s">
        <v>7226</v>
      </c>
      <c r="X1237" s="1" t="str">
        <f>IF(COUNTIF('MyWells Drilling Comp'!F:F,E1237)=0,"Missing","Exist")</f>
        <v>Exist</v>
      </c>
    </row>
    <row r="1238" hidden="1" spans="1:24">
      <c r="A1238" s="1" t="s">
        <v>5265</v>
      </c>
      <c r="B1238" s="1" t="s">
        <v>90</v>
      </c>
      <c r="C1238" s="1" t="s">
        <v>7227</v>
      </c>
      <c r="D1238" s="1" t="s">
        <v>7228</v>
      </c>
      <c r="E1238" s="2" t="s">
        <v>936</v>
      </c>
      <c r="F1238" s="2" t="s">
        <v>7229</v>
      </c>
      <c r="G1238" s="1">
        <v>1</v>
      </c>
      <c r="H1238" s="1" t="s">
        <v>1663</v>
      </c>
      <c r="I1238" s="1" t="s">
        <v>1657</v>
      </c>
      <c r="J1238" s="1" t="s">
        <v>1658</v>
      </c>
      <c r="K1238" s="1" t="s">
        <v>1658</v>
      </c>
      <c r="L1238" s="1" t="s">
        <v>1658</v>
      </c>
      <c r="M1238" s="1" t="s">
        <v>1658</v>
      </c>
      <c r="N1238" s="1" t="s">
        <v>1658</v>
      </c>
      <c r="O1238" s="1" t="s">
        <v>1658</v>
      </c>
      <c r="P1238" s="1">
        <v>1</v>
      </c>
      <c r="Q1238" s="1" t="s">
        <v>1658</v>
      </c>
      <c r="R1238" s="1">
        <v>0</v>
      </c>
      <c r="S1238" s="1" t="s">
        <v>7230</v>
      </c>
      <c r="T1238" s="6"/>
      <c r="U1238" s="1" t="str">
        <f t="shared" si="19"/>
        <v>No</v>
      </c>
      <c r="W1238" s="1" t="s">
        <v>7231</v>
      </c>
      <c r="X1238" s="1" t="str">
        <f>IF(COUNTIF('MyWells Drilling Comp'!F:F,E1238)=0,"Missing","Exist")</f>
        <v>Exist</v>
      </c>
    </row>
    <row r="1239" hidden="1" spans="1:24">
      <c r="A1239" s="1" t="s">
        <v>5265</v>
      </c>
      <c r="B1239" s="1" t="s">
        <v>90</v>
      </c>
      <c r="C1239" s="1" t="s">
        <v>7232</v>
      </c>
      <c r="D1239" s="1" t="s">
        <v>7228</v>
      </c>
      <c r="E1239" s="2" t="s">
        <v>936</v>
      </c>
      <c r="F1239" s="2" t="s">
        <v>7233</v>
      </c>
      <c r="G1239" s="1">
        <v>1</v>
      </c>
      <c r="H1239" s="1" t="s">
        <v>1656</v>
      </c>
      <c r="I1239" s="1" t="s">
        <v>1657</v>
      </c>
      <c r="J1239" s="1" t="s">
        <v>1658</v>
      </c>
      <c r="K1239" s="1" t="s">
        <v>1658</v>
      </c>
      <c r="L1239" s="1" t="s">
        <v>1658</v>
      </c>
      <c r="M1239" s="1" t="s">
        <v>1658</v>
      </c>
      <c r="N1239" s="1" t="s">
        <v>1658</v>
      </c>
      <c r="O1239" s="1" t="s">
        <v>1658</v>
      </c>
      <c r="P1239" s="1">
        <v>1</v>
      </c>
      <c r="Q1239" s="1" t="s">
        <v>1658</v>
      </c>
      <c r="R1239" s="1">
        <v>0</v>
      </c>
      <c r="S1239" s="1" t="s">
        <v>7234</v>
      </c>
      <c r="T1239" s="6" t="s">
        <v>7234</v>
      </c>
      <c r="U1239" s="1" t="str">
        <f t="shared" si="19"/>
        <v>Yes</v>
      </c>
      <c r="W1239" s="1" t="s">
        <v>7235</v>
      </c>
      <c r="X1239" s="1" t="str">
        <f>IF(COUNTIF('MyWells Drilling Comp'!F:F,E1239)=0,"Missing","Exist")</f>
        <v>Exist</v>
      </c>
    </row>
    <row r="1240" hidden="1" spans="1:24">
      <c r="A1240" s="1" t="s">
        <v>5265</v>
      </c>
      <c r="B1240" s="1" t="s">
        <v>90</v>
      </c>
      <c r="C1240" s="1" t="s">
        <v>7236</v>
      </c>
      <c r="D1240" s="1" t="s">
        <v>7237</v>
      </c>
      <c r="E1240" s="2" t="s">
        <v>1484</v>
      </c>
      <c r="F1240" s="2" t="s">
        <v>7238</v>
      </c>
      <c r="G1240" s="1">
        <v>1</v>
      </c>
      <c r="H1240" s="1" t="s">
        <v>1656</v>
      </c>
      <c r="I1240" s="1" t="s">
        <v>1657</v>
      </c>
      <c r="J1240" s="1" t="s">
        <v>1658</v>
      </c>
      <c r="K1240" s="1" t="s">
        <v>1658</v>
      </c>
      <c r="L1240" s="1" t="s">
        <v>1658</v>
      </c>
      <c r="M1240" s="1" t="s">
        <v>1658</v>
      </c>
      <c r="N1240" s="1" t="s">
        <v>1658</v>
      </c>
      <c r="O1240" s="1" t="s">
        <v>1658</v>
      </c>
      <c r="P1240" s="1">
        <v>1</v>
      </c>
      <c r="Q1240" s="1" t="s">
        <v>1658</v>
      </c>
      <c r="R1240" s="1">
        <v>0</v>
      </c>
      <c r="S1240" s="1" t="s">
        <v>7239</v>
      </c>
      <c r="T1240" s="6" t="s">
        <v>7239</v>
      </c>
      <c r="U1240" s="1" t="str">
        <f t="shared" si="19"/>
        <v>Yes</v>
      </c>
      <c r="W1240" s="1" t="s">
        <v>7240</v>
      </c>
      <c r="X1240" s="1" t="str">
        <f>IF(COUNTIF('MyWells Drilling Comp'!F:F,E1240)=0,"Missing","Exist")</f>
        <v>Exist</v>
      </c>
    </row>
    <row r="1241" hidden="1" spans="1:24">
      <c r="A1241" s="1" t="s">
        <v>5265</v>
      </c>
      <c r="B1241" s="1" t="s">
        <v>90</v>
      </c>
      <c r="C1241" s="1" t="s">
        <v>7241</v>
      </c>
      <c r="D1241" s="1" t="s">
        <v>7237</v>
      </c>
      <c r="E1241" s="2" t="s">
        <v>1484</v>
      </c>
      <c r="F1241" s="2" t="s">
        <v>7242</v>
      </c>
      <c r="G1241" s="1">
        <v>1</v>
      </c>
      <c r="H1241" s="1" t="s">
        <v>1663</v>
      </c>
      <c r="I1241" s="1" t="s">
        <v>1657</v>
      </c>
      <c r="J1241" s="1" t="s">
        <v>1658</v>
      </c>
      <c r="K1241" s="1" t="s">
        <v>1658</v>
      </c>
      <c r="L1241" s="1" t="s">
        <v>1658</v>
      </c>
      <c r="M1241" s="1" t="s">
        <v>1658</v>
      </c>
      <c r="N1241" s="1" t="s">
        <v>1658</v>
      </c>
      <c r="O1241" s="1" t="s">
        <v>1658</v>
      </c>
      <c r="P1241" s="1">
        <v>1</v>
      </c>
      <c r="Q1241" s="1" t="s">
        <v>1658</v>
      </c>
      <c r="R1241" s="1">
        <v>0</v>
      </c>
      <c r="S1241" s="1" t="s">
        <v>7243</v>
      </c>
      <c r="T1241" s="6" t="s">
        <v>7243</v>
      </c>
      <c r="U1241" s="1" t="str">
        <f t="shared" si="19"/>
        <v>Yes</v>
      </c>
      <c r="W1241" s="1" t="s">
        <v>7244</v>
      </c>
      <c r="X1241" s="1" t="str">
        <f>IF(COUNTIF('MyWells Drilling Comp'!F:F,E1241)=0,"Missing","Exist")</f>
        <v>Exist</v>
      </c>
    </row>
    <row r="1242" hidden="1" spans="1:24">
      <c r="A1242" s="1" t="s">
        <v>5265</v>
      </c>
      <c r="B1242" s="1" t="s">
        <v>90</v>
      </c>
      <c r="C1242" s="1" t="s">
        <v>7245</v>
      </c>
      <c r="D1242" s="1" t="s">
        <v>7246</v>
      </c>
      <c r="E1242" s="2" t="s">
        <v>1162</v>
      </c>
      <c r="F1242" s="2" t="s">
        <v>7247</v>
      </c>
      <c r="G1242" s="1">
        <v>1</v>
      </c>
      <c r="H1242" s="1" t="s">
        <v>1656</v>
      </c>
      <c r="I1242" s="1" t="s">
        <v>1657</v>
      </c>
      <c r="J1242" s="1" t="s">
        <v>1658</v>
      </c>
      <c r="K1242" s="1" t="s">
        <v>1658</v>
      </c>
      <c r="L1242" s="1" t="s">
        <v>1658</v>
      </c>
      <c r="M1242" s="1" t="s">
        <v>1658</v>
      </c>
      <c r="N1242" s="1" t="s">
        <v>1658</v>
      </c>
      <c r="O1242" s="1" t="s">
        <v>1658</v>
      </c>
      <c r="P1242" s="1">
        <v>1</v>
      </c>
      <c r="Q1242" s="1" t="s">
        <v>1658</v>
      </c>
      <c r="R1242" s="1">
        <v>0</v>
      </c>
      <c r="S1242" s="1" t="s">
        <v>7248</v>
      </c>
      <c r="T1242" s="6" t="s">
        <v>7248</v>
      </c>
      <c r="U1242" s="1" t="str">
        <f t="shared" si="19"/>
        <v>Yes</v>
      </c>
      <c r="W1242" s="1" t="s">
        <v>7249</v>
      </c>
      <c r="X1242" s="1" t="str">
        <f>IF(COUNTIF('MyWells Drilling Comp'!F:F,E1242)=0,"Missing","Exist")</f>
        <v>Exist</v>
      </c>
    </row>
    <row r="1243" hidden="1" spans="1:24">
      <c r="A1243" s="1" t="s">
        <v>5265</v>
      </c>
      <c r="B1243" s="1" t="s">
        <v>90</v>
      </c>
      <c r="C1243" s="1" t="s">
        <v>7250</v>
      </c>
      <c r="D1243" s="1" t="s">
        <v>7246</v>
      </c>
      <c r="E1243" s="2" t="s">
        <v>1162</v>
      </c>
      <c r="F1243" s="2" t="s">
        <v>7251</v>
      </c>
      <c r="G1243" s="1">
        <v>1</v>
      </c>
      <c r="H1243" s="1" t="s">
        <v>1663</v>
      </c>
      <c r="I1243" s="1" t="s">
        <v>1657</v>
      </c>
      <c r="J1243" s="1" t="s">
        <v>1658</v>
      </c>
      <c r="K1243" s="1" t="s">
        <v>1658</v>
      </c>
      <c r="L1243" s="1" t="s">
        <v>1658</v>
      </c>
      <c r="M1243" s="1" t="s">
        <v>1658</v>
      </c>
      <c r="N1243" s="1" t="s">
        <v>1658</v>
      </c>
      <c r="O1243" s="1" t="s">
        <v>1658</v>
      </c>
      <c r="P1243" s="1">
        <v>1</v>
      </c>
      <c r="Q1243" s="1" t="s">
        <v>1658</v>
      </c>
      <c r="R1243" s="1">
        <v>0</v>
      </c>
      <c r="S1243" s="1" t="s">
        <v>7252</v>
      </c>
      <c r="T1243" s="6"/>
      <c r="U1243" s="1" t="str">
        <f t="shared" si="19"/>
        <v>No</v>
      </c>
      <c r="W1243" s="1" t="s">
        <v>7253</v>
      </c>
      <c r="X1243" s="1" t="str">
        <f>IF(COUNTIF('MyWells Drilling Comp'!F:F,E1243)=0,"Missing","Exist")</f>
        <v>Exist</v>
      </c>
    </row>
    <row r="1244" hidden="1" spans="1:24">
      <c r="A1244" s="1" t="s">
        <v>5265</v>
      </c>
      <c r="B1244" s="1" t="s">
        <v>90</v>
      </c>
      <c r="C1244" s="1" t="s">
        <v>7254</v>
      </c>
      <c r="D1244" s="1" t="s">
        <v>7255</v>
      </c>
      <c r="E1244" s="2" t="s">
        <v>1229</v>
      </c>
      <c r="F1244" s="2" t="s">
        <v>7256</v>
      </c>
      <c r="G1244" s="1">
        <v>1</v>
      </c>
      <c r="H1244" s="1" t="s">
        <v>1663</v>
      </c>
      <c r="I1244" s="1" t="s">
        <v>1657</v>
      </c>
      <c r="J1244" s="1" t="s">
        <v>1658</v>
      </c>
      <c r="K1244" s="1" t="s">
        <v>1658</v>
      </c>
      <c r="L1244" s="1" t="s">
        <v>1658</v>
      </c>
      <c r="M1244" s="1" t="s">
        <v>1658</v>
      </c>
      <c r="N1244" s="1" t="s">
        <v>1658</v>
      </c>
      <c r="O1244" s="1" t="s">
        <v>1658</v>
      </c>
      <c r="P1244" s="1">
        <v>1</v>
      </c>
      <c r="Q1244" s="1" t="s">
        <v>1658</v>
      </c>
      <c r="R1244" s="1">
        <v>0</v>
      </c>
      <c r="S1244" s="1" t="s">
        <v>7257</v>
      </c>
      <c r="T1244" s="6" t="s">
        <v>7257</v>
      </c>
      <c r="U1244" s="1" t="str">
        <f t="shared" si="19"/>
        <v>Yes</v>
      </c>
      <c r="W1244" s="1" t="s">
        <v>7258</v>
      </c>
      <c r="X1244" s="1" t="str">
        <f>IF(COUNTIF('MyWells Drilling Comp'!F:F,E1244)=0,"Missing","Exist")</f>
        <v>Exist</v>
      </c>
    </row>
    <row r="1245" hidden="1" spans="1:24">
      <c r="A1245" s="1" t="s">
        <v>5265</v>
      </c>
      <c r="B1245" s="1" t="s">
        <v>90</v>
      </c>
      <c r="C1245" s="1" t="s">
        <v>7259</v>
      </c>
      <c r="D1245" s="1" t="s">
        <v>7255</v>
      </c>
      <c r="E1245" s="2" t="s">
        <v>1229</v>
      </c>
      <c r="F1245" s="2" t="s">
        <v>7260</v>
      </c>
      <c r="G1245" s="1">
        <v>1</v>
      </c>
      <c r="H1245" s="1" t="s">
        <v>1656</v>
      </c>
      <c r="I1245" s="1" t="s">
        <v>1657</v>
      </c>
      <c r="J1245" s="1" t="s">
        <v>1658</v>
      </c>
      <c r="K1245" s="1" t="s">
        <v>1658</v>
      </c>
      <c r="L1245" s="1" t="s">
        <v>1658</v>
      </c>
      <c r="M1245" s="1" t="s">
        <v>1658</v>
      </c>
      <c r="N1245" s="1" t="s">
        <v>1658</v>
      </c>
      <c r="O1245" s="1" t="s">
        <v>1658</v>
      </c>
      <c r="P1245" s="1">
        <v>1</v>
      </c>
      <c r="Q1245" s="1" t="s">
        <v>1658</v>
      </c>
      <c r="R1245" s="1">
        <v>0</v>
      </c>
      <c r="S1245" s="1" t="s">
        <v>7261</v>
      </c>
      <c r="T1245" s="6" t="s">
        <v>7261</v>
      </c>
      <c r="U1245" s="1" t="str">
        <f t="shared" si="19"/>
        <v>Yes</v>
      </c>
      <c r="W1245" s="1" t="s">
        <v>7262</v>
      </c>
      <c r="X1245" s="1" t="str">
        <f>IF(COUNTIF('MyWells Drilling Comp'!F:F,E1245)=0,"Missing","Exist")</f>
        <v>Exist</v>
      </c>
    </row>
    <row r="1246" hidden="1" spans="1:24">
      <c r="A1246" s="1" t="s">
        <v>5265</v>
      </c>
      <c r="B1246" s="1" t="s">
        <v>90</v>
      </c>
      <c r="C1246" s="1" t="s">
        <v>7263</v>
      </c>
      <c r="D1246" s="1" t="s">
        <v>7264</v>
      </c>
      <c r="E1246" s="2" t="s">
        <v>1073</v>
      </c>
      <c r="F1246" s="2" t="s">
        <v>7265</v>
      </c>
      <c r="G1246" s="1">
        <v>1</v>
      </c>
      <c r="H1246" s="1" t="s">
        <v>1663</v>
      </c>
      <c r="I1246" s="1" t="s">
        <v>1657</v>
      </c>
      <c r="J1246" s="1" t="s">
        <v>1658</v>
      </c>
      <c r="K1246" s="1" t="s">
        <v>1658</v>
      </c>
      <c r="L1246" s="1" t="s">
        <v>1658</v>
      </c>
      <c r="M1246" s="1" t="s">
        <v>1658</v>
      </c>
      <c r="N1246" s="1" t="s">
        <v>1658</v>
      </c>
      <c r="O1246" s="1" t="s">
        <v>1658</v>
      </c>
      <c r="P1246" s="1">
        <v>1</v>
      </c>
      <c r="Q1246" s="1" t="s">
        <v>1658</v>
      </c>
      <c r="R1246" s="1">
        <v>0</v>
      </c>
      <c r="S1246" s="1" t="s">
        <v>7266</v>
      </c>
      <c r="T1246" s="6" t="s">
        <v>7266</v>
      </c>
      <c r="U1246" s="1" t="str">
        <f t="shared" si="19"/>
        <v>Yes</v>
      </c>
      <c r="W1246" s="1" t="s">
        <v>7267</v>
      </c>
      <c r="X1246" s="1" t="str">
        <f>IF(COUNTIF('MyWells Drilling Comp'!F:F,E1246)=0,"Missing","Exist")</f>
        <v>Exist</v>
      </c>
    </row>
    <row r="1247" hidden="1" spans="1:24">
      <c r="A1247" s="1" t="s">
        <v>5265</v>
      </c>
      <c r="B1247" s="1" t="s">
        <v>90</v>
      </c>
      <c r="C1247" s="1" t="s">
        <v>7268</v>
      </c>
      <c r="D1247" s="1" t="s">
        <v>7264</v>
      </c>
      <c r="E1247" s="2" t="s">
        <v>1073</v>
      </c>
      <c r="F1247" s="2" t="s">
        <v>7269</v>
      </c>
      <c r="G1247" s="1">
        <v>1</v>
      </c>
      <c r="H1247" s="1" t="s">
        <v>1656</v>
      </c>
      <c r="I1247" s="1" t="s">
        <v>1657</v>
      </c>
      <c r="J1247" s="1" t="s">
        <v>1658</v>
      </c>
      <c r="K1247" s="1" t="s">
        <v>1658</v>
      </c>
      <c r="L1247" s="1" t="s">
        <v>1658</v>
      </c>
      <c r="M1247" s="1" t="s">
        <v>1658</v>
      </c>
      <c r="N1247" s="1" t="s">
        <v>1658</v>
      </c>
      <c r="O1247" s="1" t="s">
        <v>1658</v>
      </c>
      <c r="P1247" s="1">
        <v>1</v>
      </c>
      <c r="Q1247" s="1" t="s">
        <v>1658</v>
      </c>
      <c r="R1247" s="1">
        <v>0</v>
      </c>
      <c r="S1247" s="1" t="s">
        <v>7270</v>
      </c>
      <c r="T1247" s="6" t="s">
        <v>7270</v>
      </c>
      <c r="U1247" s="1" t="str">
        <f t="shared" si="19"/>
        <v>Yes</v>
      </c>
      <c r="W1247" s="1" t="s">
        <v>7271</v>
      </c>
      <c r="X1247" s="1" t="str">
        <f>IF(COUNTIF('MyWells Drilling Comp'!F:F,E1247)=0,"Missing","Exist")</f>
        <v>Exist</v>
      </c>
    </row>
    <row r="1248" hidden="1" spans="1:24">
      <c r="A1248" s="1" t="s">
        <v>5265</v>
      </c>
      <c r="B1248" s="1" t="s">
        <v>90</v>
      </c>
      <c r="C1248" s="1" t="s">
        <v>7272</v>
      </c>
      <c r="D1248" s="1" t="s">
        <v>7273</v>
      </c>
      <c r="E1248" s="2" t="s">
        <v>1232</v>
      </c>
      <c r="F1248" s="2" t="s">
        <v>7274</v>
      </c>
      <c r="G1248" s="1">
        <v>1</v>
      </c>
      <c r="H1248" s="1" t="s">
        <v>1656</v>
      </c>
      <c r="I1248" s="1" t="s">
        <v>1657</v>
      </c>
      <c r="J1248" s="1" t="s">
        <v>1658</v>
      </c>
      <c r="K1248" s="1" t="s">
        <v>1658</v>
      </c>
      <c r="L1248" s="1" t="s">
        <v>1658</v>
      </c>
      <c r="M1248" s="1" t="s">
        <v>1658</v>
      </c>
      <c r="N1248" s="1" t="s">
        <v>1658</v>
      </c>
      <c r="O1248" s="1" t="s">
        <v>1658</v>
      </c>
      <c r="P1248" s="1">
        <v>1</v>
      </c>
      <c r="Q1248" s="1" t="s">
        <v>1658</v>
      </c>
      <c r="R1248" s="1">
        <v>0</v>
      </c>
      <c r="S1248" s="1" t="s">
        <v>7275</v>
      </c>
      <c r="T1248" s="6" t="s">
        <v>7275</v>
      </c>
      <c r="U1248" s="1" t="str">
        <f t="shared" si="19"/>
        <v>Yes</v>
      </c>
      <c r="W1248" s="1" t="s">
        <v>7276</v>
      </c>
      <c r="X1248" s="1" t="str">
        <f>IF(COUNTIF('MyWells Drilling Comp'!F:F,E1248)=0,"Missing","Exist")</f>
        <v>Exist</v>
      </c>
    </row>
    <row r="1249" hidden="1" spans="1:24">
      <c r="A1249" s="1" t="s">
        <v>5265</v>
      </c>
      <c r="B1249" s="1" t="s">
        <v>90</v>
      </c>
      <c r="C1249" s="1" t="s">
        <v>7277</v>
      </c>
      <c r="D1249" s="1" t="s">
        <v>7273</v>
      </c>
      <c r="E1249" s="2" t="s">
        <v>1232</v>
      </c>
      <c r="F1249" s="2" t="s">
        <v>7278</v>
      </c>
      <c r="G1249" s="1">
        <v>1</v>
      </c>
      <c r="H1249" s="1" t="s">
        <v>1663</v>
      </c>
      <c r="I1249" s="1" t="s">
        <v>1657</v>
      </c>
      <c r="J1249" s="1" t="s">
        <v>1658</v>
      </c>
      <c r="K1249" s="1" t="s">
        <v>1658</v>
      </c>
      <c r="L1249" s="1" t="s">
        <v>1658</v>
      </c>
      <c r="M1249" s="1" t="s">
        <v>1658</v>
      </c>
      <c r="N1249" s="1" t="s">
        <v>1658</v>
      </c>
      <c r="O1249" s="1" t="s">
        <v>1658</v>
      </c>
      <c r="P1249" s="1">
        <v>1</v>
      </c>
      <c r="Q1249" s="1" t="s">
        <v>1658</v>
      </c>
      <c r="R1249" s="1">
        <v>0</v>
      </c>
      <c r="S1249" s="1" t="s">
        <v>7279</v>
      </c>
      <c r="T1249" s="6"/>
      <c r="U1249" s="1" t="str">
        <f t="shared" si="19"/>
        <v>No</v>
      </c>
      <c r="W1249" s="1" t="s">
        <v>7280</v>
      </c>
      <c r="X1249" s="1" t="str">
        <f>IF(COUNTIF('MyWells Drilling Comp'!F:F,E1249)=0,"Missing","Exist")</f>
        <v>Exist</v>
      </c>
    </row>
    <row r="1250" hidden="1" spans="1:24">
      <c r="A1250" s="1" t="s">
        <v>5265</v>
      </c>
      <c r="B1250" s="1" t="s">
        <v>90</v>
      </c>
      <c r="C1250" s="1" t="s">
        <v>7281</v>
      </c>
      <c r="D1250" s="1" t="s">
        <v>7282</v>
      </c>
      <c r="E1250" s="2" t="s">
        <v>1054</v>
      </c>
      <c r="F1250" s="2" t="s">
        <v>7283</v>
      </c>
      <c r="G1250" s="1">
        <v>1</v>
      </c>
      <c r="H1250" s="1" t="s">
        <v>1656</v>
      </c>
      <c r="I1250" s="1" t="s">
        <v>1657</v>
      </c>
      <c r="J1250" s="1" t="s">
        <v>1658</v>
      </c>
      <c r="K1250" s="1" t="s">
        <v>1658</v>
      </c>
      <c r="L1250" s="1" t="s">
        <v>1658</v>
      </c>
      <c r="M1250" s="1" t="s">
        <v>1658</v>
      </c>
      <c r="N1250" s="1" t="s">
        <v>1658</v>
      </c>
      <c r="O1250" s="1" t="s">
        <v>1658</v>
      </c>
      <c r="P1250" s="1">
        <v>1</v>
      </c>
      <c r="Q1250" s="1" t="s">
        <v>1658</v>
      </c>
      <c r="R1250" s="1">
        <v>0</v>
      </c>
      <c r="S1250" s="1" t="s">
        <v>7284</v>
      </c>
      <c r="T1250" s="6" t="s">
        <v>7284</v>
      </c>
      <c r="U1250" s="1" t="str">
        <f t="shared" si="19"/>
        <v>Yes</v>
      </c>
      <c r="W1250" s="1" t="s">
        <v>7285</v>
      </c>
      <c r="X1250" s="1" t="str">
        <f>IF(COUNTIF('MyWells Drilling Comp'!F:F,E1250)=0,"Missing","Exist")</f>
        <v>Exist</v>
      </c>
    </row>
    <row r="1251" hidden="1" spans="1:24">
      <c r="A1251" s="1" t="s">
        <v>5265</v>
      </c>
      <c r="B1251" s="1" t="s">
        <v>90</v>
      </c>
      <c r="C1251" s="1" t="s">
        <v>7286</v>
      </c>
      <c r="D1251" s="1" t="s">
        <v>7282</v>
      </c>
      <c r="E1251" s="2" t="s">
        <v>1054</v>
      </c>
      <c r="F1251" s="2" t="s">
        <v>7287</v>
      </c>
      <c r="G1251" s="1">
        <v>1</v>
      </c>
      <c r="H1251" s="1" t="s">
        <v>1663</v>
      </c>
      <c r="I1251" s="1" t="s">
        <v>1657</v>
      </c>
      <c r="J1251" s="1" t="s">
        <v>1658</v>
      </c>
      <c r="K1251" s="1" t="s">
        <v>1658</v>
      </c>
      <c r="L1251" s="1" t="s">
        <v>1658</v>
      </c>
      <c r="M1251" s="1" t="s">
        <v>1658</v>
      </c>
      <c r="N1251" s="1" t="s">
        <v>1658</v>
      </c>
      <c r="O1251" s="1" t="s">
        <v>1658</v>
      </c>
      <c r="P1251" s="1">
        <v>1</v>
      </c>
      <c r="Q1251" s="1" t="s">
        <v>1658</v>
      </c>
      <c r="R1251" s="1">
        <v>0</v>
      </c>
      <c r="S1251" s="1" t="s">
        <v>7288</v>
      </c>
      <c r="T1251" s="6" t="s">
        <v>7288</v>
      </c>
      <c r="U1251" s="1" t="str">
        <f t="shared" si="19"/>
        <v>Yes</v>
      </c>
      <c r="W1251" s="1" t="s">
        <v>7289</v>
      </c>
      <c r="X1251" s="1" t="str">
        <f>IF(COUNTIF('MyWells Drilling Comp'!F:F,E1251)=0,"Missing","Exist")</f>
        <v>Exist</v>
      </c>
    </row>
    <row r="1252" hidden="1" spans="1:24">
      <c r="A1252" s="1" t="s">
        <v>5265</v>
      </c>
      <c r="B1252" s="1" t="s">
        <v>90</v>
      </c>
      <c r="C1252" s="1" t="s">
        <v>7290</v>
      </c>
      <c r="D1252" s="1" t="s">
        <v>7291</v>
      </c>
      <c r="E1252" s="2" t="s">
        <v>1223</v>
      </c>
      <c r="F1252" s="2" t="s">
        <v>7292</v>
      </c>
      <c r="G1252" s="1">
        <v>1</v>
      </c>
      <c r="H1252" s="1" t="s">
        <v>1656</v>
      </c>
      <c r="I1252" s="1" t="s">
        <v>1657</v>
      </c>
      <c r="J1252" s="1" t="s">
        <v>1658</v>
      </c>
      <c r="K1252" s="1" t="s">
        <v>1658</v>
      </c>
      <c r="L1252" s="1" t="s">
        <v>1658</v>
      </c>
      <c r="M1252" s="1" t="s">
        <v>1658</v>
      </c>
      <c r="N1252" s="1" t="s">
        <v>1658</v>
      </c>
      <c r="O1252" s="1" t="s">
        <v>1658</v>
      </c>
      <c r="P1252" s="1">
        <v>1</v>
      </c>
      <c r="Q1252" s="1" t="s">
        <v>1658</v>
      </c>
      <c r="R1252" s="1">
        <v>0</v>
      </c>
      <c r="S1252" s="1" t="s">
        <v>7293</v>
      </c>
      <c r="T1252" s="6"/>
      <c r="U1252" s="1" t="str">
        <f t="shared" si="19"/>
        <v>No</v>
      </c>
      <c r="W1252" s="1" t="s">
        <v>7294</v>
      </c>
      <c r="X1252" s="1" t="str">
        <f>IF(COUNTIF('MyWells Drilling Comp'!F:F,E1252)=0,"Missing","Exist")</f>
        <v>Exist</v>
      </c>
    </row>
    <row r="1253" hidden="1" spans="1:24">
      <c r="A1253" s="1" t="s">
        <v>5265</v>
      </c>
      <c r="B1253" s="1" t="s">
        <v>90</v>
      </c>
      <c r="C1253" s="1" t="s">
        <v>7295</v>
      </c>
      <c r="D1253" s="1" t="s">
        <v>7291</v>
      </c>
      <c r="E1253" s="2" t="s">
        <v>1223</v>
      </c>
      <c r="F1253" s="2" t="s">
        <v>7296</v>
      </c>
      <c r="G1253" s="1">
        <v>1</v>
      </c>
      <c r="H1253" s="1" t="s">
        <v>1663</v>
      </c>
      <c r="I1253" s="1" t="s">
        <v>1657</v>
      </c>
      <c r="J1253" s="1" t="s">
        <v>1658</v>
      </c>
      <c r="K1253" s="1" t="s">
        <v>1658</v>
      </c>
      <c r="L1253" s="1" t="s">
        <v>1658</v>
      </c>
      <c r="M1253" s="1" t="s">
        <v>1658</v>
      </c>
      <c r="N1253" s="1" t="s">
        <v>1658</v>
      </c>
      <c r="O1253" s="1" t="s">
        <v>1658</v>
      </c>
      <c r="P1253" s="1">
        <v>1</v>
      </c>
      <c r="Q1253" s="1" t="s">
        <v>1658</v>
      </c>
      <c r="R1253" s="1">
        <v>0</v>
      </c>
      <c r="S1253" s="1" t="s">
        <v>7297</v>
      </c>
      <c r="T1253" s="6"/>
      <c r="U1253" s="1" t="str">
        <f t="shared" si="19"/>
        <v>No</v>
      </c>
      <c r="W1253" s="1" t="s">
        <v>7298</v>
      </c>
      <c r="X1253" s="1" t="str">
        <f>IF(COUNTIF('MyWells Drilling Comp'!F:F,E1253)=0,"Missing","Exist")</f>
        <v>Exist</v>
      </c>
    </row>
    <row r="1254" hidden="1" spans="1:24">
      <c r="A1254" s="1" t="s">
        <v>5265</v>
      </c>
      <c r="B1254" s="1" t="s">
        <v>90</v>
      </c>
      <c r="C1254" s="1" t="s">
        <v>7299</v>
      </c>
      <c r="D1254" s="1" t="s">
        <v>7300</v>
      </c>
      <c r="E1254" s="2" t="s">
        <v>683</v>
      </c>
      <c r="F1254" s="2" t="s">
        <v>7301</v>
      </c>
      <c r="G1254" s="1">
        <v>1</v>
      </c>
      <c r="H1254" s="1" t="s">
        <v>1663</v>
      </c>
      <c r="I1254" s="1" t="s">
        <v>1657</v>
      </c>
      <c r="J1254" s="1" t="s">
        <v>1658</v>
      </c>
      <c r="K1254" s="1" t="s">
        <v>1658</v>
      </c>
      <c r="L1254" s="1" t="s">
        <v>1658</v>
      </c>
      <c r="M1254" s="1" t="s">
        <v>1658</v>
      </c>
      <c r="N1254" s="1" t="s">
        <v>1658</v>
      </c>
      <c r="O1254" s="1" t="s">
        <v>1658</v>
      </c>
      <c r="P1254" s="1">
        <v>1</v>
      </c>
      <c r="Q1254" s="1" t="s">
        <v>1658</v>
      </c>
      <c r="R1254" s="1">
        <v>0</v>
      </c>
      <c r="S1254" s="1" t="s">
        <v>7302</v>
      </c>
      <c r="T1254" s="6"/>
      <c r="U1254" s="1" t="str">
        <f t="shared" si="19"/>
        <v>No</v>
      </c>
      <c r="W1254" s="1" t="s">
        <v>7303</v>
      </c>
      <c r="X1254" s="1" t="str">
        <f>IF(COUNTIF('MyWells Drilling Comp'!F:F,E1254)=0,"Missing","Exist")</f>
        <v>Exist</v>
      </c>
    </row>
    <row r="1255" hidden="1" spans="1:24">
      <c r="A1255" s="1" t="s">
        <v>5265</v>
      </c>
      <c r="B1255" s="1" t="s">
        <v>90</v>
      </c>
      <c r="C1255" s="1" t="s">
        <v>7304</v>
      </c>
      <c r="D1255" s="1" t="s">
        <v>7300</v>
      </c>
      <c r="E1255" s="2" t="s">
        <v>683</v>
      </c>
      <c r="F1255" s="2" t="s">
        <v>7305</v>
      </c>
      <c r="G1255" s="1">
        <v>1</v>
      </c>
      <c r="H1255" s="1" t="s">
        <v>1656</v>
      </c>
      <c r="I1255" s="1" t="s">
        <v>1657</v>
      </c>
      <c r="J1255" s="1" t="s">
        <v>1658</v>
      </c>
      <c r="K1255" s="1" t="s">
        <v>1658</v>
      </c>
      <c r="L1255" s="1" t="s">
        <v>1658</v>
      </c>
      <c r="M1255" s="1" t="s">
        <v>1658</v>
      </c>
      <c r="N1255" s="1" t="s">
        <v>1658</v>
      </c>
      <c r="O1255" s="1" t="s">
        <v>1658</v>
      </c>
      <c r="P1255" s="1">
        <v>1</v>
      </c>
      <c r="Q1255" s="1" t="s">
        <v>1658</v>
      </c>
      <c r="R1255" s="1">
        <v>0</v>
      </c>
      <c r="S1255" s="1" t="s">
        <v>7306</v>
      </c>
      <c r="T1255" s="6" t="s">
        <v>7306</v>
      </c>
      <c r="U1255" s="1" t="str">
        <f t="shared" si="19"/>
        <v>Yes</v>
      </c>
      <c r="W1255" s="1" t="s">
        <v>7307</v>
      </c>
      <c r="X1255" s="1" t="str">
        <f>IF(COUNTIF('MyWells Drilling Comp'!F:F,E1255)=0,"Missing","Exist")</f>
        <v>Exist</v>
      </c>
    </row>
    <row r="1256" hidden="1" spans="1:24">
      <c r="A1256" s="1" t="s">
        <v>5265</v>
      </c>
      <c r="B1256" s="1" t="s">
        <v>90</v>
      </c>
      <c r="C1256" s="1" t="s">
        <v>7308</v>
      </c>
      <c r="D1256" s="1" t="s">
        <v>7309</v>
      </c>
      <c r="E1256" s="2" t="s">
        <v>582</v>
      </c>
      <c r="F1256" s="2" t="s">
        <v>7310</v>
      </c>
      <c r="G1256" s="1">
        <v>1</v>
      </c>
      <c r="H1256" s="1" t="s">
        <v>1656</v>
      </c>
      <c r="I1256" s="1" t="s">
        <v>1657</v>
      </c>
      <c r="J1256" s="1" t="s">
        <v>1658</v>
      </c>
      <c r="K1256" s="1" t="s">
        <v>1658</v>
      </c>
      <c r="L1256" s="1" t="s">
        <v>1658</v>
      </c>
      <c r="M1256" s="1" t="s">
        <v>1658</v>
      </c>
      <c r="N1256" s="1" t="s">
        <v>1658</v>
      </c>
      <c r="O1256" s="1" t="s">
        <v>1658</v>
      </c>
      <c r="P1256" s="1">
        <v>1</v>
      </c>
      <c r="Q1256" s="1" t="s">
        <v>1658</v>
      </c>
      <c r="R1256" s="1">
        <v>0</v>
      </c>
      <c r="S1256" s="1" t="s">
        <v>7311</v>
      </c>
      <c r="T1256" s="6" t="s">
        <v>7311</v>
      </c>
      <c r="U1256" s="1" t="str">
        <f t="shared" si="19"/>
        <v>Yes</v>
      </c>
      <c r="W1256" s="1" t="s">
        <v>7312</v>
      </c>
      <c r="X1256" s="1" t="str">
        <f>IF(COUNTIF('MyWells Drilling Comp'!F:F,E1256)=0,"Missing","Exist")</f>
        <v>Exist</v>
      </c>
    </row>
    <row r="1257" hidden="1" spans="1:24">
      <c r="A1257" s="1" t="s">
        <v>5265</v>
      </c>
      <c r="B1257" s="1" t="s">
        <v>90</v>
      </c>
      <c r="C1257" s="1" t="s">
        <v>7313</v>
      </c>
      <c r="D1257" s="1" t="s">
        <v>7309</v>
      </c>
      <c r="E1257" s="2" t="s">
        <v>582</v>
      </c>
      <c r="F1257" s="2" t="s">
        <v>7314</v>
      </c>
      <c r="G1257" s="1">
        <v>1</v>
      </c>
      <c r="H1257" s="1" t="s">
        <v>1663</v>
      </c>
      <c r="I1257" s="1" t="s">
        <v>1657</v>
      </c>
      <c r="J1257" s="1" t="s">
        <v>1658</v>
      </c>
      <c r="K1257" s="1" t="s">
        <v>1658</v>
      </c>
      <c r="L1257" s="1" t="s">
        <v>1658</v>
      </c>
      <c r="M1257" s="1" t="s">
        <v>1658</v>
      </c>
      <c r="N1257" s="1" t="s">
        <v>1658</v>
      </c>
      <c r="O1257" s="1" t="s">
        <v>1658</v>
      </c>
      <c r="P1257" s="1">
        <v>1</v>
      </c>
      <c r="Q1257" s="1" t="s">
        <v>1658</v>
      </c>
      <c r="R1257" s="1">
        <v>0</v>
      </c>
      <c r="S1257" s="1" t="s">
        <v>7315</v>
      </c>
      <c r="T1257" s="6" t="s">
        <v>7315</v>
      </c>
      <c r="U1257" s="1" t="str">
        <f t="shared" si="19"/>
        <v>Yes</v>
      </c>
      <c r="W1257" s="1" t="s">
        <v>7316</v>
      </c>
      <c r="X1257" s="1" t="str">
        <f>IF(COUNTIF('MyWells Drilling Comp'!F:F,E1257)=0,"Missing","Exist")</f>
        <v>Exist</v>
      </c>
    </row>
    <row r="1258" hidden="1" spans="1:24">
      <c r="A1258" s="1" t="s">
        <v>5265</v>
      </c>
      <c r="B1258" s="1" t="s">
        <v>90</v>
      </c>
      <c r="C1258" s="1" t="s">
        <v>7317</v>
      </c>
      <c r="D1258" s="1" t="s">
        <v>7318</v>
      </c>
      <c r="E1258" s="2" t="s">
        <v>1339</v>
      </c>
      <c r="F1258" s="2" t="s">
        <v>7319</v>
      </c>
      <c r="G1258" s="1">
        <v>1</v>
      </c>
      <c r="H1258" s="1" t="s">
        <v>1663</v>
      </c>
      <c r="I1258" s="1" t="s">
        <v>1657</v>
      </c>
      <c r="J1258" s="1" t="s">
        <v>1658</v>
      </c>
      <c r="K1258" s="1" t="s">
        <v>1658</v>
      </c>
      <c r="L1258" s="1" t="s">
        <v>1658</v>
      </c>
      <c r="M1258" s="1" t="s">
        <v>1658</v>
      </c>
      <c r="N1258" s="1" t="s">
        <v>1658</v>
      </c>
      <c r="O1258" s="1" t="s">
        <v>1658</v>
      </c>
      <c r="P1258" s="1">
        <v>1</v>
      </c>
      <c r="Q1258" s="1" t="s">
        <v>1658</v>
      </c>
      <c r="R1258" s="1">
        <v>0</v>
      </c>
      <c r="S1258" s="1" t="s">
        <v>7320</v>
      </c>
      <c r="T1258" s="6" t="s">
        <v>4426</v>
      </c>
      <c r="U1258" s="1" t="str">
        <f t="shared" si="19"/>
        <v>No</v>
      </c>
      <c r="W1258" s="1" t="s">
        <v>7321</v>
      </c>
      <c r="X1258" s="1" t="str">
        <f>IF(COUNTIF('MyWells Drilling Comp'!F:F,E1258)=0,"Missing","Exist")</f>
        <v>Exist</v>
      </c>
    </row>
    <row r="1259" hidden="1" spans="1:24">
      <c r="A1259" s="1" t="s">
        <v>5265</v>
      </c>
      <c r="B1259" s="1" t="s">
        <v>90</v>
      </c>
      <c r="C1259" s="1" t="s">
        <v>7322</v>
      </c>
      <c r="D1259" s="1" t="s">
        <v>7318</v>
      </c>
      <c r="E1259" s="2" t="s">
        <v>1339</v>
      </c>
      <c r="F1259" s="2" t="s">
        <v>7323</v>
      </c>
      <c r="G1259" s="1">
        <v>1</v>
      </c>
      <c r="H1259" s="1" t="s">
        <v>1656</v>
      </c>
      <c r="I1259" s="1" t="s">
        <v>1657</v>
      </c>
      <c r="J1259" s="1" t="s">
        <v>1658</v>
      </c>
      <c r="K1259" s="1" t="s">
        <v>1658</v>
      </c>
      <c r="L1259" s="1" t="s">
        <v>1658</v>
      </c>
      <c r="M1259" s="1" t="s">
        <v>1658</v>
      </c>
      <c r="N1259" s="1" t="s">
        <v>1658</v>
      </c>
      <c r="O1259" s="1" t="s">
        <v>1658</v>
      </c>
      <c r="P1259" s="1">
        <v>1</v>
      </c>
      <c r="Q1259" s="1" t="s">
        <v>1658</v>
      </c>
      <c r="R1259" s="1">
        <v>0</v>
      </c>
      <c r="S1259" s="1" t="s">
        <v>3242</v>
      </c>
      <c r="T1259" s="6" t="s">
        <v>7324</v>
      </c>
      <c r="U1259" s="1" t="str">
        <f t="shared" si="19"/>
        <v>No</v>
      </c>
      <c r="W1259" s="1" t="s">
        <v>7325</v>
      </c>
      <c r="X1259" s="1" t="str">
        <f>IF(COUNTIF('MyWells Drilling Comp'!F:F,E1259)=0,"Missing","Exist")</f>
        <v>Exist</v>
      </c>
    </row>
    <row r="1260" hidden="1" spans="1:24">
      <c r="A1260" s="1" t="s">
        <v>5265</v>
      </c>
      <c r="B1260" s="1" t="s">
        <v>90</v>
      </c>
      <c r="C1260" s="1" t="s">
        <v>7326</v>
      </c>
      <c r="D1260" s="1" t="s">
        <v>7327</v>
      </c>
      <c r="E1260" s="2" t="s">
        <v>1553</v>
      </c>
      <c r="F1260" s="2" t="s">
        <v>7328</v>
      </c>
      <c r="G1260" s="1">
        <v>1</v>
      </c>
      <c r="H1260" s="1" t="s">
        <v>1663</v>
      </c>
      <c r="I1260" s="1" t="s">
        <v>1657</v>
      </c>
      <c r="J1260" s="1" t="s">
        <v>1658</v>
      </c>
      <c r="K1260" s="1" t="s">
        <v>1658</v>
      </c>
      <c r="L1260" s="1" t="s">
        <v>1658</v>
      </c>
      <c r="M1260" s="1" t="s">
        <v>1658</v>
      </c>
      <c r="N1260" s="1" t="s">
        <v>1658</v>
      </c>
      <c r="O1260" s="1" t="s">
        <v>1658</v>
      </c>
      <c r="P1260" s="1">
        <v>1</v>
      </c>
      <c r="Q1260" s="1" t="s">
        <v>1658</v>
      </c>
      <c r="R1260" s="1">
        <v>0</v>
      </c>
      <c r="S1260" s="1" t="s">
        <v>7329</v>
      </c>
      <c r="T1260" s="6" t="s">
        <v>7329</v>
      </c>
      <c r="U1260" s="1" t="str">
        <f t="shared" si="19"/>
        <v>Yes</v>
      </c>
      <c r="W1260" s="1" t="s">
        <v>7330</v>
      </c>
      <c r="X1260" s="1" t="str">
        <f>IF(COUNTIF('MyWells Drilling Comp'!F:F,E1260)=0,"Missing","Exist")</f>
        <v>Exist</v>
      </c>
    </row>
    <row r="1261" hidden="1" spans="1:24">
      <c r="A1261" s="1" t="s">
        <v>5265</v>
      </c>
      <c r="B1261" s="1" t="s">
        <v>90</v>
      </c>
      <c r="C1261" s="1" t="s">
        <v>7331</v>
      </c>
      <c r="D1261" s="1" t="s">
        <v>7327</v>
      </c>
      <c r="E1261" s="2" t="s">
        <v>1553</v>
      </c>
      <c r="F1261" s="2" t="s">
        <v>7332</v>
      </c>
      <c r="G1261" s="1">
        <v>1</v>
      </c>
      <c r="H1261" s="1" t="s">
        <v>1656</v>
      </c>
      <c r="I1261" s="1" t="s">
        <v>1657</v>
      </c>
      <c r="J1261" s="1" t="s">
        <v>1658</v>
      </c>
      <c r="K1261" s="1" t="s">
        <v>1658</v>
      </c>
      <c r="L1261" s="1" t="s">
        <v>1658</v>
      </c>
      <c r="M1261" s="1" t="s">
        <v>1658</v>
      </c>
      <c r="N1261" s="1" t="s">
        <v>1658</v>
      </c>
      <c r="O1261" s="1" t="s">
        <v>1658</v>
      </c>
      <c r="P1261" s="1">
        <v>1</v>
      </c>
      <c r="Q1261" s="1" t="s">
        <v>1658</v>
      </c>
      <c r="R1261" s="1">
        <v>0</v>
      </c>
      <c r="S1261" s="1" t="s">
        <v>7333</v>
      </c>
      <c r="T1261" s="6" t="s">
        <v>7333</v>
      </c>
      <c r="U1261" s="1" t="str">
        <f t="shared" si="19"/>
        <v>Yes</v>
      </c>
      <c r="W1261" s="1" t="s">
        <v>7334</v>
      </c>
      <c r="X1261" s="1" t="str">
        <f>IF(COUNTIF('MyWells Drilling Comp'!F:F,E1261)=0,"Missing","Exist")</f>
        <v>Exist</v>
      </c>
    </row>
    <row r="1262" hidden="1" spans="1:24">
      <c r="A1262" s="1" t="s">
        <v>5265</v>
      </c>
      <c r="B1262" s="1" t="s">
        <v>90</v>
      </c>
      <c r="C1262" s="1" t="s">
        <v>7335</v>
      </c>
      <c r="D1262" s="1" t="s">
        <v>7336</v>
      </c>
      <c r="E1262" s="2" t="s">
        <v>1608</v>
      </c>
      <c r="F1262" s="2" t="s">
        <v>7337</v>
      </c>
      <c r="G1262" s="1">
        <v>1</v>
      </c>
      <c r="H1262" s="1" t="s">
        <v>1656</v>
      </c>
      <c r="I1262" s="1" t="s">
        <v>1657</v>
      </c>
      <c r="J1262" s="1" t="s">
        <v>1658</v>
      </c>
      <c r="K1262" s="1" t="s">
        <v>1658</v>
      </c>
      <c r="L1262" s="1" t="s">
        <v>1658</v>
      </c>
      <c r="M1262" s="1" t="s">
        <v>1658</v>
      </c>
      <c r="N1262" s="1" t="s">
        <v>1658</v>
      </c>
      <c r="O1262" s="1" t="s">
        <v>1658</v>
      </c>
      <c r="P1262" s="1">
        <v>1</v>
      </c>
      <c r="Q1262" s="1" t="s">
        <v>1658</v>
      </c>
      <c r="R1262" s="1">
        <v>0</v>
      </c>
      <c r="S1262" s="1" t="s">
        <v>3552</v>
      </c>
      <c r="T1262" s="6"/>
      <c r="U1262" s="1" t="str">
        <f t="shared" si="19"/>
        <v>No</v>
      </c>
      <c r="W1262" s="1" t="s">
        <v>7338</v>
      </c>
      <c r="X1262" s="1" t="str">
        <f>IF(COUNTIF('MyWells Drilling Comp'!F:F,E1262)=0,"Missing","Exist")</f>
        <v>Exist</v>
      </c>
    </row>
    <row r="1263" hidden="1" spans="1:24">
      <c r="A1263" s="1" t="s">
        <v>5265</v>
      </c>
      <c r="B1263" s="1" t="s">
        <v>90</v>
      </c>
      <c r="C1263" s="1" t="s">
        <v>7339</v>
      </c>
      <c r="D1263" s="1" t="s">
        <v>7336</v>
      </c>
      <c r="E1263" s="2" t="s">
        <v>1608</v>
      </c>
      <c r="F1263" s="2" t="s">
        <v>7340</v>
      </c>
      <c r="G1263" s="1">
        <v>1</v>
      </c>
      <c r="H1263" s="1" t="s">
        <v>1663</v>
      </c>
      <c r="I1263" s="1" t="s">
        <v>1657</v>
      </c>
      <c r="J1263" s="1" t="s">
        <v>1658</v>
      </c>
      <c r="K1263" s="1" t="s">
        <v>1658</v>
      </c>
      <c r="L1263" s="1" t="s">
        <v>1658</v>
      </c>
      <c r="M1263" s="1" t="s">
        <v>1658</v>
      </c>
      <c r="N1263" s="1" t="s">
        <v>1658</v>
      </c>
      <c r="O1263" s="1" t="s">
        <v>1658</v>
      </c>
      <c r="P1263" s="1">
        <v>1</v>
      </c>
      <c r="Q1263" s="1" t="s">
        <v>1658</v>
      </c>
      <c r="R1263" s="1">
        <v>0</v>
      </c>
      <c r="S1263" s="1" t="s">
        <v>3556</v>
      </c>
      <c r="T1263" s="6"/>
      <c r="U1263" s="1" t="str">
        <f t="shared" si="19"/>
        <v>No</v>
      </c>
      <c r="W1263" s="1" t="s">
        <v>7341</v>
      </c>
      <c r="X1263" s="1" t="str">
        <f>IF(COUNTIF('MyWells Drilling Comp'!F:F,E1263)=0,"Missing","Exist")</f>
        <v>Exist</v>
      </c>
    </row>
    <row r="1264" hidden="1" spans="1:24">
      <c r="A1264" s="1" t="s">
        <v>5265</v>
      </c>
      <c r="B1264" s="1" t="s">
        <v>90</v>
      </c>
      <c r="C1264" s="1" t="s">
        <v>7342</v>
      </c>
      <c r="D1264" s="1" t="s">
        <v>7343</v>
      </c>
      <c r="E1264" s="2" t="s">
        <v>597</v>
      </c>
      <c r="F1264" s="2" t="s">
        <v>7344</v>
      </c>
      <c r="G1264" s="1">
        <v>1</v>
      </c>
      <c r="H1264" s="1" t="s">
        <v>1663</v>
      </c>
      <c r="I1264" s="1" t="s">
        <v>1657</v>
      </c>
      <c r="J1264" s="1" t="s">
        <v>1658</v>
      </c>
      <c r="K1264" s="1" t="s">
        <v>1658</v>
      </c>
      <c r="L1264" s="1" t="s">
        <v>1658</v>
      </c>
      <c r="M1264" s="1" t="s">
        <v>1658</v>
      </c>
      <c r="N1264" s="1" t="s">
        <v>1658</v>
      </c>
      <c r="O1264" s="1" t="s">
        <v>1658</v>
      </c>
      <c r="P1264" s="1">
        <v>1</v>
      </c>
      <c r="Q1264" s="1" t="s">
        <v>1658</v>
      </c>
      <c r="R1264" s="1">
        <v>0</v>
      </c>
      <c r="S1264" s="1" t="s">
        <v>3608</v>
      </c>
      <c r="T1264" s="6"/>
      <c r="U1264" s="1" t="str">
        <f t="shared" si="19"/>
        <v>No</v>
      </c>
      <c r="W1264" s="1" t="s">
        <v>7345</v>
      </c>
      <c r="X1264" s="1" t="str">
        <f>IF(COUNTIF('MyWells Drilling Comp'!F:F,E1264)=0,"Missing","Exist")</f>
        <v>Exist</v>
      </c>
    </row>
    <row r="1265" hidden="1" spans="1:24">
      <c r="A1265" s="1" t="s">
        <v>5265</v>
      </c>
      <c r="B1265" s="1" t="s">
        <v>90</v>
      </c>
      <c r="C1265" s="1" t="s">
        <v>7346</v>
      </c>
      <c r="D1265" s="1" t="s">
        <v>7343</v>
      </c>
      <c r="E1265" s="2" t="s">
        <v>597</v>
      </c>
      <c r="F1265" s="2" t="s">
        <v>7347</v>
      </c>
      <c r="G1265" s="1">
        <v>1</v>
      </c>
      <c r="H1265" s="1" t="s">
        <v>1656</v>
      </c>
      <c r="I1265" s="1" t="s">
        <v>1657</v>
      </c>
      <c r="J1265" s="1" t="s">
        <v>1658</v>
      </c>
      <c r="K1265" s="1" t="s">
        <v>1658</v>
      </c>
      <c r="L1265" s="1" t="s">
        <v>1658</v>
      </c>
      <c r="M1265" s="1" t="s">
        <v>1658</v>
      </c>
      <c r="N1265" s="1" t="s">
        <v>1658</v>
      </c>
      <c r="O1265" s="1" t="s">
        <v>1658</v>
      </c>
      <c r="P1265" s="1">
        <v>1</v>
      </c>
      <c r="Q1265" s="1" t="s">
        <v>1658</v>
      </c>
      <c r="R1265" s="1">
        <v>0</v>
      </c>
      <c r="S1265" s="1" t="s">
        <v>3604</v>
      </c>
      <c r="T1265" s="6" t="s">
        <v>3604</v>
      </c>
      <c r="U1265" s="1" t="str">
        <f t="shared" si="19"/>
        <v>Yes</v>
      </c>
      <c r="W1265" s="1" t="s">
        <v>7348</v>
      </c>
      <c r="X1265" s="1" t="str">
        <f>IF(COUNTIF('MyWells Drilling Comp'!F:F,E1265)=0,"Missing","Exist")</f>
        <v>Exist</v>
      </c>
    </row>
    <row r="1266" hidden="1" spans="1:24">
      <c r="A1266" s="1" t="s">
        <v>5265</v>
      </c>
      <c r="B1266" s="1" t="s">
        <v>90</v>
      </c>
      <c r="C1266" s="1" t="s">
        <v>7349</v>
      </c>
      <c r="D1266" s="1" t="s">
        <v>7350</v>
      </c>
      <c r="E1266" s="2" t="s">
        <v>533</v>
      </c>
      <c r="F1266" s="2" t="s">
        <v>7351</v>
      </c>
      <c r="G1266" s="1">
        <v>1</v>
      </c>
      <c r="H1266" s="1" t="s">
        <v>1663</v>
      </c>
      <c r="I1266" s="1" t="s">
        <v>1657</v>
      </c>
      <c r="J1266" s="1" t="s">
        <v>1658</v>
      </c>
      <c r="K1266" s="1" t="s">
        <v>1658</v>
      </c>
      <c r="L1266" s="1" t="s">
        <v>1658</v>
      </c>
      <c r="M1266" s="1" t="s">
        <v>1658</v>
      </c>
      <c r="N1266" s="1" t="s">
        <v>1658</v>
      </c>
      <c r="O1266" s="1" t="s">
        <v>1658</v>
      </c>
      <c r="P1266" s="1">
        <v>1</v>
      </c>
      <c r="Q1266" s="1" t="s">
        <v>1658</v>
      </c>
      <c r="R1266" s="1">
        <v>0</v>
      </c>
      <c r="S1266" s="1" t="s">
        <v>7352</v>
      </c>
      <c r="T1266" s="6"/>
      <c r="U1266" s="1" t="str">
        <f t="shared" si="19"/>
        <v>No</v>
      </c>
      <c r="W1266" s="1" t="s">
        <v>7353</v>
      </c>
      <c r="X1266" s="1" t="str">
        <f>IF(COUNTIF('MyWells Drilling Comp'!F:F,E1266)=0,"Missing","Exist")</f>
        <v>Exist</v>
      </c>
    </row>
    <row r="1267" hidden="1" spans="1:24">
      <c r="A1267" s="1" t="s">
        <v>5265</v>
      </c>
      <c r="B1267" s="1" t="s">
        <v>90</v>
      </c>
      <c r="C1267" s="1" t="s">
        <v>7354</v>
      </c>
      <c r="D1267" s="1" t="s">
        <v>7350</v>
      </c>
      <c r="E1267" s="2" t="s">
        <v>533</v>
      </c>
      <c r="F1267" s="2" t="s">
        <v>7355</v>
      </c>
      <c r="G1267" s="1">
        <v>1</v>
      </c>
      <c r="H1267" s="1" t="s">
        <v>1656</v>
      </c>
      <c r="I1267" s="1" t="s">
        <v>1657</v>
      </c>
      <c r="J1267" s="1" t="s">
        <v>1658</v>
      </c>
      <c r="K1267" s="1" t="s">
        <v>1658</v>
      </c>
      <c r="L1267" s="1" t="s">
        <v>1658</v>
      </c>
      <c r="M1267" s="1" t="s">
        <v>1658</v>
      </c>
      <c r="N1267" s="1" t="s">
        <v>1658</v>
      </c>
      <c r="O1267" s="1" t="s">
        <v>1658</v>
      </c>
      <c r="P1267" s="1">
        <v>1</v>
      </c>
      <c r="Q1267" s="1" t="s">
        <v>1658</v>
      </c>
      <c r="R1267" s="1">
        <v>0</v>
      </c>
      <c r="S1267" s="1" t="s">
        <v>7356</v>
      </c>
      <c r="T1267" s="6" t="s">
        <v>7356</v>
      </c>
      <c r="U1267" s="1" t="str">
        <f t="shared" si="19"/>
        <v>Yes</v>
      </c>
      <c r="W1267" s="1" t="s">
        <v>7357</v>
      </c>
      <c r="X1267" s="1" t="str">
        <f>IF(COUNTIF('MyWells Drilling Comp'!F:F,E1267)=0,"Missing","Exist")</f>
        <v>Exist</v>
      </c>
    </row>
    <row r="1268" hidden="1" spans="1:24">
      <c r="A1268" s="1" t="s">
        <v>5265</v>
      </c>
      <c r="B1268" s="1" t="s">
        <v>90</v>
      </c>
      <c r="C1268" s="1" t="s">
        <v>7358</v>
      </c>
      <c r="D1268" s="1" t="s">
        <v>7359</v>
      </c>
      <c r="E1268" s="2" t="s">
        <v>1324</v>
      </c>
      <c r="F1268" s="2" t="s">
        <v>7360</v>
      </c>
      <c r="G1268" s="1">
        <v>1</v>
      </c>
      <c r="H1268" s="1" t="s">
        <v>1663</v>
      </c>
      <c r="I1268" s="1" t="s">
        <v>1657</v>
      </c>
      <c r="J1268" s="1" t="s">
        <v>1658</v>
      </c>
      <c r="K1268" s="1" t="s">
        <v>1658</v>
      </c>
      <c r="L1268" s="1" t="s">
        <v>1658</v>
      </c>
      <c r="M1268" s="1" t="s">
        <v>1658</v>
      </c>
      <c r="N1268" s="1" t="s">
        <v>1658</v>
      </c>
      <c r="O1268" s="1" t="s">
        <v>1658</v>
      </c>
      <c r="P1268" s="1">
        <v>1</v>
      </c>
      <c r="Q1268" s="1" t="s">
        <v>1658</v>
      </c>
      <c r="R1268" s="1">
        <v>0</v>
      </c>
      <c r="S1268" s="1" t="s">
        <v>7361</v>
      </c>
      <c r="T1268" s="6" t="s">
        <v>7361</v>
      </c>
      <c r="U1268" s="1" t="str">
        <f t="shared" si="19"/>
        <v>Yes</v>
      </c>
      <c r="W1268" s="1" t="s">
        <v>7362</v>
      </c>
      <c r="X1268" s="1" t="str">
        <f>IF(COUNTIF('MyWells Drilling Comp'!F:F,E1268)=0,"Missing","Exist")</f>
        <v>Exist</v>
      </c>
    </row>
    <row r="1269" hidden="1" spans="1:24">
      <c r="A1269" s="1" t="s">
        <v>5265</v>
      </c>
      <c r="B1269" s="1" t="s">
        <v>90</v>
      </c>
      <c r="C1269" s="1" t="s">
        <v>7363</v>
      </c>
      <c r="D1269" s="1" t="s">
        <v>7359</v>
      </c>
      <c r="E1269" s="2" t="s">
        <v>1324</v>
      </c>
      <c r="F1269" s="2" t="s">
        <v>7364</v>
      </c>
      <c r="G1269" s="1">
        <v>1</v>
      </c>
      <c r="H1269" s="1" t="s">
        <v>1656</v>
      </c>
      <c r="I1269" s="1" t="s">
        <v>1657</v>
      </c>
      <c r="J1269" s="1" t="s">
        <v>1658</v>
      </c>
      <c r="K1269" s="1" t="s">
        <v>1658</v>
      </c>
      <c r="L1269" s="1" t="s">
        <v>1658</v>
      </c>
      <c r="M1269" s="1" t="s">
        <v>1658</v>
      </c>
      <c r="N1269" s="1" t="s">
        <v>1658</v>
      </c>
      <c r="O1269" s="1" t="s">
        <v>1658</v>
      </c>
      <c r="P1269" s="1">
        <v>1</v>
      </c>
      <c r="Q1269" s="1" t="s">
        <v>1658</v>
      </c>
      <c r="R1269" s="1">
        <v>0</v>
      </c>
      <c r="S1269" s="1" t="s">
        <v>7365</v>
      </c>
      <c r="T1269" s="6" t="s">
        <v>7365</v>
      </c>
      <c r="U1269" s="1" t="str">
        <f t="shared" si="19"/>
        <v>Yes</v>
      </c>
      <c r="W1269" s="1" t="s">
        <v>7366</v>
      </c>
      <c r="X1269" s="1" t="str">
        <f>IF(COUNTIF('MyWells Drilling Comp'!F:F,E1269)=0,"Missing","Exist")</f>
        <v>Exist</v>
      </c>
    </row>
    <row r="1270" hidden="1" spans="1:24">
      <c r="A1270" s="1" t="s">
        <v>5265</v>
      </c>
      <c r="B1270" s="1" t="s">
        <v>90</v>
      </c>
      <c r="C1270" s="1" t="s">
        <v>7367</v>
      </c>
      <c r="D1270" s="1" t="s">
        <v>7368</v>
      </c>
      <c r="E1270" s="2" t="s">
        <v>1463</v>
      </c>
      <c r="F1270" s="2" t="s">
        <v>7369</v>
      </c>
      <c r="G1270" s="1">
        <v>1</v>
      </c>
      <c r="H1270" s="1" t="s">
        <v>1656</v>
      </c>
      <c r="I1270" s="1" t="s">
        <v>1657</v>
      </c>
      <c r="J1270" s="1" t="s">
        <v>1658</v>
      </c>
      <c r="K1270" s="1" t="s">
        <v>1658</v>
      </c>
      <c r="L1270" s="1" t="s">
        <v>1658</v>
      </c>
      <c r="M1270" s="1" t="s">
        <v>1658</v>
      </c>
      <c r="N1270" s="1" t="s">
        <v>1658</v>
      </c>
      <c r="O1270" s="1" t="s">
        <v>1658</v>
      </c>
      <c r="P1270" s="1">
        <v>1</v>
      </c>
      <c r="Q1270" s="1" t="s">
        <v>1658</v>
      </c>
      <c r="R1270" s="1">
        <v>0</v>
      </c>
      <c r="S1270" s="1" t="s">
        <v>7370</v>
      </c>
      <c r="T1270" s="6"/>
      <c r="U1270" s="1" t="str">
        <f t="shared" si="19"/>
        <v>No</v>
      </c>
      <c r="W1270" s="1" t="s">
        <v>7371</v>
      </c>
      <c r="X1270" s="1" t="str">
        <f>IF(COUNTIF('MyWells Drilling Comp'!F:F,E1270)=0,"Missing","Exist")</f>
        <v>Exist</v>
      </c>
    </row>
    <row r="1271" hidden="1" spans="1:24">
      <c r="A1271" s="1" t="s">
        <v>5265</v>
      </c>
      <c r="B1271" s="1" t="s">
        <v>90</v>
      </c>
      <c r="C1271" s="1" t="s">
        <v>7372</v>
      </c>
      <c r="D1271" s="1" t="s">
        <v>7368</v>
      </c>
      <c r="E1271" s="2" t="s">
        <v>1463</v>
      </c>
      <c r="F1271" s="2" t="s">
        <v>7373</v>
      </c>
      <c r="G1271" s="1">
        <v>1</v>
      </c>
      <c r="H1271" s="1" t="s">
        <v>1663</v>
      </c>
      <c r="I1271" s="1" t="s">
        <v>1657</v>
      </c>
      <c r="J1271" s="1" t="s">
        <v>1658</v>
      </c>
      <c r="K1271" s="1" t="s">
        <v>1658</v>
      </c>
      <c r="L1271" s="1" t="s">
        <v>1658</v>
      </c>
      <c r="M1271" s="1" t="s">
        <v>1658</v>
      </c>
      <c r="N1271" s="1" t="s">
        <v>1658</v>
      </c>
      <c r="O1271" s="1" t="s">
        <v>1658</v>
      </c>
      <c r="P1271" s="1">
        <v>1</v>
      </c>
      <c r="Q1271" s="1" t="s">
        <v>1658</v>
      </c>
      <c r="R1271" s="1">
        <v>0</v>
      </c>
      <c r="S1271" s="1" t="s">
        <v>7374</v>
      </c>
      <c r="T1271" s="6"/>
      <c r="U1271" s="1" t="str">
        <f t="shared" si="19"/>
        <v>No</v>
      </c>
      <c r="W1271" s="1" t="s">
        <v>7375</v>
      </c>
      <c r="X1271" s="1" t="str">
        <f>IF(COUNTIF('MyWells Drilling Comp'!F:F,E1271)=0,"Missing","Exist")</f>
        <v>Exist</v>
      </c>
    </row>
    <row r="1272" hidden="1" spans="1:24">
      <c r="A1272" s="1" t="s">
        <v>5265</v>
      </c>
      <c r="B1272" s="1" t="s">
        <v>90</v>
      </c>
      <c r="C1272" s="1" t="s">
        <v>7376</v>
      </c>
      <c r="D1272" s="1" t="s">
        <v>7377</v>
      </c>
      <c r="E1272" s="2" t="s">
        <v>1465</v>
      </c>
      <c r="F1272" s="2" t="s">
        <v>7378</v>
      </c>
      <c r="G1272" s="1">
        <v>1</v>
      </c>
      <c r="H1272" s="1" t="s">
        <v>1656</v>
      </c>
      <c r="I1272" s="1" t="s">
        <v>1657</v>
      </c>
      <c r="J1272" s="1" t="s">
        <v>1658</v>
      </c>
      <c r="K1272" s="1" t="s">
        <v>1658</v>
      </c>
      <c r="L1272" s="1" t="s">
        <v>1658</v>
      </c>
      <c r="M1272" s="1" t="s">
        <v>1658</v>
      </c>
      <c r="N1272" s="1" t="s">
        <v>1658</v>
      </c>
      <c r="O1272" s="1" t="s">
        <v>1658</v>
      </c>
      <c r="P1272" s="1">
        <v>1</v>
      </c>
      <c r="Q1272" s="1" t="s">
        <v>1658</v>
      </c>
      <c r="R1272" s="1">
        <v>0</v>
      </c>
      <c r="S1272" s="1" t="s">
        <v>7379</v>
      </c>
      <c r="T1272" s="6"/>
      <c r="U1272" s="1" t="str">
        <f t="shared" si="19"/>
        <v>No</v>
      </c>
      <c r="W1272" s="1" t="s">
        <v>7380</v>
      </c>
      <c r="X1272" s="1" t="str">
        <f>IF(COUNTIF('MyWells Drilling Comp'!F:F,E1272)=0,"Missing","Exist")</f>
        <v>Exist</v>
      </c>
    </row>
    <row r="1273" hidden="1" spans="1:24">
      <c r="A1273" s="1" t="s">
        <v>5265</v>
      </c>
      <c r="B1273" s="1" t="s">
        <v>90</v>
      </c>
      <c r="C1273" s="1" t="s">
        <v>7381</v>
      </c>
      <c r="D1273" s="1" t="s">
        <v>7377</v>
      </c>
      <c r="E1273" s="2" t="s">
        <v>1465</v>
      </c>
      <c r="F1273" s="2" t="s">
        <v>7382</v>
      </c>
      <c r="G1273" s="1">
        <v>1</v>
      </c>
      <c r="H1273" s="1" t="s">
        <v>1663</v>
      </c>
      <c r="I1273" s="1" t="s">
        <v>1657</v>
      </c>
      <c r="J1273" s="1" t="s">
        <v>1658</v>
      </c>
      <c r="K1273" s="1" t="s">
        <v>1658</v>
      </c>
      <c r="L1273" s="1" t="s">
        <v>1658</v>
      </c>
      <c r="M1273" s="1" t="s">
        <v>1658</v>
      </c>
      <c r="N1273" s="1" t="s">
        <v>1658</v>
      </c>
      <c r="O1273" s="1" t="s">
        <v>1658</v>
      </c>
      <c r="P1273" s="1">
        <v>1</v>
      </c>
      <c r="Q1273" s="1" t="s">
        <v>1658</v>
      </c>
      <c r="R1273" s="1">
        <v>0</v>
      </c>
      <c r="S1273" s="1" t="s">
        <v>7383</v>
      </c>
      <c r="T1273" s="6"/>
      <c r="U1273" s="1" t="str">
        <f t="shared" si="19"/>
        <v>No</v>
      </c>
      <c r="W1273" s="1" t="s">
        <v>7384</v>
      </c>
      <c r="X1273" s="1" t="str">
        <f>IF(COUNTIF('MyWells Drilling Comp'!F:F,E1273)=0,"Missing","Exist")</f>
        <v>Exist</v>
      </c>
    </row>
    <row r="1274" hidden="1" spans="1:24">
      <c r="A1274" s="1" t="s">
        <v>5265</v>
      </c>
      <c r="B1274" s="1" t="s">
        <v>90</v>
      </c>
      <c r="C1274" s="1" t="s">
        <v>7385</v>
      </c>
      <c r="D1274" s="1" t="s">
        <v>7386</v>
      </c>
      <c r="E1274" s="2" t="s">
        <v>546</v>
      </c>
      <c r="F1274" s="2" t="s">
        <v>7387</v>
      </c>
      <c r="G1274" s="1">
        <v>1</v>
      </c>
      <c r="H1274" s="1" t="s">
        <v>1656</v>
      </c>
      <c r="I1274" s="1" t="s">
        <v>1657</v>
      </c>
      <c r="J1274" s="1" t="s">
        <v>1658</v>
      </c>
      <c r="K1274" s="1" t="s">
        <v>1658</v>
      </c>
      <c r="L1274" s="1" t="s">
        <v>1658</v>
      </c>
      <c r="M1274" s="1" t="s">
        <v>1658</v>
      </c>
      <c r="N1274" s="1" t="s">
        <v>1658</v>
      </c>
      <c r="O1274" s="1" t="s">
        <v>1658</v>
      </c>
      <c r="P1274" s="1">
        <v>1</v>
      </c>
      <c r="Q1274" s="1" t="s">
        <v>1658</v>
      </c>
      <c r="R1274" s="1">
        <v>0</v>
      </c>
      <c r="S1274" s="1" t="s">
        <v>7388</v>
      </c>
      <c r="T1274" s="6" t="s">
        <v>7388</v>
      </c>
      <c r="U1274" s="1" t="str">
        <f t="shared" si="19"/>
        <v>Yes</v>
      </c>
      <c r="W1274" s="1" t="s">
        <v>7389</v>
      </c>
      <c r="X1274" s="1" t="str">
        <f>IF(COUNTIF('MyWells Drilling Comp'!F:F,E1274)=0,"Missing","Exist")</f>
        <v>Exist</v>
      </c>
    </row>
    <row r="1275" hidden="1" spans="1:24">
      <c r="A1275" s="1" t="s">
        <v>5265</v>
      </c>
      <c r="B1275" s="1" t="s">
        <v>90</v>
      </c>
      <c r="C1275" s="1" t="s">
        <v>7390</v>
      </c>
      <c r="D1275" s="1" t="s">
        <v>7386</v>
      </c>
      <c r="E1275" s="2" t="s">
        <v>546</v>
      </c>
      <c r="F1275" s="2" t="s">
        <v>7391</v>
      </c>
      <c r="G1275" s="1">
        <v>1</v>
      </c>
      <c r="H1275" s="1" t="s">
        <v>1663</v>
      </c>
      <c r="I1275" s="1" t="s">
        <v>1657</v>
      </c>
      <c r="J1275" s="1" t="s">
        <v>1658</v>
      </c>
      <c r="K1275" s="1" t="s">
        <v>1658</v>
      </c>
      <c r="L1275" s="1" t="s">
        <v>1658</v>
      </c>
      <c r="M1275" s="1" t="s">
        <v>1658</v>
      </c>
      <c r="N1275" s="1" t="s">
        <v>1658</v>
      </c>
      <c r="O1275" s="1" t="s">
        <v>1658</v>
      </c>
      <c r="P1275" s="1">
        <v>1</v>
      </c>
      <c r="Q1275" s="1" t="s">
        <v>1658</v>
      </c>
      <c r="R1275" s="1">
        <v>0</v>
      </c>
      <c r="S1275" s="1" t="s">
        <v>7392</v>
      </c>
      <c r="T1275" s="6" t="s">
        <v>7392</v>
      </c>
      <c r="U1275" s="1" t="str">
        <f t="shared" si="19"/>
        <v>Yes</v>
      </c>
      <c r="W1275" s="1" t="s">
        <v>7393</v>
      </c>
      <c r="X1275" s="1" t="str">
        <f>IF(COUNTIF('MyWells Drilling Comp'!F:F,E1275)=0,"Missing","Exist")</f>
        <v>Exist</v>
      </c>
    </row>
    <row r="1276" hidden="1" spans="1:24">
      <c r="A1276" s="1" t="s">
        <v>5265</v>
      </c>
      <c r="B1276" s="1" t="s">
        <v>90</v>
      </c>
      <c r="C1276" s="1" t="s">
        <v>7394</v>
      </c>
      <c r="D1276" s="1" t="s">
        <v>7395</v>
      </c>
      <c r="E1276" s="2" t="s">
        <v>1303</v>
      </c>
      <c r="F1276" s="2" t="s">
        <v>7396</v>
      </c>
      <c r="G1276" s="1">
        <v>1</v>
      </c>
      <c r="H1276" s="1" t="s">
        <v>1656</v>
      </c>
      <c r="I1276" s="1" t="s">
        <v>1657</v>
      </c>
      <c r="J1276" s="1" t="s">
        <v>1658</v>
      </c>
      <c r="K1276" s="1" t="s">
        <v>1658</v>
      </c>
      <c r="L1276" s="1" t="s">
        <v>1658</v>
      </c>
      <c r="M1276" s="1" t="s">
        <v>1658</v>
      </c>
      <c r="N1276" s="1" t="s">
        <v>1658</v>
      </c>
      <c r="O1276" s="1" t="s">
        <v>1658</v>
      </c>
      <c r="P1276" s="1">
        <v>1</v>
      </c>
      <c r="Q1276" s="1" t="s">
        <v>1658</v>
      </c>
      <c r="R1276" s="1">
        <v>0</v>
      </c>
      <c r="S1276" s="1" t="s">
        <v>7397</v>
      </c>
      <c r="T1276" s="6" t="s">
        <v>7397</v>
      </c>
      <c r="U1276" s="1" t="str">
        <f t="shared" si="19"/>
        <v>Yes</v>
      </c>
      <c r="W1276" s="1" t="s">
        <v>7398</v>
      </c>
      <c r="X1276" s="1" t="str">
        <f>IF(COUNTIF('MyWells Drilling Comp'!F:F,E1276)=0,"Missing","Exist")</f>
        <v>Exist</v>
      </c>
    </row>
    <row r="1277" hidden="1" spans="1:24">
      <c r="A1277" s="1" t="s">
        <v>5265</v>
      </c>
      <c r="B1277" s="1" t="s">
        <v>90</v>
      </c>
      <c r="C1277" s="1" t="s">
        <v>7399</v>
      </c>
      <c r="D1277" s="1" t="s">
        <v>7395</v>
      </c>
      <c r="E1277" s="2" t="s">
        <v>1303</v>
      </c>
      <c r="F1277" s="2" t="s">
        <v>7400</v>
      </c>
      <c r="G1277" s="1">
        <v>1</v>
      </c>
      <c r="H1277" s="1" t="s">
        <v>1663</v>
      </c>
      <c r="I1277" s="1" t="s">
        <v>1657</v>
      </c>
      <c r="J1277" s="1" t="s">
        <v>1658</v>
      </c>
      <c r="K1277" s="1" t="s">
        <v>1658</v>
      </c>
      <c r="L1277" s="1" t="s">
        <v>1658</v>
      </c>
      <c r="M1277" s="1" t="s">
        <v>1658</v>
      </c>
      <c r="N1277" s="1" t="s">
        <v>1658</v>
      </c>
      <c r="O1277" s="1" t="s">
        <v>1658</v>
      </c>
      <c r="P1277" s="1">
        <v>1</v>
      </c>
      <c r="Q1277" s="1" t="s">
        <v>1658</v>
      </c>
      <c r="R1277" s="1">
        <v>0</v>
      </c>
      <c r="S1277" s="1" t="s">
        <v>7401</v>
      </c>
      <c r="T1277" s="6" t="s">
        <v>7401</v>
      </c>
      <c r="U1277" s="1" t="str">
        <f t="shared" si="19"/>
        <v>Yes</v>
      </c>
      <c r="W1277" s="1" t="s">
        <v>7402</v>
      </c>
      <c r="X1277" s="1" t="str">
        <f>IF(COUNTIF('MyWells Drilling Comp'!F:F,E1277)=0,"Missing","Exist")</f>
        <v>Exist</v>
      </c>
    </row>
    <row r="1278" hidden="1" spans="1:24">
      <c r="A1278" s="1" t="s">
        <v>5265</v>
      </c>
      <c r="B1278" s="1" t="s">
        <v>90</v>
      </c>
      <c r="C1278" s="1" t="s">
        <v>7403</v>
      </c>
      <c r="D1278" s="1" t="s">
        <v>7404</v>
      </c>
      <c r="E1278" s="2" t="s">
        <v>771</v>
      </c>
      <c r="F1278" s="2" t="s">
        <v>7405</v>
      </c>
      <c r="G1278" s="1">
        <v>1</v>
      </c>
      <c r="H1278" s="1" t="s">
        <v>1656</v>
      </c>
      <c r="I1278" s="1" t="s">
        <v>1657</v>
      </c>
      <c r="J1278" s="1" t="s">
        <v>1658</v>
      </c>
      <c r="K1278" s="1" t="s">
        <v>1658</v>
      </c>
      <c r="L1278" s="1" t="s">
        <v>1658</v>
      </c>
      <c r="M1278" s="1" t="s">
        <v>1658</v>
      </c>
      <c r="N1278" s="1" t="s">
        <v>1658</v>
      </c>
      <c r="O1278" s="1" t="s">
        <v>1658</v>
      </c>
      <c r="P1278" s="1">
        <v>1</v>
      </c>
      <c r="Q1278" s="1" t="s">
        <v>1658</v>
      </c>
      <c r="R1278" s="1">
        <v>0</v>
      </c>
      <c r="S1278" s="1" t="s">
        <v>7406</v>
      </c>
      <c r="T1278" s="6" t="s">
        <v>7406</v>
      </c>
      <c r="U1278" s="1" t="str">
        <f t="shared" si="19"/>
        <v>Yes</v>
      </c>
      <c r="W1278" s="1" t="s">
        <v>7407</v>
      </c>
      <c r="X1278" s="1" t="str">
        <f>IF(COUNTIF('MyWells Drilling Comp'!F:F,E1278)=0,"Missing","Exist")</f>
        <v>Exist</v>
      </c>
    </row>
    <row r="1279" hidden="1" spans="1:24">
      <c r="A1279" s="1" t="s">
        <v>5265</v>
      </c>
      <c r="B1279" s="1" t="s">
        <v>90</v>
      </c>
      <c r="C1279" s="1" t="s">
        <v>7408</v>
      </c>
      <c r="D1279" s="1" t="s">
        <v>7404</v>
      </c>
      <c r="E1279" s="2" t="s">
        <v>771</v>
      </c>
      <c r="F1279" s="2" t="s">
        <v>7409</v>
      </c>
      <c r="G1279" s="1">
        <v>1</v>
      </c>
      <c r="H1279" s="1" t="s">
        <v>1663</v>
      </c>
      <c r="I1279" s="1" t="s">
        <v>1657</v>
      </c>
      <c r="J1279" s="1" t="s">
        <v>1658</v>
      </c>
      <c r="K1279" s="1" t="s">
        <v>1658</v>
      </c>
      <c r="L1279" s="1" t="s">
        <v>1658</v>
      </c>
      <c r="M1279" s="1" t="s">
        <v>1658</v>
      </c>
      <c r="N1279" s="1" t="s">
        <v>1658</v>
      </c>
      <c r="O1279" s="1" t="s">
        <v>1658</v>
      </c>
      <c r="P1279" s="1">
        <v>1</v>
      </c>
      <c r="Q1279" s="1" t="s">
        <v>1658</v>
      </c>
      <c r="R1279" s="1">
        <v>0</v>
      </c>
      <c r="S1279" s="1" t="s">
        <v>7410</v>
      </c>
      <c r="T1279" s="6" t="s">
        <v>7410</v>
      </c>
      <c r="U1279" s="1" t="str">
        <f t="shared" si="19"/>
        <v>Yes</v>
      </c>
      <c r="W1279" s="1" t="s">
        <v>7411</v>
      </c>
      <c r="X1279" s="1" t="str">
        <f>IF(COUNTIF('MyWells Drilling Comp'!F:F,E1279)=0,"Missing","Exist")</f>
        <v>Exist</v>
      </c>
    </row>
    <row r="1280" hidden="1" spans="1:24">
      <c r="A1280" s="1" t="s">
        <v>5265</v>
      </c>
      <c r="B1280" s="1" t="s">
        <v>90</v>
      </c>
      <c r="C1280" s="1" t="s">
        <v>7412</v>
      </c>
      <c r="D1280" s="1" t="s">
        <v>7413</v>
      </c>
      <c r="E1280" s="2" t="s">
        <v>738</v>
      </c>
      <c r="F1280" s="2" t="s">
        <v>7414</v>
      </c>
      <c r="G1280" s="1">
        <v>1</v>
      </c>
      <c r="H1280" s="1" t="s">
        <v>1663</v>
      </c>
      <c r="I1280" s="1" t="s">
        <v>1657</v>
      </c>
      <c r="J1280" s="1" t="s">
        <v>1658</v>
      </c>
      <c r="K1280" s="1" t="s">
        <v>1658</v>
      </c>
      <c r="L1280" s="1" t="s">
        <v>1658</v>
      </c>
      <c r="M1280" s="1" t="s">
        <v>1658</v>
      </c>
      <c r="N1280" s="1" t="s">
        <v>1658</v>
      </c>
      <c r="O1280" s="1" t="s">
        <v>1658</v>
      </c>
      <c r="P1280" s="1">
        <v>1</v>
      </c>
      <c r="Q1280" s="1" t="s">
        <v>1658</v>
      </c>
      <c r="R1280" s="1">
        <v>0</v>
      </c>
      <c r="S1280" s="1" t="s">
        <v>7415</v>
      </c>
      <c r="T1280" s="6" t="s">
        <v>7415</v>
      </c>
      <c r="U1280" s="1" t="str">
        <f t="shared" si="19"/>
        <v>Yes</v>
      </c>
      <c r="W1280" s="1" t="s">
        <v>7416</v>
      </c>
      <c r="X1280" s="1" t="str">
        <f>IF(COUNTIF('MyWells Drilling Comp'!F:F,E1280)=0,"Missing","Exist")</f>
        <v>Exist</v>
      </c>
    </row>
    <row r="1281" hidden="1" spans="1:24">
      <c r="A1281" s="1" t="s">
        <v>5265</v>
      </c>
      <c r="B1281" s="1" t="s">
        <v>90</v>
      </c>
      <c r="C1281" s="1" t="s">
        <v>7417</v>
      </c>
      <c r="D1281" s="1" t="s">
        <v>7413</v>
      </c>
      <c r="E1281" s="2" t="s">
        <v>738</v>
      </c>
      <c r="F1281" s="2" t="s">
        <v>7418</v>
      </c>
      <c r="G1281" s="1">
        <v>1</v>
      </c>
      <c r="H1281" s="1" t="s">
        <v>1656</v>
      </c>
      <c r="I1281" s="1" t="s">
        <v>1657</v>
      </c>
      <c r="J1281" s="1" t="s">
        <v>1658</v>
      </c>
      <c r="K1281" s="1" t="s">
        <v>1658</v>
      </c>
      <c r="L1281" s="1" t="s">
        <v>1658</v>
      </c>
      <c r="M1281" s="1" t="s">
        <v>1658</v>
      </c>
      <c r="N1281" s="1" t="s">
        <v>1658</v>
      </c>
      <c r="O1281" s="1" t="s">
        <v>1658</v>
      </c>
      <c r="P1281" s="1">
        <v>1</v>
      </c>
      <c r="Q1281" s="1" t="s">
        <v>1658</v>
      </c>
      <c r="R1281" s="1">
        <v>0</v>
      </c>
      <c r="S1281" s="1" t="s">
        <v>7419</v>
      </c>
      <c r="T1281" s="6" t="s">
        <v>7419</v>
      </c>
      <c r="U1281" s="1" t="str">
        <f t="shared" si="19"/>
        <v>Yes</v>
      </c>
      <c r="W1281" s="1" t="s">
        <v>7420</v>
      </c>
      <c r="X1281" s="1" t="str">
        <f>IF(COUNTIF('MyWells Drilling Comp'!F:F,E1281)=0,"Missing","Exist")</f>
        <v>Exist</v>
      </c>
    </row>
    <row r="1282" hidden="1" spans="1:24">
      <c r="A1282" s="1" t="s">
        <v>5265</v>
      </c>
      <c r="B1282" s="1" t="s">
        <v>90</v>
      </c>
      <c r="C1282" s="1" t="s">
        <v>7421</v>
      </c>
      <c r="D1282" s="1" t="s">
        <v>7422</v>
      </c>
      <c r="E1282" s="2" t="s">
        <v>1622</v>
      </c>
      <c r="F1282" s="2" t="s">
        <v>7423</v>
      </c>
      <c r="G1282" s="1">
        <v>1</v>
      </c>
      <c r="H1282" s="1" t="s">
        <v>1656</v>
      </c>
      <c r="I1282" s="1" t="s">
        <v>1657</v>
      </c>
      <c r="J1282" s="1" t="s">
        <v>1658</v>
      </c>
      <c r="K1282" s="1" t="s">
        <v>1658</v>
      </c>
      <c r="L1282" s="1" t="s">
        <v>1658</v>
      </c>
      <c r="M1282" s="1" t="s">
        <v>1658</v>
      </c>
      <c r="N1282" s="1" t="s">
        <v>1658</v>
      </c>
      <c r="O1282" s="1" t="s">
        <v>1658</v>
      </c>
      <c r="P1282" s="1">
        <v>1</v>
      </c>
      <c r="Q1282" s="1" t="s">
        <v>1658</v>
      </c>
      <c r="R1282" s="1">
        <v>0</v>
      </c>
      <c r="S1282" s="1" t="s">
        <v>7424</v>
      </c>
      <c r="T1282" s="6" t="s">
        <v>7424</v>
      </c>
      <c r="U1282" s="1" t="str">
        <f t="shared" ref="U1282:U1345" si="20">IF(S1282=T1282,"Yes","No")</f>
        <v>Yes</v>
      </c>
      <c r="W1282" s="1" t="s">
        <v>7425</v>
      </c>
      <c r="X1282" s="1" t="str">
        <f>IF(COUNTIF('MyWells Drilling Comp'!F:F,E1282)=0,"Missing","Exist")</f>
        <v>Exist</v>
      </c>
    </row>
    <row r="1283" hidden="1" spans="1:24">
      <c r="A1283" s="1" t="s">
        <v>5265</v>
      </c>
      <c r="B1283" s="1" t="s">
        <v>90</v>
      </c>
      <c r="C1283" s="1" t="s">
        <v>7426</v>
      </c>
      <c r="D1283" s="1" t="s">
        <v>7422</v>
      </c>
      <c r="E1283" s="2" t="s">
        <v>1622</v>
      </c>
      <c r="F1283" s="2" t="s">
        <v>7427</v>
      </c>
      <c r="G1283" s="1">
        <v>1</v>
      </c>
      <c r="H1283" s="1" t="s">
        <v>1663</v>
      </c>
      <c r="I1283" s="1" t="s">
        <v>1657</v>
      </c>
      <c r="J1283" s="1" t="s">
        <v>1658</v>
      </c>
      <c r="K1283" s="1" t="s">
        <v>1658</v>
      </c>
      <c r="L1283" s="1" t="s">
        <v>1658</v>
      </c>
      <c r="M1283" s="1" t="s">
        <v>1658</v>
      </c>
      <c r="N1283" s="1" t="s">
        <v>1658</v>
      </c>
      <c r="O1283" s="1" t="s">
        <v>1658</v>
      </c>
      <c r="P1283" s="1">
        <v>1</v>
      </c>
      <c r="Q1283" s="1" t="s">
        <v>1658</v>
      </c>
      <c r="R1283" s="1">
        <v>0</v>
      </c>
      <c r="S1283" s="1" t="s">
        <v>7428</v>
      </c>
      <c r="T1283" s="6" t="s">
        <v>7429</v>
      </c>
      <c r="U1283" s="1" t="str">
        <f t="shared" si="20"/>
        <v>No</v>
      </c>
      <c r="W1283" s="1" t="s">
        <v>7430</v>
      </c>
      <c r="X1283" s="1" t="str">
        <f>IF(COUNTIF('MyWells Drilling Comp'!F:F,E1283)=0,"Missing","Exist")</f>
        <v>Exist</v>
      </c>
    </row>
    <row r="1284" hidden="1" spans="1:24">
      <c r="A1284" s="1" t="s">
        <v>5265</v>
      </c>
      <c r="B1284" s="1" t="s">
        <v>90</v>
      </c>
      <c r="C1284" s="1" t="s">
        <v>7431</v>
      </c>
      <c r="D1284" s="1" t="s">
        <v>7432</v>
      </c>
      <c r="E1284" s="2" t="s">
        <v>1599</v>
      </c>
      <c r="F1284" s="2" t="s">
        <v>7433</v>
      </c>
      <c r="G1284" s="1">
        <v>1</v>
      </c>
      <c r="H1284" s="1" t="s">
        <v>1656</v>
      </c>
      <c r="I1284" s="1" t="s">
        <v>1657</v>
      </c>
      <c r="J1284" s="1" t="s">
        <v>1658</v>
      </c>
      <c r="K1284" s="1" t="s">
        <v>1658</v>
      </c>
      <c r="L1284" s="1" t="s">
        <v>1658</v>
      </c>
      <c r="M1284" s="1" t="s">
        <v>1658</v>
      </c>
      <c r="N1284" s="1" t="s">
        <v>1658</v>
      </c>
      <c r="O1284" s="1" t="s">
        <v>1658</v>
      </c>
      <c r="P1284" s="1">
        <v>1</v>
      </c>
      <c r="Q1284" s="1" t="s">
        <v>1658</v>
      </c>
      <c r="R1284" s="1">
        <v>0</v>
      </c>
      <c r="S1284" s="1" t="s">
        <v>7434</v>
      </c>
      <c r="T1284" s="6" t="s">
        <v>7434</v>
      </c>
      <c r="U1284" s="1" t="str">
        <f t="shared" si="20"/>
        <v>Yes</v>
      </c>
      <c r="W1284" s="1" t="s">
        <v>7435</v>
      </c>
      <c r="X1284" s="1" t="str">
        <f>IF(COUNTIF('MyWells Drilling Comp'!F:F,E1284)=0,"Missing","Exist")</f>
        <v>Exist</v>
      </c>
    </row>
    <row r="1285" hidden="1" spans="1:24">
      <c r="A1285" s="1" t="s">
        <v>5265</v>
      </c>
      <c r="B1285" s="1" t="s">
        <v>90</v>
      </c>
      <c r="C1285" s="1" t="s">
        <v>7436</v>
      </c>
      <c r="D1285" s="1" t="s">
        <v>7432</v>
      </c>
      <c r="E1285" s="2" t="s">
        <v>1599</v>
      </c>
      <c r="F1285" s="2" t="s">
        <v>7437</v>
      </c>
      <c r="G1285" s="1">
        <v>1</v>
      </c>
      <c r="H1285" s="1" t="s">
        <v>1663</v>
      </c>
      <c r="I1285" s="1" t="s">
        <v>1657</v>
      </c>
      <c r="J1285" s="1" t="s">
        <v>1658</v>
      </c>
      <c r="K1285" s="1" t="s">
        <v>1658</v>
      </c>
      <c r="L1285" s="1" t="s">
        <v>1658</v>
      </c>
      <c r="M1285" s="1" t="s">
        <v>1658</v>
      </c>
      <c r="N1285" s="1" t="s">
        <v>1658</v>
      </c>
      <c r="O1285" s="1" t="s">
        <v>1658</v>
      </c>
      <c r="P1285" s="1">
        <v>1</v>
      </c>
      <c r="Q1285" s="1" t="s">
        <v>1658</v>
      </c>
      <c r="R1285" s="1">
        <v>0</v>
      </c>
      <c r="S1285" s="1" t="s">
        <v>7438</v>
      </c>
      <c r="T1285" s="6" t="s">
        <v>7438</v>
      </c>
      <c r="U1285" s="1" t="str">
        <f t="shared" si="20"/>
        <v>Yes</v>
      </c>
      <c r="W1285" s="1" t="s">
        <v>7439</v>
      </c>
      <c r="X1285" s="1" t="str">
        <f>IF(COUNTIF('MyWells Drilling Comp'!F:F,E1285)=0,"Missing","Exist")</f>
        <v>Exist</v>
      </c>
    </row>
    <row r="1286" hidden="1" spans="1:24">
      <c r="A1286" s="1" t="s">
        <v>5265</v>
      </c>
      <c r="B1286" s="1" t="s">
        <v>90</v>
      </c>
      <c r="C1286" s="1" t="s">
        <v>7440</v>
      </c>
      <c r="D1286" s="1" t="s">
        <v>7441</v>
      </c>
      <c r="E1286" s="2" t="s">
        <v>1612</v>
      </c>
      <c r="F1286" s="2" t="s">
        <v>7442</v>
      </c>
      <c r="G1286" s="1">
        <v>1</v>
      </c>
      <c r="H1286" s="1" t="s">
        <v>1663</v>
      </c>
      <c r="I1286" s="1" t="s">
        <v>1657</v>
      </c>
      <c r="J1286" s="1" t="s">
        <v>1658</v>
      </c>
      <c r="K1286" s="1" t="s">
        <v>1658</v>
      </c>
      <c r="L1286" s="1" t="s">
        <v>1658</v>
      </c>
      <c r="M1286" s="1" t="s">
        <v>1658</v>
      </c>
      <c r="N1286" s="1" t="s">
        <v>1658</v>
      </c>
      <c r="O1286" s="1" t="s">
        <v>1658</v>
      </c>
      <c r="P1286" s="1">
        <v>1</v>
      </c>
      <c r="Q1286" s="1" t="s">
        <v>1658</v>
      </c>
      <c r="R1286" s="1">
        <v>0</v>
      </c>
      <c r="S1286" s="1" t="s">
        <v>7443</v>
      </c>
      <c r="T1286" s="6" t="s">
        <v>7443</v>
      </c>
      <c r="U1286" s="1" t="str">
        <f t="shared" si="20"/>
        <v>Yes</v>
      </c>
      <c r="W1286" s="1" t="s">
        <v>7444</v>
      </c>
      <c r="X1286" s="1" t="str">
        <f>IF(COUNTIF('MyWells Drilling Comp'!F:F,E1286)=0,"Missing","Exist")</f>
        <v>Exist</v>
      </c>
    </row>
    <row r="1287" hidden="1" spans="1:24">
      <c r="A1287" s="1" t="s">
        <v>5265</v>
      </c>
      <c r="B1287" s="1" t="s">
        <v>90</v>
      </c>
      <c r="C1287" s="1" t="s">
        <v>7445</v>
      </c>
      <c r="D1287" s="1" t="s">
        <v>7441</v>
      </c>
      <c r="E1287" s="2" t="s">
        <v>1612</v>
      </c>
      <c r="F1287" s="2" t="s">
        <v>7446</v>
      </c>
      <c r="G1287" s="1">
        <v>1</v>
      </c>
      <c r="H1287" s="1" t="s">
        <v>1656</v>
      </c>
      <c r="I1287" s="1" t="s">
        <v>1657</v>
      </c>
      <c r="J1287" s="1" t="s">
        <v>1658</v>
      </c>
      <c r="K1287" s="1" t="s">
        <v>1658</v>
      </c>
      <c r="L1287" s="1" t="s">
        <v>1658</v>
      </c>
      <c r="M1287" s="1" t="s">
        <v>1658</v>
      </c>
      <c r="N1287" s="1" t="s">
        <v>1658</v>
      </c>
      <c r="O1287" s="1" t="s">
        <v>1658</v>
      </c>
      <c r="P1287" s="1">
        <v>1</v>
      </c>
      <c r="Q1287" s="1" t="s">
        <v>1658</v>
      </c>
      <c r="R1287" s="1">
        <v>0</v>
      </c>
      <c r="S1287" s="1" t="s">
        <v>7447</v>
      </c>
      <c r="T1287" s="6" t="s">
        <v>7448</v>
      </c>
      <c r="U1287" s="1" t="str">
        <f t="shared" si="20"/>
        <v>No</v>
      </c>
      <c r="W1287" s="1" t="s">
        <v>7449</v>
      </c>
      <c r="X1287" s="1" t="str">
        <f>IF(COUNTIF('MyWells Drilling Comp'!F:F,E1287)=0,"Missing","Exist")</f>
        <v>Exist</v>
      </c>
    </row>
    <row r="1288" hidden="1" spans="1:24">
      <c r="A1288" s="1" t="s">
        <v>5265</v>
      </c>
      <c r="B1288" s="1" t="s">
        <v>90</v>
      </c>
      <c r="C1288" s="1" t="s">
        <v>7450</v>
      </c>
      <c r="D1288" s="1" t="s">
        <v>7451</v>
      </c>
      <c r="E1288" s="2" t="s">
        <v>1434</v>
      </c>
      <c r="F1288" s="2" t="s">
        <v>7452</v>
      </c>
      <c r="G1288" s="1">
        <v>1</v>
      </c>
      <c r="H1288" s="1" t="s">
        <v>1656</v>
      </c>
      <c r="I1288" s="1" t="s">
        <v>1657</v>
      </c>
      <c r="J1288" s="1" t="s">
        <v>1658</v>
      </c>
      <c r="K1288" s="1" t="s">
        <v>1658</v>
      </c>
      <c r="L1288" s="1" t="s">
        <v>1658</v>
      </c>
      <c r="M1288" s="1" t="s">
        <v>1658</v>
      </c>
      <c r="N1288" s="1" t="s">
        <v>1658</v>
      </c>
      <c r="O1288" s="1" t="s">
        <v>1658</v>
      </c>
      <c r="P1288" s="1">
        <v>1</v>
      </c>
      <c r="Q1288" s="1" t="s">
        <v>1658</v>
      </c>
      <c r="R1288" s="1">
        <v>0</v>
      </c>
      <c r="S1288" s="1" t="s">
        <v>7453</v>
      </c>
      <c r="T1288" s="6"/>
      <c r="U1288" s="1" t="str">
        <f t="shared" si="20"/>
        <v>No</v>
      </c>
      <c r="W1288" s="1" t="s">
        <v>7454</v>
      </c>
      <c r="X1288" s="1" t="str">
        <f>IF(COUNTIF('MyWells Drilling Comp'!F:F,E1288)=0,"Missing","Exist")</f>
        <v>Exist</v>
      </c>
    </row>
    <row r="1289" hidden="1" spans="1:24">
      <c r="A1289" s="1" t="s">
        <v>5265</v>
      </c>
      <c r="B1289" s="1" t="s">
        <v>90</v>
      </c>
      <c r="C1289" s="1" t="s">
        <v>7455</v>
      </c>
      <c r="D1289" s="1" t="s">
        <v>7451</v>
      </c>
      <c r="E1289" s="2" t="s">
        <v>1434</v>
      </c>
      <c r="F1289" s="2" t="s">
        <v>7456</v>
      </c>
      <c r="G1289" s="1">
        <v>1</v>
      </c>
      <c r="H1289" s="1" t="s">
        <v>1663</v>
      </c>
      <c r="I1289" s="1" t="s">
        <v>1657</v>
      </c>
      <c r="J1289" s="1" t="s">
        <v>1658</v>
      </c>
      <c r="K1289" s="1" t="s">
        <v>1658</v>
      </c>
      <c r="L1289" s="1" t="s">
        <v>1658</v>
      </c>
      <c r="M1289" s="1" t="s">
        <v>1658</v>
      </c>
      <c r="N1289" s="1" t="s">
        <v>1658</v>
      </c>
      <c r="O1289" s="1" t="s">
        <v>1658</v>
      </c>
      <c r="P1289" s="1">
        <v>1</v>
      </c>
      <c r="Q1289" s="1" t="s">
        <v>1658</v>
      </c>
      <c r="R1289" s="1">
        <v>0</v>
      </c>
      <c r="S1289" s="1" t="s">
        <v>7457</v>
      </c>
      <c r="T1289" s="6" t="s">
        <v>7457</v>
      </c>
      <c r="U1289" s="1" t="str">
        <f t="shared" si="20"/>
        <v>Yes</v>
      </c>
      <c r="W1289" s="1" t="s">
        <v>7458</v>
      </c>
      <c r="X1289" s="1" t="str">
        <f>IF(COUNTIF('MyWells Drilling Comp'!F:F,E1289)=0,"Missing","Exist")</f>
        <v>Exist</v>
      </c>
    </row>
    <row r="1290" hidden="1" spans="1:24">
      <c r="A1290" s="1" t="s">
        <v>5265</v>
      </c>
      <c r="B1290" s="1" t="s">
        <v>90</v>
      </c>
      <c r="C1290" s="1" t="s">
        <v>7459</v>
      </c>
      <c r="D1290" s="1" t="s">
        <v>7460</v>
      </c>
      <c r="E1290" s="2" t="s">
        <v>1337</v>
      </c>
      <c r="F1290" s="2" t="s">
        <v>7461</v>
      </c>
      <c r="G1290" s="1">
        <v>1</v>
      </c>
      <c r="H1290" s="1" t="s">
        <v>1656</v>
      </c>
      <c r="I1290" s="1" t="s">
        <v>1657</v>
      </c>
      <c r="J1290" s="1" t="s">
        <v>1658</v>
      </c>
      <c r="K1290" s="1" t="s">
        <v>1658</v>
      </c>
      <c r="L1290" s="1" t="s">
        <v>1658</v>
      </c>
      <c r="M1290" s="1" t="s">
        <v>1658</v>
      </c>
      <c r="N1290" s="1" t="s">
        <v>1658</v>
      </c>
      <c r="O1290" s="1" t="s">
        <v>1658</v>
      </c>
      <c r="P1290" s="1">
        <v>1</v>
      </c>
      <c r="Q1290" s="1" t="s">
        <v>1658</v>
      </c>
      <c r="R1290" s="1">
        <v>0</v>
      </c>
      <c r="S1290" s="1" t="s">
        <v>7462</v>
      </c>
      <c r="T1290" s="6" t="s">
        <v>7462</v>
      </c>
      <c r="U1290" s="1" t="str">
        <f t="shared" si="20"/>
        <v>Yes</v>
      </c>
      <c r="W1290" s="1" t="s">
        <v>7463</v>
      </c>
      <c r="X1290" s="1" t="str">
        <f>IF(COUNTIF('MyWells Drilling Comp'!F:F,E1290)=0,"Missing","Exist")</f>
        <v>Exist</v>
      </c>
    </row>
    <row r="1291" hidden="1" spans="1:24">
      <c r="A1291" s="1" t="s">
        <v>5265</v>
      </c>
      <c r="B1291" s="1" t="s">
        <v>90</v>
      </c>
      <c r="C1291" s="1" t="s">
        <v>7464</v>
      </c>
      <c r="D1291" s="1" t="s">
        <v>7460</v>
      </c>
      <c r="E1291" s="2" t="s">
        <v>1337</v>
      </c>
      <c r="F1291" s="2" t="s">
        <v>7465</v>
      </c>
      <c r="G1291" s="1">
        <v>1</v>
      </c>
      <c r="H1291" s="1" t="s">
        <v>1663</v>
      </c>
      <c r="I1291" s="1" t="s">
        <v>1657</v>
      </c>
      <c r="J1291" s="1" t="s">
        <v>1658</v>
      </c>
      <c r="K1291" s="1" t="s">
        <v>1658</v>
      </c>
      <c r="L1291" s="1" t="s">
        <v>1658</v>
      </c>
      <c r="M1291" s="1" t="s">
        <v>1658</v>
      </c>
      <c r="N1291" s="1" t="s">
        <v>1658</v>
      </c>
      <c r="O1291" s="1" t="s">
        <v>1658</v>
      </c>
      <c r="P1291" s="1">
        <v>1</v>
      </c>
      <c r="Q1291" s="1" t="s">
        <v>1658</v>
      </c>
      <c r="R1291" s="1">
        <v>0</v>
      </c>
      <c r="S1291" s="1" t="s">
        <v>7466</v>
      </c>
      <c r="T1291" s="6" t="s">
        <v>7466</v>
      </c>
      <c r="U1291" s="1" t="str">
        <f t="shared" si="20"/>
        <v>Yes</v>
      </c>
      <c r="W1291" s="1" t="s">
        <v>7467</v>
      </c>
      <c r="X1291" s="1" t="str">
        <f>IF(COUNTIF('MyWells Drilling Comp'!F:F,E1291)=0,"Missing","Exist")</f>
        <v>Exist</v>
      </c>
    </row>
    <row r="1292" hidden="1" spans="1:24">
      <c r="A1292" s="1" t="s">
        <v>5265</v>
      </c>
      <c r="B1292" s="1" t="s">
        <v>90</v>
      </c>
      <c r="C1292" s="1" t="s">
        <v>7468</v>
      </c>
      <c r="D1292" s="1" t="s">
        <v>7469</v>
      </c>
      <c r="E1292" s="2" t="s">
        <v>1181</v>
      </c>
      <c r="F1292" s="2" t="s">
        <v>7470</v>
      </c>
      <c r="G1292" s="1">
        <v>1</v>
      </c>
      <c r="H1292" s="1" t="s">
        <v>1663</v>
      </c>
      <c r="I1292" s="1" t="s">
        <v>1657</v>
      </c>
      <c r="J1292" s="1" t="s">
        <v>1658</v>
      </c>
      <c r="K1292" s="1" t="s">
        <v>1658</v>
      </c>
      <c r="L1292" s="1" t="s">
        <v>1658</v>
      </c>
      <c r="M1292" s="1" t="s">
        <v>1658</v>
      </c>
      <c r="N1292" s="1" t="s">
        <v>1658</v>
      </c>
      <c r="O1292" s="1" t="s">
        <v>1658</v>
      </c>
      <c r="P1292" s="1">
        <v>1</v>
      </c>
      <c r="Q1292" s="1" t="s">
        <v>1658</v>
      </c>
      <c r="R1292" s="1">
        <v>0</v>
      </c>
      <c r="S1292" s="1" t="s">
        <v>7471</v>
      </c>
      <c r="T1292" s="6"/>
      <c r="U1292" s="1" t="str">
        <f t="shared" si="20"/>
        <v>No</v>
      </c>
      <c r="W1292" s="1" t="s">
        <v>7472</v>
      </c>
      <c r="X1292" s="1" t="str">
        <f>IF(COUNTIF('MyWells Drilling Comp'!F:F,E1292)=0,"Missing","Exist")</f>
        <v>Exist</v>
      </c>
    </row>
    <row r="1293" hidden="1" spans="1:24">
      <c r="A1293" s="1" t="s">
        <v>5265</v>
      </c>
      <c r="B1293" s="1" t="s">
        <v>90</v>
      </c>
      <c r="C1293" s="1" t="s">
        <v>7473</v>
      </c>
      <c r="D1293" s="1" t="s">
        <v>7469</v>
      </c>
      <c r="E1293" s="2" t="s">
        <v>1181</v>
      </c>
      <c r="F1293" s="2" t="s">
        <v>7474</v>
      </c>
      <c r="G1293" s="1">
        <v>1</v>
      </c>
      <c r="H1293" s="1" t="s">
        <v>1656</v>
      </c>
      <c r="I1293" s="1" t="s">
        <v>1657</v>
      </c>
      <c r="J1293" s="1" t="s">
        <v>1658</v>
      </c>
      <c r="K1293" s="1" t="s">
        <v>1658</v>
      </c>
      <c r="L1293" s="1" t="s">
        <v>1658</v>
      </c>
      <c r="M1293" s="1" t="s">
        <v>1658</v>
      </c>
      <c r="N1293" s="1" t="s">
        <v>1658</v>
      </c>
      <c r="O1293" s="1" t="s">
        <v>1658</v>
      </c>
      <c r="P1293" s="1">
        <v>1</v>
      </c>
      <c r="Q1293" s="1" t="s">
        <v>1658</v>
      </c>
      <c r="R1293" s="1">
        <v>0</v>
      </c>
      <c r="S1293" s="1" t="s">
        <v>7475</v>
      </c>
      <c r="T1293" s="6" t="s">
        <v>7475</v>
      </c>
      <c r="U1293" s="1" t="str">
        <f t="shared" si="20"/>
        <v>Yes</v>
      </c>
      <c r="W1293" s="1" t="s">
        <v>7476</v>
      </c>
      <c r="X1293" s="1" t="str">
        <f>IF(COUNTIF('MyWells Drilling Comp'!F:F,E1293)=0,"Missing","Exist")</f>
        <v>Exist</v>
      </c>
    </row>
    <row r="1294" hidden="1" spans="1:24">
      <c r="A1294" s="1" t="s">
        <v>5265</v>
      </c>
      <c r="B1294" s="1" t="s">
        <v>90</v>
      </c>
      <c r="C1294" s="1" t="s">
        <v>7477</v>
      </c>
      <c r="D1294" s="1" t="s">
        <v>7478</v>
      </c>
      <c r="E1294" s="2" t="s">
        <v>923</v>
      </c>
      <c r="F1294" s="2" t="s">
        <v>7479</v>
      </c>
      <c r="G1294" s="1">
        <v>1</v>
      </c>
      <c r="H1294" s="1" t="s">
        <v>1663</v>
      </c>
      <c r="I1294" s="1" t="s">
        <v>1657</v>
      </c>
      <c r="J1294" s="1" t="s">
        <v>1658</v>
      </c>
      <c r="K1294" s="1" t="s">
        <v>1658</v>
      </c>
      <c r="L1294" s="1" t="s">
        <v>1658</v>
      </c>
      <c r="M1294" s="1" t="s">
        <v>1658</v>
      </c>
      <c r="N1294" s="1" t="s">
        <v>1658</v>
      </c>
      <c r="O1294" s="1" t="s">
        <v>1658</v>
      </c>
      <c r="P1294" s="1">
        <v>1</v>
      </c>
      <c r="Q1294" s="1" t="s">
        <v>1658</v>
      </c>
      <c r="R1294" s="1">
        <v>0</v>
      </c>
      <c r="S1294" s="1" t="s">
        <v>7480</v>
      </c>
      <c r="T1294" s="6" t="s">
        <v>7480</v>
      </c>
      <c r="U1294" s="1" t="str">
        <f t="shared" si="20"/>
        <v>Yes</v>
      </c>
      <c r="W1294" s="1" t="s">
        <v>7481</v>
      </c>
      <c r="X1294" s="1" t="str">
        <f>IF(COUNTIF('MyWells Drilling Comp'!F:F,E1294)=0,"Missing","Exist")</f>
        <v>Exist</v>
      </c>
    </row>
    <row r="1295" hidden="1" spans="1:24">
      <c r="A1295" s="1" t="s">
        <v>5265</v>
      </c>
      <c r="B1295" s="1" t="s">
        <v>90</v>
      </c>
      <c r="C1295" s="1" t="s">
        <v>7482</v>
      </c>
      <c r="D1295" s="1" t="s">
        <v>7478</v>
      </c>
      <c r="E1295" s="2" t="s">
        <v>923</v>
      </c>
      <c r="F1295" s="2" t="s">
        <v>7483</v>
      </c>
      <c r="G1295" s="1">
        <v>1</v>
      </c>
      <c r="H1295" s="1" t="s">
        <v>1656</v>
      </c>
      <c r="I1295" s="1" t="s">
        <v>1657</v>
      </c>
      <c r="J1295" s="1" t="s">
        <v>1658</v>
      </c>
      <c r="K1295" s="1" t="s">
        <v>1658</v>
      </c>
      <c r="L1295" s="1" t="s">
        <v>1658</v>
      </c>
      <c r="M1295" s="1" t="s">
        <v>1658</v>
      </c>
      <c r="N1295" s="1" t="s">
        <v>1658</v>
      </c>
      <c r="O1295" s="1" t="s">
        <v>1658</v>
      </c>
      <c r="P1295" s="1">
        <v>1</v>
      </c>
      <c r="Q1295" s="1" t="s">
        <v>1658</v>
      </c>
      <c r="R1295" s="1">
        <v>0</v>
      </c>
      <c r="S1295" s="1" t="s">
        <v>7484</v>
      </c>
      <c r="T1295" s="6"/>
      <c r="U1295" s="1" t="str">
        <f t="shared" si="20"/>
        <v>No</v>
      </c>
      <c r="W1295" s="1" t="s">
        <v>7485</v>
      </c>
      <c r="X1295" s="1" t="str">
        <f>IF(COUNTIF('MyWells Drilling Comp'!F:F,E1295)=0,"Missing","Exist")</f>
        <v>Exist</v>
      </c>
    </row>
    <row r="1296" hidden="1" spans="1:24">
      <c r="A1296" s="1" t="s">
        <v>5265</v>
      </c>
      <c r="B1296" s="1" t="s">
        <v>90</v>
      </c>
      <c r="C1296" s="1" t="s">
        <v>7486</v>
      </c>
      <c r="D1296" s="1" t="s">
        <v>7487</v>
      </c>
      <c r="E1296" s="2" t="s">
        <v>972</v>
      </c>
      <c r="F1296" s="2" t="s">
        <v>7488</v>
      </c>
      <c r="G1296" s="1">
        <v>1</v>
      </c>
      <c r="H1296" s="1" t="s">
        <v>1663</v>
      </c>
      <c r="I1296" s="1" t="s">
        <v>1657</v>
      </c>
      <c r="J1296" s="1" t="s">
        <v>1658</v>
      </c>
      <c r="K1296" s="1" t="s">
        <v>1658</v>
      </c>
      <c r="L1296" s="1" t="s">
        <v>1658</v>
      </c>
      <c r="M1296" s="1" t="s">
        <v>1658</v>
      </c>
      <c r="N1296" s="1" t="s">
        <v>1658</v>
      </c>
      <c r="O1296" s="1" t="s">
        <v>1658</v>
      </c>
      <c r="P1296" s="1">
        <v>1</v>
      </c>
      <c r="Q1296" s="1" t="s">
        <v>1658</v>
      </c>
      <c r="R1296" s="1">
        <v>0</v>
      </c>
      <c r="S1296" s="1" t="s">
        <v>7489</v>
      </c>
      <c r="T1296" s="6" t="s">
        <v>7489</v>
      </c>
      <c r="U1296" s="1" t="str">
        <f t="shared" si="20"/>
        <v>Yes</v>
      </c>
      <c r="W1296" s="1" t="s">
        <v>7490</v>
      </c>
      <c r="X1296" s="1" t="str">
        <f>IF(COUNTIF('MyWells Drilling Comp'!F:F,E1296)=0,"Missing","Exist")</f>
        <v>Exist</v>
      </c>
    </row>
    <row r="1297" hidden="1" spans="1:24">
      <c r="A1297" s="1" t="s">
        <v>5265</v>
      </c>
      <c r="B1297" s="1" t="s">
        <v>90</v>
      </c>
      <c r="C1297" s="1" t="s">
        <v>7491</v>
      </c>
      <c r="D1297" s="1" t="s">
        <v>7487</v>
      </c>
      <c r="E1297" s="2" t="s">
        <v>972</v>
      </c>
      <c r="F1297" s="2" t="s">
        <v>7492</v>
      </c>
      <c r="G1297" s="1">
        <v>1</v>
      </c>
      <c r="H1297" s="1" t="s">
        <v>1656</v>
      </c>
      <c r="I1297" s="1" t="s">
        <v>1657</v>
      </c>
      <c r="J1297" s="1" t="s">
        <v>1658</v>
      </c>
      <c r="K1297" s="1" t="s">
        <v>1658</v>
      </c>
      <c r="L1297" s="1" t="s">
        <v>1658</v>
      </c>
      <c r="M1297" s="1" t="s">
        <v>1658</v>
      </c>
      <c r="N1297" s="1" t="s">
        <v>1658</v>
      </c>
      <c r="O1297" s="1" t="s">
        <v>1658</v>
      </c>
      <c r="P1297" s="1">
        <v>1</v>
      </c>
      <c r="Q1297" s="1" t="s">
        <v>1658</v>
      </c>
      <c r="R1297" s="1">
        <v>0</v>
      </c>
      <c r="S1297" s="1" t="s">
        <v>7493</v>
      </c>
      <c r="T1297" s="6" t="s">
        <v>7493</v>
      </c>
      <c r="U1297" s="1" t="str">
        <f t="shared" si="20"/>
        <v>Yes</v>
      </c>
      <c r="W1297" s="1" t="s">
        <v>7494</v>
      </c>
      <c r="X1297" s="1" t="str">
        <f>IF(COUNTIF('MyWells Drilling Comp'!F:F,E1297)=0,"Missing","Exist")</f>
        <v>Exist</v>
      </c>
    </row>
    <row r="1298" hidden="1" spans="1:24">
      <c r="A1298" s="1" t="s">
        <v>5265</v>
      </c>
      <c r="B1298" s="1" t="s">
        <v>90</v>
      </c>
      <c r="C1298" s="1" t="s">
        <v>7495</v>
      </c>
      <c r="D1298" s="1" t="s">
        <v>7496</v>
      </c>
      <c r="E1298" s="2" t="s">
        <v>857</v>
      </c>
      <c r="F1298" s="2" t="s">
        <v>7497</v>
      </c>
      <c r="G1298" s="1">
        <v>1</v>
      </c>
      <c r="H1298" s="1" t="s">
        <v>1663</v>
      </c>
      <c r="I1298" s="1" t="s">
        <v>1657</v>
      </c>
      <c r="J1298" s="1" t="s">
        <v>1658</v>
      </c>
      <c r="K1298" s="1" t="s">
        <v>1658</v>
      </c>
      <c r="L1298" s="1" t="s">
        <v>1658</v>
      </c>
      <c r="M1298" s="1" t="s">
        <v>1658</v>
      </c>
      <c r="N1298" s="1" t="s">
        <v>1658</v>
      </c>
      <c r="O1298" s="1" t="s">
        <v>1658</v>
      </c>
      <c r="P1298" s="1">
        <v>1</v>
      </c>
      <c r="Q1298" s="1" t="s">
        <v>1658</v>
      </c>
      <c r="R1298" s="1">
        <v>0</v>
      </c>
      <c r="S1298" s="1" t="s">
        <v>7498</v>
      </c>
      <c r="T1298" s="6" t="s">
        <v>7498</v>
      </c>
      <c r="U1298" s="1" t="str">
        <f t="shared" si="20"/>
        <v>Yes</v>
      </c>
      <c r="W1298" s="1" t="s">
        <v>7499</v>
      </c>
      <c r="X1298" s="1" t="str">
        <f>IF(COUNTIF('MyWells Drilling Comp'!F:F,E1298)=0,"Missing","Exist")</f>
        <v>Exist</v>
      </c>
    </row>
    <row r="1299" hidden="1" spans="1:24">
      <c r="A1299" s="1" t="s">
        <v>5265</v>
      </c>
      <c r="B1299" s="1" t="s">
        <v>90</v>
      </c>
      <c r="C1299" s="1" t="s">
        <v>7500</v>
      </c>
      <c r="D1299" s="1" t="s">
        <v>7496</v>
      </c>
      <c r="E1299" s="2" t="s">
        <v>857</v>
      </c>
      <c r="F1299" s="2" t="s">
        <v>7501</v>
      </c>
      <c r="G1299" s="1">
        <v>1</v>
      </c>
      <c r="H1299" s="1" t="s">
        <v>1656</v>
      </c>
      <c r="I1299" s="1" t="s">
        <v>1657</v>
      </c>
      <c r="J1299" s="1" t="s">
        <v>1658</v>
      </c>
      <c r="K1299" s="1" t="s">
        <v>1658</v>
      </c>
      <c r="L1299" s="1" t="s">
        <v>1658</v>
      </c>
      <c r="M1299" s="1" t="s">
        <v>1658</v>
      </c>
      <c r="N1299" s="1" t="s">
        <v>1658</v>
      </c>
      <c r="O1299" s="1" t="s">
        <v>1658</v>
      </c>
      <c r="P1299" s="1">
        <v>1</v>
      </c>
      <c r="Q1299" s="1" t="s">
        <v>1658</v>
      </c>
      <c r="R1299" s="1">
        <v>0</v>
      </c>
      <c r="S1299" s="1" t="s">
        <v>7502</v>
      </c>
      <c r="T1299" s="6" t="s">
        <v>7502</v>
      </c>
      <c r="U1299" s="1" t="str">
        <f t="shared" si="20"/>
        <v>Yes</v>
      </c>
      <c r="W1299" s="1" t="s">
        <v>7503</v>
      </c>
      <c r="X1299" s="1" t="str">
        <f>IF(COUNTIF('MyWells Drilling Comp'!F:F,E1299)=0,"Missing","Exist")</f>
        <v>Exist</v>
      </c>
    </row>
    <row r="1300" hidden="1" spans="1:24">
      <c r="A1300" s="1" t="s">
        <v>5265</v>
      </c>
      <c r="B1300" s="1" t="s">
        <v>90</v>
      </c>
      <c r="C1300" s="1" t="s">
        <v>7504</v>
      </c>
      <c r="D1300" s="1" t="s">
        <v>7505</v>
      </c>
      <c r="E1300" s="2" t="s">
        <v>1294</v>
      </c>
      <c r="F1300" s="2" t="s">
        <v>7506</v>
      </c>
      <c r="G1300" s="1">
        <v>1</v>
      </c>
      <c r="H1300" s="1" t="s">
        <v>1656</v>
      </c>
      <c r="I1300" s="1" t="s">
        <v>1657</v>
      </c>
      <c r="J1300" s="1" t="s">
        <v>1658</v>
      </c>
      <c r="K1300" s="1" t="s">
        <v>1658</v>
      </c>
      <c r="L1300" s="1" t="s">
        <v>1658</v>
      </c>
      <c r="M1300" s="1" t="s">
        <v>1658</v>
      </c>
      <c r="N1300" s="1" t="s">
        <v>1658</v>
      </c>
      <c r="O1300" s="1" t="s">
        <v>1658</v>
      </c>
      <c r="P1300" s="1">
        <v>1</v>
      </c>
      <c r="Q1300" s="1" t="s">
        <v>1658</v>
      </c>
      <c r="R1300" s="1">
        <v>0</v>
      </c>
      <c r="S1300" s="1" t="s">
        <v>7507</v>
      </c>
      <c r="T1300" s="6" t="s">
        <v>7507</v>
      </c>
      <c r="U1300" s="1" t="str">
        <f t="shared" si="20"/>
        <v>Yes</v>
      </c>
      <c r="W1300" s="1" t="s">
        <v>7508</v>
      </c>
      <c r="X1300" s="1" t="str">
        <f>IF(COUNTIF('MyWells Drilling Comp'!F:F,E1300)=0,"Missing","Exist")</f>
        <v>Exist</v>
      </c>
    </row>
    <row r="1301" hidden="1" spans="1:24">
      <c r="A1301" s="1" t="s">
        <v>5265</v>
      </c>
      <c r="B1301" s="1" t="s">
        <v>90</v>
      </c>
      <c r="C1301" s="1" t="s">
        <v>7509</v>
      </c>
      <c r="D1301" s="1" t="s">
        <v>7505</v>
      </c>
      <c r="E1301" s="2" t="s">
        <v>1294</v>
      </c>
      <c r="F1301" s="2" t="s">
        <v>7510</v>
      </c>
      <c r="G1301" s="1">
        <v>1</v>
      </c>
      <c r="H1301" s="1" t="s">
        <v>1663</v>
      </c>
      <c r="I1301" s="1" t="s">
        <v>1657</v>
      </c>
      <c r="J1301" s="1" t="s">
        <v>1658</v>
      </c>
      <c r="K1301" s="1" t="s">
        <v>1658</v>
      </c>
      <c r="L1301" s="1" t="s">
        <v>1658</v>
      </c>
      <c r="M1301" s="1" t="s">
        <v>1658</v>
      </c>
      <c r="N1301" s="1" t="s">
        <v>1658</v>
      </c>
      <c r="O1301" s="1" t="s">
        <v>1658</v>
      </c>
      <c r="P1301" s="1">
        <v>1</v>
      </c>
      <c r="Q1301" s="1" t="s">
        <v>1658</v>
      </c>
      <c r="R1301" s="1">
        <v>0</v>
      </c>
      <c r="S1301" s="1" t="s">
        <v>7511</v>
      </c>
      <c r="T1301" s="6" t="s">
        <v>7511</v>
      </c>
      <c r="U1301" s="1" t="str">
        <f t="shared" si="20"/>
        <v>Yes</v>
      </c>
      <c r="W1301" s="1" t="s">
        <v>7512</v>
      </c>
      <c r="X1301" s="1" t="str">
        <f>IF(COUNTIF('MyWells Drilling Comp'!F:F,E1301)=0,"Missing","Exist")</f>
        <v>Exist</v>
      </c>
    </row>
    <row r="1302" hidden="1" spans="1:24">
      <c r="A1302" s="1" t="s">
        <v>5265</v>
      </c>
      <c r="B1302" s="1" t="s">
        <v>90</v>
      </c>
      <c r="C1302" s="1" t="s">
        <v>7513</v>
      </c>
      <c r="D1302" s="1" t="s">
        <v>7514</v>
      </c>
      <c r="E1302" s="2" t="s">
        <v>1457</v>
      </c>
      <c r="F1302" s="2" t="s">
        <v>7515</v>
      </c>
      <c r="G1302" s="1">
        <v>1</v>
      </c>
      <c r="H1302" s="1" t="s">
        <v>1656</v>
      </c>
      <c r="I1302" s="1" t="s">
        <v>1657</v>
      </c>
      <c r="J1302" s="1" t="s">
        <v>1658</v>
      </c>
      <c r="K1302" s="1" t="s">
        <v>1658</v>
      </c>
      <c r="L1302" s="1" t="s">
        <v>1658</v>
      </c>
      <c r="M1302" s="1" t="s">
        <v>1658</v>
      </c>
      <c r="N1302" s="1" t="s">
        <v>1658</v>
      </c>
      <c r="O1302" s="1" t="s">
        <v>1658</v>
      </c>
      <c r="P1302" s="1">
        <v>1</v>
      </c>
      <c r="Q1302" s="1" t="s">
        <v>1658</v>
      </c>
      <c r="R1302" s="1">
        <v>0</v>
      </c>
      <c r="S1302" s="1" t="s">
        <v>7516</v>
      </c>
      <c r="T1302" s="6" t="s">
        <v>7516</v>
      </c>
      <c r="U1302" s="1" t="str">
        <f t="shared" si="20"/>
        <v>Yes</v>
      </c>
      <c r="W1302" s="1" t="s">
        <v>7517</v>
      </c>
      <c r="X1302" s="1" t="str">
        <f>IF(COUNTIF('MyWells Drilling Comp'!F:F,E1302)=0,"Missing","Exist")</f>
        <v>Exist</v>
      </c>
    </row>
    <row r="1303" hidden="1" spans="1:24">
      <c r="A1303" s="1" t="s">
        <v>5265</v>
      </c>
      <c r="B1303" s="1" t="s">
        <v>90</v>
      </c>
      <c r="C1303" s="1" t="s">
        <v>7518</v>
      </c>
      <c r="D1303" s="1" t="s">
        <v>7514</v>
      </c>
      <c r="E1303" s="2" t="s">
        <v>1457</v>
      </c>
      <c r="F1303" s="2" t="s">
        <v>7519</v>
      </c>
      <c r="G1303" s="1">
        <v>1</v>
      </c>
      <c r="H1303" s="1" t="s">
        <v>1663</v>
      </c>
      <c r="I1303" s="1" t="s">
        <v>1657</v>
      </c>
      <c r="J1303" s="1" t="s">
        <v>1658</v>
      </c>
      <c r="K1303" s="1" t="s">
        <v>1658</v>
      </c>
      <c r="L1303" s="1" t="s">
        <v>1658</v>
      </c>
      <c r="M1303" s="1" t="s">
        <v>1658</v>
      </c>
      <c r="N1303" s="1" t="s">
        <v>1658</v>
      </c>
      <c r="O1303" s="1" t="s">
        <v>1658</v>
      </c>
      <c r="P1303" s="1">
        <v>1</v>
      </c>
      <c r="Q1303" s="1" t="s">
        <v>1658</v>
      </c>
      <c r="R1303" s="1">
        <v>0</v>
      </c>
      <c r="S1303" s="1" t="s">
        <v>7520</v>
      </c>
      <c r="T1303" s="6" t="s">
        <v>7520</v>
      </c>
      <c r="U1303" s="1" t="str">
        <f t="shared" si="20"/>
        <v>Yes</v>
      </c>
      <c r="W1303" s="1" t="s">
        <v>7521</v>
      </c>
      <c r="X1303" s="1" t="str">
        <f>IF(COUNTIF('MyWells Drilling Comp'!F:F,E1303)=0,"Missing","Exist")</f>
        <v>Exist</v>
      </c>
    </row>
    <row r="1304" hidden="1" spans="1:24">
      <c r="A1304" s="1" t="s">
        <v>5265</v>
      </c>
      <c r="B1304" s="1" t="s">
        <v>90</v>
      </c>
      <c r="C1304" s="1" t="s">
        <v>7522</v>
      </c>
      <c r="D1304" s="1" t="s">
        <v>7523</v>
      </c>
      <c r="E1304" s="2" t="s">
        <v>1350</v>
      </c>
      <c r="F1304" s="2" t="s">
        <v>7524</v>
      </c>
      <c r="G1304" s="1">
        <v>1</v>
      </c>
      <c r="H1304" s="1" t="s">
        <v>1656</v>
      </c>
      <c r="I1304" s="1" t="s">
        <v>1657</v>
      </c>
      <c r="J1304" s="1" t="s">
        <v>1658</v>
      </c>
      <c r="K1304" s="1" t="s">
        <v>1658</v>
      </c>
      <c r="L1304" s="1" t="s">
        <v>1658</v>
      </c>
      <c r="M1304" s="1" t="s">
        <v>1658</v>
      </c>
      <c r="N1304" s="1" t="s">
        <v>1658</v>
      </c>
      <c r="O1304" s="1" t="s">
        <v>1658</v>
      </c>
      <c r="P1304" s="1">
        <v>1</v>
      </c>
      <c r="Q1304" s="1" t="s">
        <v>1658</v>
      </c>
      <c r="R1304" s="1">
        <v>0</v>
      </c>
      <c r="S1304" s="1" t="s">
        <v>6274</v>
      </c>
      <c r="T1304" s="6"/>
      <c r="U1304" s="1" t="str">
        <f t="shared" si="20"/>
        <v>No</v>
      </c>
      <c r="W1304" s="1" t="s">
        <v>7525</v>
      </c>
      <c r="X1304" s="1" t="str">
        <f>IF(COUNTIF('MyWells Drilling Comp'!F:F,E1304)=0,"Missing","Exist")</f>
        <v>Exist</v>
      </c>
    </row>
    <row r="1305" hidden="1" spans="1:24">
      <c r="A1305" s="1" t="s">
        <v>5265</v>
      </c>
      <c r="B1305" s="1" t="s">
        <v>90</v>
      </c>
      <c r="C1305" s="1" t="s">
        <v>7526</v>
      </c>
      <c r="D1305" s="1" t="s">
        <v>7523</v>
      </c>
      <c r="E1305" s="2" t="s">
        <v>1350</v>
      </c>
      <c r="F1305" s="2" t="s">
        <v>7527</v>
      </c>
      <c r="G1305" s="1">
        <v>1</v>
      </c>
      <c r="H1305" s="1" t="s">
        <v>1663</v>
      </c>
      <c r="I1305" s="1" t="s">
        <v>1657</v>
      </c>
      <c r="J1305" s="1" t="s">
        <v>1658</v>
      </c>
      <c r="K1305" s="1" t="s">
        <v>1658</v>
      </c>
      <c r="L1305" s="1" t="s">
        <v>1658</v>
      </c>
      <c r="M1305" s="1" t="s">
        <v>1658</v>
      </c>
      <c r="N1305" s="1" t="s">
        <v>1658</v>
      </c>
      <c r="O1305" s="1" t="s">
        <v>1658</v>
      </c>
      <c r="P1305" s="1">
        <v>1</v>
      </c>
      <c r="Q1305" s="1" t="s">
        <v>1658</v>
      </c>
      <c r="R1305" s="1">
        <v>0</v>
      </c>
      <c r="S1305" s="1" t="s">
        <v>7528</v>
      </c>
      <c r="T1305" s="6" t="s">
        <v>7528</v>
      </c>
      <c r="U1305" s="1" t="str">
        <f t="shared" si="20"/>
        <v>Yes</v>
      </c>
      <c r="W1305" s="1" t="s">
        <v>7529</v>
      </c>
      <c r="X1305" s="1" t="str">
        <f>IF(COUNTIF('MyWells Drilling Comp'!F:F,E1305)=0,"Missing","Exist")</f>
        <v>Exist</v>
      </c>
    </row>
    <row r="1306" spans="1:24">
      <c r="A1306" s="1" t="s">
        <v>5265</v>
      </c>
      <c r="B1306" s="1" t="s">
        <v>90</v>
      </c>
      <c r="C1306" s="1" t="s">
        <v>7530</v>
      </c>
      <c r="D1306" s="1" t="s">
        <v>7531</v>
      </c>
      <c r="E1306" s="2" t="s">
        <v>7532</v>
      </c>
      <c r="F1306" s="2" t="s">
        <v>7533</v>
      </c>
      <c r="G1306" s="1">
        <v>1</v>
      </c>
      <c r="H1306" s="1" t="s">
        <v>1663</v>
      </c>
      <c r="I1306" s="1" t="s">
        <v>1657</v>
      </c>
      <c r="J1306" s="1" t="s">
        <v>1658</v>
      </c>
      <c r="K1306" s="1" t="s">
        <v>1658</v>
      </c>
      <c r="L1306" s="1" t="s">
        <v>1658</v>
      </c>
      <c r="M1306" s="1" t="s">
        <v>1658</v>
      </c>
      <c r="N1306" s="1" t="s">
        <v>1658</v>
      </c>
      <c r="O1306" s="1" t="s">
        <v>1658</v>
      </c>
      <c r="P1306" s="1">
        <v>1</v>
      </c>
      <c r="Q1306" s="1" t="s">
        <v>1658</v>
      </c>
      <c r="R1306" s="1">
        <v>0</v>
      </c>
      <c r="S1306" s="1" t="s">
        <v>7534</v>
      </c>
      <c r="T1306" s="6" t="s">
        <v>7534</v>
      </c>
      <c r="U1306" s="1" t="str">
        <f t="shared" si="20"/>
        <v>Yes</v>
      </c>
      <c r="W1306" s="1" t="s">
        <v>7535</v>
      </c>
      <c r="X1306" s="1" t="str">
        <f>IF(COUNTIF('MyWells Drilling Comp'!F:F,E1306)=0,"Missing","Exist")</f>
        <v>Missing</v>
      </c>
    </row>
    <row r="1307" hidden="1" spans="1:24">
      <c r="A1307" s="1" t="s">
        <v>5265</v>
      </c>
      <c r="B1307" s="1" t="s">
        <v>90</v>
      </c>
      <c r="C1307" s="1" t="s">
        <v>7536</v>
      </c>
      <c r="D1307" s="1" t="s">
        <v>7531</v>
      </c>
      <c r="E1307" s="2" t="s">
        <v>7532</v>
      </c>
      <c r="F1307" s="8" t="s">
        <v>7537</v>
      </c>
      <c r="G1307" s="1">
        <v>1</v>
      </c>
      <c r="H1307" s="1" t="s">
        <v>1656</v>
      </c>
      <c r="I1307" s="1" t="s">
        <v>1657</v>
      </c>
      <c r="J1307" s="1" t="s">
        <v>1658</v>
      </c>
      <c r="K1307" s="1" t="s">
        <v>1658</v>
      </c>
      <c r="L1307" s="1" t="s">
        <v>1658</v>
      </c>
      <c r="M1307" s="1" t="s">
        <v>1658</v>
      </c>
      <c r="N1307" s="1" t="s">
        <v>1658</v>
      </c>
      <c r="O1307" s="1" t="s">
        <v>1658</v>
      </c>
      <c r="P1307" s="1">
        <v>1</v>
      </c>
      <c r="Q1307" s="1" t="s">
        <v>1658</v>
      </c>
      <c r="R1307" s="1">
        <v>0</v>
      </c>
      <c r="S1307" s="1" t="s">
        <v>7538</v>
      </c>
      <c r="T1307" s="6" t="s">
        <v>7538</v>
      </c>
      <c r="U1307" s="1" t="str">
        <f t="shared" si="20"/>
        <v>Yes</v>
      </c>
      <c r="W1307" s="1" t="s">
        <v>7539</v>
      </c>
      <c r="X1307" s="1" t="str">
        <f>IF(COUNTIF('MyWells Drilling Comp'!F:F,E1307)=0,"Missing","Exist")</f>
        <v>Missing</v>
      </c>
    </row>
    <row r="1308" hidden="1" spans="1:24">
      <c r="A1308" s="1" t="s">
        <v>5265</v>
      </c>
      <c r="B1308" s="1" t="s">
        <v>90</v>
      </c>
      <c r="C1308" s="1" t="s">
        <v>7540</v>
      </c>
      <c r="D1308" s="1" t="s">
        <v>7541</v>
      </c>
      <c r="E1308" s="2" t="s">
        <v>7542</v>
      </c>
      <c r="F1308" s="2" t="s">
        <v>7543</v>
      </c>
      <c r="G1308" s="1">
        <v>1</v>
      </c>
      <c r="H1308" s="1" t="s">
        <v>1656</v>
      </c>
      <c r="I1308" s="1" t="s">
        <v>1657</v>
      </c>
      <c r="J1308" s="1" t="s">
        <v>1658</v>
      </c>
      <c r="K1308" s="1" t="s">
        <v>1658</v>
      </c>
      <c r="L1308" s="1" t="s">
        <v>1658</v>
      </c>
      <c r="M1308" s="1" t="s">
        <v>1658</v>
      </c>
      <c r="N1308" s="1" t="s">
        <v>1658</v>
      </c>
      <c r="O1308" s="1" t="s">
        <v>1658</v>
      </c>
      <c r="P1308" s="1">
        <v>1</v>
      </c>
      <c r="Q1308" s="1" t="s">
        <v>1658</v>
      </c>
      <c r="R1308" s="1">
        <v>0</v>
      </c>
      <c r="S1308" s="1" t="s">
        <v>7544</v>
      </c>
      <c r="T1308" s="6" t="s">
        <v>7544</v>
      </c>
      <c r="U1308" s="1" t="str">
        <f t="shared" si="20"/>
        <v>Yes</v>
      </c>
      <c r="W1308" s="1" t="s">
        <v>7545</v>
      </c>
      <c r="X1308" s="1" t="str">
        <f>IF(COUNTIF('MyWells Drilling Comp'!F:F,E1308)=0,"Missing","Exist")</f>
        <v>Missing</v>
      </c>
    </row>
    <row r="1309" spans="1:24">
      <c r="A1309" s="1" t="s">
        <v>5265</v>
      </c>
      <c r="B1309" s="1" t="s">
        <v>90</v>
      </c>
      <c r="C1309" s="1" t="s">
        <v>7546</v>
      </c>
      <c r="D1309" s="1" t="s">
        <v>7541</v>
      </c>
      <c r="E1309" s="2" t="s">
        <v>7542</v>
      </c>
      <c r="F1309" s="2" t="s">
        <v>7547</v>
      </c>
      <c r="G1309" s="1">
        <v>1</v>
      </c>
      <c r="H1309" s="1" t="s">
        <v>1663</v>
      </c>
      <c r="I1309" s="1" t="s">
        <v>1657</v>
      </c>
      <c r="J1309" s="1" t="s">
        <v>1658</v>
      </c>
      <c r="K1309" s="1" t="s">
        <v>1658</v>
      </c>
      <c r="L1309" s="1" t="s">
        <v>1658</v>
      </c>
      <c r="M1309" s="1" t="s">
        <v>1658</v>
      </c>
      <c r="N1309" s="1" t="s">
        <v>1658</v>
      </c>
      <c r="O1309" s="1" t="s">
        <v>1658</v>
      </c>
      <c r="P1309" s="1">
        <v>1</v>
      </c>
      <c r="Q1309" s="1" t="s">
        <v>1658</v>
      </c>
      <c r="R1309" s="1">
        <v>0</v>
      </c>
      <c r="S1309" s="1" t="s">
        <v>7548</v>
      </c>
      <c r="T1309" s="6" t="s">
        <v>7549</v>
      </c>
      <c r="U1309" s="1" t="str">
        <f t="shared" si="20"/>
        <v>No</v>
      </c>
      <c r="W1309" s="1" t="s">
        <v>7550</v>
      </c>
      <c r="X1309" s="1" t="str">
        <f>IF(COUNTIF('MyWells Drilling Comp'!F:F,E1309)=0,"Missing","Exist")</f>
        <v>Missing</v>
      </c>
    </row>
    <row r="1310" hidden="1" spans="1:24">
      <c r="A1310" s="1" t="s">
        <v>5265</v>
      </c>
      <c r="B1310" s="1" t="s">
        <v>90</v>
      </c>
      <c r="C1310" s="1" t="s">
        <v>7551</v>
      </c>
      <c r="D1310" s="1" t="s">
        <v>7552</v>
      </c>
      <c r="E1310" s="2" t="s">
        <v>1280</v>
      </c>
      <c r="F1310" s="2" t="s">
        <v>7553</v>
      </c>
      <c r="G1310" s="1">
        <v>1</v>
      </c>
      <c r="H1310" s="1" t="s">
        <v>1656</v>
      </c>
      <c r="I1310" s="1" t="s">
        <v>1657</v>
      </c>
      <c r="J1310" s="1" t="s">
        <v>1658</v>
      </c>
      <c r="K1310" s="1" t="s">
        <v>1658</v>
      </c>
      <c r="L1310" s="1" t="s">
        <v>1658</v>
      </c>
      <c r="M1310" s="1" t="s">
        <v>1658</v>
      </c>
      <c r="N1310" s="1" t="s">
        <v>1658</v>
      </c>
      <c r="O1310" s="1" t="s">
        <v>1658</v>
      </c>
      <c r="P1310" s="1">
        <v>1</v>
      </c>
      <c r="Q1310" s="1" t="s">
        <v>1658</v>
      </c>
      <c r="R1310" s="1">
        <v>0</v>
      </c>
      <c r="S1310" s="1" t="s">
        <v>7554</v>
      </c>
      <c r="T1310" s="6"/>
      <c r="U1310" s="1" t="str">
        <f t="shared" si="20"/>
        <v>No</v>
      </c>
      <c r="W1310" s="1" t="s">
        <v>7555</v>
      </c>
      <c r="X1310" s="1" t="str">
        <f>IF(COUNTIF('MyWells Drilling Comp'!F:F,E1310)=0,"Missing","Exist")</f>
        <v>Exist</v>
      </c>
    </row>
    <row r="1311" hidden="1" spans="1:24">
      <c r="A1311" s="1" t="s">
        <v>5265</v>
      </c>
      <c r="B1311" s="1" t="s">
        <v>90</v>
      </c>
      <c r="C1311" s="1" t="s">
        <v>7556</v>
      </c>
      <c r="D1311" s="1" t="s">
        <v>7552</v>
      </c>
      <c r="E1311" s="2" t="s">
        <v>1280</v>
      </c>
      <c r="F1311" s="2" t="s">
        <v>7557</v>
      </c>
      <c r="G1311" s="1">
        <v>1</v>
      </c>
      <c r="H1311" s="1" t="s">
        <v>1663</v>
      </c>
      <c r="I1311" s="1" t="s">
        <v>1657</v>
      </c>
      <c r="J1311" s="1" t="s">
        <v>1658</v>
      </c>
      <c r="K1311" s="1" t="s">
        <v>1658</v>
      </c>
      <c r="L1311" s="1" t="s">
        <v>1658</v>
      </c>
      <c r="M1311" s="1" t="s">
        <v>1658</v>
      </c>
      <c r="N1311" s="1" t="s">
        <v>1658</v>
      </c>
      <c r="O1311" s="1" t="s">
        <v>1658</v>
      </c>
      <c r="P1311" s="1">
        <v>1</v>
      </c>
      <c r="Q1311" s="1" t="s">
        <v>1658</v>
      </c>
      <c r="R1311" s="1">
        <v>0</v>
      </c>
      <c r="S1311" s="1" t="s">
        <v>7558</v>
      </c>
      <c r="T1311" s="6" t="s">
        <v>7558</v>
      </c>
      <c r="U1311" s="1" t="str">
        <f t="shared" si="20"/>
        <v>Yes</v>
      </c>
      <c r="W1311" s="1" t="s">
        <v>7559</v>
      </c>
      <c r="X1311" s="1" t="str">
        <f>IF(COUNTIF('MyWells Drilling Comp'!F:F,E1311)=0,"Missing","Exist")</f>
        <v>Exist</v>
      </c>
    </row>
    <row r="1312" hidden="1" spans="1:24">
      <c r="A1312" s="1" t="s">
        <v>5265</v>
      </c>
      <c r="B1312" s="1" t="s">
        <v>90</v>
      </c>
      <c r="C1312" s="1" t="s">
        <v>7560</v>
      </c>
      <c r="D1312" s="1" t="s">
        <v>7561</v>
      </c>
      <c r="E1312" s="2" t="s">
        <v>710</v>
      </c>
      <c r="F1312" s="2" t="s">
        <v>7562</v>
      </c>
      <c r="G1312" s="1">
        <v>1</v>
      </c>
      <c r="H1312" s="1" t="s">
        <v>1663</v>
      </c>
      <c r="I1312" s="1" t="s">
        <v>1657</v>
      </c>
      <c r="J1312" s="1" t="s">
        <v>1658</v>
      </c>
      <c r="K1312" s="1" t="s">
        <v>1658</v>
      </c>
      <c r="L1312" s="1" t="s">
        <v>1658</v>
      </c>
      <c r="M1312" s="1" t="s">
        <v>1658</v>
      </c>
      <c r="N1312" s="1" t="s">
        <v>1658</v>
      </c>
      <c r="O1312" s="1" t="s">
        <v>1658</v>
      </c>
      <c r="P1312" s="1">
        <v>1</v>
      </c>
      <c r="Q1312" s="1" t="s">
        <v>1658</v>
      </c>
      <c r="R1312" s="1">
        <v>0</v>
      </c>
      <c r="S1312" s="1" t="s">
        <v>7563</v>
      </c>
      <c r="T1312" s="6" t="s">
        <v>7563</v>
      </c>
      <c r="U1312" s="1" t="str">
        <f t="shared" si="20"/>
        <v>Yes</v>
      </c>
      <c r="W1312" s="1" t="s">
        <v>7564</v>
      </c>
      <c r="X1312" s="1" t="str">
        <f>IF(COUNTIF('MyWells Drilling Comp'!F:F,E1312)=0,"Missing","Exist")</f>
        <v>Exist</v>
      </c>
    </row>
    <row r="1313" hidden="1" spans="1:24">
      <c r="A1313" s="1" t="s">
        <v>5265</v>
      </c>
      <c r="B1313" s="1" t="s">
        <v>90</v>
      </c>
      <c r="C1313" s="1" t="s">
        <v>7565</v>
      </c>
      <c r="D1313" s="1" t="s">
        <v>7561</v>
      </c>
      <c r="E1313" s="2" t="s">
        <v>710</v>
      </c>
      <c r="F1313" s="2" t="s">
        <v>7566</v>
      </c>
      <c r="G1313" s="1">
        <v>1</v>
      </c>
      <c r="H1313" s="1" t="s">
        <v>1656</v>
      </c>
      <c r="I1313" s="1" t="s">
        <v>1657</v>
      </c>
      <c r="J1313" s="1" t="s">
        <v>1658</v>
      </c>
      <c r="K1313" s="1" t="s">
        <v>1658</v>
      </c>
      <c r="L1313" s="1" t="s">
        <v>1658</v>
      </c>
      <c r="M1313" s="1" t="s">
        <v>1658</v>
      </c>
      <c r="N1313" s="1" t="s">
        <v>1658</v>
      </c>
      <c r="O1313" s="1" t="s">
        <v>1658</v>
      </c>
      <c r="P1313" s="1">
        <v>1</v>
      </c>
      <c r="Q1313" s="1" t="s">
        <v>1658</v>
      </c>
      <c r="R1313" s="1">
        <v>0</v>
      </c>
      <c r="S1313" s="1" t="s">
        <v>7567</v>
      </c>
      <c r="T1313" s="6" t="s">
        <v>7567</v>
      </c>
      <c r="U1313" s="1" t="str">
        <f t="shared" si="20"/>
        <v>Yes</v>
      </c>
      <c r="W1313" s="1" t="s">
        <v>7568</v>
      </c>
      <c r="X1313" s="1" t="str">
        <f>IF(COUNTIF('MyWells Drilling Comp'!F:F,E1313)=0,"Missing","Exist")</f>
        <v>Exist</v>
      </c>
    </row>
    <row r="1314" hidden="1" spans="1:24">
      <c r="A1314" s="1" t="s">
        <v>5265</v>
      </c>
      <c r="B1314" s="1" t="s">
        <v>90</v>
      </c>
      <c r="C1314" s="1" t="s">
        <v>7569</v>
      </c>
      <c r="D1314" s="1" t="s">
        <v>7570</v>
      </c>
      <c r="E1314" s="2" t="s">
        <v>1362</v>
      </c>
      <c r="F1314" s="2" t="s">
        <v>7571</v>
      </c>
      <c r="G1314" s="1">
        <v>1</v>
      </c>
      <c r="H1314" s="1" t="s">
        <v>1656</v>
      </c>
      <c r="I1314" s="1" t="s">
        <v>1657</v>
      </c>
      <c r="J1314" s="1" t="s">
        <v>1658</v>
      </c>
      <c r="K1314" s="1" t="s">
        <v>1658</v>
      </c>
      <c r="L1314" s="1" t="s">
        <v>1658</v>
      </c>
      <c r="M1314" s="1" t="s">
        <v>1658</v>
      </c>
      <c r="N1314" s="1" t="s">
        <v>1658</v>
      </c>
      <c r="O1314" s="1" t="s">
        <v>1658</v>
      </c>
      <c r="P1314" s="1">
        <v>1</v>
      </c>
      <c r="Q1314" s="1" t="s">
        <v>1658</v>
      </c>
      <c r="R1314" s="1">
        <v>0</v>
      </c>
      <c r="S1314" s="1" t="s">
        <v>7572</v>
      </c>
      <c r="T1314" s="6" t="s">
        <v>7572</v>
      </c>
      <c r="U1314" s="1" t="str">
        <f t="shared" si="20"/>
        <v>Yes</v>
      </c>
      <c r="W1314" s="1" t="s">
        <v>7573</v>
      </c>
      <c r="X1314" s="1" t="str">
        <f>IF(COUNTIF('MyWells Drilling Comp'!F:F,E1314)=0,"Missing","Exist")</f>
        <v>Exist</v>
      </c>
    </row>
    <row r="1315" hidden="1" spans="1:24">
      <c r="A1315" s="1" t="s">
        <v>5265</v>
      </c>
      <c r="B1315" s="1" t="s">
        <v>90</v>
      </c>
      <c r="C1315" s="1" t="s">
        <v>7574</v>
      </c>
      <c r="D1315" s="1" t="s">
        <v>7570</v>
      </c>
      <c r="E1315" s="2" t="s">
        <v>1362</v>
      </c>
      <c r="F1315" s="8" t="s">
        <v>7575</v>
      </c>
      <c r="G1315" s="1">
        <v>1</v>
      </c>
      <c r="H1315" s="1" t="s">
        <v>1663</v>
      </c>
      <c r="I1315" s="1" t="s">
        <v>1657</v>
      </c>
      <c r="J1315" s="1" t="s">
        <v>1658</v>
      </c>
      <c r="K1315" s="1" t="s">
        <v>1658</v>
      </c>
      <c r="L1315" s="1" t="s">
        <v>1658</v>
      </c>
      <c r="M1315" s="1" t="s">
        <v>1658</v>
      </c>
      <c r="N1315" s="1" t="s">
        <v>1658</v>
      </c>
      <c r="O1315" s="1" t="s">
        <v>1658</v>
      </c>
      <c r="P1315" s="1">
        <v>1</v>
      </c>
      <c r="Q1315" s="1" t="s">
        <v>1658</v>
      </c>
      <c r="R1315" s="1">
        <v>0</v>
      </c>
      <c r="S1315" s="1" t="s">
        <v>7576</v>
      </c>
      <c r="T1315" s="6" t="s">
        <v>7576</v>
      </c>
      <c r="U1315" s="1" t="str">
        <f t="shared" si="20"/>
        <v>Yes</v>
      </c>
      <c r="W1315" s="1" t="s">
        <v>7577</v>
      </c>
      <c r="X1315" s="1" t="str">
        <f>IF(COUNTIF('MyWells Drilling Comp'!F:F,E1315)=0,"Missing","Exist")</f>
        <v>Exist</v>
      </c>
    </row>
    <row r="1316" hidden="1" spans="1:24">
      <c r="A1316" s="1" t="s">
        <v>5265</v>
      </c>
      <c r="B1316" s="1" t="s">
        <v>90</v>
      </c>
      <c r="C1316" s="1" t="s">
        <v>7578</v>
      </c>
      <c r="D1316" s="1" t="s">
        <v>7579</v>
      </c>
      <c r="E1316" s="2" t="s">
        <v>530</v>
      </c>
      <c r="F1316" s="2" t="s">
        <v>7580</v>
      </c>
      <c r="G1316" s="1">
        <v>1</v>
      </c>
      <c r="H1316" s="1" t="s">
        <v>1656</v>
      </c>
      <c r="I1316" s="1" t="s">
        <v>1657</v>
      </c>
      <c r="J1316" s="1" t="s">
        <v>1658</v>
      </c>
      <c r="K1316" s="1" t="s">
        <v>1658</v>
      </c>
      <c r="L1316" s="1" t="s">
        <v>1658</v>
      </c>
      <c r="M1316" s="1" t="s">
        <v>1658</v>
      </c>
      <c r="N1316" s="1" t="s">
        <v>1658</v>
      </c>
      <c r="O1316" s="1" t="s">
        <v>1658</v>
      </c>
      <c r="P1316" s="1">
        <v>1</v>
      </c>
      <c r="Q1316" s="1" t="s">
        <v>1658</v>
      </c>
      <c r="R1316" s="1">
        <v>0</v>
      </c>
      <c r="S1316" s="1" t="s">
        <v>7581</v>
      </c>
      <c r="T1316" s="6" t="s">
        <v>7581</v>
      </c>
      <c r="U1316" s="1" t="str">
        <f t="shared" si="20"/>
        <v>Yes</v>
      </c>
      <c r="W1316" s="1" t="s">
        <v>7582</v>
      </c>
      <c r="X1316" s="1" t="str">
        <f>IF(COUNTIF('MyWells Drilling Comp'!F:F,E1316)=0,"Missing","Exist")</f>
        <v>Exist</v>
      </c>
    </row>
    <row r="1317" hidden="1" spans="1:24">
      <c r="A1317" s="1" t="s">
        <v>5265</v>
      </c>
      <c r="B1317" s="1" t="s">
        <v>90</v>
      </c>
      <c r="C1317" s="1" t="s">
        <v>7583</v>
      </c>
      <c r="D1317" s="1" t="s">
        <v>7579</v>
      </c>
      <c r="E1317" s="2" t="s">
        <v>530</v>
      </c>
      <c r="F1317" s="2" t="s">
        <v>7584</v>
      </c>
      <c r="G1317" s="1">
        <v>1</v>
      </c>
      <c r="H1317" s="1" t="s">
        <v>1663</v>
      </c>
      <c r="I1317" s="1" t="s">
        <v>1657</v>
      </c>
      <c r="J1317" s="1" t="s">
        <v>1658</v>
      </c>
      <c r="K1317" s="1" t="s">
        <v>1658</v>
      </c>
      <c r="L1317" s="1" t="s">
        <v>1658</v>
      </c>
      <c r="M1317" s="1" t="s">
        <v>1658</v>
      </c>
      <c r="N1317" s="1" t="s">
        <v>1658</v>
      </c>
      <c r="O1317" s="1" t="s">
        <v>1658</v>
      </c>
      <c r="P1317" s="1">
        <v>1</v>
      </c>
      <c r="Q1317" s="1" t="s">
        <v>1658</v>
      </c>
      <c r="R1317" s="1">
        <v>0</v>
      </c>
      <c r="S1317" s="1" t="s">
        <v>7585</v>
      </c>
      <c r="T1317" s="6" t="s">
        <v>7585</v>
      </c>
      <c r="U1317" s="1" t="str">
        <f t="shared" si="20"/>
        <v>Yes</v>
      </c>
      <c r="W1317" s="1" t="s">
        <v>7586</v>
      </c>
      <c r="X1317" s="1" t="str">
        <f>IF(COUNTIF('MyWells Drilling Comp'!F:F,E1317)=0,"Missing","Exist")</f>
        <v>Exist</v>
      </c>
    </row>
    <row r="1318" hidden="1" spans="1:24">
      <c r="A1318" s="1" t="s">
        <v>5265</v>
      </c>
      <c r="B1318" s="1" t="s">
        <v>90</v>
      </c>
      <c r="C1318" s="1" t="s">
        <v>7587</v>
      </c>
      <c r="D1318" s="1" t="s">
        <v>7588</v>
      </c>
      <c r="E1318" s="2" t="s">
        <v>772</v>
      </c>
      <c r="F1318" s="2" t="s">
        <v>7589</v>
      </c>
      <c r="G1318" s="1">
        <v>1</v>
      </c>
      <c r="H1318" s="1" t="s">
        <v>1656</v>
      </c>
      <c r="I1318" s="1" t="s">
        <v>1657</v>
      </c>
      <c r="J1318" s="1" t="s">
        <v>1658</v>
      </c>
      <c r="K1318" s="1" t="s">
        <v>1658</v>
      </c>
      <c r="L1318" s="1" t="s">
        <v>1658</v>
      </c>
      <c r="M1318" s="1" t="s">
        <v>1658</v>
      </c>
      <c r="N1318" s="1" t="s">
        <v>1658</v>
      </c>
      <c r="O1318" s="1" t="s">
        <v>1658</v>
      </c>
      <c r="P1318" s="1">
        <v>1</v>
      </c>
      <c r="Q1318" s="1" t="s">
        <v>1658</v>
      </c>
      <c r="R1318" s="1">
        <v>0</v>
      </c>
      <c r="S1318" s="1" t="s">
        <v>7590</v>
      </c>
      <c r="T1318" s="6"/>
      <c r="U1318" s="1" t="str">
        <f t="shared" si="20"/>
        <v>No</v>
      </c>
      <c r="W1318" s="1" t="s">
        <v>7591</v>
      </c>
      <c r="X1318" s="1" t="str">
        <f>IF(COUNTIF('MyWells Drilling Comp'!F:F,E1318)=0,"Missing","Exist")</f>
        <v>Exist</v>
      </c>
    </row>
    <row r="1319" hidden="1" spans="1:24">
      <c r="A1319" s="1" t="s">
        <v>5265</v>
      </c>
      <c r="B1319" s="1" t="s">
        <v>90</v>
      </c>
      <c r="C1319" s="1" t="s">
        <v>7592</v>
      </c>
      <c r="D1319" s="1" t="s">
        <v>7588</v>
      </c>
      <c r="E1319" s="2" t="s">
        <v>772</v>
      </c>
      <c r="F1319" s="2" t="s">
        <v>7593</v>
      </c>
      <c r="G1319" s="1">
        <v>1</v>
      </c>
      <c r="H1319" s="1" t="s">
        <v>1663</v>
      </c>
      <c r="I1319" s="1" t="s">
        <v>1657</v>
      </c>
      <c r="J1319" s="1" t="s">
        <v>1658</v>
      </c>
      <c r="K1319" s="1" t="s">
        <v>1658</v>
      </c>
      <c r="L1319" s="1" t="s">
        <v>1658</v>
      </c>
      <c r="M1319" s="1" t="s">
        <v>1658</v>
      </c>
      <c r="N1319" s="1" t="s">
        <v>1658</v>
      </c>
      <c r="O1319" s="1" t="s">
        <v>1658</v>
      </c>
      <c r="P1319" s="1">
        <v>1</v>
      </c>
      <c r="Q1319" s="1" t="s">
        <v>1658</v>
      </c>
      <c r="R1319" s="1">
        <v>0</v>
      </c>
      <c r="S1319" s="1" t="s">
        <v>7594</v>
      </c>
      <c r="T1319" s="6"/>
      <c r="U1319" s="1" t="str">
        <f t="shared" si="20"/>
        <v>No</v>
      </c>
      <c r="W1319" s="1" t="s">
        <v>7595</v>
      </c>
      <c r="X1319" s="1" t="str">
        <f>IF(COUNTIF('MyWells Drilling Comp'!F:F,E1319)=0,"Missing","Exist")</f>
        <v>Exist</v>
      </c>
    </row>
    <row r="1320" hidden="1" spans="1:24">
      <c r="A1320" s="1" t="s">
        <v>5265</v>
      </c>
      <c r="B1320" s="1" t="s">
        <v>90</v>
      </c>
      <c r="C1320" s="1" t="s">
        <v>7596</v>
      </c>
      <c r="D1320" s="1" t="s">
        <v>7597</v>
      </c>
      <c r="E1320" s="2" t="s">
        <v>671</v>
      </c>
      <c r="F1320" s="2" t="s">
        <v>7598</v>
      </c>
      <c r="G1320" s="1">
        <v>1</v>
      </c>
      <c r="H1320" s="1" t="s">
        <v>1663</v>
      </c>
      <c r="I1320" s="1" t="s">
        <v>1657</v>
      </c>
      <c r="J1320" s="1" t="s">
        <v>1658</v>
      </c>
      <c r="K1320" s="1" t="s">
        <v>1658</v>
      </c>
      <c r="L1320" s="1" t="s">
        <v>1658</v>
      </c>
      <c r="M1320" s="1" t="s">
        <v>1658</v>
      </c>
      <c r="N1320" s="1" t="s">
        <v>1658</v>
      </c>
      <c r="O1320" s="1" t="s">
        <v>1658</v>
      </c>
      <c r="P1320" s="1">
        <v>1</v>
      </c>
      <c r="Q1320" s="1" t="s">
        <v>1658</v>
      </c>
      <c r="R1320" s="1">
        <v>0</v>
      </c>
      <c r="S1320" s="1" t="s">
        <v>7599</v>
      </c>
      <c r="T1320" s="6" t="s">
        <v>7599</v>
      </c>
      <c r="U1320" s="1" t="str">
        <f t="shared" si="20"/>
        <v>Yes</v>
      </c>
      <c r="W1320" s="1" t="s">
        <v>7600</v>
      </c>
      <c r="X1320" s="1" t="str">
        <f>IF(COUNTIF('MyWells Drilling Comp'!F:F,E1320)=0,"Missing","Exist")</f>
        <v>Exist</v>
      </c>
    </row>
    <row r="1321" hidden="1" spans="1:24">
      <c r="A1321" s="1" t="s">
        <v>5265</v>
      </c>
      <c r="B1321" s="1" t="s">
        <v>90</v>
      </c>
      <c r="C1321" s="1" t="s">
        <v>7601</v>
      </c>
      <c r="D1321" s="1" t="s">
        <v>7597</v>
      </c>
      <c r="E1321" s="2" t="s">
        <v>671</v>
      </c>
      <c r="F1321" s="2" t="s">
        <v>7602</v>
      </c>
      <c r="G1321" s="1">
        <v>1</v>
      </c>
      <c r="H1321" s="1" t="s">
        <v>1656</v>
      </c>
      <c r="I1321" s="1" t="s">
        <v>1657</v>
      </c>
      <c r="J1321" s="1" t="s">
        <v>1658</v>
      </c>
      <c r="K1321" s="1" t="s">
        <v>1658</v>
      </c>
      <c r="L1321" s="1" t="s">
        <v>1658</v>
      </c>
      <c r="M1321" s="1" t="s">
        <v>1658</v>
      </c>
      <c r="N1321" s="1" t="s">
        <v>1658</v>
      </c>
      <c r="O1321" s="1" t="s">
        <v>1658</v>
      </c>
      <c r="P1321" s="1">
        <v>1</v>
      </c>
      <c r="Q1321" s="1" t="s">
        <v>1658</v>
      </c>
      <c r="R1321" s="1">
        <v>0</v>
      </c>
      <c r="S1321" s="1" t="s">
        <v>7603</v>
      </c>
      <c r="T1321" s="6"/>
      <c r="U1321" s="1" t="str">
        <f t="shared" si="20"/>
        <v>No</v>
      </c>
      <c r="W1321" s="1" t="s">
        <v>7604</v>
      </c>
      <c r="X1321" s="1" t="str">
        <f>IF(COUNTIF('MyWells Drilling Comp'!F:F,E1321)=0,"Missing","Exist")</f>
        <v>Exist</v>
      </c>
    </row>
    <row r="1322" hidden="1" spans="1:24">
      <c r="A1322" s="1" t="s">
        <v>5265</v>
      </c>
      <c r="B1322" s="1" t="s">
        <v>90</v>
      </c>
      <c r="C1322" s="1" t="s">
        <v>7605</v>
      </c>
      <c r="D1322" s="1" t="s">
        <v>7606</v>
      </c>
      <c r="E1322" s="2" t="s">
        <v>1478</v>
      </c>
      <c r="F1322" s="2" t="s">
        <v>7607</v>
      </c>
      <c r="G1322" s="1">
        <v>1</v>
      </c>
      <c r="H1322" s="1" t="s">
        <v>1656</v>
      </c>
      <c r="I1322" s="1" t="s">
        <v>1657</v>
      </c>
      <c r="J1322" s="1" t="s">
        <v>1658</v>
      </c>
      <c r="K1322" s="1" t="s">
        <v>1658</v>
      </c>
      <c r="L1322" s="1" t="s">
        <v>1658</v>
      </c>
      <c r="M1322" s="1" t="s">
        <v>1658</v>
      </c>
      <c r="N1322" s="1" t="s">
        <v>1658</v>
      </c>
      <c r="O1322" s="1" t="s">
        <v>1658</v>
      </c>
      <c r="P1322" s="1">
        <v>1</v>
      </c>
      <c r="Q1322" s="1" t="s">
        <v>1658</v>
      </c>
      <c r="R1322" s="1">
        <v>0</v>
      </c>
      <c r="S1322" s="1" t="s">
        <v>7608</v>
      </c>
      <c r="T1322" s="6"/>
      <c r="U1322" s="1" t="str">
        <f t="shared" si="20"/>
        <v>No</v>
      </c>
      <c r="W1322" s="1" t="s">
        <v>7609</v>
      </c>
      <c r="X1322" s="1" t="str">
        <f>IF(COUNTIF('MyWells Drilling Comp'!F:F,E1322)=0,"Missing","Exist")</f>
        <v>Exist</v>
      </c>
    </row>
    <row r="1323" hidden="1" spans="1:24">
      <c r="A1323" s="1" t="s">
        <v>5265</v>
      </c>
      <c r="B1323" s="1" t="s">
        <v>90</v>
      </c>
      <c r="C1323" s="1" t="s">
        <v>7610</v>
      </c>
      <c r="D1323" s="1" t="s">
        <v>7606</v>
      </c>
      <c r="E1323" s="2" t="s">
        <v>1478</v>
      </c>
      <c r="F1323" s="2" t="s">
        <v>7611</v>
      </c>
      <c r="G1323" s="1">
        <v>1</v>
      </c>
      <c r="H1323" s="1" t="s">
        <v>1663</v>
      </c>
      <c r="I1323" s="1" t="s">
        <v>1657</v>
      </c>
      <c r="J1323" s="1" t="s">
        <v>1658</v>
      </c>
      <c r="K1323" s="1" t="s">
        <v>1658</v>
      </c>
      <c r="L1323" s="1" t="s">
        <v>1658</v>
      </c>
      <c r="M1323" s="1" t="s">
        <v>1658</v>
      </c>
      <c r="N1323" s="1" t="s">
        <v>1658</v>
      </c>
      <c r="O1323" s="1" t="s">
        <v>1658</v>
      </c>
      <c r="P1323" s="1">
        <v>1</v>
      </c>
      <c r="Q1323" s="1" t="s">
        <v>1658</v>
      </c>
      <c r="R1323" s="1">
        <v>0</v>
      </c>
      <c r="S1323" s="1" t="s">
        <v>7612</v>
      </c>
      <c r="T1323" s="6"/>
      <c r="U1323" s="1" t="str">
        <f t="shared" si="20"/>
        <v>No</v>
      </c>
      <c r="W1323" s="1" t="s">
        <v>7613</v>
      </c>
      <c r="X1323" s="1" t="str">
        <f>IF(COUNTIF('MyWells Drilling Comp'!F:F,E1323)=0,"Missing","Exist")</f>
        <v>Exist</v>
      </c>
    </row>
    <row r="1324" hidden="1" spans="1:24">
      <c r="A1324" s="1" t="s">
        <v>5265</v>
      </c>
      <c r="B1324" s="1" t="s">
        <v>90</v>
      </c>
      <c r="C1324" s="1" t="s">
        <v>7614</v>
      </c>
      <c r="D1324" s="1" t="s">
        <v>7615</v>
      </c>
      <c r="E1324" s="2" t="s">
        <v>703</v>
      </c>
      <c r="F1324" s="2" t="s">
        <v>7616</v>
      </c>
      <c r="G1324" s="1">
        <v>1</v>
      </c>
      <c r="H1324" s="1" t="s">
        <v>1656</v>
      </c>
      <c r="I1324" s="1" t="s">
        <v>1657</v>
      </c>
      <c r="J1324" s="1" t="s">
        <v>1658</v>
      </c>
      <c r="K1324" s="1" t="s">
        <v>1658</v>
      </c>
      <c r="L1324" s="1" t="s">
        <v>1658</v>
      </c>
      <c r="M1324" s="1" t="s">
        <v>1658</v>
      </c>
      <c r="N1324" s="1" t="s">
        <v>1658</v>
      </c>
      <c r="O1324" s="1" t="s">
        <v>1658</v>
      </c>
      <c r="P1324" s="1">
        <v>1</v>
      </c>
      <c r="Q1324" s="1" t="s">
        <v>1658</v>
      </c>
      <c r="R1324" s="1">
        <v>0</v>
      </c>
      <c r="S1324" s="1" t="s">
        <v>7617</v>
      </c>
      <c r="T1324" s="6" t="s">
        <v>7617</v>
      </c>
      <c r="U1324" s="1" t="str">
        <f t="shared" si="20"/>
        <v>Yes</v>
      </c>
      <c r="W1324" s="1" t="s">
        <v>7618</v>
      </c>
      <c r="X1324" s="1" t="str">
        <f>IF(COUNTIF('MyWells Drilling Comp'!F:F,E1324)=0,"Missing","Exist")</f>
        <v>Exist</v>
      </c>
    </row>
    <row r="1325" hidden="1" spans="1:24">
      <c r="A1325" s="1" t="s">
        <v>5265</v>
      </c>
      <c r="B1325" s="1" t="s">
        <v>90</v>
      </c>
      <c r="C1325" s="1" t="s">
        <v>7619</v>
      </c>
      <c r="D1325" s="1" t="s">
        <v>7615</v>
      </c>
      <c r="E1325" s="2" t="s">
        <v>703</v>
      </c>
      <c r="F1325" s="2" t="s">
        <v>7620</v>
      </c>
      <c r="G1325" s="1">
        <v>1</v>
      </c>
      <c r="H1325" s="1" t="s">
        <v>1663</v>
      </c>
      <c r="I1325" s="1" t="s">
        <v>1657</v>
      </c>
      <c r="J1325" s="1" t="s">
        <v>1658</v>
      </c>
      <c r="K1325" s="1" t="s">
        <v>1658</v>
      </c>
      <c r="L1325" s="1" t="s">
        <v>1658</v>
      </c>
      <c r="M1325" s="1" t="s">
        <v>1658</v>
      </c>
      <c r="N1325" s="1" t="s">
        <v>1658</v>
      </c>
      <c r="O1325" s="1" t="s">
        <v>1658</v>
      </c>
      <c r="P1325" s="1">
        <v>1</v>
      </c>
      <c r="Q1325" s="1" t="s">
        <v>1658</v>
      </c>
      <c r="R1325" s="1">
        <v>0</v>
      </c>
      <c r="S1325" s="1" t="s">
        <v>7621</v>
      </c>
      <c r="T1325" s="6" t="s">
        <v>7621</v>
      </c>
      <c r="U1325" s="1" t="str">
        <f t="shared" si="20"/>
        <v>Yes</v>
      </c>
      <c r="W1325" s="1" t="s">
        <v>7622</v>
      </c>
      <c r="X1325" s="1" t="str">
        <f>IF(COUNTIF('MyWells Drilling Comp'!F:F,E1325)=0,"Missing","Exist")</f>
        <v>Exist</v>
      </c>
    </row>
    <row r="1326" hidden="1" spans="1:24">
      <c r="A1326" s="1" t="s">
        <v>5265</v>
      </c>
      <c r="B1326" s="1" t="s">
        <v>90</v>
      </c>
      <c r="C1326" s="1" t="s">
        <v>7623</v>
      </c>
      <c r="D1326" s="1" t="s">
        <v>7624</v>
      </c>
      <c r="E1326" s="2" t="s">
        <v>626</v>
      </c>
      <c r="F1326" s="8" t="s">
        <v>7625</v>
      </c>
      <c r="G1326" s="1">
        <v>1</v>
      </c>
      <c r="H1326" s="1" t="s">
        <v>1663</v>
      </c>
      <c r="I1326" s="1" t="s">
        <v>1657</v>
      </c>
      <c r="J1326" s="1" t="s">
        <v>1658</v>
      </c>
      <c r="K1326" s="1" t="s">
        <v>1658</v>
      </c>
      <c r="L1326" s="1" t="s">
        <v>1658</v>
      </c>
      <c r="M1326" s="1" t="s">
        <v>1658</v>
      </c>
      <c r="N1326" s="1" t="s">
        <v>1658</v>
      </c>
      <c r="O1326" s="1" t="s">
        <v>1658</v>
      </c>
      <c r="P1326" s="1">
        <v>1</v>
      </c>
      <c r="Q1326" s="1" t="s">
        <v>1658</v>
      </c>
      <c r="R1326" s="1">
        <v>0</v>
      </c>
      <c r="S1326" s="1" t="s">
        <v>7626</v>
      </c>
      <c r="T1326" s="6"/>
      <c r="U1326" s="1" t="str">
        <f t="shared" si="20"/>
        <v>No</v>
      </c>
      <c r="W1326" s="1" t="s">
        <v>7627</v>
      </c>
      <c r="X1326" s="1" t="str">
        <f>IF(COUNTIF('MyWells Drilling Comp'!F:F,E1326)=0,"Missing","Exist")</f>
        <v>Exist</v>
      </c>
    </row>
    <row r="1327" hidden="1" spans="1:24">
      <c r="A1327" s="1" t="s">
        <v>5265</v>
      </c>
      <c r="B1327" s="1" t="s">
        <v>90</v>
      </c>
      <c r="C1327" s="1" t="s">
        <v>7628</v>
      </c>
      <c r="D1327" s="1" t="s">
        <v>7624</v>
      </c>
      <c r="E1327" s="2" t="s">
        <v>626</v>
      </c>
      <c r="F1327" s="2" t="s">
        <v>7629</v>
      </c>
      <c r="G1327" s="1">
        <v>1</v>
      </c>
      <c r="H1327" s="1" t="s">
        <v>1656</v>
      </c>
      <c r="I1327" s="1" t="s">
        <v>1657</v>
      </c>
      <c r="J1327" s="1" t="s">
        <v>1658</v>
      </c>
      <c r="K1327" s="1" t="s">
        <v>1658</v>
      </c>
      <c r="L1327" s="1" t="s">
        <v>1658</v>
      </c>
      <c r="M1327" s="1" t="s">
        <v>1658</v>
      </c>
      <c r="N1327" s="1" t="s">
        <v>1658</v>
      </c>
      <c r="O1327" s="1" t="s">
        <v>1658</v>
      </c>
      <c r="P1327" s="1">
        <v>1</v>
      </c>
      <c r="Q1327" s="1" t="s">
        <v>1658</v>
      </c>
      <c r="R1327" s="1">
        <v>0</v>
      </c>
      <c r="S1327" s="1" t="s">
        <v>7630</v>
      </c>
      <c r="T1327" s="6"/>
      <c r="U1327" s="1" t="str">
        <f t="shared" si="20"/>
        <v>No</v>
      </c>
      <c r="W1327" s="1" t="s">
        <v>7631</v>
      </c>
      <c r="X1327" s="1" t="str">
        <f>IF(COUNTIF('MyWells Drilling Comp'!F:F,E1327)=0,"Missing","Exist")</f>
        <v>Exist</v>
      </c>
    </row>
    <row r="1328" hidden="1" spans="1:24">
      <c r="A1328" s="1" t="s">
        <v>5265</v>
      </c>
      <c r="B1328" s="1" t="s">
        <v>90</v>
      </c>
      <c r="C1328" s="1" t="s">
        <v>7632</v>
      </c>
      <c r="D1328" s="1" t="s">
        <v>7633</v>
      </c>
      <c r="E1328" s="2" t="s">
        <v>466</v>
      </c>
      <c r="F1328" s="2" t="s">
        <v>7634</v>
      </c>
      <c r="G1328" s="1">
        <v>1</v>
      </c>
      <c r="H1328" s="1" t="s">
        <v>1656</v>
      </c>
      <c r="I1328" s="1" t="s">
        <v>1657</v>
      </c>
      <c r="J1328" s="1" t="s">
        <v>1658</v>
      </c>
      <c r="K1328" s="1" t="s">
        <v>1658</v>
      </c>
      <c r="L1328" s="1" t="s">
        <v>1658</v>
      </c>
      <c r="M1328" s="1" t="s">
        <v>1658</v>
      </c>
      <c r="N1328" s="1" t="s">
        <v>1658</v>
      </c>
      <c r="O1328" s="1" t="s">
        <v>1658</v>
      </c>
      <c r="P1328" s="1">
        <v>1</v>
      </c>
      <c r="Q1328" s="1" t="s">
        <v>1658</v>
      </c>
      <c r="R1328" s="1">
        <v>0</v>
      </c>
      <c r="S1328" s="1" t="s">
        <v>7635</v>
      </c>
      <c r="T1328" s="6" t="s">
        <v>7635</v>
      </c>
      <c r="U1328" s="1" t="str">
        <f t="shared" si="20"/>
        <v>Yes</v>
      </c>
      <c r="W1328" s="1" t="s">
        <v>7636</v>
      </c>
      <c r="X1328" s="1" t="str">
        <f>IF(COUNTIF('MyWells Drilling Comp'!F:F,E1328)=0,"Missing","Exist")</f>
        <v>Exist</v>
      </c>
    </row>
    <row r="1329" hidden="1" spans="1:24">
      <c r="A1329" s="1" t="s">
        <v>5265</v>
      </c>
      <c r="B1329" s="1" t="s">
        <v>90</v>
      </c>
      <c r="C1329" s="1" t="s">
        <v>7637</v>
      </c>
      <c r="D1329" s="1" t="s">
        <v>7633</v>
      </c>
      <c r="E1329" s="2" t="s">
        <v>466</v>
      </c>
      <c r="F1329" s="2" t="s">
        <v>7638</v>
      </c>
      <c r="G1329" s="1">
        <v>1</v>
      </c>
      <c r="H1329" s="1" t="s">
        <v>1663</v>
      </c>
      <c r="I1329" s="1" t="s">
        <v>1657</v>
      </c>
      <c r="J1329" s="1" t="s">
        <v>1658</v>
      </c>
      <c r="K1329" s="1" t="s">
        <v>1658</v>
      </c>
      <c r="L1329" s="1" t="s">
        <v>1658</v>
      </c>
      <c r="M1329" s="1" t="s">
        <v>1658</v>
      </c>
      <c r="N1329" s="1" t="s">
        <v>1658</v>
      </c>
      <c r="O1329" s="1" t="s">
        <v>1658</v>
      </c>
      <c r="P1329" s="1">
        <v>1</v>
      </c>
      <c r="Q1329" s="1" t="s">
        <v>1658</v>
      </c>
      <c r="R1329" s="1">
        <v>0</v>
      </c>
      <c r="S1329" s="1" t="s">
        <v>7639</v>
      </c>
      <c r="T1329" s="6" t="s">
        <v>7639</v>
      </c>
      <c r="U1329" s="1" t="str">
        <f t="shared" si="20"/>
        <v>Yes</v>
      </c>
      <c r="W1329" s="1" t="s">
        <v>7640</v>
      </c>
      <c r="X1329" s="1" t="str">
        <f>IF(COUNTIF('MyWells Drilling Comp'!F:F,E1329)=0,"Missing","Exist")</f>
        <v>Exist</v>
      </c>
    </row>
    <row r="1330" hidden="1" spans="1:24">
      <c r="A1330" s="1" t="s">
        <v>5265</v>
      </c>
      <c r="B1330" s="1" t="s">
        <v>90</v>
      </c>
      <c r="C1330" s="1" t="s">
        <v>7641</v>
      </c>
      <c r="D1330" s="1" t="s">
        <v>7642</v>
      </c>
      <c r="E1330" s="2" t="s">
        <v>1047</v>
      </c>
      <c r="F1330" s="2" t="s">
        <v>7643</v>
      </c>
      <c r="G1330" s="1">
        <v>1</v>
      </c>
      <c r="H1330" s="1" t="s">
        <v>1656</v>
      </c>
      <c r="I1330" s="1" t="s">
        <v>1657</v>
      </c>
      <c r="J1330" s="1" t="s">
        <v>1658</v>
      </c>
      <c r="K1330" s="1" t="s">
        <v>1658</v>
      </c>
      <c r="L1330" s="1" t="s">
        <v>1658</v>
      </c>
      <c r="M1330" s="1" t="s">
        <v>1658</v>
      </c>
      <c r="N1330" s="1" t="s">
        <v>1658</v>
      </c>
      <c r="O1330" s="1" t="s">
        <v>1658</v>
      </c>
      <c r="P1330" s="1">
        <v>1</v>
      </c>
      <c r="Q1330" s="1" t="s">
        <v>1658</v>
      </c>
      <c r="R1330" s="1">
        <v>0</v>
      </c>
      <c r="S1330" s="1" t="s">
        <v>7644</v>
      </c>
      <c r="T1330" s="6"/>
      <c r="U1330" s="1" t="str">
        <f t="shared" si="20"/>
        <v>No</v>
      </c>
      <c r="W1330" s="1" t="s">
        <v>7645</v>
      </c>
      <c r="X1330" s="1" t="str">
        <f>IF(COUNTIF('MyWells Drilling Comp'!F:F,E1330)=0,"Missing","Exist")</f>
        <v>Exist</v>
      </c>
    </row>
    <row r="1331" hidden="1" spans="1:24">
      <c r="A1331" s="1" t="s">
        <v>5265</v>
      </c>
      <c r="B1331" s="1" t="s">
        <v>90</v>
      </c>
      <c r="C1331" s="1" t="s">
        <v>7646</v>
      </c>
      <c r="D1331" s="1" t="s">
        <v>7642</v>
      </c>
      <c r="E1331" s="2" t="s">
        <v>1047</v>
      </c>
      <c r="F1331" s="2" t="s">
        <v>7647</v>
      </c>
      <c r="G1331" s="1">
        <v>1</v>
      </c>
      <c r="H1331" s="1" t="s">
        <v>1663</v>
      </c>
      <c r="I1331" s="1" t="s">
        <v>1657</v>
      </c>
      <c r="J1331" s="1" t="s">
        <v>1658</v>
      </c>
      <c r="K1331" s="1" t="s">
        <v>1658</v>
      </c>
      <c r="L1331" s="1" t="s">
        <v>1658</v>
      </c>
      <c r="M1331" s="1" t="s">
        <v>1658</v>
      </c>
      <c r="N1331" s="1" t="s">
        <v>1658</v>
      </c>
      <c r="O1331" s="1" t="s">
        <v>1658</v>
      </c>
      <c r="P1331" s="1">
        <v>1</v>
      </c>
      <c r="Q1331" s="1" t="s">
        <v>1658</v>
      </c>
      <c r="R1331" s="1">
        <v>0</v>
      </c>
      <c r="S1331" s="1" t="s">
        <v>7648</v>
      </c>
      <c r="T1331" s="6" t="s">
        <v>7648</v>
      </c>
      <c r="U1331" s="1" t="str">
        <f t="shared" si="20"/>
        <v>Yes</v>
      </c>
      <c r="W1331" s="1" t="s">
        <v>7649</v>
      </c>
      <c r="X1331" s="1" t="str">
        <f>IF(COUNTIF('MyWells Drilling Comp'!F:F,E1331)=0,"Missing","Exist")</f>
        <v>Exist</v>
      </c>
    </row>
    <row r="1332" hidden="1" spans="1:24">
      <c r="A1332" s="1" t="s">
        <v>5265</v>
      </c>
      <c r="B1332" s="1" t="s">
        <v>90</v>
      </c>
      <c r="C1332" s="1" t="s">
        <v>7650</v>
      </c>
      <c r="D1332" s="1" t="s">
        <v>7651</v>
      </c>
      <c r="E1332" s="2" t="s">
        <v>632</v>
      </c>
      <c r="F1332" s="2" t="s">
        <v>7652</v>
      </c>
      <c r="G1332" s="1">
        <v>1</v>
      </c>
      <c r="H1332" s="1" t="s">
        <v>1663</v>
      </c>
      <c r="I1332" s="1" t="s">
        <v>1657</v>
      </c>
      <c r="J1332" s="1" t="s">
        <v>1658</v>
      </c>
      <c r="K1332" s="1" t="s">
        <v>1658</v>
      </c>
      <c r="L1332" s="1" t="s">
        <v>1658</v>
      </c>
      <c r="M1332" s="1" t="s">
        <v>1658</v>
      </c>
      <c r="N1332" s="1" t="s">
        <v>1658</v>
      </c>
      <c r="O1332" s="1" t="s">
        <v>1658</v>
      </c>
      <c r="P1332" s="1">
        <v>1</v>
      </c>
      <c r="Q1332" s="1" t="s">
        <v>1658</v>
      </c>
      <c r="R1332" s="1">
        <v>0</v>
      </c>
      <c r="S1332" s="1" t="s">
        <v>7653</v>
      </c>
      <c r="T1332" s="6" t="s">
        <v>7653</v>
      </c>
      <c r="U1332" s="1" t="str">
        <f t="shared" si="20"/>
        <v>Yes</v>
      </c>
      <c r="W1332" s="1" t="s">
        <v>7654</v>
      </c>
      <c r="X1332" s="1" t="str">
        <f>IF(COUNTIF('MyWells Drilling Comp'!F:F,E1332)=0,"Missing","Exist")</f>
        <v>Exist</v>
      </c>
    </row>
    <row r="1333" hidden="1" spans="1:24">
      <c r="A1333" s="1" t="s">
        <v>5265</v>
      </c>
      <c r="B1333" s="1" t="s">
        <v>90</v>
      </c>
      <c r="C1333" s="1" t="s">
        <v>7655</v>
      </c>
      <c r="D1333" s="1" t="s">
        <v>7651</v>
      </c>
      <c r="E1333" s="2" t="s">
        <v>632</v>
      </c>
      <c r="F1333" s="2" t="s">
        <v>7656</v>
      </c>
      <c r="G1333" s="1">
        <v>1</v>
      </c>
      <c r="H1333" s="1" t="s">
        <v>1656</v>
      </c>
      <c r="I1333" s="1" t="s">
        <v>1657</v>
      </c>
      <c r="J1333" s="1" t="s">
        <v>1658</v>
      </c>
      <c r="K1333" s="1" t="s">
        <v>1658</v>
      </c>
      <c r="L1333" s="1" t="s">
        <v>1658</v>
      </c>
      <c r="M1333" s="1" t="s">
        <v>1658</v>
      </c>
      <c r="N1333" s="1" t="s">
        <v>1658</v>
      </c>
      <c r="O1333" s="1" t="s">
        <v>1658</v>
      </c>
      <c r="P1333" s="1">
        <v>1</v>
      </c>
      <c r="Q1333" s="1" t="s">
        <v>1658</v>
      </c>
      <c r="R1333" s="1">
        <v>0</v>
      </c>
      <c r="S1333" s="1" t="s">
        <v>7657</v>
      </c>
      <c r="T1333" s="6" t="s">
        <v>7657</v>
      </c>
      <c r="U1333" s="1" t="str">
        <f t="shared" si="20"/>
        <v>Yes</v>
      </c>
      <c r="W1333" s="1" t="s">
        <v>7658</v>
      </c>
      <c r="X1333" s="1" t="str">
        <f>IF(COUNTIF('MyWells Drilling Comp'!F:F,E1333)=0,"Missing","Exist")</f>
        <v>Exist</v>
      </c>
    </row>
    <row r="1334" hidden="1" spans="1:24">
      <c r="A1334" s="1" t="s">
        <v>5265</v>
      </c>
      <c r="B1334" s="1" t="s">
        <v>90</v>
      </c>
      <c r="C1334" s="1" t="s">
        <v>7659</v>
      </c>
      <c r="D1334" s="1" t="s">
        <v>7660</v>
      </c>
      <c r="E1334" s="2" t="s">
        <v>773</v>
      </c>
      <c r="F1334" s="2" t="s">
        <v>7661</v>
      </c>
      <c r="G1334" s="1">
        <v>1</v>
      </c>
      <c r="H1334" s="1" t="s">
        <v>1656</v>
      </c>
      <c r="I1334" s="1" t="s">
        <v>1657</v>
      </c>
      <c r="J1334" s="1" t="s">
        <v>1658</v>
      </c>
      <c r="K1334" s="1" t="s">
        <v>1658</v>
      </c>
      <c r="L1334" s="1" t="s">
        <v>1658</v>
      </c>
      <c r="M1334" s="1" t="s">
        <v>1658</v>
      </c>
      <c r="N1334" s="1" t="s">
        <v>1658</v>
      </c>
      <c r="O1334" s="1" t="s">
        <v>1658</v>
      </c>
      <c r="P1334" s="1">
        <v>1</v>
      </c>
      <c r="Q1334" s="1" t="s">
        <v>1658</v>
      </c>
      <c r="R1334" s="1">
        <v>0</v>
      </c>
      <c r="S1334" s="1" t="s">
        <v>7662</v>
      </c>
      <c r="T1334" s="6" t="s">
        <v>7662</v>
      </c>
      <c r="U1334" s="1" t="str">
        <f t="shared" si="20"/>
        <v>Yes</v>
      </c>
      <c r="W1334" s="1" t="s">
        <v>7663</v>
      </c>
      <c r="X1334" s="1" t="str">
        <f>IF(COUNTIF('MyWells Drilling Comp'!F:F,E1334)=0,"Missing","Exist")</f>
        <v>Exist</v>
      </c>
    </row>
    <row r="1335" hidden="1" spans="1:24">
      <c r="A1335" s="1" t="s">
        <v>5265</v>
      </c>
      <c r="B1335" s="1" t="s">
        <v>90</v>
      </c>
      <c r="C1335" s="1" t="s">
        <v>7664</v>
      </c>
      <c r="D1335" s="1" t="s">
        <v>7660</v>
      </c>
      <c r="E1335" s="2" t="s">
        <v>773</v>
      </c>
      <c r="F1335" s="2" t="s">
        <v>7665</v>
      </c>
      <c r="G1335" s="1">
        <v>1</v>
      </c>
      <c r="H1335" s="1" t="s">
        <v>1663</v>
      </c>
      <c r="I1335" s="1" t="s">
        <v>1657</v>
      </c>
      <c r="J1335" s="1" t="s">
        <v>1658</v>
      </c>
      <c r="K1335" s="1" t="s">
        <v>1658</v>
      </c>
      <c r="L1335" s="1" t="s">
        <v>1658</v>
      </c>
      <c r="M1335" s="1" t="s">
        <v>1658</v>
      </c>
      <c r="N1335" s="1" t="s">
        <v>1658</v>
      </c>
      <c r="O1335" s="1" t="s">
        <v>1658</v>
      </c>
      <c r="P1335" s="1">
        <v>1</v>
      </c>
      <c r="Q1335" s="1" t="s">
        <v>1658</v>
      </c>
      <c r="R1335" s="1">
        <v>0</v>
      </c>
      <c r="S1335" s="1" t="s">
        <v>7666</v>
      </c>
      <c r="T1335" s="6" t="s">
        <v>7666</v>
      </c>
      <c r="U1335" s="1" t="str">
        <f t="shared" si="20"/>
        <v>Yes</v>
      </c>
      <c r="W1335" s="1" t="s">
        <v>7667</v>
      </c>
      <c r="X1335" s="1" t="str">
        <f>IF(COUNTIF('MyWells Drilling Comp'!F:F,E1335)=0,"Missing","Exist")</f>
        <v>Exist</v>
      </c>
    </row>
    <row r="1336" hidden="1" spans="1:24">
      <c r="A1336" s="1" t="s">
        <v>5265</v>
      </c>
      <c r="B1336" s="1" t="s">
        <v>90</v>
      </c>
      <c r="C1336" s="1" t="s">
        <v>7668</v>
      </c>
      <c r="D1336" s="1" t="s">
        <v>7669</v>
      </c>
      <c r="E1336" s="2" t="s">
        <v>595</v>
      </c>
      <c r="F1336" s="2" t="s">
        <v>7670</v>
      </c>
      <c r="G1336" s="1">
        <v>1</v>
      </c>
      <c r="H1336" s="1" t="s">
        <v>1663</v>
      </c>
      <c r="I1336" s="1" t="s">
        <v>1657</v>
      </c>
      <c r="J1336" s="1" t="s">
        <v>1658</v>
      </c>
      <c r="K1336" s="1" t="s">
        <v>1658</v>
      </c>
      <c r="L1336" s="1" t="s">
        <v>1658</v>
      </c>
      <c r="M1336" s="1" t="s">
        <v>1658</v>
      </c>
      <c r="N1336" s="1" t="s">
        <v>1658</v>
      </c>
      <c r="O1336" s="1" t="s">
        <v>1658</v>
      </c>
      <c r="P1336" s="1">
        <v>1</v>
      </c>
      <c r="Q1336" s="1" t="s">
        <v>1658</v>
      </c>
      <c r="R1336" s="1">
        <v>0</v>
      </c>
      <c r="S1336" s="1" t="s">
        <v>7671</v>
      </c>
      <c r="T1336" s="6" t="s">
        <v>7671</v>
      </c>
      <c r="U1336" s="1" t="str">
        <f t="shared" si="20"/>
        <v>Yes</v>
      </c>
      <c r="W1336" s="1" t="s">
        <v>7672</v>
      </c>
      <c r="X1336" s="1" t="str">
        <f>IF(COUNTIF('MyWells Drilling Comp'!F:F,E1336)=0,"Missing","Exist")</f>
        <v>Exist</v>
      </c>
    </row>
    <row r="1337" hidden="1" spans="1:24">
      <c r="A1337" s="1" t="s">
        <v>5265</v>
      </c>
      <c r="B1337" s="1" t="s">
        <v>90</v>
      </c>
      <c r="C1337" s="1" t="s">
        <v>7673</v>
      </c>
      <c r="D1337" s="1" t="s">
        <v>7669</v>
      </c>
      <c r="E1337" s="2" t="s">
        <v>595</v>
      </c>
      <c r="F1337" s="2" t="s">
        <v>7674</v>
      </c>
      <c r="G1337" s="1">
        <v>1</v>
      </c>
      <c r="H1337" s="1" t="s">
        <v>1656</v>
      </c>
      <c r="I1337" s="1" t="s">
        <v>1657</v>
      </c>
      <c r="J1337" s="1" t="s">
        <v>1658</v>
      </c>
      <c r="K1337" s="1" t="s">
        <v>1658</v>
      </c>
      <c r="L1337" s="1" t="s">
        <v>1658</v>
      </c>
      <c r="M1337" s="1" t="s">
        <v>1658</v>
      </c>
      <c r="N1337" s="1" t="s">
        <v>1658</v>
      </c>
      <c r="O1337" s="1" t="s">
        <v>1658</v>
      </c>
      <c r="P1337" s="1">
        <v>1</v>
      </c>
      <c r="Q1337" s="1" t="s">
        <v>1658</v>
      </c>
      <c r="R1337" s="1">
        <v>0</v>
      </c>
      <c r="S1337" s="1" t="s">
        <v>7675</v>
      </c>
      <c r="T1337" s="6" t="s">
        <v>7675</v>
      </c>
      <c r="U1337" s="1" t="str">
        <f t="shared" si="20"/>
        <v>Yes</v>
      </c>
      <c r="W1337" s="1" t="s">
        <v>7676</v>
      </c>
      <c r="X1337" s="1" t="str">
        <f>IF(COUNTIF('MyWells Drilling Comp'!F:F,E1337)=0,"Missing","Exist")</f>
        <v>Exist</v>
      </c>
    </row>
    <row r="1338" hidden="1" spans="1:24">
      <c r="A1338" s="1" t="s">
        <v>5265</v>
      </c>
      <c r="B1338" s="1" t="s">
        <v>90</v>
      </c>
      <c r="C1338" s="1" t="s">
        <v>7677</v>
      </c>
      <c r="D1338" s="1" t="s">
        <v>7678</v>
      </c>
      <c r="E1338" s="2" t="s">
        <v>556</v>
      </c>
      <c r="F1338" s="2" t="s">
        <v>7679</v>
      </c>
      <c r="G1338" s="1">
        <v>1</v>
      </c>
      <c r="H1338" s="1" t="s">
        <v>1656</v>
      </c>
      <c r="I1338" s="1" t="s">
        <v>1657</v>
      </c>
      <c r="J1338" s="1" t="s">
        <v>1658</v>
      </c>
      <c r="K1338" s="1" t="s">
        <v>1658</v>
      </c>
      <c r="L1338" s="1" t="s">
        <v>1658</v>
      </c>
      <c r="M1338" s="1" t="s">
        <v>1658</v>
      </c>
      <c r="N1338" s="1" t="s">
        <v>1658</v>
      </c>
      <c r="O1338" s="1" t="s">
        <v>1658</v>
      </c>
      <c r="P1338" s="1">
        <v>1</v>
      </c>
      <c r="Q1338" s="1" t="s">
        <v>1658</v>
      </c>
      <c r="R1338" s="1">
        <v>0</v>
      </c>
      <c r="S1338" s="1" t="s">
        <v>7680</v>
      </c>
      <c r="T1338" s="6" t="s">
        <v>7680</v>
      </c>
      <c r="U1338" s="1" t="str">
        <f t="shared" si="20"/>
        <v>Yes</v>
      </c>
      <c r="W1338" s="1" t="s">
        <v>7681</v>
      </c>
      <c r="X1338" s="1" t="str">
        <f>IF(COUNTIF('MyWells Drilling Comp'!F:F,E1338)=0,"Missing","Exist")</f>
        <v>Exist</v>
      </c>
    </row>
    <row r="1339" hidden="1" spans="1:24">
      <c r="A1339" s="1" t="s">
        <v>5265</v>
      </c>
      <c r="B1339" s="1" t="s">
        <v>90</v>
      </c>
      <c r="C1339" s="1" t="s">
        <v>7682</v>
      </c>
      <c r="D1339" s="1" t="s">
        <v>7678</v>
      </c>
      <c r="E1339" s="2" t="s">
        <v>556</v>
      </c>
      <c r="F1339" s="2" t="s">
        <v>7683</v>
      </c>
      <c r="G1339" s="1">
        <v>1</v>
      </c>
      <c r="H1339" s="1" t="s">
        <v>1663</v>
      </c>
      <c r="I1339" s="1" t="s">
        <v>1657</v>
      </c>
      <c r="J1339" s="1" t="s">
        <v>1658</v>
      </c>
      <c r="K1339" s="1" t="s">
        <v>1658</v>
      </c>
      <c r="L1339" s="1" t="s">
        <v>1658</v>
      </c>
      <c r="M1339" s="1" t="s">
        <v>1658</v>
      </c>
      <c r="N1339" s="1" t="s">
        <v>1658</v>
      </c>
      <c r="O1339" s="1" t="s">
        <v>1658</v>
      </c>
      <c r="P1339" s="1">
        <v>1</v>
      </c>
      <c r="Q1339" s="1" t="s">
        <v>1658</v>
      </c>
      <c r="R1339" s="1">
        <v>0</v>
      </c>
      <c r="S1339" s="1" t="s">
        <v>7684</v>
      </c>
      <c r="T1339" s="6" t="s">
        <v>7684</v>
      </c>
      <c r="U1339" s="1" t="str">
        <f t="shared" si="20"/>
        <v>Yes</v>
      </c>
      <c r="W1339" s="1" t="s">
        <v>7685</v>
      </c>
      <c r="X1339" s="1" t="str">
        <f>IF(COUNTIF('MyWells Drilling Comp'!F:F,E1339)=0,"Missing","Exist")</f>
        <v>Exist</v>
      </c>
    </row>
    <row r="1340" hidden="1" spans="1:24">
      <c r="A1340" s="1" t="s">
        <v>5265</v>
      </c>
      <c r="B1340" s="1" t="s">
        <v>90</v>
      </c>
      <c r="C1340" s="1" t="s">
        <v>7686</v>
      </c>
      <c r="D1340" s="1" t="s">
        <v>7687</v>
      </c>
      <c r="E1340" s="2" t="s">
        <v>1609</v>
      </c>
      <c r="F1340" s="2" t="s">
        <v>7688</v>
      </c>
      <c r="G1340" s="1">
        <v>1</v>
      </c>
      <c r="H1340" s="1" t="s">
        <v>1663</v>
      </c>
      <c r="I1340" s="1" t="s">
        <v>1657</v>
      </c>
      <c r="J1340" s="1" t="s">
        <v>1658</v>
      </c>
      <c r="K1340" s="1" t="s">
        <v>1658</v>
      </c>
      <c r="L1340" s="1" t="s">
        <v>1658</v>
      </c>
      <c r="M1340" s="1" t="s">
        <v>1658</v>
      </c>
      <c r="N1340" s="1" t="s">
        <v>1658</v>
      </c>
      <c r="O1340" s="1" t="s">
        <v>1658</v>
      </c>
      <c r="P1340" s="1">
        <v>1</v>
      </c>
      <c r="Q1340" s="1" t="s">
        <v>1658</v>
      </c>
      <c r="R1340" s="1">
        <v>0</v>
      </c>
      <c r="S1340" s="1" t="s">
        <v>7689</v>
      </c>
      <c r="T1340" s="6" t="s">
        <v>7689</v>
      </c>
      <c r="U1340" s="1" t="str">
        <f t="shared" si="20"/>
        <v>Yes</v>
      </c>
      <c r="W1340" s="1" t="s">
        <v>7690</v>
      </c>
      <c r="X1340" s="1" t="str">
        <f>IF(COUNTIF('MyWells Drilling Comp'!F:F,E1340)=0,"Missing","Exist")</f>
        <v>Exist</v>
      </c>
    </row>
    <row r="1341" hidden="1" spans="1:24">
      <c r="A1341" s="1" t="s">
        <v>5265</v>
      </c>
      <c r="B1341" s="1" t="s">
        <v>90</v>
      </c>
      <c r="C1341" s="1" t="s">
        <v>7691</v>
      </c>
      <c r="D1341" s="1" t="s">
        <v>7687</v>
      </c>
      <c r="E1341" s="2" t="s">
        <v>1609</v>
      </c>
      <c r="F1341" s="2" t="s">
        <v>7692</v>
      </c>
      <c r="G1341" s="1">
        <v>1</v>
      </c>
      <c r="H1341" s="1" t="s">
        <v>1656</v>
      </c>
      <c r="I1341" s="1" t="s">
        <v>1657</v>
      </c>
      <c r="J1341" s="1" t="s">
        <v>1658</v>
      </c>
      <c r="K1341" s="1" t="s">
        <v>1658</v>
      </c>
      <c r="L1341" s="1" t="s">
        <v>1658</v>
      </c>
      <c r="M1341" s="1" t="s">
        <v>1658</v>
      </c>
      <c r="N1341" s="1" t="s">
        <v>1658</v>
      </c>
      <c r="O1341" s="1" t="s">
        <v>1658</v>
      </c>
      <c r="P1341" s="1">
        <v>1</v>
      </c>
      <c r="Q1341" s="1" t="s">
        <v>1658</v>
      </c>
      <c r="R1341" s="1">
        <v>0</v>
      </c>
      <c r="S1341" s="1" t="s">
        <v>7693</v>
      </c>
      <c r="T1341" s="6" t="s">
        <v>7693</v>
      </c>
      <c r="U1341" s="1" t="str">
        <f t="shared" si="20"/>
        <v>Yes</v>
      </c>
      <c r="W1341" s="1" t="s">
        <v>7694</v>
      </c>
      <c r="X1341" s="1" t="str">
        <f>IF(COUNTIF('MyWells Drilling Comp'!F:F,E1341)=0,"Missing","Exist")</f>
        <v>Exist</v>
      </c>
    </row>
    <row r="1342" hidden="1" spans="1:24">
      <c r="A1342" s="1" t="s">
        <v>5265</v>
      </c>
      <c r="B1342" s="1" t="s">
        <v>90</v>
      </c>
      <c r="C1342" s="1" t="s">
        <v>7695</v>
      </c>
      <c r="D1342" s="1" t="s">
        <v>7696</v>
      </c>
      <c r="E1342" s="2" t="s">
        <v>1240</v>
      </c>
      <c r="F1342" s="2" t="s">
        <v>7697</v>
      </c>
      <c r="G1342" s="1">
        <v>1</v>
      </c>
      <c r="H1342" s="1" t="s">
        <v>1663</v>
      </c>
      <c r="I1342" s="1" t="s">
        <v>1657</v>
      </c>
      <c r="J1342" s="1" t="s">
        <v>1658</v>
      </c>
      <c r="K1342" s="1" t="s">
        <v>1658</v>
      </c>
      <c r="L1342" s="1" t="s">
        <v>1658</v>
      </c>
      <c r="M1342" s="1" t="s">
        <v>1658</v>
      </c>
      <c r="N1342" s="1" t="s">
        <v>1658</v>
      </c>
      <c r="O1342" s="1" t="s">
        <v>1658</v>
      </c>
      <c r="P1342" s="1">
        <v>1</v>
      </c>
      <c r="Q1342" s="1" t="s">
        <v>1658</v>
      </c>
      <c r="R1342" s="1">
        <v>0</v>
      </c>
      <c r="S1342" s="1" t="s">
        <v>7698</v>
      </c>
      <c r="T1342" s="6"/>
      <c r="U1342" s="1" t="str">
        <f t="shared" si="20"/>
        <v>No</v>
      </c>
      <c r="W1342" s="1" t="s">
        <v>7699</v>
      </c>
      <c r="X1342" s="1" t="str">
        <f>IF(COUNTIF('MyWells Drilling Comp'!F:F,E1342)=0,"Missing","Exist")</f>
        <v>Exist</v>
      </c>
    </row>
    <row r="1343" hidden="1" spans="1:24">
      <c r="A1343" s="1" t="s">
        <v>5265</v>
      </c>
      <c r="B1343" s="1" t="s">
        <v>90</v>
      </c>
      <c r="C1343" s="1" t="s">
        <v>7700</v>
      </c>
      <c r="D1343" s="1" t="s">
        <v>7696</v>
      </c>
      <c r="E1343" s="2" t="s">
        <v>1240</v>
      </c>
      <c r="F1343" s="2" t="s">
        <v>7701</v>
      </c>
      <c r="G1343" s="1">
        <v>1</v>
      </c>
      <c r="H1343" s="1" t="s">
        <v>1656</v>
      </c>
      <c r="I1343" s="1" t="s">
        <v>1657</v>
      </c>
      <c r="J1343" s="1" t="s">
        <v>1658</v>
      </c>
      <c r="K1343" s="1" t="s">
        <v>1658</v>
      </c>
      <c r="L1343" s="1" t="s">
        <v>1658</v>
      </c>
      <c r="M1343" s="1" t="s">
        <v>1658</v>
      </c>
      <c r="N1343" s="1" t="s">
        <v>1658</v>
      </c>
      <c r="O1343" s="1" t="s">
        <v>1658</v>
      </c>
      <c r="P1343" s="1">
        <v>1</v>
      </c>
      <c r="Q1343" s="1" t="s">
        <v>1658</v>
      </c>
      <c r="R1343" s="1">
        <v>0</v>
      </c>
      <c r="S1343" s="1" t="s">
        <v>7698</v>
      </c>
      <c r="T1343" s="6"/>
      <c r="U1343" s="1" t="str">
        <f t="shared" si="20"/>
        <v>No</v>
      </c>
      <c r="W1343" s="1" t="s">
        <v>7702</v>
      </c>
      <c r="X1343" s="1" t="str">
        <f>IF(COUNTIF('MyWells Drilling Comp'!F:F,E1343)=0,"Missing","Exist")</f>
        <v>Exist</v>
      </c>
    </row>
    <row r="1344" hidden="1" spans="1:24">
      <c r="A1344" s="1" t="s">
        <v>5265</v>
      </c>
      <c r="B1344" s="1" t="s">
        <v>90</v>
      </c>
      <c r="C1344" s="1" t="s">
        <v>7703</v>
      </c>
      <c r="D1344" s="1" t="s">
        <v>7704</v>
      </c>
      <c r="E1344" s="2" t="s">
        <v>1020</v>
      </c>
      <c r="F1344" s="2" t="s">
        <v>7705</v>
      </c>
      <c r="G1344" s="1">
        <v>1</v>
      </c>
      <c r="H1344" s="1" t="s">
        <v>1656</v>
      </c>
      <c r="I1344" s="1" t="s">
        <v>1657</v>
      </c>
      <c r="J1344" s="1" t="s">
        <v>1658</v>
      </c>
      <c r="K1344" s="1" t="s">
        <v>1658</v>
      </c>
      <c r="L1344" s="1" t="s">
        <v>1658</v>
      </c>
      <c r="M1344" s="1" t="s">
        <v>1658</v>
      </c>
      <c r="N1344" s="1" t="s">
        <v>1658</v>
      </c>
      <c r="O1344" s="1" t="s">
        <v>1658</v>
      </c>
      <c r="P1344" s="1">
        <v>1</v>
      </c>
      <c r="Q1344" s="1" t="s">
        <v>1658</v>
      </c>
      <c r="R1344" s="1">
        <v>0</v>
      </c>
      <c r="S1344" s="1" t="s">
        <v>7706</v>
      </c>
      <c r="T1344" s="6" t="s">
        <v>7706</v>
      </c>
      <c r="U1344" s="1" t="str">
        <f t="shared" si="20"/>
        <v>Yes</v>
      </c>
      <c r="W1344" s="1" t="s">
        <v>7707</v>
      </c>
      <c r="X1344" s="1" t="str">
        <f>IF(COUNTIF('MyWells Drilling Comp'!F:F,E1344)=0,"Missing","Exist")</f>
        <v>Exist</v>
      </c>
    </row>
    <row r="1345" hidden="1" spans="1:24">
      <c r="A1345" s="1" t="s">
        <v>5265</v>
      </c>
      <c r="B1345" s="1" t="s">
        <v>90</v>
      </c>
      <c r="C1345" s="1" t="s">
        <v>7708</v>
      </c>
      <c r="D1345" s="1" t="s">
        <v>7704</v>
      </c>
      <c r="E1345" s="2" t="s">
        <v>1020</v>
      </c>
      <c r="F1345" s="2" t="s">
        <v>7709</v>
      </c>
      <c r="G1345" s="1">
        <v>1</v>
      </c>
      <c r="H1345" s="1" t="s">
        <v>1663</v>
      </c>
      <c r="I1345" s="1" t="s">
        <v>1657</v>
      </c>
      <c r="J1345" s="1" t="s">
        <v>1658</v>
      </c>
      <c r="K1345" s="1" t="s">
        <v>1658</v>
      </c>
      <c r="L1345" s="1" t="s">
        <v>1658</v>
      </c>
      <c r="M1345" s="1" t="s">
        <v>1658</v>
      </c>
      <c r="N1345" s="1" t="s">
        <v>1658</v>
      </c>
      <c r="O1345" s="1" t="s">
        <v>1658</v>
      </c>
      <c r="P1345" s="1">
        <v>1</v>
      </c>
      <c r="Q1345" s="1" t="s">
        <v>1658</v>
      </c>
      <c r="R1345" s="1">
        <v>0</v>
      </c>
      <c r="S1345" s="1" t="s">
        <v>7710</v>
      </c>
      <c r="T1345" s="6" t="s">
        <v>7710</v>
      </c>
      <c r="U1345" s="1" t="str">
        <f t="shared" si="20"/>
        <v>Yes</v>
      </c>
      <c r="W1345" s="1" t="s">
        <v>7711</v>
      </c>
      <c r="X1345" s="1" t="str">
        <f>IF(COUNTIF('MyWells Drilling Comp'!F:F,E1345)=0,"Missing","Exist")</f>
        <v>Exist</v>
      </c>
    </row>
    <row r="1346" hidden="1" spans="1:24">
      <c r="A1346" s="1" t="s">
        <v>5265</v>
      </c>
      <c r="B1346" s="1" t="s">
        <v>90</v>
      </c>
      <c r="C1346" s="1" t="s">
        <v>7712</v>
      </c>
      <c r="D1346" s="1" t="s">
        <v>7713</v>
      </c>
      <c r="E1346" s="2" t="s">
        <v>1176</v>
      </c>
      <c r="F1346" s="2" t="s">
        <v>7714</v>
      </c>
      <c r="G1346" s="1">
        <v>1</v>
      </c>
      <c r="H1346" s="1" t="s">
        <v>1663</v>
      </c>
      <c r="I1346" s="1" t="s">
        <v>1657</v>
      </c>
      <c r="J1346" s="1" t="s">
        <v>1658</v>
      </c>
      <c r="K1346" s="1" t="s">
        <v>1658</v>
      </c>
      <c r="L1346" s="1" t="s">
        <v>1658</v>
      </c>
      <c r="M1346" s="1" t="s">
        <v>1658</v>
      </c>
      <c r="N1346" s="1" t="s">
        <v>1658</v>
      </c>
      <c r="O1346" s="1" t="s">
        <v>1658</v>
      </c>
      <c r="P1346" s="1">
        <v>1</v>
      </c>
      <c r="Q1346" s="1" t="s">
        <v>1658</v>
      </c>
      <c r="R1346" s="1">
        <v>0</v>
      </c>
      <c r="S1346" s="1" t="s">
        <v>7715</v>
      </c>
      <c r="T1346" s="6" t="s">
        <v>7715</v>
      </c>
      <c r="U1346" s="1" t="str">
        <f t="shared" ref="U1346:U1409" si="21">IF(S1346=T1346,"Yes","No")</f>
        <v>Yes</v>
      </c>
      <c r="W1346" s="1" t="s">
        <v>7716</v>
      </c>
      <c r="X1346" s="1" t="str">
        <f>IF(COUNTIF('MyWells Drilling Comp'!F:F,E1346)=0,"Missing","Exist")</f>
        <v>Exist</v>
      </c>
    </row>
    <row r="1347" hidden="1" spans="1:24">
      <c r="A1347" s="1" t="s">
        <v>5265</v>
      </c>
      <c r="B1347" s="1" t="s">
        <v>90</v>
      </c>
      <c r="C1347" s="1" t="s">
        <v>7717</v>
      </c>
      <c r="D1347" s="1" t="s">
        <v>7713</v>
      </c>
      <c r="E1347" s="2" t="s">
        <v>1176</v>
      </c>
      <c r="F1347" s="2" t="s">
        <v>7718</v>
      </c>
      <c r="G1347" s="1">
        <v>1</v>
      </c>
      <c r="H1347" s="1" t="s">
        <v>1656</v>
      </c>
      <c r="I1347" s="1" t="s">
        <v>1657</v>
      </c>
      <c r="J1347" s="1" t="s">
        <v>1658</v>
      </c>
      <c r="K1347" s="1" t="s">
        <v>1658</v>
      </c>
      <c r="L1347" s="1" t="s">
        <v>1658</v>
      </c>
      <c r="M1347" s="1" t="s">
        <v>1658</v>
      </c>
      <c r="N1347" s="1" t="s">
        <v>1658</v>
      </c>
      <c r="O1347" s="1" t="s">
        <v>1658</v>
      </c>
      <c r="P1347" s="1">
        <v>1</v>
      </c>
      <c r="Q1347" s="1" t="s">
        <v>1658</v>
      </c>
      <c r="R1347" s="1">
        <v>0</v>
      </c>
      <c r="S1347" s="1" t="s">
        <v>7719</v>
      </c>
      <c r="T1347" s="6" t="s">
        <v>7719</v>
      </c>
      <c r="U1347" s="1" t="str">
        <f t="shared" si="21"/>
        <v>Yes</v>
      </c>
      <c r="W1347" s="1" t="s">
        <v>7720</v>
      </c>
      <c r="X1347" s="1" t="str">
        <f>IF(COUNTIF('MyWells Drilling Comp'!F:F,E1347)=0,"Missing","Exist")</f>
        <v>Exist</v>
      </c>
    </row>
    <row r="1348" hidden="1" spans="1:24">
      <c r="A1348" s="1" t="s">
        <v>5265</v>
      </c>
      <c r="B1348" s="1" t="s">
        <v>90</v>
      </c>
      <c r="C1348" s="1" t="s">
        <v>7721</v>
      </c>
      <c r="D1348" s="1" t="s">
        <v>7722</v>
      </c>
      <c r="E1348" s="2" t="s">
        <v>1024</v>
      </c>
      <c r="F1348" s="2" t="s">
        <v>7723</v>
      </c>
      <c r="G1348" s="1">
        <v>1</v>
      </c>
      <c r="H1348" s="1" t="s">
        <v>1656</v>
      </c>
      <c r="I1348" s="1" t="s">
        <v>1657</v>
      </c>
      <c r="J1348" s="1" t="s">
        <v>1658</v>
      </c>
      <c r="K1348" s="1" t="s">
        <v>1658</v>
      </c>
      <c r="L1348" s="1" t="s">
        <v>1658</v>
      </c>
      <c r="M1348" s="1" t="s">
        <v>1658</v>
      </c>
      <c r="N1348" s="1" t="s">
        <v>1658</v>
      </c>
      <c r="O1348" s="1" t="s">
        <v>1658</v>
      </c>
      <c r="P1348" s="1">
        <v>1</v>
      </c>
      <c r="Q1348" s="1" t="s">
        <v>1658</v>
      </c>
      <c r="R1348" s="1">
        <v>0</v>
      </c>
      <c r="S1348" s="1" t="s">
        <v>7724</v>
      </c>
      <c r="T1348" s="6" t="s">
        <v>7724</v>
      </c>
      <c r="U1348" s="1" t="str">
        <f t="shared" si="21"/>
        <v>Yes</v>
      </c>
      <c r="W1348" s="1" t="s">
        <v>7725</v>
      </c>
      <c r="X1348" s="1" t="str">
        <f>IF(COUNTIF('MyWells Drilling Comp'!F:F,E1348)=0,"Missing","Exist")</f>
        <v>Exist</v>
      </c>
    </row>
    <row r="1349" hidden="1" spans="1:24">
      <c r="A1349" s="1" t="s">
        <v>5265</v>
      </c>
      <c r="B1349" s="1" t="s">
        <v>90</v>
      </c>
      <c r="C1349" s="1" t="s">
        <v>7726</v>
      </c>
      <c r="D1349" s="1" t="s">
        <v>7722</v>
      </c>
      <c r="E1349" s="2" t="s">
        <v>1024</v>
      </c>
      <c r="F1349" s="2" t="s">
        <v>7727</v>
      </c>
      <c r="G1349" s="1">
        <v>1</v>
      </c>
      <c r="H1349" s="1" t="s">
        <v>1663</v>
      </c>
      <c r="I1349" s="1" t="s">
        <v>1657</v>
      </c>
      <c r="J1349" s="1" t="s">
        <v>1658</v>
      </c>
      <c r="K1349" s="1" t="s">
        <v>1658</v>
      </c>
      <c r="L1349" s="1" t="s">
        <v>1658</v>
      </c>
      <c r="M1349" s="1" t="s">
        <v>1658</v>
      </c>
      <c r="N1349" s="1" t="s">
        <v>1658</v>
      </c>
      <c r="O1349" s="1" t="s">
        <v>1658</v>
      </c>
      <c r="P1349" s="1">
        <v>1</v>
      </c>
      <c r="Q1349" s="1" t="s">
        <v>1658</v>
      </c>
      <c r="R1349" s="1">
        <v>0</v>
      </c>
      <c r="S1349" s="1" t="s">
        <v>7728</v>
      </c>
      <c r="T1349" s="6" t="s">
        <v>7728</v>
      </c>
      <c r="U1349" s="1" t="str">
        <f t="shared" si="21"/>
        <v>Yes</v>
      </c>
      <c r="W1349" s="1" t="s">
        <v>7729</v>
      </c>
      <c r="X1349" s="1" t="str">
        <f>IF(COUNTIF('MyWells Drilling Comp'!F:F,E1349)=0,"Missing","Exist")</f>
        <v>Exist</v>
      </c>
    </row>
    <row r="1350" hidden="1" spans="1:24">
      <c r="A1350" s="1" t="s">
        <v>5265</v>
      </c>
      <c r="B1350" s="1" t="s">
        <v>90</v>
      </c>
      <c r="C1350" s="1" t="s">
        <v>7730</v>
      </c>
      <c r="D1350" s="1" t="s">
        <v>7731</v>
      </c>
      <c r="E1350" s="2" t="s">
        <v>1090</v>
      </c>
      <c r="F1350" s="2" t="s">
        <v>7732</v>
      </c>
      <c r="G1350" s="1">
        <v>1</v>
      </c>
      <c r="H1350" s="1" t="s">
        <v>1663</v>
      </c>
      <c r="I1350" s="1" t="s">
        <v>1657</v>
      </c>
      <c r="J1350" s="1" t="s">
        <v>1658</v>
      </c>
      <c r="K1350" s="1" t="s">
        <v>1658</v>
      </c>
      <c r="L1350" s="1" t="s">
        <v>1658</v>
      </c>
      <c r="M1350" s="1" t="s">
        <v>1658</v>
      </c>
      <c r="N1350" s="1" t="s">
        <v>1658</v>
      </c>
      <c r="O1350" s="1" t="s">
        <v>1658</v>
      </c>
      <c r="P1350" s="1">
        <v>1</v>
      </c>
      <c r="Q1350" s="1" t="s">
        <v>1658</v>
      </c>
      <c r="R1350" s="1">
        <v>0</v>
      </c>
      <c r="S1350" s="1" t="s">
        <v>7733</v>
      </c>
      <c r="T1350" s="6" t="s">
        <v>7733</v>
      </c>
      <c r="U1350" s="1" t="str">
        <f t="shared" si="21"/>
        <v>Yes</v>
      </c>
      <c r="W1350" s="1" t="s">
        <v>7734</v>
      </c>
      <c r="X1350" s="1" t="str">
        <f>IF(COUNTIF('MyWells Drilling Comp'!F:F,E1350)=0,"Missing","Exist")</f>
        <v>Exist</v>
      </c>
    </row>
    <row r="1351" hidden="1" spans="1:24">
      <c r="A1351" s="1" t="s">
        <v>5265</v>
      </c>
      <c r="B1351" s="1" t="s">
        <v>90</v>
      </c>
      <c r="C1351" s="1" t="s">
        <v>7735</v>
      </c>
      <c r="D1351" s="1" t="s">
        <v>7731</v>
      </c>
      <c r="E1351" s="2" t="s">
        <v>1090</v>
      </c>
      <c r="F1351" s="2" t="s">
        <v>7736</v>
      </c>
      <c r="G1351" s="1">
        <v>1</v>
      </c>
      <c r="H1351" s="1" t="s">
        <v>1656</v>
      </c>
      <c r="I1351" s="1" t="s">
        <v>1657</v>
      </c>
      <c r="J1351" s="1" t="s">
        <v>1658</v>
      </c>
      <c r="K1351" s="1" t="s">
        <v>1658</v>
      </c>
      <c r="L1351" s="1" t="s">
        <v>1658</v>
      </c>
      <c r="M1351" s="1" t="s">
        <v>1658</v>
      </c>
      <c r="N1351" s="1" t="s">
        <v>1658</v>
      </c>
      <c r="O1351" s="1" t="s">
        <v>1658</v>
      </c>
      <c r="P1351" s="1">
        <v>1</v>
      </c>
      <c r="Q1351" s="1" t="s">
        <v>1658</v>
      </c>
      <c r="R1351" s="1">
        <v>0</v>
      </c>
      <c r="S1351" s="1" t="s">
        <v>7737</v>
      </c>
      <c r="T1351" s="6" t="s">
        <v>7737</v>
      </c>
      <c r="U1351" s="1" t="str">
        <f t="shared" si="21"/>
        <v>Yes</v>
      </c>
      <c r="W1351" s="1" t="s">
        <v>7738</v>
      </c>
      <c r="X1351" s="1" t="str">
        <f>IF(COUNTIF('MyWells Drilling Comp'!F:F,E1351)=0,"Missing","Exist")</f>
        <v>Exist</v>
      </c>
    </row>
    <row r="1352" hidden="1" spans="1:24">
      <c r="A1352" s="1" t="s">
        <v>5265</v>
      </c>
      <c r="B1352" s="1" t="s">
        <v>90</v>
      </c>
      <c r="C1352" s="1" t="s">
        <v>7739</v>
      </c>
      <c r="D1352" s="1" t="s">
        <v>7740</v>
      </c>
      <c r="E1352" s="2" t="s">
        <v>551</v>
      </c>
      <c r="F1352" s="2" t="s">
        <v>7741</v>
      </c>
      <c r="G1352" s="1">
        <v>1</v>
      </c>
      <c r="H1352" s="1" t="s">
        <v>1663</v>
      </c>
      <c r="I1352" s="1" t="s">
        <v>1657</v>
      </c>
      <c r="J1352" s="1" t="s">
        <v>1658</v>
      </c>
      <c r="K1352" s="1" t="s">
        <v>1658</v>
      </c>
      <c r="L1352" s="1" t="s">
        <v>1658</v>
      </c>
      <c r="M1352" s="1" t="s">
        <v>1658</v>
      </c>
      <c r="N1352" s="1" t="s">
        <v>1658</v>
      </c>
      <c r="O1352" s="1" t="s">
        <v>1658</v>
      </c>
      <c r="P1352" s="1">
        <v>1</v>
      </c>
      <c r="Q1352" s="1" t="s">
        <v>1658</v>
      </c>
      <c r="R1352" s="1">
        <v>0</v>
      </c>
      <c r="S1352" s="1" t="s">
        <v>7742</v>
      </c>
      <c r="T1352" s="6"/>
      <c r="U1352" s="1" t="str">
        <f t="shared" si="21"/>
        <v>No</v>
      </c>
      <c r="W1352" s="1" t="s">
        <v>7743</v>
      </c>
      <c r="X1352" s="1" t="str">
        <f>IF(COUNTIF('MyWells Drilling Comp'!F:F,E1352)=0,"Missing","Exist")</f>
        <v>Exist</v>
      </c>
    </row>
    <row r="1353" hidden="1" spans="1:24">
      <c r="A1353" s="1" t="s">
        <v>5265</v>
      </c>
      <c r="B1353" s="1" t="s">
        <v>90</v>
      </c>
      <c r="C1353" s="1" t="s">
        <v>7744</v>
      </c>
      <c r="D1353" s="1" t="s">
        <v>7740</v>
      </c>
      <c r="E1353" s="2" t="s">
        <v>551</v>
      </c>
      <c r="F1353" s="2" t="s">
        <v>7745</v>
      </c>
      <c r="G1353" s="1">
        <v>1</v>
      </c>
      <c r="H1353" s="1" t="s">
        <v>1656</v>
      </c>
      <c r="I1353" s="1" t="s">
        <v>1657</v>
      </c>
      <c r="J1353" s="1" t="s">
        <v>1658</v>
      </c>
      <c r="K1353" s="1" t="s">
        <v>1658</v>
      </c>
      <c r="L1353" s="1" t="s">
        <v>1658</v>
      </c>
      <c r="M1353" s="1" t="s">
        <v>1658</v>
      </c>
      <c r="N1353" s="1" t="s">
        <v>1658</v>
      </c>
      <c r="O1353" s="1" t="s">
        <v>1658</v>
      </c>
      <c r="P1353" s="1">
        <v>1</v>
      </c>
      <c r="Q1353" s="1" t="s">
        <v>1658</v>
      </c>
      <c r="R1353" s="1">
        <v>0</v>
      </c>
      <c r="S1353" s="1" t="s">
        <v>7746</v>
      </c>
      <c r="T1353" s="6"/>
      <c r="U1353" s="1" t="str">
        <f t="shared" si="21"/>
        <v>No</v>
      </c>
      <c r="W1353" s="1" t="s">
        <v>7747</v>
      </c>
      <c r="X1353" s="1" t="str">
        <f>IF(COUNTIF('MyWells Drilling Comp'!F:F,E1353)=0,"Missing","Exist")</f>
        <v>Exist</v>
      </c>
    </row>
    <row r="1354" hidden="1" spans="1:24">
      <c r="A1354" s="1" t="s">
        <v>5265</v>
      </c>
      <c r="B1354" s="1" t="s">
        <v>90</v>
      </c>
      <c r="C1354" s="1" t="s">
        <v>7748</v>
      </c>
      <c r="D1354" s="1" t="s">
        <v>7749</v>
      </c>
      <c r="E1354" s="2" t="s">
        <v>1021</v>
      </c>
      <c r="F1354" s="2" t="s">
        <v>7750</v>
      </c>
      <c r="G1354" s="1">
        <v>1</v>
      </c>
      <c r="H1354" s="1" t="s">
        <v>1656</v>
      </c>
      <c r="I1354" s="1" t="s">
        <v>1657</v>
      </c>
      <c r="J1354" s="1" t="s">
        <v>1658</v>
      </c>
      <c r="K1354" s="1" t="s">
        <v>1658</v>
      </c>
      <c r="L1354" s="1" t="s">
        <v>1658</v>
      </c>
      <c r="M1354" s="1" t="s">
        <v>1658</v>
      </c>
      <c r="N1354" s="1" t="s">
        <v>1658</v>
      </c>
      <c r="O1354" s="1" t="s">
        <v>1658</v>
      </c>
      <c r="P1354" s="1">
        <v>1</v>
      </c>
      <c r="Q1354" s="1" t="s">
        <v>1658</v>
      </c>
      <c r="R1354" s="1">
        <v>0</v>
      </c>
      <c r="S1354" s="1" t="s">
        <v>7751</v>
      </c>
      <c r="T1354" s="6" t="s">
        <v>7751</v>
      </c>
      <c r="U1354" s="1" t="str">
        <f t="shared" si="21"/>
        <v>Yes</v>
      </c>
      <c r="W1354" s="1" t="s">
        <v>7752</v>
      </c>
      <c r="X1354" s="1" t="str">
        <f>IF(COUNTIF('MyWells Drilling Comp'!F:F,E1354)=0,"Missing","Exist")</f>
        <v>Exist</v>
      </c>
    </row>
    <row r="1355" hidden="1" spans="1:24">
      <c r="A1355" s="1" t="s">
        <v>5265</v>
      </c>
      <c r="B1355" s="1" t="s">
        <v>90</v>
      </c>
      <c r="C1355" s="1" t="s">
        <v>7753</v>
      </c>
      <c r="D1355" s="1" t="s">
        <v>7749</v>
      </c>
      <c r="E1355" s="2" t="s">
        <v>1021</v>
      </c>
      <c r="F1355" s="2" t="s">
        <v>7754</v>
      </c>
      <c r="G1355" s="1">
        <v>1</v>
      </c>
      <c r="H1355" s="1" t="s">
        <v>1663</v>
      </c>
      <c r="I1355" s="1" t="s">
        <v>1657</v>
      </c>
      <c r="J1355" s="1" t="s">
        <v>1658</v>
      </c>
      <c r="K1355" s="1" t="s">
        <v>1658</v>
      </c>
      <c r="L1355" s="1" t="s">
        <v>1658</v>
      </c>
      <c r="M1355" s="1" t="s">
        <v>1658</v>
      </c>
      <c r="N1355" s="1" t="s">
        <v>1658</v>
      </c>
      <c r="O1355" s="1" t="s">
        <v>1658</v>
      </c>
      <c r="P1355" s="1">
        <v>1</v>
      </c>
      <c r="Q1355" s="1" t="s">
        <v>1658</v>
      </c>
      <c r="R1355" s="1">
        <v>0</v>
      </c>
      <c r="S1355" s="1" t="s">
        <v>7755</v>
      </c>
      <c r="T1355" s="6" t="s">
        <v>7755</v>
      </c>
      <c r="U1355" s="1" t="str">
        <f t="shared" si="21"/>
        <v>Yes</v>
      </c>
      <c r="W1355" s="1" t="s">
        <v>7756</v>
      </c>
      <c r="X1355" s="1" t="str">
        <f>IF(COUNTIF('MyWells Drilling Comp'!F:F,E1355)=0,"Missing","Exist")</f>
        <v>Exist</v>
      </c>
    </row>
    <row r="1356" hidden="1" spans="1:24">
      <c r="A1356" s="1" t="s">
        <v>5265</v>
      </c>
      <c r="B1356" s="1" t="s">
        <v>90</v>
      </c>
      <c r="C1356" s="1" t="s">
        <v>7757</v>
      </c>
      <c r="D1356" s="1" t="s">
        <v>7758</v>
      </c>
      <c r="E1356" s="2" t="s">
        <v>503</v>
      </c>
      <c r="F1356" s="2" t="s">
        <v>7759</v>
      </c>
      <c r="G1356" s="1">
        <v>1</v>
      </c>
      <c r="H1356" s="1" t="s">
        <v>1663</v>
      </c>
      <c r="I1356" s="1" t="s">
        <v>1657</v>
      </c>
      <c r="J1356" s="1" t="s">
        <v>1658</v>
      </c>
      <c r="K1356" s="1" t="s">
        <v>1658</v>
      </c>
      <c r="L1356" s="1" t="s">
        <v>1658</v>
      </c>
      <c r="M1356" s="1" t="s">
        <v>1658</v>
      </c>
      <c r="N1356" s="1" t="s">
        <v>1658</v>
      </c>
      <c r="O1356" s="1" t="s">
        <v>1658</v>
      </c>
      <c r="P1356" s="1">
        <v>1</v>
      </c>
      <c r="Q1356" s="1" t="s">
        <v>1658</v>
      </c>
      <c r="R1356" s="1">
        <v>0</v>
      </c>
      <c r="S1356" s="1" t="s">
        <v>7760</v>
      </c>
      <c r="T1356" s="6" t="s">
        <v>7760</v>
      </c>
      <c r="U1356" s="1" t="str">
        <f t="shared" si="21"/>
        <v>Yes</v>
      </c>
      <c r="W1356" s="1" t="s">
        <v>7761</v>
      </c>
      <c r="X1356" s="1" t="str">
        <f>IF(COUNTIF('MyWells Drilling Comp'!F:F,E1356)=0,"Missing","Exist")</f>
        <v>Exist</v>
      </c>
    </row>
    <row r="1357" hidden="1" spans="1:24">
      <c r="A1357" s="1" t="s">
        <v>5265</v>
      </c>
      <c r="B1357" s="1" t="s">
        <v>90</v>
      </c>
      <c r="C1357" s="1" t="s">
        <v>7762</v>
      </c>
      <c r="D1357" s="1" t="s">
        <v>7758</v>
      </c>
      <c r="E1357" s="2" t="s">
        <v>503</v>
      </c>
      <c r="F1357" s="2" t="s">
        <v>7763</v>
      </c>
      <c r="G1357" s="1">
        <v>1</v>
      </c>
      <c r="H1357" s="1" t="s">
        <v>1656</v>
      </c>
      <c r="I1357" s="1" t="s">
        <v>1657</v>
      </c>
      <c r="J1357" s="1" t="s">
        <v>1658</v>
      </c>
      <c r="K1357" s="1" t="s">
        <v>1658</v>
      </c>
      <c r="L1357" s="1" t="s">
        <v>1658</v>
      </c>
      <c r="M1357" s="1" t="s">
        <v>1658</v>
      </c>
      <c r="N1357" s="1" t="s">
        <v>1658</v>
      </c>
      <c r="O1357" s="1" t="s">
        <v>1658</v>
      </c>
      <c r="P1357" s="1">
        <v>1</v>
      </c>
      <c r="Q1357" s="1" t="s">
        <v>1658</v>
      </c>
      <c r="R1357" s="1">
        <v>0</v>
      </c>
      <c r="S1357" s="1" t="s">
        <v>7764</v>
      </c>
      <c r="T1357" s="6" t="s">
        <v>7764</v>
      </c>
      <c r="U1357" s="1" t="str">
        <f t="shared" si="21"/>
        <v>Yes</v>
      </c>
      <c r="W1357" s="1" t="s">
        <v>7765</v>
      </c>
      <c r="X1357" s="1" t="str">
        <f>IF(COUNTIF('MyWells Drilling Comp'!F:F,E1357)=0,"Missing","Exist")</f>
        <v>Exist</v>
      </c>
    </row>
    <row r="1358" hidden="1" spans="1:24">
      <c r="A1358" s="1" t="s">
        <v>5265</v>
      </c>
      <c r="B1358" s="1" t="s">
        <v>90</v>
      </c>
      <c r="C1358" s="1" t="s">
        <v>7766</v>
      </c>
      <c r="D1358" s="1" t="s">
        <v>7767</v>
      </c>
      <c r="E1358" s="2" t="s">
        <v>1259</v>
      </c>
      <c r="F1358" s="2" t="s">
        <v>7768</v>
      </c>
      <c r="G1358" s="1">
        <v>1</v>
      </c>
      <c r="H1358" s="1" t="s">
        <v>1656</v>
      </c>
      <c r="I1358" s="1" t="s">
        <v>1657</v>
      </c>
      <c r="J1358" s="1" t="s">
        <v>1658</v>
      </c>
      <c r="K1358" s="1" t="s">
        <v>1658</v>
      </c>
      <c r="L1358" s="1" t="s">
        <v>1658</v>
      </c>
      <c r="M1358" s="1" t="s">
        <v>1658</v>
      </c>
      <c r="N1358" s="1" t="s">
        <v>1658</v>
      </c>
      <c r="O1358" s="1" t="s">
        <v>1658</v>
      </c>
      <c r="P1358" s="1">
        <v>1</v>
      </c>
      <c r="Q1358" s="1" t="s">
        <v>1658</v>
      </c>
      <c r="R1358" s="1">
        <v>0</v>
      </c>
      <c r="S1358" s="1" t="s">
        <v>7769</v>
      </c>
      <c r="T1358" s="6" t="s">
        <v>7769</v>
      </c>
      <c r="U1358" s="1" t="str">
        <f t="shared" si="21"/>
        <v>Yes</v>
      </c>
      <c r="W1358" s="1" t="s">
        <v>7770</v>
      </c>
      <c r="X1358" s="1" t="str">
        <f>IF(COUNTIF('MyWells Drilling Comp'!F:F,E1358)=0,"Missing","Exist")</f>
        <v>Exist</v>
      </c>
    </row>
    <row r="1359" hidden="1" spans="1:24">
      <c r="A1359" s="1" t="s">
        <v>5265</v>
      </c>
      <c r="B1359" s="1" t="s">
        <v>90</v>
      </c>
      <c r="C1359" s="1" t="s">
        <v>7771</v>
      </c>
      <c r="D1359" s="1" t="s">
        <v>7767</v>
      </c>
      <c r="E1359" s="2" t="s">
        <v>1259</v>
      </c>
      <c r="F1359" s="2" t="s">
        <v>7772</v>
      </c>
      <c r="G1359" s="1">
        <v>1</v>
      </c>
      <c r="H1359" s="1" t="s">
        <v>1663</v>
      </c>
      <c r="I1359" s="1" t="s">
        <v>1657</v>
      </c>
      <c r="J1359" s="1" t="s">
        <v>1658</v>
      </c>
      <c r="K1359" s="1" t="s">
        <v>1658</v>
      </c>
      <c r="L1359" s="1" t="s">
        <v>1658</v>
      </c>
      <c r="M1359" s="1" t="s">
        <v>1658</v>
      </c>
      <c r="N1359" s="1" t="s">
        <v>1658</v>
      </c>
      <c r="O1359" s="1" t="s">
        <v>1658</v>
      </c>
      <c r="P1359" s="1">
        <v>1</v>
      </c>
      <c r="Q1359" s="1" t="s">
        <v>1658</v>
      </c>
      <c r="R1359" s="1">
        <v>0</v>
      </c>
      <c r="S1359" s="1" t="s">
        <v>7773</v>
      </c>
      <c r="T1359" s="6" t="s">
        <v>7773</v>
      </c>
      <c r="U1359" s="1" t="str">
        <f t="shared" si="21"/>
        <v>Yes</v>
      </c>
      <c r="W1359" s="1" t="s">
        <v>7774</v>
      </c>
      <c r="X1359" s="1" t="str">
        <f>IF(COUNTIF('MyWells Drilling Comp'!F:F,E1359)=0,"Missing","Exist")</f>
        <v>Exist</v>
      </c>
    </row>
    <row r="1360" hidden="1" spans="1:24">
      <c r="A1360" s="1" t="s">
        <v>5265</v>
      </c>
      <c r="B1360" s="1" t="s">
        <v>90</v>
      </c>
      <c r="C1360" s="1" t="s">
        <v>7775</v>
      </c>
      <c r="D1360" s="1" t="s">
        <v>7776</v>
      </c>
      <c r="E1360" s="2" t="s">
        <v>571</v>
      </c>
      <c r="F1360" s="2" t="s">
        <v>7777</v>
      </c>
      <c r="G1360" s="1">
        <v>1</v>
      </c>
      <c r="H1360" s="1" t="s">
        <v>1663</v>
      </c>
      <c r="I1360" s="1" t="s">
        <v>1657</v>
      </c>
      <c r="J1360" s="1" t="s">
        <v>1658</v>
      </c>
      <c r="K1360" s="1" t="s">
        <v>1658</v>
      </c>
      <c r="L1360" s="1" t="s">
        <v>1658</v>
      </c>
      <c r="M1360" s="1" t="s">
        <v>1658</v>
      </c>
      <c r="N1360" s="1" t="s">
        <v>1658</v>
      </c>
      <c r="O1360" s="1" t="s">
        <v>1658</v>
      </c>
      <c r="P1360" s="1">
        <v>1</v>
      </c>
      <c r="Q1360" s="1" t="s">
        <v>1658</v>
      </c>
      <c r="R1360" s="1">
        <v>0</v>
      </c>
      <c r="S1360" s="1" t="s">
        <v>7778</v>
      </c>
      <c r="T1360" s="6" t="s">
        <v>7778</v>
      </c>
      <c r="U1360" s="1" t="str">
        <f t="shared" si="21"/>
        <v>Yes</v>
      </c>
      <c r="W1360" s="1" t="s">
        <v>7779</v>
      </c>
      <c r="X1360" s="1" t="str">
        <f>IF(COUNTIF('MyWells Drilling Comp'!F:F,E1360)=0,"Missing","Exist")</f>
        <v>Exist</v>
      </c>
    </row>
    <row r="1361" hidden="1" spans="1:24">
      <c r="A1361" s="1" t="s">
        <v>5265</v>
      </c>
      <c r="B1361" s="1" t="s">
        <v>90</v>
      </c>
      <c r="C1361" s="1" t="s">
        <v>7780</v>
      </c>
      <c r="D1361" s="1" t="s">
        <v>7776</v>
      </c>
      <c r="E1361" s="2" t="s">
        <v>571</v>
      </c>
      <c r="F1361" s="2" t="s">
        <v>7781</v>
      </c>
      <c r="G1361" s="1">
        <v>1</v>
      </c>
      <c r="H1361" s="1" t="s">
        <v>1656</v>
      </c>
      <c r="I1361" s="1" t="s">
        <v>1657</v>
      </c>
      <c r="J1361" s="1" t="s">
        <v>1658</v>
      </c>
      <c r="K1361" s="1" t="s">
        <v>1658</v>
      </c>
      <c r="L1361" s="1" t="s">
        <v>1658</v>
      </c>
      <c r="M1361" s="1" t="s">
        <v>1658</v>
      </c>
      <c r="N1361" s="1" t="s">
        <v>1658</v>
      </c>
      <c r="O1361" s="1" t="s">
        <v>1658</v>
      </c>
      <c r="P1361" s="1">
        <v>1</v>
      </c>
      <c r="Q1361" s="1" t="s">
        <v>1658</v>
      </c>
      <c r="R1361" s="1">
        <v>0</v>
      </c>
      <c r="S1361" s="1" t="s">
        <v>7782</v>
      </c>
      <c r="T1361" s="6" t="s">
        <v>7782</v>
      </c>
      <c r="U1361" s="1" t="str">
        <f t="shared" si="21"/>
        <v>Yes</v>
      </c>
      <c r="W1361" s="1" t="s">
        <v>7783</v>
      </c>
      <c r="X1361" s="1" t="str">
        <f>IF(COUNTIF('MyWells Drilling Comp'!F:F,E1361)=0,"Missing","Exist")</f>
        <v>Exist</v>
      </c>
    </row>
    <row r="1362" hidden="1" spans="1:24">
      <c r="A1362" s="1" t="s">
        <v>5265</v>
      </c>
      <c r="B1362" s="1" t="s">
        <v>90</v>
      </c>
      <c r="C1362" s="1" t="s">
        <v>7784</v>
      </c>
      <c r="D1362" s="1" t="s">
        <v>7785</v>
      </c>
      <c r="E1362" s="2" t="s">
        <v>920</v>
      </c>
      <c r="F1362" s="8" t="s">
        <v>7786</v>
      </c>
      <c r="G1362" s="1">
        <v>1</v>
      </c>
      <c r="H1362" s="1" t="s">
        <v>1656</v>
      </c>
      <c r="I1362" s="1" t="s">
        <v>1657</v>
      </c>
      <c r="J1362" s="1" t="s">
        <v>1658</v>
      </c>
      <c r="K1362" s="1" t="s">
        <v>1658</v>
      </c>
      <c r="L1362" s="1" t="s">
        <v>1658</v>
      </c>
      <c r="M1362" s="1" t="s">
        <v>1658</v>
      </c>
      <c r="N1362" s="1" t="s">
        <v>1658</v>
      </c>
      <c r="O1362" s="1" t="s">
        <v>1658</v>
      </c>
      <c r="P1362" s="1">
        <v>1</v>
      </c>
      <c r="Q1362" s="1" t="s">
        <v>1658</v>
      </c>
      <c r="R1362" s="1">
        <v>0</v>
      </c>
      <c r="S1362" s="1" t="s">
        <v>7787</v>
      </c>
      <c r="T1362" s="6" t="s">
        <v>7787</v>
      </c>
      <c r="U1362" s="1" t="str">
        <f t="shared" si="21"/>
        <v>Yes</v>
      </c>
      <c r="W1362" s="1" t="s">
        <v>7788</v>
      </c>
      <c r="X1362" s="1" t="str">
        <f>IF(COUNTIF('MyWells Drilling Comp'!F:F,E1362)=0,"Missing","Exist")</f>
        <v>Exist</v>
      </c>
    </row>
    <row r="1363" hidden="1" spans="1:24">
      <c r="A1363" s="1" t="s">
        <v>5265</v>
      </c>
      <c r="B1363" s="1" t="s">
        <v>90</v>
      </c>
      <c r="C1363" s="1" t="s">
        <v>7789</v>
      </c>
      <c r="D1363" s="1" t="s">
        <v>7785</v>
      </c>
      <c r="E1363" s="2" t="s">
        <v>920</v>
      </c>
      <c r="F1363" s="2" t="s">
        <v>7790</v>
      </c>
      <c r="G1363" s="1">
        <v>1</v>
      </c>
      <c r="H1363" s="1" t="s">
        <v>1663</v>
      </c>
      <c r="I1363" s="1" t="s">
        <v>1657</v>
      </c>
      <c r="J1363" s="1" t="s">
        <v>1658</v>
      </c>
      <c r="K1363" s="1" t="s">
        <v>1658</v>
      </c>
      <c r="L1363" s="1" t="s">
        <v>1658</v>
      </c>
      <c r="M1363" s="1" t="s">
        <v>1658</v>
      </c>
      <c r="N1363" s="1" t="s">
        <v>1658</v>
      </c>
      <c r="O1363" s="1" t="s">
        <v>1658</v>
      </c>
      <c r="P1363" s="1">
        <v>1</v>
      </c>
      <c r="Q1363" s="1" t="s">
        <v>1658</v>
      </c>
      <c r="R1363" s="1">
        <v>0</v>
      </c>
      <c r="S1363" s="1" t="s">
        <v>7791</v>
      </c>
      <c r="T1363" s="6" t="s">
        <v>7791</v>
      </c>
      <c r="U1363" s="1" t="str">
        <f t="shared" si="21"/>
        <v>Yes</v>
      </c>
      <c r="W1363" s="1" t="s">
        <v>7792</v>
      </c>
      <c r="X1363" s="1" t="str">
        <f>IF(COUNTIF('MyWells Drilling Comp'!F:F,E1363)=0,"Missing","Exist")</f>
        <v>Exist</v>
      </c>
    </row>
    <row r="1364" hidden="1" spans="1:24">
      <c r="A1364" s="1" t="s">
        <v>5265</v>
      </c>
      <c r="B1364" s="1" t="s">
        <v>90</v>
      </c>
      <c r="C1364" s="1" t="s">
        <v>7793</v>
      </c>
      <c r="D1364" s="1" t="s">
        <v>7794</v>
      </c>
      <c r="E1364" s="2" t="s">
        <v>696</v>
      </c>
      <c r="F1364" s="2" t="s">
        <v>7795</v>
      </c>
      <c r="G1364" s="1">
        <v>1</v>
      </c>
      <c r="H1364" s="1" t="s">
        <v>1663</v>
      </c>
      <c r="I1364" s="1" t="s">
        <v>1657</v>
      </c>
      <c r="J1364" s="1" t="s">
        <v>1658</v>
      </c>
      <c r="K1364" s="1" t="s">
        <v>1658</v>
      </c>
      <c r="L1364" s="1" t="s">
        <v>1658</v>
      </c>
      <c r="M1364" s="1" t="s">
        <v>1658</v>
      </c>
      <c r="N1364" s="1" t="s">
        <v>1658</v>
      </c>
      <c r="O1364" s="1" t="s">
        <v>1658</v>
      </c>
      <c r="P1364" s="1">
        <v>1</v>
      </c>
      <c r="Q1364" s="1" t="s">
        <v>1658</v>
      </c>
      <c r="R1364" s="1">
        <v>0</v>
      </c>
      <c r="S1364" s="1" t="s">
        <v>7796</v>
      </c>
      <c r="T1364" s="6" t="s">
        <v>7796</v>
      </c>
      <c r="U1364" s="1" t="str">
        <f t="shared" si="21"/>
        <v>Yes</v>
      </c>
      <c r="W1364" s="1" t="s">
        <v>7797</v>
      </c>
      <c r="X1364" s="1" t="str">
        <f>IF(COUNTIF('MyWells Drilling Comp'!F:F,E1364)=0,"Missing","Exist")</f>
        <v>Exist</v>
      </c>
    </row>
    <row r="1365" hidden="1" spans="1:24">
      <c r="A1365" s="1" t="s">
        <v>5265</v>
      </c>
      <c r="B1365" s="1" t="s">
        <v>90</v>
      </c>
      <c r="C1365" s="1" t="s">
        <v>7798</v>
      </c>
      <c r="D1365" s="1" t="s">
        <v>7794</v>
      </c>
      <c r="E1365" s="2" t="s">
        <v>696</v>
      </c>
      <c r="F1365" s="2" t="s">
        <v>7799</v>
      </c>
      <c r="G1365" s="1">
        <v>1</v>
      </c>
      <c r="H1365" s="1" t="s">
        <v>1656</v>
      </c>
      <c r="I1365" s="1" t="s">
        <v>1657</v>
      </c>
      <c r="J1365" s="1" t="s">
        <v>1658</v>
      </c>
      <c r="K1365" s="1" t="s">
        <v>1658</v>
      </c>
      <c r="L1365" s="1" t="s">
        <v>1658</v>
      </c>
      <c r="M1365" s="1" t="s">
        <v>1658</v>
      </c>
      <c r="N1365" s="1" t="s">
        <v>1658</v>
      </c>
      <c r="O1365" s="1" t="s">
        <v>1658</v>
      </c>
      <c r="P1365" s="1">
        <v>1</v>
      </c>
      <c r="Q1365" s="1" t="s">
        <v>1658</v>
      </c>
      <c r="R1365" s="1">
        <v>0</v>
      </c>
      <c r="S1365" s="1" t="s">
        <v>7800</v>
      </c>
      <c r="T1365" s="6" t="s">
        <v>7800</v>
      </c>
      <c r="U1365" s="1" t="str">
        <f t="shared" si="21"/>
        <v>Yes</v>
      </c>
      <c r="W1365" s="1" t="s">
        <v>7801</v>
      </c>
      <c r="X1365" s="1" t="str">
        <f>IF(COUNTIF('MyWells Drilling Comp'!F:F,E1365)=0,"Missing","Exist")</f>
        <v>Exist</v>
      </c>
    </row>
    <row r="1366" hidden="1" spans="1:24">
      <c r="A1366" s="1" t="s">
        <v>5265</v>
      </c>
      <c r="B1366" s="1" t="s">
        <v>90</v>
      </c>
      <c r="C1366" s="1" t="s">
        <v>7802</v>
      </c>
      <c r="D1366" s="1" t="s">
        <v>7803</v>
      </c>
      <c r="E1366" s="2" t="s">
        <v>158</v>
      </c>
      <c r="F1366" s="2" t="s">
        <v>7804</v>
      </c>
      <c r="G1366" s="1">
        <v>1</v>
      </c>
      <c r="H1366" s="1" t="s">
        <v>1663</v>
      </c>
      <c r="I1366" s="1" t="s">
        <v>1657</v>
      </c>
      <c r="J1366" s="1" t="s">
        <v>1658</v>
      </c>
      <c r="K1366" s="1" t="s">
        <v>1658</v>
      </c>
      <c r="L1366" s="1" t="s">
        <v>1658</v>
      </c>
      <c r="M1366" s="1" t="s">
        <v>1658</v>
      </c>
      <c r="N1366" s="1" t="s">
        <v>1658</v>
      </c>
      <c r="O1366" s="1" t="s">
        <v>1658</v>
      </c>
      <c r="P1366" s="1">
        <v>1</v>
      </c>
      <c r="Q1366" s="1" t="s">
        <v>1658</v>
      </c>
      <c r="R1366" s="1">
        <v>0</v>
      </c>
      <c r="S1366" s="1" t="s">
        <v>7805</v>
      </c>
      <c r="T1366" s="6" t="s">
        <v>7805</v>
      </c>
      <c r="U1366" s="1" t="str">
        <f t="shared" si="21"/>
        <v>Yes</v>
      </c>
      <c r="W1366" s="1" t="s">
        <v>7806</v>
      </c>
      <c r="X1366" s="1" t="str">
        <f>IF(COUNTIF('MyWells Drilling Comp'!F:F,E1366)=0,"Missing","Exist")</f>
        <v>Exist</v>
      </c>
    </row>
    <row r="1367" hidden="1" spans="1:24">
      <c r="A1367" s="1" t="s">
        <v>5265</v>
      </c>
      <c r="B1367" s="1" t="s">
        <v>90</v>
      </c>
      <c r="C1367" s="1" t="s">
        <v>7807</v>
      </c>
      <c r="D1367" s="1" t="s">
        <v>7803</v>
      </c>
      <c r="E1367" s="2" t="s">
        <v>158</v>
      </c>
      <c r="F1367" s="2" t="s">
        <v>7808</v>
      </c>
      <c r="G1367" s="1">
        <v>1</v>
      </c>
      <c r="H1367" s="1" t="s">
        <v>1656</v>
      </c>
      <c r="I1367" s="1" t="s">
        <v>1657</v>
      </c>
      <c r="J1367" s="1" t="s">
        <v>1658</v>
      </c>
      <c r="K1367" s="1" t="s">
        <v>1658</v>
      </c>
      <c r="L1367" s="1" t="s">
        <v>1658</v>
      </c>
      <c r="M1367" s="1" t="s">
        <v>1658</v>
      </c>
      <c r="N1367" s="1" t="s">
        <v>1658</v>
      </c>
      <c r="O1367" s="1" t="s">
        <v>1658</v>
      </c>
      <c r="P1367" s="1">
        <v>1</v>
      </c>
      <c r="Q1367" s="1" t="s">
        <v>1658</v>
      </c>
      <c r="R1367" s="1">
        <v>0</v>
      </c>
      <c r="S1367" s="1" t="s">
        <v>7809</v>
      </c>
      <c r="T1367" s="6" t="s">
        <v>7809</v>
      </c>
      <c r="U1367" s="1" t="str">
        <f t="shared" si="21"/>
        <v>Yes</v>
      </c>
      <c r="W1367" s="1" t="s">
        <v>7810</v>
      </c>
      <c r="X1367" s="1" t="str">
        <f>IF(COUNTIF('MyWells Drilling Comp'!F:F,E1367)=0,"Missing","Exist")</f>
        <v>Exist</v>
      </c>
    </row>
    <row r="1368" hidden="1" spans="1:24">
      <c r="A1368" s="1" t="s">
        <v>3044</v>
      </c>
      <c r="B1368" s="1" t="s">
        <v>90</v>
      </c>
      <c r="C1368" s="1" t="s">
        <v>7811</v>
      </c>
      <c r="D1368" s="1" t="s">
        <v>7812</v>
      </c>
      <c r="E1368" s="2" t="s">
        <v>1239</v>
      </c>
      <c r="F1368" s="2" t="s">
        <v>7813</v>
      </c>
      <c r="G1368" s="1">
        <v>1</v>
      </c>
      <c r="H1368" s="1" t="s">
        <v>1656</v>
      </c>
      <c r="I1368" s="1" t="s">
        <v>1657</v>
      </c>
      <c r="J1368" s="1" t="s">
        <v>1658</v>
      </c>
      <c r="K1368" s="1" t="s">
        <v>1658</v>
      </c>
      <c r="L1368" s="1" t="s">
        <v>1658</v>
      </c>
      <c r="M1368" s="1" t="s">
        <v>1658</v>
      </c>
      <c r="N1368" s="1" t="s">
        <v>1658</v>
      </c>
      <c r="O1368" s="1" t="s">
        <v>1658</v>
      </c>
      <c r="P1368" s="1">
        <v>1</v>
      </c>
      <c r="Q1368" s="1" t="s">
        <v>1658</v>
      </c>
      <c r="R1368" s="1">
        <v>0</v>
      </c>
      <c r="S1368" s="1" t="s">
        <v>7814</v>
      </c>
      <c r="T1368" s="6"/>
      <c r="U1368" s="1" t="str">
        <f t="shared" si="21"/>
        <v>No</v>
      </c>
      <c r="W1368" s="1" t="s">
        <v>7815</v>
      </c>
      <c r="X1368" s="1" t="str">
        <f>IF(COUNTIF('MyWells Drilling Comp'!F:F,E1368)=0,"Missing","Exist")</f>
        <v>Exist</v>
      </c>
    </row>
    <row r="1369" hidden="1" spans="1:24">
      <c r="A1369" s="1" t="s">
        <v>5265</v>
      </c>
      <c r="B1369" s="1" t="s">
        <v>90</v>
      </c>
      <c r="C1369" s="1" t="s">
        <v>7816</v>
      </c>
      <c r="D1369" s="1" t="s">
        <v>7812</v>
      </c>
      <c r="E1369" s="2" t="s">
        <v>1239</v>
      </c>
      <c r="F1369" s="2" t="s">
        <v>7817</v>
      </c>
      <c r="G1369" s="1">
        <v>1</v>
      </c>
      <c r="H1369" s="1" t="s">
        <v>1663</v>
      </c>
      <c r="I1369" s="1" t="s">
        <v>1657</v>
      </c>
      <c r="J1369" s="1" t="s">
        <v>1658</v>
      </c>
      <c r="K1369" s="1" t="s">
        <v>1658</v>
      </c>
      <c r="L1369" s="1" t="s">
        <v>1658</v>
      </c>
      <c r="M1369" s="1" t="s">
        <v>1658</v>
      </c>
      <c r="N1369" s="1" t="s">
        <v>1658</v>
      </c>
      <c r="O1369" s="1" t="s">
        <v>1658</v>
      </c>
      <c r="P1369" s="1">
        <v>1</v>
      </c>
      <c r="Q1369" s="1" t="s">
        <v>1658</v>
      </c>
      <c r="R1369" s="1">
        <v>0</v>
      </c>
      <c r="S1369" s="1" t="s">
        <v>7818</v>
      </c>
      <c r="T1369" s="6" t="s">
        <v>7818</v>
      </c>
      <c r="U1369" s="1" t="str">
        <f t="shared" si="21"/>
        <v>Yes</v>
      </c>
      <c r="W1369" s="1" t="s">
        <v>7819</v>
      </c>
      <c r="X1369" s="1" t="str">
        <f>IF(COUNTIF('MyWells Drilling Comp'!F:F,E1369)=0,"Missing","Exist")</f>
        <v>Exist</v>
      </c>
    </row>
    <row r="1370" hidden="1" spans="1:24">
      <c r="A1370" s="1" t="s">
        <v>5265</v>
      </c>
      <c r="B1370" s="1" t="s">
        <v>90</v>
      </c>
      <c r="C1370" s="1" t="s">
        <v>7820</v>
      </c>
      <c r="D1370" s="1" t="s">
        <v>7821</v>
      </c>
      <c r="E1370" s="2" t="s">
        <v>1423</v>
      </c>
      <c r="F1370" s="2" t="s">
        <v>7822</v>
      </c>
      <c r="G1370" s="1">
        <v>1</v>
      </c>
      <c r="H1370" s="1" t="s">
        <v>1656</v>
      </c>
      <c r="I1370" s="1" t="s">
        <v>1657</v>
      </c>
      <c r="J1370" s="1" t="s">
        <v>1658</v>
      </c>
      <c r="K1370" s="1" t="s">
        <v>1658</v>
      </c>
      <c r="L1370" s="1" t="s">
        <v>1658</v>
      </c>
      <c r="M1370" s="1" t="s">
        <v>1658</v>
      </c>
      <c r="N1370" s="1" t="s">
        <v>1658</v>
      </c>
      <c r="O1370" s="1" t="s">
        <v>1658</v>
      </c>
      <c r="P1370" s="1">
        <v>1</v>
      </c>
      <c r="Q1370" s="1" t="s">
        <v>1658</v>
      </c>
      <c r="R1370" s="1">
        <v>0</v>
      </c>
      <c r="S1370" s="1" t="s">
        <v>7823</v>
      </c>
      <c r="T1370" s="6"/>
      <c r="U1370" s="1" t="str">
        <f t="shared" si="21"/>
        <v>No</v>
      </c>
      <c r="W1370" s="1" t="s">
        <v>7824</v>
      </c>
      <c r="X1370" s="1" t="str">
        <f>IF(COUNTIF('MyWells Drilling Comp'!F:F,E1370)=0,"Missing","Exist")</f>
        <v>Exist</v>
      </c>
    </row>
    <row r="1371" hidden="1" spans="1:24">
      <c r="A1371" s="1" t="s">
        <v>5265</v>
      </c>
      <c r="B1371" s="1" t="s">
        <v>90</v>
      </c>
      <c r="C1371" s="7" t="s">
        <v>7825</v>
      </c>
      <c r="D1371" s="1" t="s">
        <v>7821</v>
      </c>
      <c r="E1371" s="2" t="s">
        <v>1423</v>
      </c>
      <c r="F1371" s="2" t="s">
        <v>7826</v>
      </c>
      <c r="G1371" s="1">
        <v>1</v>
      </c>
      <c r="H1371" s="1" t="s">
        <v>1663</v>
      </c>
      <c r="I1371" s="1" t="s">
        <v>1657</v>
      </c>
      <c r="J1371" s="1" t="s">
        <v>1658</v>
      </c>
      <c r="K1371" s="1" t="s">
        <v>1658</v>
      </c>
      <c r="L1371" s="1" t="s">
        <v>1658</v>
      </c>
      <c r="M1371" s="1" t="s">
        <v>1658</v>
      </c>
      <c r="N1371" s="1" t="s">
        <v>1658</v>
      </c>
      <c r="O1371" s="1" t="s">
        <v>1658</v>
      </c>
      <c r="P1371" s="1">
        <v>1</v>
      </c>
      <c r="Q1371" s="1" t="s">
        <v>1658</v>
      </c>
      <c r="R1371" s="1">
        <v>0</v>
      </c>
      <c r="S1371" s="1" t="s">
        <v>7827</v>
      </c>
      <c r="T1371" s="6" t="s">
        <v>7827</v>
      </c>
      <c r="U1371" s="1" t="str">
        <f t="shared" si="21"/>
        <v>Yes</v>
      </c>
      <c r="W1371" s="1" t="s">
        <v>7828</v>
      </c>
      <c r="X1371" s="1" t="str">
        <f>IF(COUNTIF('MyWells Drilling Comp'!F:F,E1371)=0,"Missing","Exist")</f>
        <v>Exist</v>
      </c>
    </row>
    <row r="1372" hidden="1" spans="1:24">
      <c r="A1372" s="1" t="s">
        <v>5265</v>
      </c>
      <c r="B1372" s="1" t="s">
        <v>90</v>
      </c>
      <c r="C1372" s="1" t="s">
        <v>7829</v>
      </c>
      <c r="D1372" s="1" t="s">
        <v>7830</v>
      </c>
      <c r="E1372" s="2" t="s">
        <v>606</v>
      </c>
      <c r="F1372" s="2" t="s">
        <v>7831</v>
      </c>
      <c r="G1372" s="1">
        <v>1</v>
      </c>
      <c r="H1372" s="1" t="s">
        <v>1656</v>
      </c>
      <c r="I1372" s="1" t="s">
        <v>1657</v>
      </c>
      <c r="J1372" s="1" t="s">
        <v>1658</v>
      </c>
      <c r="K1372" s="1" t="s">
        <v>1658</v>
      </c>
      <c r="L1372" s="1" t="s">
        <v>1658</v>
      </c>
      <c r="M1372" s="1" t="s">
        <v>1658</v>
      </c>
      <c r="N1372" s="1" t="s">
        <v>1658</v>
      </c>
      <c r="O1372" s="1" t="s">
        <v>1658</v>
      </c>
      <c r="P1372" s="1">
        <v>1</v>
      </c>
      <c r="Q1372" s="1" t="s">
        <v>1658</v>
      </c>
      <c r="R1372" s="1">
        <v>0</v>
      </c>
      <c r="S1372" s="1" t="s">
        <v>7832</v>
      </c>
      <c r="T1372" s="6" t="s">
        <v>7832</v>
      </c>
      <c r="U1372" s="1" t="str">
        <f t="shared" si="21"/>
        <v>Yes</v>
      </c>
      <c r="W1372" s="1" t="s">
        <v>7833</v>
      </c>
      <c r="X1372" s="1" t="str">
        <f>IF(COUNTIF('MyWells Drilling Comp'!F:F,E1372)=0,"Missing","Exist")</f>
        <v>Exist</v>
      </c>
    </row>
    <row r="1373" hidden="1" spans="1:24">
      <c r="A1373" s="1" t="s">
        <v>5265</v>
      </c>
      <c r="B1373" s="1" t="s">
        <v>90</v>
      </c>
      <c r="C1373" s="1" t="s">
        <v>7834</v>
      </c>
      <c r="D1373" s="1" t="s">
        <v>7830</v>
      </c>
      <c r="E1373" s="2" t="s">
        <v>606</v>
      </c>
      <c r="F1373" s="2" t="s">
        <v>7835</v>
      </c>
      <c r="G1373" s="1">
        <v>1</v>
      </c>
      <c r="H1373" s="1" t="s">
        <v>1663</v>
      </c>
      <c r="I1373" s="1" t="s">
        <v>1657</v>
      </c>
      <c r="J1373" s="1" t="s">
        <v>1658</v>
      </c>
      <c r="K1373" s="1" t="s">
        <v>1658</v>
      </c>
      <c r="L1373" s="1" t="s">
        <v>1658</v>
      </c>
      <c r="M1373" s="1" t="s">
        <v>1658</v>
      </c>
      <c r="N1373" s="1" t="s">
        <v>1658</v>
      </c>
      <c r="O1373" s="1" t="s">
        <v>1658</v>
      </c>
      <c r="P1373" s="1">
        <v>1</v>
      </c>
      <c r="Q1373" s="1" t="s">
        <v>1658</v>
      </c>
      <c r="R1373" s="1">
        <v>0</v>
      </c>
      <c r="S1373" s="1" t="s">
        <v>7836</v>
      </c>
      <c r="T1373" s="6" t="s">
        <v>7836</v>
      </c>
      <c r="U1373" s="1" t="str">
        <f t="shared" si="21"/>
        <v>Yes</v>
      </c>
      <c r="W1373" s="1" t="s">
        <v>7837</v>
      </c>
      <c r="X1373" s="1" t="str">
        <f>IF(COUNTIF('MyWells Drilling Comp'!F:F,E1373)=0,"Missing","Exist")</f>
        <v>Exist</v>
      </c>
    </row>
    <row r="1374" hidden="1" spans="1:24">
      <c r="A1374" s="1" t="s">
        <v>5265</v>
      </c>
      <c r="B1374" s="1" t="s">
        <v>90</v>
      </c>
      <c r="C1374" s="1" t="s">
        <v>7838</v>
      </c>
      <c r="D1374" s="1" t="s">
        <v>7839</v>
      </c>
      <c r="E1374" s="2" t="s">
        <v>614</v>
      </c>
      <c r="F1374" s="2" t="s">
        <v>7840</v>
      </c>
      <c r="G1374" s="1">
        <v>1</v>
      </c>
      <c r="H1374" s="1" t="s">
        <v>1663</v>
      </c>
      <c r="I1374" s="1" t="s">
        <v>1657</v>
      </c>
      <c r="J1374" s="1" t="s">
        <v>1658</v>
      </c>
      <c r="K1374" s="1" t="s">
        <v>1658</v>
      </c>
      <c r="L1374" s="1" t="s">
        <v>1658</v>
      </c>
      <c r="M1374" s="1" t="s">
        <v>1658</v>
      </c>
      <c r="N1374" s="1" t="s">
        <v>1658</v>
      </c>
      <c r="O1374" s="1" t="s">
        <v>1658</v>
      </c>
      <c r="P1374" s="1">
        <v>1</v>
      </c>
      <c r="Q1374" s="1" t="s">
        <v>1658</v>
      </c>
      <c r="R1374" s="1">
        <v>0</v>
      </c>
      <c r="S1374" s="1" t="s">
        <v>7841</v>
      </c>
      <c r="T1374" s="6" t="s">
        <v>7841</v>
      </c>
      <c r="U1374" s="1" t="str">
        <f t="shared" si="21"/>
        <v>Yes</v>
      </c>
      <c r="W1374" s="1" t="s">
        <v>7842</v>
      </c>
      <c r="X1374" s="1" t="str">
        <f>IF(COUNTIF('MyWells Drilling Comp'!F:F,E1374)=0,"Missing","Exist")</f>
        <v>Exist</v>
      </c>
    </row>
    <row r="1375" hidden="1" spans="1:24">
      <c r="A1375" s="1" t="s">
        <v>5265</v>
      </c>
      <c r="B1375" s="1" t="s">
        <v>90</v>
      </c>
      <c r="C1375" s="1" t="s">
        <v>7843</v>
      </c>
      <c r="D1375" s="1" t="s">
        <v>7839</v>
      </c>
      <c r="E1375" s="2" t="s">
        <v>614</v>
      </c>
      <c r="F1375" s="2" t="s">
        <v>7844</v>
      </c>
      <c r="G1375" s="1">
        <v>1</v>
      </c>
      <c r="H1375" s="1" t="s">
        <v>1656</v>
      </c>
      <c r="I1375" s="1" t="s">
        <v>1657</v>
      </c>
      <c r="J1375" s="1" t="s">
        <v>1658</v>
      </c>
      <c r="K1375" s="1" t="s">
        <v>1658</v>
      </c>
      <c r="L1375" s="1" t="s">
        <v>1658</v>
      </c>
      <c r="M1375" s="1" t="s">
        <v>1658</v>
      </c>
      <c r="N1375" s="1" t="s">
        <v>1658</v>
      </c>
      <c r="O1375" s="1" t="s">
        <v>1658</v>
      </c>
      <c r="P1375" s="1">
        <v>1</v>
      </c>
      <c r="Q1375" s="1" t="s">
        <v>1658</v>
      </c>
      <c r="R1375" s="1">
        <v>0</v>
      </c>
      <c r="S1375" s="1" t="s">
        <v>7845</v>
      </c>
      <c r="T1375" s="6" t="s">
        <v>7845</v>
      </c>
      <c r="U1375" s="1" t="str">
        <f t="shared" si="21"/>
        <v>Yes</v>
      </c>
      <c r="W1375" s="1" t="s">
        <v>7846</v>
      </c>
      <c r="X1375" s="1" t="str">
        <f>IF(COUNTIF('MyWells Drilling Comp'!F:F,E1375)=0,"Missing","Exist")</f>
        <v>Exist</v>
      </c>
    </row>
    <row r="1376" hidden="1" spans="1:24">
      <c r="A1376" s="1" t="s">
        <v>5265</v>
      </c>
      <c r="B1376" s="1" t="s">
        <v>90</v>
      </c>
      <c r="C1376" s="1" t="s">
        <v>7847</v>
      </c>
      <c r="D1376" s="1" t="s">
        <v>7848</v>
      </c>
      <c r="E1376" s="2" t="s">
        <v>1254</v>
      </c>
      <c r="F1376" s="2" t="s">
        <v>7849</v>
      </c>
      <c r="G1376" s="1">
        <v>1</v>
      </c>
      <c r="H1376" s="1" t="s">
        <v>1656</v>
      </c>
      <c r="I1376" s="1" t="s">
        <v>1657</v>
      </c>
      <c r="J1376" s="1" t="s">
        <v>1658</v>
      </c>
      <c r="K1376" s="1" t="s">
        <v>1658</v>
      </c>
      <c r="L1376" s="1" t="s">
        <v>1658</v>
      </c>
      <c r="M1376" s="1" t="s">
        <v>1658</v>
      </c>
      <c r="N1376" s="1" t="s">
        <v>1658</v>
      </c>
      <c r="O1376" s="1" t="s">
        <v>1658</v>
      </c>
      <c r="P1376" s="1">
        <v>1</v>
      </c>
      <c r="Q1376" s="1" t="s">
        <v>1658</v>
      </c>
      <c r="R1376" s="1">
        <v>0</v>
      </c>
      <c r="S1376" s="1" t="s">
        <v>7850</v>
      </c>
      <c r="T1376" s="6" t="s">
        <v>7851</v>
      </c>
      <c r="U1376" s="1" t="str">
        <f t="shared" si="21"/>
        <v>No</v>
      </c>
      <c r="W1376" s="1" t="s">
        <v>7852</v>
      </c>
      <c r="X1376" s="1" t="str">
        <f>IF(COUNTIF('MyWells Drilling Comp'!F:F,E1376)=0,"Missing","Exist")</f>
        <v>Exist</v>
      </c>
    </row>
    <row r="1377" hidden="1" spans="1:24">
      <c r="A1377" s="1" t="s">
        <v>5265</v>
      </c>
      <c r="B1377" s="1" t="s">
        <v>90</v>
      </c>
      <c r="C1377" s="1" t="s">
        <v>7853</v>
      </c>
      <c r="D1377" s="1" t="s">
        <v>7848</v>
      </c>
      <c r="E1377" s="2" t="s">
        <v>1254</v>
      </c>
      <c r="F1377" s="2" t="s">
        <v>7854</v>
      </c>
      <c r="G1377" s="1">
        <v>1</v>
      </c>
      <c r="H1377" s="1" t="s">
        <v>1663</v>
      </c>
      <c r="I1377" s="1" t="s">
        <v>1657</v>
      </c>
      <c r="J1377" s="1" t="s">
        <v>1658</v>
      </c>
      <c r="K1377" s="1" t="s">
        <v>1658</v>
      </c>
      <c r="L1377" s="1" t="s">
        <v>1658</v>
      </c>
      <c r="M1377" s="1" t="s">
        <v>1658</v>
      </c>
      <c r="N1377" s="1" t="s">
        <v>1658</v>
      </c>
      <c r="O1377" s="1" t="s">
        <v>1658</v>
      </c>
      <c r="P1377" s="1">
        <v>1</v>
      </c>
      <c r="Q1377" s="1" t="s">
        <v>1658</v>
      </c>
      <c r="R1377" s="1">
        <v>0</v>
      </c>
      <c r="S1377" s="1" t="s">
        <v>7855</v>
      </c>
      <c r="T1377" s="6" t="s">
        <v>7855</v>
      </c>
      <c r="U1377" s="1" t="str">
        <f t="shared" si="21"/>
        <v>Yes</v>
      </c>
      <c r="W1377" s="1" t="s">
        <v>7856</v>
      </c>
      <c r="X1377" s="1" t="str">
        <f>IF(COUNTIF('MyWells Drilling Comp'!F:F,E1377)=0,"Missing","Exist")</f>
        <v>Exist</v>
      </c>
    </row>
    <row r="1378" hidden="1" spans="1:24">
      <c r="A1378" s="1" t="s">
        <v>5265</v>
      </c>
      <c r="B1378" s="1" t="s">
        <v>90</v>
      </c>
      <c r="C1378" s="1" t="s">
        <v>7857</v>
      </c>
      <c r="D1378" s="1" t="s">
        <v>7858</v>
      </c>
      <c r="E1378" s="2" t="s">
        <v>1301</v>
      </c>
      <c r="F1378" s="2" t="s">
        <v>7859</v>
      </c>
      <c r="G1378" s="1">
        <v>1</v>
      </c>
      <c r="H1378" s="1" t="s">
        <v>1663</v>
      </c>
      <c r="I1378" s="1" t="s">
        <v>1657</v>
      </c>
      <c r="J1378" s="1" t="s">
        <v>1658</v>
      </c>
      <c r="K1378" s="1" t="s">
        <v>1658</v>
      </c>
      <c r="L1378" s="1" t="s">
        <v>1658</v>
      </c>
      <c r="M1378" s="1" t="s">
        <v>1658</v>
      </c>
      <c r="N1378" s="1" t="s">
        <v>1658</v>
      </c>
      <c r="O1378" s="1" t="s">
        <v>1658</v>
      </c>
      <c r="P1378" s="1">
        <v>1</v>
      </c>
      <c r="Q1378" s="1" t="s">
        <v>1658</v>
      </c>
      <c r="R1378" s="1">
        <v>0</v>
      </c>
      <c r="S1378" s="1" t="s">
        <v>7860</v>
      </c>
      <c r="T1378" s="6"/>
      <c r="U1378" s="1" t="str">
        <f t="shared" si="21"/>
        <v>No</v>
      </c>
      <c r="W1378" s="1" t="s">
        <v>7861</v>
      </c>
      <c r="X1378" s="1" t="str">
        <f>IF(COUNTIF('MyWells Drilling Comp'!F:F,E1378)=0,"Missing","Exist")</f>
        <v>Exist</v>
      </c>
    </row>
    <row r="1379" hidden="1" spans="1:24">
      <c r="A1379" s="1" t="s">
        <v>5265</v>
      </c>
      <c r="B1379" s="1" t="s">
        <v>90</v>
      </c>
      <c r="C1379" s="1" t="s">
        <v>7862</v>
      </c>
      <c r="D1379" s="1" t="s">
        <v>7858</v>
      </c>
      <c r="E1379" s="2" t="s">
        <v>1301</v>
      </c>
      <c r="F1379" s="2" t="s">
        <v>7863</v>
      </c>
      <c r="G1379" s="1">
        <v>1</v>
      </c>
      <c r="H1379" s="1" t="s">
        <v>1656</v>
      </c>
      <c r="I1379" s="1" t="s">
        <v>1657</v>
      </c>
      <c r="J1379" s="1" t="s">
        <v>1658</v>
      </c>
      <c r="K1379" s="1" t="s">
        <v>1658</v>
      </c>
      <c r="L1379" s="1" t="s">
        <v>1658</v>
      </c>
      <c r="M1379" s="1" t="s">
        <v>1658</v>
      </c>
      <c r="N1379" s="1" t="s">
        <v>1658</v>
      </c>
      <c r="O1379" s="1" t="s">
        <v>1658</v>
      </c>
      <c r="P1379" s="1">
        <v>1</v>
      </c>
      <c r="Q1379" s="1" t="s">
        <v>1658</v>
      </c>
      <c r="R1379" s="1">
        <v>0</v>
      </c>
      <c r="S1379" s="1" t="s">
        <v>7864</v>
      </c>
      <c r="T1379" s="6"/>
      <c r="U1379" s="1" t="str">
        <f t="shared" si="21"/>
        <v>No</v>
      </c>
      <c r="W1379" s="1" t="s">
        <v>7865</v>
      </c>
      <c r="X1379" s="1" t="str">
        <f>IF(COUNTIF('MyWells Drilling Comp'!F:F,E1379)=0,"Missing","Exist")</f>
        <v>Exist</v>
      </c>
    </row>
    <row r="1380" hidden="1" spans="1:24">
      <c r="A1380" s="1" t="s">
        <v>5265</v>
      </c>
      <c r="B1380" s="1" t="s">
        <v>90</v>
      </c>
      <c r="C1380" s="1" t="s">
        <v>7866</v>
      </c>
      <c r="D1380" s="1" t="s">
        <v>7867</v>
      </c>
      <c r="E1380" s="2" t="s">
        <v>1027</v>
      </c>
      <c r="F1380" s="2" t="s">
        <v>7868</v>
      </c>
      <c r="G1380" s="1">
        <v>1</v>
      </c>
      <c r="H1380" s="1" t="s">
        <v>1656</v>
      </c>
      <c r="I1380" s="1" t="s">
        <v>1657</v>
      </c>
      <c r="J1380" s="1" t="s">
        <v>1658</v>
      </c>
      <c r="K1380" s="1" t="s">
        <v>1658</v>
      </c>
      <c r="L1380" s="1" t="s">
        <v>1658</v>
      </c>
      <c r="M1380" s="1" t="s">
        <v>1658</v>
      </c>
      <c r="N1380" s="1" t="s">
        <v>1658</v>
      </c>
      <c r="O1380" s="1" t="s">
        <v>1658</v>
      </c>
      <c r="P1380" s="1">
        <v>1</v>
      </c>
      <c r="Q1380" s="1" t="s">
        <v>1658</v>
      </c>
      <c r="R1380" s="1">
        <v>0</v>
      </c>
      <c r="S1380" s="1" t="s">
        <v>7869</v>
      </c>
      <c r="T1380" s="6" t="s">
        <v>7869</v>
      </c>
      <c r="U1380" s="1" t="str">
        <f t="shared" si="21"/>
        <v>Yes</v>
      </c>
      <c r="W1380" s="1" t="s">
        <v>7870</v>
      </c>
      <c r="X1380" s="1" t="str">
        <f>IF(COUNTIF('MyWells Drilling Comp'!F:F,E1380)=0,"Missing","Exist")</f>
        <v>Exist</v>
      </c>
    </row>
    <row r="1381" hidden="1" spans="1:24">
      <c r="A1381" s="1" t="s">
        <v>5265</v>
      </c>
      <c r="B1381" s="1" t="s">
        <v>90</v>
      </c>
      <c r="C1381" s="1" t="s">
        <v>7871</v>
      </c>
      <c r="D1381" s="1" t="s">
        <v>7867</v>
      </c>
      <c r="E1381" s="2" t="s">
        <v>1027</v>
      </c>
      <c r="F1381" s="2" t="s">
        <v>7872</v>
      </c>
      <c r="G1381" s="1">
        <v>1</v>
      </c>
      <c r="H1381" s="1" t="s">
        <v>1663</v>
      </c>
      <c r="I1381" s="1" t="s">
        <v>1657</v>
      </c>
      <c r="J1381" s="1" t="s">
        <v>1658</v>
      </c>
      <c r="K1381" s="1" t="s">
        <v>1658</v>
      </c>
      <c r="L1381" s="1" t="s">
        <v>1658</v>
      </c>
      <c r="M1381" s="1" t="s">
        <v>1658</v>
      </c>
      <c r="N1381" s="1" t="s">
        <v>1658</v>
      </c>
      <c r="O1381" s="1" t="s">
        <v>1658</v>
      </c>
      <c r="P1381" s="1">
        <v>1</v>
      </c>
      <c r="Q1381" s="1" t="s">
        <v>1658</v>
      </c>
      <c r="R1381" s="1">
        <v>0</v>
      </c>
      <c r="S1381" s="1" t="s">
        <v>7873</v>
      </c>
      <c r="T1381" s="6" t="s">
        <v>7873</v>
      </c>
      <c r="U1381" s="1" t="str">
        <f t="shared" si="21"/>
        <v>Yes</v>
      </c>
      <c r="W1381" s="1" t="s">
        <v>7874</v>
      </c>
      <c r="X1381" s="1" t="str">
        <f>IF(COUNTIF('MyWells Drilling Comp'!F:F,E1381)=0,"Missing","Exist")</f>
        <v>Exist</v>
      </c>
    </row>
    <row r="1382" hidden="1" spans="1:24">
      <c r="A1382" s="1" t="s">
        <v>5265</v>
      </c>
      <c r="B1382" s="1" t="s">
        <v>90</v>
      </c>
      <c r="C1382" s="1" t="s">
        <v>7875</v>
      </c>
      <c r="D1382" s="1" t="s">
        <v>7876</v>
      </c>
      <c r="E1382" s="2" t="s">
        <v>539</v>
      </c>
      <c r="F1382" s="2" t="s">
        <v>7877</v>
      </c>
      <c r="G1382" s="1">
        <v>1</v>
      </c>
      <c r="H1382" s="1" t="s">
        <v>1663</v>
      </c>
      <c r="I1382" s="1" t="s">
        <v>1657</v>
      </c>
      <c r="J1382" s="1" t="s">
        <v>1658</v>
      </c>
      <c r="K1382" s="1" t="s">
        <v>1658</v>
      </c>
      <c r="L1382" s="1" t="s">
        <v>1658</v>
      </c>
      <c r="M1382" s="1" t="s">
        <v>1658</v>
      </c>
      <c r="N1382" s="1" t="s">
        <v>1658</v>
      </c>
      <c r="O1382" s="1" t="s">
        <v>1658</v>
      </c>
      <c r="P1382" s="1">
        <v>1</v>
      </c>
      <c r="Q1382" s="1" t="s">
        <v>1658</v>
      </c>
      <c r="R1382" s="1">
        <v>0</v>
      </c>
      <c r="S1382" s="1" t="s">
        <v>7878</v>
      </c>
      <c r="T1382" s="6" t="s">
        <v>7878</v>
      </c>
      <c r="U1382" s="1" t="str">
        <f t="shared" si="21"/>
        <v>Yes</v>
      </c>
      <c r="W1382" s="1" t="s">
        <v>7879</v>
      </c>
      <c r="X1382" s="1" t="str">
        <f>IF(COUNTIF('MyWells Drilling Comp'!F:F,E1382)=0,"Missing","Exist")</f>
        <v>Exist</v>
      </c>
    </row>
    <row r="1383" hidden="1" spans="1:24">
      <c r="A1383" s="1" t="s">
        <v>5265</v>
      </c>
      <c r="B1383" s="1" t="s">
        <v>90</v>
      </c>
      <c r="C1383" s="1" t="s">
        <v>7880</v>
      </c>
      <c r="D1383" s="1" t="s">
        <v>7876</v>
      </c>
      <c r="E1383" s="2" t="s">
        <v>539</v>
      </c>
      <c r="F1383" s="2" t="s">
        <v>7881</v>
      </c>
      <c r="G1383" s="1">
        <v>1</v>
      </c>
      <c r="H1383" s="1" t="s">
        <v>1656</v>
      </c>
      <c r="I1383" s="1" t="s">
        <v>1657</v>
      </c>
      <c r="J1383" s="1" t="s">
        <v>1658</v>
      </c>
      <c r="K1383" s="1" t="s">
        <v>1658</v>
      </c>
      <c r="L1383" s="1" t="s">
        <v>1658</v>
      </c>
      <c r="M1383" s="1" t="s">
        <v>1658</v>
      </c>
      <c r="N1383" s="1" t="s">
        <v>1658</v>
      </c>
      <c r="O1383" s="1" t="s">
        <v>1658</v>
      </c>
      <c r="P1383" s="1">
        <v>1</v>
      </c>
      <c r="Q1383" s="1" t="s">
        <v>1658</v>
      </c>
      <c r="R1383" s="1">
        <v>0</v>
      </c>
      <c r="S1383" s="1" t="s">
        <v>7882</v>
      </c>
      <c r="T1383" s="6" t="s">
        <v>7882</v>
      </c>
      <c r="U1383" s="1" t="str">
        <f t="shared" si="21"/>
        <v>Yes</v>
      </c>
      <c r="W1383" s="1" t="s">
        <v>7883</v>
      </c>
      <c r="X1383" s="1" t="str">
        <f>IF(COUNTIF('MyWells Drilling Comp'!F:F,E1383)=0,"Missing","Exist")</f>
        <v>Exist</v>
      </c>
    </row>
    <row r="1384" hidden="1" spans="1:24">
      <c r="A1384" s="1" t="s">
        <v>5265</v>
      </c>
      <c r="B1384" s="1" t="s">
        <v>90</v>
      </c>
      <c r="C1384" s="1" t="s">
        <v>7884</v>
      </c>
      <c r="D1384" s="1" t="s">
        <v>7885</v>
      </c>
      <c r="E1384" s="2" t="s">
        <v>1002</v>
      </c>
      <c r="F1384" s="2" t="s">
        <v>7886</v>
      </c>
      <c r="G1384" s="1">
        <v>1</v>
      </c>
      <c r="H1384" s="1" t="s">
        <v>1663</v>
      </c>
      <c r="I1384" s="1" t="s">
        <v>1657</v>
      </c>
      <c r="J1384" s="1" t="s">
        <v>1658</v>
      </c>
      <c r="K1384" s="1" t="s">
        <v>1658</v>
      </c>
      <c r="L1384" s="1" t="s">
        <v>1658</v>
      </c>
      <c r="M1384" s="1" t="s">
        <v>1658</v>
      </c>
      <c r="N1384" s="1" t="s">
        <v>1658</v>
      </c>
      <c r="O1384" s="1" t="s">
        <v>1658</v>
      </c>
      <c r="P1384" s="1">
        <v>1</v>
      </c>
      <c r="Q1384" s="1" t="s">
        <v>1658</v>
      </c>
      <c r="R1384" s="1">
        <v>0</v>
      </c>
      <c r="S1384" s="1" t="s">
        <v>7887</v>
      </c>
      <c r="T1384" s="6" t="s">
        <v>7887</v>
      </c>
      <c r="U1384" s="1" t="str">
        <f t="shared" si="21"/>
        <v>Yes</v>
      </c>
      <c r="W1384" s="1" t="s">
        <v>7888</v>
      </c>
      <c r="X1384" s="1" t="str">
        <f>IF(COUNTIF('MyWells Drilling Comp'!F:F,E1384)=0,"Missing","Exist")</f>
        <v>Exist</v>
      </c>
    </row>
    <row r="1385" hidden="1" spans="1:24">
      <c r="A1385" s="1" t="s">
        <v>5265</v>
      </c>
      <c r="B1385" s="1" t="s">
        <v>90</v>
      </c>
      <c r="C1385" s="1" t="s">
        <v>7889</v>
      </c>
      <c r="D1385" s="1" t="s">
        <v>7885</v>
      </c>
      <c r="E1385" s="2" t="s">
        <v>1002</v>
      </c>
      <c r="F1385" s="2" t="s">
        <v>7890</v>
      </c>
      <c r="G1385" s="1">
        <v>1</v>
      </c>
      <c r="H1385" s="1" t="s">
        <v>1656</v>
      </c>
      <c r="I1385" s="1" t="s">
        <v>1657</v>
      </c>
      <c r="J1385" s="1" t="s">
        <v>1658</v>
      </c>
      <c r="K1385" s="1" t="s">
        <v>1658</v>
      </c>
      <c r="L1385" s="1" t="s">
        <v>1658</v>
      </c>
      <c r="M1385" s="1" t="s">
        <v>1658</v>
      </c>
      <c r="N1385" s="1" t="s">
        <v>1658</v>
      </c>
      <c r="O1385" s="1" t="s">
        <v>1658</v>
      </c>
      <c r="P1385" s="1">
        <v>1</v>
      </c>
      <c r="Q1385" s="1" t="s">
        <v>1658</v>
      </c>
      <c r="R1385" s="1">
        <v>0</v>
      </c>
      <c r="S1385" s="1" t="s">
        <v>7891</v>
      </c>
      <c r="T1385" s="6" t="s">
        <v>7891</v>
      </c>
      <c r="U1385" s="1" t="str">
        <f t="shared" si="21"/>
        <v>Yes</v>
      </c>
      <c r="W1385" s="1" t="s">
        <v>7892</v>
      </c>
      <c r="X1385" s="1" t="str">
        <f>IF(COUNTIF('MyWells Drilling Comp'!F:F,E1385)=0,"Missing","Exist")</f>
        <v>Exist</v>
      </c>
    </row>
    <row r="1386" hidden="1" spans="1:24">
      <c r="A1386" s="1" t="s">
        <v>5265</v>
      </c>
      <c r="B1386" s="1" t="s">
        <v>90</v>
      </c>
      <c r="C1386" s="1" t="s">
        <v>7893</v>
      </c>
      <c r="D1386" s="1" t="s">
        <v>7894</v>
      </c>
      <c r="E1386" s="2" t="s">
        <v>1072</v>
      </c>
      <c r="F1386" s="8" t="s">
        <v>7895</v>
      </c>
      <c r="G1386" s="1">
        <v>1</v>
      </c>
      <c r="H1386" s="1" t="s">
        <v>1663</v>
      </c>
      <c r="I1386" s="1" t="s">
        <v>1657</v>
      </c>
      <c r="J1386" s="1" t="s">
        <v>1658</v>
      </c>
      <c r="K1386" s="1" t="s">
        <v>1658</v>
      </c>
      <c r="L1386" s="1" t="s">
        <v>1658</v>
      </c>
      <c r="M1386" s="1" t="s">
        <v>1658</v>
      </c>
      <c r="N1386" s="1" t="s">
        <v>1658</v>
      </c>
      <c r="O1386" s="1" t="s">
        <v>1658</v>
      </c>
      <c r="P1386" s="1">
        <v>1</v>
      </c>
      <c r="Q1386" s="1" t="s">
        <v>1658</v>
      </c>
      <c r="R1386" s="1">
        <v>0</v>
      </c>
      <c r="S1386" s="1" t="s">
        <v>7896</v>
      </c>
      <c r="T1386" s="6" t="s">
        <v>7896</v>
      </c>
      <c r="U1386" s="1" t="str">
        <f t="shared" si="21"/>
        <v>Yes</v>
      </c>
      <c r="W1386" s="1" t="s">
        <v>7897</v>
      </c>
      <c r="X1386" s="1" t="str">
        <f>IF(COUNTIF('MyWells Drilling Comp'!F:F,E1386)=0,"Missing","Exist")</f>
        <v>Exist</v>
      </c>
    </row>
    <row r="1387" hidden="1" spans="1:24">
      <c r="A1387" s="1" t="s">
        <v>5265</v>
      </c>
      <c r="B1387" s="1" t="s">
        <v>90</v>
      </c>
      <c r="C1387" s="1" t="s">
        <v>7898</v>
      </c>
      <c r="D1387" s="1" t="s">
        <v>7894</v>
      </c>
      <c r="E1387" s="2" t="s">
        <v>1072</v>
      </c>
      <c r="F1387" s="2" t="s">
        <v>7899</v>
      </c>
      <c r="G1387" s="1">
        <v>1</v>
      </c>
      <c r="H1387" s="1" t="s">
        <v>1656</v>
      </c>
      <c r="I1387" s="1" t="s">
        <v>1657</v>
      </c>
      <c r="J1387" s="1" t="s">
        <v>1658</v>
      </c>
      <c r="K1387" s="1" t="s">
        <v>1658</v>
      </c>
      <c r="L1387" s="1" t="s">
        <v>1658</v>
      </c>
      <c r="M1387" s="1" t="s">
        <v>1658</v>
      </c>
      <c r="N1387" s="1" t="s">
        <v>1658</v>
      </c>
      <c r="O1387" s="1" t="s">
        <v>1658</v>
      </c>
      <c r="P1387" s="1">
        <v>1</v>
      </c>
      <c r="Q1387" s="1" t="s">
        <v>1658</v>
      </c>
      <c r="R1387" s="1">
        <v>0</v>
      </c>
      <c r="S1387" s="1" t="s">
        <v>7900</v>
      </c>
      <c r="T1387" s="6" t="s">
        <v>7900</v>
      </c>
      <c r="U1387" s="1" t="str">
        <f t="shared" si="21"/>
        <v>Yes</v>
      </c>
      <c r="W1387" s="1" t="s">
        <v>7901</v>
      </c>
      <c r="X1387" s="1" t="str">
        <f>IF(COUNTIF('MyWells Drilling Comp'!F:F,E1387)=0,"Missing","Exist")</f>
        <v>Exist</v>
      </c>
    </row>
    <row r="1388" hidden="1" spans="1:24">
      <c r="A1388" s="1" t="s">
        <v>5265</v>
      </c>
      <c r="B1388" s="1" t="s">
        <v>90</v>
      </c>
      <c r="C1388" s="1" t="s">
        <v>7902</v>
      </c>
      <c r="D1388" s="1" t="s">
        <v>7903</v>
      </c>
      <c r="E1388" s="2" t="s">
        <v>850</v>
      </c>
      <c r="F1388" s="2" t="s">
        <v>7904</v>
      </c>
      <c r="G1388" s="1">
        <v>1</v>
      </c>
      <c r="H1388" s="1" t="s">
        <v>1656</v>
      </c>
      <c r="I1388" s="1" t="s">
        <v>1657</v>
      </c>
      <c r="J1388" s="1" t="s">
        <v>1658</v>
      </c>
      <c r="K1388" s="1" t="s">
        <v>1658</v>
      </c>
      <c r="L1388" s="1" t="s">
        <v>1658</v>
      </c>
      <c r="M1388" s="1" t="s">
        <v>1658</v>
      </c>
      <c r="N1388" s="1" t="s">
        <v>1658</v>
      </c>
      <c r="O1388" s="1" t="s">
        <v>1658</v>
      </c>
      <c r="P1388" s="1">
        <v>1</v>
      </c>
      <c r="Q1388" s="1" t="s">
        <v>1658</v>
      </c>
      <c r="R1388" s="1">
        <v>0</v>
      </c>
      <c r="S1388" s="1" t="s">
        <v>7905</v>
      </c>
      <c r="T1388" s="6" t="s">
        <v>7905</v>
      </c>
      <c r="U1388" s="1" t="str">
        <f t="shared" si="21"/>
        <v>Yes</v>
      </c>
      <c r="W1388" s="1" t="s">
        <v>7906</v>
      </c>
      <c r="X1388" s="1" t="str">
        <f>IF(COUNTIF('MyWells Drilling Comp'!F:F,E1388)=0,"Missing","Exist")</f>
        <v>Exist</v>
      </c>
    </row>
    <row r="1389" hidden="1" spans="1:24">
      <c r="A1389" s="1" t="s">
        <v>5265</v>
      </c>
      <c r="B1389" s="1" t="s">
        <v>90</v>
      </c>
      <c r="C1389" s="1" t="s">
        <v>7907</v>
      </c>
      <c r="D1389" s="1" t="s">
        <v>7903</v>
      </c>
      <c r="E1389" s="2" t="s">
        <v>850</v>
      </c>
      <c r="F1389" s="2" t="s">
        <v>7908</v>
      </c>
      <c r="G1389" s="1">
        <v>1</v>
      </c>
      <c r="H1389" s="1" t="s">
        <v>1663</v>
      </c>
      <c r="I1389" s="1" t="s">
        <v>1657</v>
      </c>
      <c r="J1389" s="1" t="s">
        <v>1658</v>
      </c>
      <c r="K1389" s="1" t="s">
        <v>1658</v>
      </c>
      <c r="L1389" s="1" t="s">
        <v>1658</v>
      </c>
      <c r="M1389" s="1" t="s">
        <v>1658</v>
      </c>
      <c r="N1389" s="1" t="s">
        <v>1658</v>
      </c>
      <c r="O1389" s="1" t="s">
        <v>1658</v>
      </c>
      <c r="P1389" s="1">
        <v>1</v>
      </c>
      <c r="Q1389" s="1" t="s">
        <v>1658</v>
      </c>
      <c r="R1389" s="1">
        <v>0</v>
      </c>
      <c r="S1389" s="1" t="s">
        <v>7909</v>
      </c>
      <c r="T1389" s="6" t="s">
        <v>7909</v>
      </c>
      <c r="U1389" s="1" t="str">
        <f t="shared" si="21"/>
        <v>Yes</v>
      </c>
      <c r="W1389" s="1" t="s">
        <v>7910</v>
      </c>
      <c r="X1389" s="1" t="str">
        <f>IF(COUNTIF('MyWells Drilling Comp'!F:F,E1389)=0,"Missing","Exist")</f>
        <v>Exist</v>
      </c>
    </row>
    <row r="1390" hidden="1" spans="1:24">
      <c r="A1390" s="1" t="s">
        <v>5265</v>
      </c>
      <c r="B1390" s="1" t="s">
        <v>90</v>
      </c>
      <c r="C1390" s="1" t="s">
        <v>7911</v>
      </c>
      <c r="D1390" s="1" t="s">
        <v>7912</v>
      </c>
      <c r="E1390" s="2" t="s">
        <v>1078</v>
      </c>
      <c r="F1390" s="2" t="s">
        <v>7913</v>
      </c>
      <c r="G1390" s="1">
        <v>1</v>
      </c>
      <c r="H1390" s="1" t="s">
        <v>1656</v>
      </c>
      <c r="I1390" s="1" t="s">
        <v>1657</v>
      </c>
      <c r="J1390" s="1" t="s">
        <v>1658</v>
      </c>
      <c r="K1390" s="1" t="s">
        <v>1658</v>
      </c>
      <c r="L1390" s="1" t="s">
        <v>1658</v>
      </c>
      <c r="M1390" s="1" t="s">
        <v>1658</v>
      </c>
      <c r="N1390" s="1" t="s">
        <v>1658</v>
      </c>
      <c r="O1390" s="1" t="s">
        <v>1658</v>
      </c>
      <c r="P1390" s="1">
        <v>1</v>
      </c>
      <c r="Q1390" s="1" t="s">
        <v>1658</v>
      </c>
      <c r="R1390" s="1">
        <v>0</v>
      </c>
      <c r="S1390" s="1" t="s">
        <v>7914</v>
      </c>
      <c r="T1390" s="6"/>
      <c r="U1390" s="1" t="str">
        <f t="shared" si="21"/>
        <v>No</v>
      </c>
      <c r="W1390" s="1" t="s">
        <v>7915</v>
      </c>
      <c r="X1390" s="1" t="str">
        <f>IF(COUNTIF('MyWells Drilling Comp'!F:F,E1390)=0,"Missing","Exist")</f>
        <v>Exist</v>
      </c>
    </row>
    <row r="1391" hidden="1" spans="1:24">
      <c r="A1391" s="1" t="s">
        <v>5265</v>
      </c>
      <c r="B1391" s="1" t="s">
        <v>90</v>
      </c>
      <c r="C1391" s="1" t="s">
        <v>7916</v>
      </c>
      <c r="D1391" s="1" t="s">
        <v>7912</v>
      </c>
      <c r="E1391" s="2" t="s">
        <v>1078</v>
      </c>
      <c r="F1391" s="2" t="s">
        <v>7917</v>
      </c>
      <c r="G1391" s="1">
        <v>1</v>
      </c>
      <c r="H1391" s="1" t="s">
        <v>1663</v>
      </c>
      <c r="I1391" s="1" t="s">
        <v>1657</v>
      </c>
      <c r="J1391" s="1" t="s">
        <v>1658</v>
      </c>
      <c r="K1391" s="1" t="s">
        <v>1658</v>
      </c>
      <c r="L1391" s="1" t="s">
        <v>1658</v>
      </c>
      <c r="M1391" s="1" t="s">
        <v>1658</v>
      </c>
      <c r="N1391" s="1" t="s">
        <v>1658</v>
      </c>
      <c r="O1391" s="1" t="s">
        <v>1658</v>
      </c>
      <c r="P1391" s="1">
        <v>1</v>
      </c>
      <c r="Q1391" s="1" t="s">
        <v>1658</v>
      </c>
      <c r="R1391" s="1">
        <v>0</v>
      </c>
      <c r="S1391" s="1" t="s">
        <v>7918</v>
      </c>
      <c r="T1391" s="6" t="s">
        <v>7918</v>
      </c>
      <c r="U1391" s="1" t="str">
        <f t="shared" si="21"/>
        <v>Yes</v>
      </c>
      <c r="W1391" s="1" t="s">
        <v>7919</v>
      </c>
      <c r="X1391" s="1" t="str">
        <f>IF(COUNTIF('MyWells Drilling Comp'!F:F,E1391)=0,"Missing","Exist")</f>
        <v>Exist</v>
      </c>
    </row>
    <row r="1392" hidden="1" spans="1:24">
      <c r="A1392" s="1" t="s">
        <v>5265</v>
      </c>
      <c r="B1392" s="1" t="s">
        <v>90</v>
      </c>
      <c r="C1392" s="1" t="s">
        <v>7920</v>
      </c>
      <c r="D1392" s="1" t="s">
        <v>7921</v>
      </c>
      <c r="E1392" s="2" t="s">
        <v>1026</v>
      </c>
      <c r="F1392" s="2" t="s">
        <v>7922</v>
      </c>
      <c r="G1392" s="1">
        <v>1</v>
      </c>
      <c r="H1392" s="1" t="s">
        <v>1656</v>
      </c>
      <c r="I1392" s="1" t="s">
        <v>1657</v>
      </c>
      <c r="J1392" s="1" t="s">
        <v>1658</v>
      </c>
      <c r="K1392" s="1" t="s">
        <v>1658</v>
      </c>
      <c r="L1392" s="1" t="s">
        <v>1658</v>
      </c>
      <c r="M1392" s="1" t="s">
        <v>1658</v>
      </c>
      <c r="N1392" s="1" t="s">
        <v>1658</v>
      </c>
      <c r="O1392" s="1" t="s">
        <v>1658</v>
      </c>
      <c r="P1392" s="1">
        <v>1</v>
      </c>
      <c r="Q1392" s="1" t="s">
        <v>1658</v>
      </c>
      <c r="R1392" s="1">
        <v>0</v>
      </c>
      <c r="S1392" s="1" t="s">
        <v>7923</v>
      </c>
      <c r="T1392" s="6" t="s">
        <v>7923</v>
      </c>
      <c r="U1392" s="1" t="str">
        <f t="shared" si="21"/>
        <v>Yes</v>
      </c>
      <c r="W1392" s="1" t="s">
        <v>7924</v>
      </c>
      <c r="X1392" s="1" t="str">
        <f>IF(COUNTIF('MyWells Drilling Comp'!F:F,E1392)=0,"Missing","Exist")</f>
        <v>Exist</v>
      </c>
    </row>
    <row r="1393" hidden="1" spans="1:24">
      <c r="A1393" s="1" t="s">
        <v>5265</v>
      </c>
      <c r="B1393" s="1" t="s">
        <v>90</v>
      </c>
      <c r="C1393" s="1" t="s">
        <v>7925</v>
      </c>
      <c r="D1393" s="1" t="s">
        <v>7921</v>
      </c>
      <c r="E1393" s="2" t="s">
        <v>1026</v>
      </c>
      <c r="F1393" s="2" t="s">
        <v>7926</v>
      </c>
      <c r="G1393" s="1">
        <v>1</v>
      </c>
      <c r="H1393" s="1" t="s">
        <v>1663</v>
      </c>
      <c r="I1393" s="1" t="s">
        <v>1657</v>
      </c>
      <c r="J1393" s="1" t="s">
        <v>1658</v>
      </c>
      <c r="K1393" s="1" t="s">
        <v>1658</v>
      </c>
      <c r="L1393" s="1" t="s">
        <v>1658</v>
      </c>
      <c r="M1393" s="1" t="s">
        <v>1658</v>
      </c>
      <c r="N1393" s="1" t="s">
        <v>1658</v>
      </c>
      <c r="O1393" s="1" t="s">
        <v>1658</v>
      </c>
      <c r="P1393" s="1">
        <v>1</v>
      </c>
      <c r="Q1393" s="1" t="s">
        <v>1658</v>
      </c>
      <c r="R1393" s="1">
        <v>0</v>
      </c>
      <c r="S1393" s="1" t="s">
        <v>7927</v>
      </c>
      <c r="T1393" s="6" t="s">
        <v>7927</v>
      </c>
      <c r="U1393" s="1" t="str">
        <f t="shared" si="21"/>
        <v>Yes</v>
      </c>
      <c r="W1393" s="1" t="s">
        <v>7928</v>
      </c>
      <c r="X1393" s="1" t="str">
        <f>IF(COUNTIF('MyWells Drilling Comp'!F:F,E1393)=0,"Missing","Exist")</f>
        <v>Exist</v>
      </c>
    </row>
    <row r="1394" hidden="1" spans="1:24">
      <c r="A1394" s="1" t="s">
        <v>5265</v>
      </c>
      <c r="B1394" s="1" t="s">
        <v>90</v>
      </c>
      <c r="C1394" s="1" t="s">
        <v>7929</v>
      </c>
      <c r="D1394" s="1" t="s">
        <v>7930</v>
      </c>
      <c r="E1394" s="2" t="s">
        <v>1355</v>
      </c>
      <c r="F1394" s="2" t="s">
        <v>7931</v>
      </c>
      <c r="G1394" s="1">
        <v>1</v>
      </c>
      <c r="H1394" s="1" t="s">
        <v>1656</v>
      </c>
      <c r="I1394" s="1" t="s">
        <v>1657</v>
      </c>
      <c r="J1394" s="1" t="s">
        <v>1658</v>
      </c>
      <c r="K1394" s="1" t="s">
        <v>1658</v>
      </c>
      <c r="L1394" s="1" t="s">
        <v>1658</v>
      </c>
      <c r="M1394" s="1" t="s">
        <v>1658</v>
      </c>
      <c r="N1394" s="1" t="s">
        <v>1658</v>
      </c>
      <c r="O1394" s="1" t="s">
        <v>1658</v>
      </c>
      <c r="P1394" s="1">
        <v>1</v>
      </c>
      <c r="Q1394" s="1" t="s">
        <v>1658</v>
      </c>
      <c r="R1394" s="1">
        <v>0</v>
      </c>
      <c r="S1394" s="1" t="s">
        <v>7932</v>
      </c>
      <c r="T1394" s="6" t="s">
        <v>7932</v>
      </c>
      <c r="U1394" s="1" t="str">
        <f t="shared" si="21"/>
        <v>Yes</v>
      </c>
      <c r="W1394" s="1" t="s">
        <v>7933</v>
      </c>
      <c r="X1394" s="1" t="str">
        <f>IF(COUNTIF('MyWells Drilling Comp'!F:F,E1394)=0,"Missing","Exist")</f>
        <v>Exist</v>
      </c>
    </row>
    <row r="1395" hidden="1" spans="1:24">
      <c r="A1395" s="1" t="s">
        <v>5265</v>
      </c>
      <c r="B1395" s="1" t="s">
        <v>90</v>
      </c>
      <c r="C1395" s="1" t="s">
        <v>7934</v>
      </c>
      <c r="D1395" s="1" t="s">
        <v>7930</v>
      </c>
      <c r="E1395" s="2" t="s">
        <v>1355</v>
      </c>
      <c r="F1395" s="2" t="s">
        <v>7935</v>
      </c>
      <c r="G1395" s="1">
        <v>1</v>
      </c>
      <c r="H1395" s="1" t="s">
        <v>1663</v>
      </c>
      <c r="I1395" s="1" t="s">
        <v>1657</v>
      </c>
      <c r="J1395" s="1" t="s">
        <v>1658</v>
      </c>
      <c r="K1395" s="1" t="s">
        <v>1658</v>
      </c>
      <c r="L1395" s="1" t="s">
        <v>1658</v>
      </c>
      <c r="M1395" s="1" t="s">
        <v>1658</v>
      </c>
      <c r="N1395" s="1" t="s">
        <v>1658</v>
      </c>
      <c r="O1395" s="1" t="s">
        <v>1658</v>
      </c>
      <c r="P1395" s="1">
        <v>1</v>
      </c>
      <c r="Q1395" s="1" t="s">
        <v>1658</v>
      </c>
      <c r="R1395" s="1">
        <v>0</v>
      </c>
      <c r="S1395" s="1" t="s">
        <v>7936</v>
      </c>
      <c r="T1395" s="6" t="s">
        <v>7936</v>
      </c>
      <c r="U1395" s="1" t="str">
        <f t="shared" si="21"/>
        <v>Yes</v>
      </c>
      <c r="W1395" s="1" t="s">
        <v>7937</v>
      </c>
      <c r="X1395" s="1" t="str">
        <f>IF(COUNTIF('MyWells Drilling Comp'!F:F,E1395)=0,"Missing","Exist")</f>
        <v>Exist</v>
      </c>
    </row>
    <row r="1396" hidden="1" spans="1:24">
      <c r="A1396" s="1" t="s">
        <v>5265</v>
      </c>
      <c r="B1396" s="1" t="s">
        <v>90</v>
      </c>
      <c r="C1396" s="1" t="s">
        <v>7938</v>
      </c>
      <c r="D1396" s="1" t="s">
        <v>7939</v>
      </c>
      <c r="E1396" s="2" t="s">
        <v>1228</v>
      </c>
      <c r="F1396" s="2" t="s">
        <v>7940</v>
      </c>
      <c r="G1396" s="1">
        <v>1</v>
      </c>
      <c r="H1396" s="1" t="s">
        <v>1656</v>
      </c>
      <c r="I1396" s="1" t="s">
        <v>1657</v>
      </c>
      <c r="J1396" s="1" t="s">
        <v>1658</v>
      </c>
      <c r="K1396" s="1" t="s">
        <v>1658</v>
      </c>
      <c r="L1396" s="1" t="s">
        <v>1658</v>
      </c>
      <c r="M1396" s="1" t="s">
        <v>1658</v>
      </c>
      <c r="N1396" s="1" t="s">
        <v>1658</v>
      </c>
      <c r="O1396" s="1" t="s">
        <v>1658</v>
      </c>
      <c r="P1396" s="1">
        <v>1</v>
      </c>
      <c r="Q1396" s="1" t="s">
        <v>1658</v>
      </c>
      <c r="R1396" s="1">
        <v>0</v>
      </c>
      <c r="S1396" s="1" t="s">
        <v>7941</v>
      </c>
      <c r="T1396" s="6" t="s">
        <v>7941</v>
      </c>
      <c r="U1396" s="1" t="str">
        <f t="shared" si="21"/>
        <v>Yes</v>
      </c>
      <c r="W1396" s="1" t="s">
        <v>7942</v>
      </c>
      <c r="X1396" s="1" t="str">
        <f>IF(COUNTIF('MyWells Drilling Comp'!F:F,E1396)=0,"Missing","Exist")</f>
        <v>Exist</v>
      </c>
    </row>
    <row r="1397" hidden="1" spans="1:24">
      <c r="A1397" s="1" t="s">
        <v>5265</v>
      </c>
      <c r="B1397" s="1" t="s">
        <v>90</v>
      </c>
      <c r="C1397" s="1" t="s">
        <v>7943</v>
      </c>
      <c r="D1397" s="1" t="s">
        <v>7939</v>
      </c>
      <c r="E1397" s="2" t="s">
        <v>1228</v>
      </c>
      <c r="F1397" s="2" t="s">
        <v>7944</v>
      </c>
      <c r="G1397" s="1">
        <v>1</v>
      </c>
      <c r="H1397" s="1" t="s">
        <v>1663</v>
      </c>
      <c r="I1397" s="1" t="s">
        <v>1657</v>
      </c>
      <c r="J1397" s="1" t="s">
        <v>1658</v>
      </c>
      <c r="K1397" s="1" t="s">
        <v>1658</v>
      </c>
      <c r="L1397" s="1" t="s">
        <v>1658</v>
      </c>
      <c r="M1397" s="1" t="s">
        <v>1658</v>
      </c>
      <c r="N1397" s="1" t="s">
        <v>1658</v>
      </c>
      <c r="O1397" s="1" t="s">
        <v>1658</v>
      </c>
      <c r="P1397" s="1">
        <v>1</v>
      </c>
      <c r="Q1397" s="1" t="s">
        <v>1658</v>
      </c>
      <c r="R1397" s="1">
        <v>0</v>
      </c>
      <c r="S1397" s="1" t="s">
        <v>7945</v>
      </c>
      <c r="T1397" s="6" t="s">
        <v>7945</v>
      </c>
      <c r="U1397" s="1" t="str">
        <f t="shared" si="21"/>
        <v>Yes</v>
      </c>
      <c r="W1397" s="1" t="s">
        <v>7946</v>
      </c>
      <c r="X1397" s="1" t="str">
        <f>IF(COUNTIF('MyWells Drilling Comp'!F:F,E1397)=0,"Missing","Exist")</f>
        <v>Exist</v>
      </c>
    </row>
    <row r="1398" hidden="1" spans="1:24">
      <c r="A1398" s="1" t="s">
        <v>5265</v>
      </c>
      <c r="B1398" s="1" t="s">
        <v>90</v>
      </c>
      <c r="C1398" s="1" t="s">
        <v>7947</v>
      </c>
      <c r="D1398" s="1" t="s">
        <v>7948</v>
      </c>
      <c r="E1398" s="2" t="s">
        <v>1104</v>
      </c>
      <c r="F1398" s="2" t="s">
        <v>7949</v>
      </c>
      <c r="G1398" s="1">
        <v>1</v>
      </c>
      <c r="H1398" s="1" t="s">
        <v>1656</v>
      </c>
      <c r="I1398" s="1" t="s">
        <v>1657</v>
      </c>
      <c r="J1398" s="1" t="s">
        <v>1658</v>
      </c>
      <c r="K1398" s="1" t="s">
        <v>1658</v>
      </c>
      <c r="L1398" s="1" t="s">
        <v>1658</v>
      </c>
      <c r="M1398" s="1" t="s">
        <v>1658</v>
      </c>
      <c r="N1398" s="1" t="s">
        <v>1658</v>
      </c>
      <c r="O1398" s="1" t="s">
        <v>1658</v>
      </c>
      <c r="P1398" s="1">
        <v>1</v>
      </c>
      <c r="Q1398" s="1" t="s">
        <v>1658</v>
      </c>
      <c r="R1398" s="1">
        <v>0</v>
      </c>
      <c r="S1398" s="1" t="s">
        <v>7950</v>
      </c>
      <c r="T1398" s="6" t="s">
        <v>7950</v>
      </c>
      <c r="U1398" s="1" t="str">
        <f t="shared" si="21"/>
        <v>Yes</v>
      </c>
      <c r="W1398" s="1" t="s">
        <v>7951</v>
      </c>
      <c r="X1398" s="1" t="str">
        <f>IF(COUNTIF('MyWells Drilling Comp'!F:F,E1398)=0,"Missing","Exist")</f>
        <v>Exist</v>
      </c>
    </row>
    <row r="1399" hidden="1" spans="1:24">
      <c r="A1399" s="1" t="s">
        <v>5265</v>
      </c>
      <c r="B1399" s="1" t="s">
        <v>90</v>
      </c>
      <c r="C1399" s="1" t="s">
        <v>7952</v>
      </c>
      <c r="D1399" s="1" t="s">
        <v>7948</v>
      </c>
      <c r="E1399" s="2" t="s">
        <v>1104</v>
      </c>
      <c r="F1399" s="2" t="s">
        <v>7953</v>
      </c>
      <c r="G1399" s="1">
        <v>1</v>
      </c>
      <c r="H1399" s="1" t="s">
        <v>1663</v>
      </c>
      <c r="I1399" s="1" t="s">
        <v>1657</v>
      </c>
      <c r="J1399" s="1" t="s">
        <v>1658</v>
      </c>
      <c r="K1399" s="1" t="s">
        <v>1658</v>
      </c>
      <c r="L1399" s="1" t="s">
        <v>1658</v>
      </c>
      <c r="M1399" s="1" t="s">
        <v>1658</v>
      </c>
      <c r="N1399" s="1" t="s">
        <v>1658</v>
      </c>
      <c r="O1399" s="1" t="s">
        <v>1658</v>
      </c>
      <c r="P1399" s="1">
        <v>1</v>
      </c>
      <c r="Q1399" s="1" t="s">
        <v>1658</v>
      </c>
      <c r="R1399" s="1">
        <v>0</v>
      </c>
      <c r="S1399" s="1" t="s">
        <v>7954</v>
      </c>
      <c r="T1399" s="6" t="s">
        <v>7954</v>
      </c>
      <c r="U1399" s="1" t="str">
        <f t="shared" si="21"/>
        <v>Yes</v>
      </c>
      <c r="W1399" s="1" t="s">
        <v>7955</v>
      </c>
      <c r="X1399" s="1" t="str">
        <f>IF(COUNTIF('MyWells Drilling Comp'!F:F,E1399)=0,"Missing","Exist")</f>
        <v>Exist</v>
      </c>
    </row>
    <row r="1400" hidden="1" spans="1:24">
      <c r="A1400" s="1" t="s">
        <v>5265</v>
      </c>
      <c r="B1400" s="1" t="s">
        <v>90</v>
      </c>
      <c r="C1400" s="1" t="s">
        <v>7956</v>
      </c>
      <c r="D1400" s="1" t="s">
        <v>7957</v>
      </c>
      <c r="E1400" s="2" t="s">
        <v>937</v>
      </c>
      <c r="F1400" s="2" t="s">
        <v>7958</v>
      </c>
      <c r="G1400" s="1">
        <v>1</v>
      </c>
      <c r="H1400" s="1" t="s">
        <v>1663</v>
      </c>
      <c r="I1400" s="1" t="s">
        <v>1657</v>
      </c>
      <c r="J1400" s="1" t="s">
        <v>1658</v>
      </c>
      <c r="K1400" s="1" t="s">
        <v>1658</v>
      </c>
      <c r="L1400" s="1" t="s">
        <v>1658</v>
      </c>
      <c r="M1400" s="1" t="s">
        <v>1658</v>
      </c>
      <c r="N1400" s="1" t="s">
        <v>1658</v>
      </c>
      <c r="O1400" s="1" t="s">
        <v>1658</v>
      </c>
      <c r="P1400" s="1">
        <v>1</v>
      </c>
      <c r="Q1400" s="1" t="s">
        <v>1658</v>
      </c>
      <c r="R1400" s="1">
        <v>0</v>
      </c>
      <c r="S1400" s="1" t="s">
        <v>7959</v>
      </c>
      <c r="T1400" s="6" t="s">
        <v>7959</v>
      </c>
      <c r="U1400" s="1" t="str">
        <f t="shared" si="21"/>
        <v>Yes</v>
      </c>
      <c r="W1400" s="1" t="s">
        <v>7960</v>
      </c>
      <c r="X1400" s="1" t="str">
        <f>IF(COUNTIF('MyWells Drilling Comp'!F:F,E1400)=0,"Missing","Exist")</f>
        <v>Exist</v>
      </c>
    </row>
    <row r="1401" hidden="1" spans="1:24">
      <c r="A1401" s="1" t="s">
        <v>5265</v>
      </c>
      <c r="B1401" s="1" t="s">
        <v>90</v>
      </c>
      <c r="C1401" s="1" t="s">
        <v>7961</v>
      </c>
      <c r="D1401" s="1" t="s">
        <v>7957</v>
      </c>
      <c r="E1401" s="2" t="s">
        <v>937</v>
      </c>
      <c r="F1401" s="2" t="s">
        <v>7962</v>
      </c>
      <c r="G1401" s="1">
        <v>1</v>
      </c>
      <c r="H1401" s="1" t="s">
        <v>1656</v>
      </c>
      <c r="I1401" s="1" t="s">
        <v>1657</v>
      </c>
      <c r="J1401" s="1" t="s">
        <v>1658</v>
      </c>
      <c r="K1401" s="1" t="s">
        <v>1658</v>
      </c>
      <c r="L1401" s="1" t="s">
        <v>1658</v>
      </c>
      <c r="M1401" s="1" t="s">
        <v>1658</v>
      </c>
      <c r="N1401" s="1" t="s">
        <v>1658</v>
      </c>
      <c r="O1401" s="1" t="s">
        <v>1658</v>
      </c>
      <c r="P1401" s="1">
        <v>1</v>
      </c>
      <c r="Q1401" s="1" t="s">
        <v>1658</v>
      </c>
      <c r="R1401" s="1">
        <v>0</v>
      </c>
      <c r="S1401" s="1" t="s">
        <v>7963</v>
      </c>
      <c r="T1401" s="6" t="s">
        <v>7963</v>
      </c>
      <c r="U1401" s="1" t="str">
        <f t="shared" si="21"/>
        <v>Yes</v>
      </c>
      <c r="W1401" s="1" t="s">
        <v>7964</v>
      </c>
      <c r="X1401" s="1" t="str">
        <f>IF(COUNTIF('MyWells Drilling Comp'!F:F,E1401)=0,"Missing","Exist")</f>
        <v>Exist</v>
      </c>
    </row>
    <row r="1402" hidden="1" spans="1:24">
      <c r="A1402" s="1" t="s">
        <v>5265</v>
      </c>
      <c r="B1402" s="1" t="s">
        <v>90</v>
      </c>
      <c r="C1402" s="1" t="s">
        <v>7965</v>
      </c>
      <c r="D1402" s="1" t="s">
        <v>7966</v>
      </c>
      <c r="E1402" s="2" t="s">
        <v>1155</v>
      </c>
      <c r="F1402" s="2" t="s">
        <v>7967</v>
      </c>
      <c r="G1402" s="1">
        <v>1</v>
      </c>
      <c r="H1402" s="1" t="s">
        <v>1663</v>
      </c>
      <c r="I1402" s="1" t="s">
        <v>1657</v>
      </c>
      <c r="J1402" s="1" t="s">
        <v>1658</v>
      </c>
      <c r="K1402" s="1" t="s">
        <v>1658</v>
      </c>
      <c r="L1402" s="1" t="s">
        <v>1658</v>
      </c>
      <c r="M1402" s="1" t="s">
        <v>1658</v>
      </c>
      <c r="N1402" s="1" t="s">
        <v>1658</v>
      </c>
      <c r="O1402" s="1" t="s">
        <v>1658</v>
      </c>
      <c r="P1402" s="1">
        <v>1</v>
      </c>
      <c r="Q1402" s="1" t="s">
        <v>1658</v>
      </c>
      <c r="R1402" s="1">
        <v>0</v>
      </c>
      <c r="S1402" s="1" t="s">
        <v>7968</v>
      </c>
      <c r="T1402" s="6"/>
      <c r="U1402" s="1" t="str">
        <f t="shared" si="21"/>
        <v>No</v>
      </c>
      <c r="W1402" s="1" t="s">
        <v>7969</v>
      </c>
      <c r="X1402" s="1" t="str">
        <f>IF(COUNTIF('MyWells Drilling Comp'!F:F,E1402)=0,"Missing","Exist")</f>
        <v>Exist</v>
      </c>
    </row>
    <row r="1403" hidden="1" spans="1:24">
      <c r="A1403" s="1" t="s">
        <v>5265</v>
      </c>
      <c r="B1403" s="1" t="s">
        <v>90</v>
      </c>
      <c r="C1403" s="1" t="s">
        <v>7970</v>
      </c>
      <c r="D1403" s="1" t="s">
        <v>7966</v>
      </c>
      <c r="E1403" s="2" t="s">
        <v>1155</v>
      </c>
      <c r="F1403" s="2" t="s">
        <v>7971</v>
      </c>
      <c r="G1403" s="1">
        <v>1</v>
      </c>
      <c r="H1403" s="1" t="s">
        <v>1656</v>
      </c>
      <c r="I1403" s="1" t="s">
        <v>1657</v>
      </c>
      <c r="J1403" s="1" t="s">
        <v>1658</v>
      </c>
      <c r="K1403" s="1" t="s">
        <v>1658</v>
      </c>
      <c r="L1403" s="1" t="s">
        <v>1658</v>
      </c>
      <c r="M1403" s="1" t="s">
        <v>1658</v>
      </c>
      <c r="N1403" s="1" t="s">
        <v>1658</v>
      </c>
      <c r="O1403" s="1" t="s">
        <v>1658</v>
      </c>
      <c r="P1403" s="1">
        <v>1</v>
      </c>
      <c r="Q1403" s="1" t="s">
        <v>1658</v>
      </c>
      <c r="R1403" s="1">
        <v>0</v>
      </c>
      <c r="S1403" s="1" t="s">
        <v>7972</v>
      </c>
      <c r="T1403" s="6" t="s">
        <v>7972</v>
      </c>
      <c r="U1403" s="1" t="str">
        <f t="shared" si="21"/>
        <v>Yes</v>
      </c>
      <c r="W1403" s="1" t="s">
        <v>7973</v>
      </c>
      <c r="X1403" s="1" t="str">
        <f>IF(COUNTIF('MyWells Drilling Comp'!F:F,E1403)=0,"Missing","Exist")</f>
        <v>Exist</v>
      </c>
    </row>
    <row r="1404" hidden="1" spans="1:24">
      <c r="A1404" s="1" t="s">
        <v>5265</v>
      </c>
      <c r="B1404" s="1" t="s">
        <v>90</v>
      </c>
      <c r="C1404" s="1" t="s">
        <v>7974</v>
      </c>
      <c r="D1404" s="1" t="s">
        <v>7975</v>
      </c>
      <c r="E1404" s="2" t="s">
        <v>1147</v>
      </c>
      <c r="F1404" s="2" t="s">
        <v>7976</v>
      </c>
      <c r="G1404" s="1">
        <v>1</v>
      </c>
      <c r="H1404" s="1" t="s">
        <v>1663</v>
      </c>
      <c r="I1404" s="1" t="s">
        <v>1657</v>
      </c>
      <c r="J1404" s="1" t="s">
        <v>1658</v>
      </c>
      <c r="K1404" s="1" t="s">
        <v>1658</v>
      </c>
      <c r="L1404" s="1" t="s">
        <v>1658</v>
      </c>
      <c r="M1404" s="1" t="s">
        <v>1658</v>
      </c>
      <c r="N1404" s="1" t="s">
        <v>1658</v>
      </c>
      <c r="O1404" s="1" t="s">
        <v>1658</v>
      </c>
      <c r="P1404" s="1">
        <v>1</v>
      </c>
      <c r="Q1404" s="1" t="s">
        <v>1658</v>
      </c>
      <c r="R1404" s="1">
        <v>0</v>
      </c>
      <c r="S1404" s="1" t="s">
        <v>7977</v>
      </c>
      <c r="T1404" s="6"/>
      <c r="U1404" s="1" t="str">
        <f t="shared" si="21"/>
        <v>No</v>
      </c>
      <c r="W1404" s="1" t="s">
        <v>7978</v>
      </c>
      <c r="X1404" s="1" t="str">
        <f>IF(COUNTIF('MyWells Drilling Comp'!F:F,E1404)=0,"Missing","Exist")</f>
        <v>Exist</v>
      </c>
    </row>
    <row r="1405" hidden="1" spans="1:24">
      <c r="A1405" s="1" t="s">
        <v>5265</v>
      </c>
      <c r="B1405" s="1" t="s">
        <v>90</v>
      </c>
      <c r="C1405" s="1" t="s">
        <v>7979</v>
      </c>
      <c r="D1405" s="1" t="s">
        <v>7975</v>
      </c>
      <c r="E1405" s="2" t="s">
        <v>1147</v>
      </c>
      <c r="F1405" s="2" t="s">
        <v>7980</v>
      </c>
      <c r="G1405" s="1">
        <v>1</v>
      </c>
      <c r="H1405" s="1" t="s">
        <v>1656</v>
      </c>
      <c r="I1405" s="1" t="s">
        <v>1657</v>
      </c>
      <c r="J1405" s="1" t="s">
        <v>1658</v>
      </c>
      <c r="K1405" s="1" t="s">
        <v>1658</v>
      </c>
      <c r="L1405" s="1" t="s">
        <v>1658</v>
      </c>
      <c r="M1405" s="1" t="s">
        <v>1658</v>
      </c>
      <c r="N1405" s="1" t="s">
        <v>1658</v>
      </c>
      <c r="O1405" s="1" t="s">
        <v>1658</v>
      </c>
      <c r="P1405" s="1">
        <v>1</v>
      </c>
      <c r="Q1405" s="1" t="s">
        <v>1658</v>
      </c>
      <c r="R1405" s="1">
        <v>0</v>
      </c>
      <c r="S1405" s="1" t="s">
        <v>7981</v>
      </c>
      <c r="T1405" s="6"/>
      <c r="U1405" s="1" t="str">
        <f t="shared" si="21"/>
        <v>No</v>
      </c>
      <c r="W1405" s="1" t="s">
        <v>7982</v>
      </c>
      <c r="X1405" s="1" t="str">
        <f>IF(COUNTIF('MyWells Drilling Comp'!F:F,E1405)=0,"Missing","Exist")</f>
        <v>Exist</v>
      </c>
    </row>
    <row r="1406" hidden="1" spans="1:24">
      <c r="A1406" s="1" t="s">
        <v>5265</v>
      </c>
      <c r="B1406" s="1" t="s">
        <v>90</v>
      </c>
      <c r="C1406" s="1" t="s">
        <v>7983</v>
      </c>
      <c r="D1406" s="1" t="s">
        <v>7984</v>
      </c>
      <c r="E1406" s="2" t="s">
        <v>251</v>
      </c>
      <c r="F1406" s="2" t="s">
        <v>7985</v>
      </c>
      <c r="G1406" s="1">
        <v>1</v>
      </c>
      <c r="H1406" s="1" t="s">
        <v>1663</v>
      </c>
      <c r="I1406" s="1" t="s">
        <v>1657</v>
      </c>
      <c r="J1406" s="1" t="s">
        <v>1658</v>
      </c>
      <c r="K1406" s="1" t="s">
        <v>1658</v>
      </c>
      <c r="L1406" s="1" t="s">
        <v>1658</v>
      </c>
      <c r="M1406" s="1" t="s">
        <v>1658</v>
      </c>
      <c r="N1406" s="1" t="s">
        <v>1658</v>
      </c>
      <c r="O1406" s="1" t="s">
        <v>1658</v>
      </c>
      <c r="P1406" s="1">
        <v>1</v>
      </c>
      <c r="Q1406" s="1" t="s">
        <v>1658</v>
      </c>
      <c r="R1406" s="1">
        <v>0</v>
      </c>
      <c r="S1406" s="1" t="s">
        <v>7986</v>
      </c>
      <c r="T1406" s="6" t="s">
        <v>7986</v>
      </c>
      <c r="U1406" s="1" t="str">
        <f t="shared" si="21"/>
        <v>Yes</v>
      </c>
      <c r="W1406" s="1" t="s">
        <v>7987</v>
      </c>
      <c r="X1406" s="1" t="str">
        <f>IF(COUNTIF('MyWells Drilling Comp'!F:F,E1406)=0,"Missing","Exist")</f>
        <v>Exist</v>
      </c>
    </row>
    <row r="1407" hidden="1" spans="1:24">
      <c r="A1407" s="1" t="s">
        <v>5265</v>
      </c>
      <c r="B1407" s="1" t="s">
        <v>90</v>
      </c>
      <c r="C1407" s="1" t="s">
        <v>7988</v>
      </c>
      <c r="D1407" s="1" t="s">
        <v>7984</v>
      </c>
      <c r="E1407" s="2" t="s">
        <v>251</v>
      </c>
      <c r="F1407" s="2" t="s">
        <v>7989</v>
      </c>
      <c r="G1407" s="1">
        <v>1</v>
      </c>
      <c r="H1407" s="1" t="s">
        <v>1656</v>
      </c>
      <c r="I1407" s="1" t="s">
        <v>1657</v>
      </c>
      <c r="J1407" s="1" t="s">
        <v>1658</v>
      </c>
      <c r="K1407" s="1" t="s">
        <v>1658</v>
      </c>
      <c r="L1407" s="1" t="s">
        <v>1658</v>
      </c>
      <c r="M1407" s="1" t="s">
        <v>1658</v>
      </c>
      <c r="N1407" s="1" t="s">
        <v>1658</v>
      </c>
      <c r="O1407" s="1" t="s">
        <v>1658</v>
      </c>
      <c r="P1407" s="1">
        <v>1</v>
      </c>
      <c r="Q1407" s="1" t="s">
        <v>1658</v>
      </c>
      <c r="R1407" s="1">
        <v>0</v>
      </c>
      <c r="S1407" s="1" t="s">
        <v>7990</v>
      </c>
      <c r="T1407" s="6"/>
      <c r="U1407" s="1" t="str">
        <f t="shared" si="21"/>
        <v>No</v>
      </c>
      <c r="W1407" s="1" t="s">
        <v>7991</v>
      </c>
      <c r="X1407" s="1" t="str">
        <f>IF(COUNTIF('MyWells Drilling Comp'!F:F,E1407)=0,"Missing","Exist")</f>
        <v>Exist</v>
      </c>
    </row>
    <row r="1408" hidden="1" spans="1:24">
      <c r="A1408" s="1" t="s">
        <v>5265</v>
      </c>
      <c r="B1408" s="1" t="s">
        <v>90</v>
      </c>
      <c r="C1408" s="1" t="s">
        <v>7992</v>
      </c>
      <c r="D1408" s="1" t="s">
        <v>7993</v>
      </c>
      <c r="E1408" s="2" t="s">
        <v>144</v>
      </c>
      <c r="F1408" s="2" t="s">
        <v>7994</v>
      </c>
      <c r="G1408" s="1">
        <v>1</v>
      </c>
      <c r="H1408" s="1" t="s">
        <v>1656</v>
      </c>
      <c r="I1408" s="1" t="s">
        <v>1657</v>
      </c>
      <c r="J1408" s="1" t="s">
        <v>1658</v>
      </c>
      <c r="K1408" s="1" t="s">
        <v>1658</v>
      </c>
      <c r="L1408" s="1" t="s">
        <v>1658</v>
      </c>
      <c r="M1408" s="1" t="s">
        <v>1658</v>
      </c>
      <c r="N1408" s="1" t="s">
        <v>1658</v>
      </c>
      <c r="O1408" s="1" t="s">
        <v>1658</v>
      </c>
      <c r="P1408" s="1">
        <v>1</v>
      </c>
      <c r="Q1408" s="1" t="s">
        <v>1658</v>
      </c>
      <c r="R1408" s="1">
        <v>0</v>
      </c>
      <c r="S1408" s="1" t="s">
        <v>7995</v>
      </c>
      <c r="T1408" s="6" t="s">
        <v>7995</v>
      </c>
      <c r="U1408" s="1" t="str">
        <f t="shared" si="21"/>
        <v>Yes</v>
      </c>
      <c r="W1408" s="1" t="s">
        <v>7996</v>
      </c>
      <c r="X1408" s="1" t="str">
        <f>IF(COUNTIF('MyWells Drilling Comp'!F:F,E1408)=0,"Missing","Exist")</f>
        <v>Exist</v>
      </c>
    </row>
    <row r="1409" hidden="1" spans="1:24">
      <c r="A1409" s="1" t="s">
        <v>5265</v>
      </c>
      <c r="B1409" s="1" t="s">
        <v>90</v>
      </c>
      <c r="C1409" s="1" t="s">
        <v>7997</v>
      </c>
      <c r="D1409" s="1" t="s">
        <v>7993</v>
      </c>
      <c r="E1409" s="2" t="s">
        <v>144</v>
      </c>
      <c r="F1409" s="2" t="s">
        <v>7998</v>
      </c>
      <c r="G1409" s="1">
        <v>1</v>
      </c>
      <c r="H1409" s="1" t="s">
        <v>1663</v>
      </c>
      <c r="I1409" s="1" t="s">
        <v>1657</v>
      </c>
      <c r="J1409" s="1" t="s">
        <v>1658</v>
      </c>
      <c r="K1409" s="1" t="s">
        <v>1658</v>
      </c>
      <c r="L1409" s="1" t="s">
        <v>1658</v>
      </c>
      <c r="M1409" s="1" t="s">
        <v>1658</v>
      </c>
      <c r="N1409" s="1" t="s">
        <v>1658</v>
      </c>
      <c r="O1409" s="1" t="s">
        <v>1658</v>
      </c>
      <c r="P1409" s="1">
        <v>1</v>
      </c>
      <c r="Q1409" s="1" t="s">
        <v>1658</v>
      </c>
      <c r="R1409" s="1">
        <v>0</v>
      </c>
      <c r="S1409" s="1" t="s">
        <v>7999</v>
      </c>
      <c r="T1409" s="6" t="s">
        <v>7999</v>
      </c>
      <c r="U1409" s="1" t="str">
        <f t="shared" si="21"/>
        <v>Yes</v>
      </c>
      <c r="W1409" s="1" t="s">
        <v>8000</v>
      </c>
      <c r="X1409" s="1" t="str">
        <f>IF(COUNTIF('MyWells Drilling Comp'!F:F,E1409)=0,"Missing","Exist")</f>
        <v>Exist</v>
      </c>
    </row>
    <row r="1410" hidden="1" spans="1:24">
      <c r="A1410" s="1" t="s">
        <v>5265</v>
      </c>
      <c r="B1410" s="1" t="s">
        <v>90</v>
      </c>
      <c r="C1410" s="1" t="s">
        <v>8001</v>
      </c>
      <c r="D1410" s="1" t="s">
        <v>8002</v>
      </c>
      <c r="E1410" s="2" t="s">
        <v>1278</v>
      </c>
      <c r="F1410" s="2" t="s">
        <v>8003</v>
      </c>
      <c r="G1410" s="1">
        <v>1</v>
      </c>
      <c r="H1410" s="1" t="s">
        <v>1663</v>
      </c>
      <c r="I1410" s="1" t="s">
        <v>1657</v>
      </c>
      <c r="J1410" s="1" t="s">
        <v>1658</v>
      </c>
      <c r="K1410" s="1" t="s">
        <v>1658</v>
      </c>
      <c r="L1410" s="1" t="s">
        <v>1658</v>
      </c>
      <c r="M1410" s="1" t="s">
        <v>1658</v>
      </c>
      <c r="N1410" s="1" t="s">
        <v>1658</v>
      </c>
      <c r="O1410" s="1" t="s">
        <v>1658</v>
      </c>
      <c r="P1410" s="1">
        <v>1</v>
      </c>
      <c r="Q1410" s="1" t="s">
        <v>1658</v>
      </c>
      <c r="R1410" s="1">
        <v>0</v>
      </c>
      <c r="S1410" s="1" t="s">
        <v>8004</v>
      </c>
      <c r="T1410" s="6"/>
      <c r="U1410" s="1" t="str">
        <f t="shared" ref="U1410:U1473" si="22">IF(S1410=T1410,"Yes","No")</f>
        <v>No</v>
      </c>
      <c r="W1410" s="1" t="s">
        <v>8005</v>
      </c>
      <c r="X1410" s="1" t="str">
        <f>IF(COUNTIF('MyWells Drilling Comp'!F:F,E1410)=0,"Missing","Exist")</f>
        <v>Exist</v>
      </c>
    </row>
    <row r="1411" hidden="1" spans="1:24">
      <c r="A1411" s="1" t="s">
        <v>5265</v>
      </c>
      <c r="B1411" s="1" t="s">
        <v>90</v>
      </c>
      <c r="C1411" s="1" t="s">
        <v>8006</v>
      </c>
      <c r="D1411" s="1" t="s">
        <v>8002</v>
      </c>
      <c r="E1411" s="2" t="s">
        <v>1278</v>
      </c>
      <c r="F1411" s="2" t="s">
        <v>8007</v>
      </c>
      <c r="G1411" s="1">
        <v>1</v>
      </c>
      <c r="H1411" s="1" t="s">
        <v>1656</v>
      </c>
      <c r="I1411" s="1" t="s">
        <v>1657</v>
      </c>
      <c r="J1411" s="1" t="s">
        <v>1658</v>
      </c>
      <c r="K1411" s="1" t="s">
        <v>1658</v>
      </c>
      <c r="L1411" s="1" t="s">
        <v>1658</v>
      </c>
      <c r="M1411" s="1" t="s">
        <v>1658</v>
      </c>
      <c r="N1411" s="1" t="s">
        <v>1658</v>
      </c>
      <c r="O1411" s="1" t="s">
        <v>1658</v>
      </c>
      <c r="P1411" s="1">
        <v>1</v>
      </c>
      <c r="Q1411" s="1" t="s">
        <v>1658</v>
      </c>
      <c r="R1411" s="1">
        <v>0</v>
      </c>
      <c r="S1411" s="1" t="s">
        <v>8008</v>
      </c>
      <c r="T1411" s="6" t="s">
        <v>8008</v>
      </c>
      <c r="U1411" s="1" t="str">
        <f t="shared" si="22"/>
        <v>Yes</v>
      </c>
      <c r="W1411" s="1" t="s">
        <v>8009</v>
      </c>
      <c r="X1411" s="1" t="str">
        <f>IF(COUNTIF('MyWells Drilling Comp'!F:F,E1411)=0,"Missing","Exist")</f>
        <v>Exist</v>
      </c>
    </row>
    <row r="1412" hidden="1" spans="1:24">
      <c r="A1412" s="1" t="s">
        <v>5265</v>
      </c>
      <c r="B1412" s="1" t="s">
        <v>90</v>
      </c>
      <c r="C1412" s="1" t="s">
        <v>8010</v>
      </c>
      <c r="D1412" s="1" t="s">
        <v>8011</v>
      </c>
      <c r="E1412" s="2" t="s">
        <v>938</v>
      </c>
      <c r="F1412" s="2" t="s">
        <v>8012</v>
      </c>
      <c r="G1412" s="1">
        <v>1</v>
      </c>
      <c r="H1412" s="1" t="s">
        <v>1663</v>
      </c>
      <c r="I1412" s="1" t="s">
        <v>1657</v>
      </c>
      <c r="J1412" s="1" t="s">
        <v>1658</v>
      </c>
      <c r="K1412" s="1" t="s">
        <v>1658</v>
      </c>
      <c r="L1412" s="1" t="s">
        <v>1658</v>
      </c>
      <c r="M1412" s="1" t="s">
        <v>1658</v>
      </c>
      <c r="N1412" s="1" t="s">
        <v>1658</v>
      </c>
      <c r="O1412" s="1" t="s">
        <v>1658</v>
      </c>
      <c r="P1412" s="1">
        <v>1</v>
      </c>
      <c r="Q1412" s="1" t="s">
        <v>1658</v>
      </c>
      <c r="R1412" s="1">
        <v>0</v>
      </c>
      <c r="S1412" s="1" t="s">
        <v>8013</v>
      </c>
      <c r="T1412" s="6"/>
      <c r="U1412" s="1" t="str">
        <f t="shared" si="22"/>
        <v>No</v>
      </c>
      <c r="W1412" s="1" t="s">
        <v>8014</v>
      </c>
      <c r="X1412" s="1" t="str">
        <f>IF(COUNTIF('MyWells Drilling Comp'!F:F,E1412)=0,"Missing","Exist")</f>
        <v>Exist</v>
      </c>
    </row>
    <row r="1413" hidden="1" spans="1:24">
      <c r="A1413" s="1" t="s">
        <v>5265</v>
      </c>
      <c r="B1413" s="1" t="s">
        <v>90</v>
      </c>
      <c r="C1413" s="1" t="s">
        <v>8015</v>
      </c>
      <c r="D1413" s="1" t="s">
        <v>8011</v>
      </c>
      <c r="E1413" s="2" t="s">
        <v>938</v>
      </c>
      <c r="F1413" s="2" t="s">
        <v>8016</v>
      </c>
      <c r="G1413" s="1">
        <v>1</v>
      </c>
      <c r="H1413" s="1" t="s">
        <v>1656</v>
      </c>
      <c r="I1413" s="1" t="s">
        <v>1657</v>
      </c>
      <c r="J1413" s="1" t="s">
        <v>1658</v>
      </c>
      <c r="K1413" s="1" t="s">
        <v>1658</v>
      </c>
      <c r="L1413" s="1" t="s">
        <v>1658</v>
      </c>
      <c r="M1413" s="1" t="s">
        <v>1658</v>
      </c>
      <c r="N1413" s="1" t="s">
        <v>1658</v>
      </c>
      <c r="O1413" s="1" t="s">
        <v>1658</v>
      </c>
      <c r="P1413" s="1">
        <v>1</v>
      </c>
      <c r="Q1413" s="1" t="s">
        <v>1658</v>
      </c>
      <c r="R1413" s="1">
        <v>0</v>
      </c>
      <c r="S1413" s="1" t="s">
        <v>8017</v>
      </c>
      <c r="T1413" s="6" t="s">
        <v>8017</v>
      </c>
      <c r="U1413" s="1" t="str">
        <f t="shared" si="22"/>
        <v>Yes</v>
      </c>
      <c r="W1413" s="1" t="s">
        <v>8018</v>
      </c>
      <c r="X1413" s="1" t="str">
        <f>IF(COUNTIF('MyWells Drilling Comp'!F:F,E1413)=0,"Missing","Exist")</f>
        <v>Exist</v>
      </c>
    </row>
    <row r="1414" hidden="1" spans="1:24">
      <c r="A1414" s="1" t="s">
        <v>5265</v>
      </c>
      <c r="B1414" s="1" t="s">
        <v>90</v>
      </c>
      <c r="C1414" s="1" t="s">
        <v>8019</v>
      </c>
      <c r="D1414" s="1" t="s">
        <v>8020</v>
      </c>
      <c r="E1414" s="2" t="s">
        <v>1199</v>
      </c>
      <c r="F1414" s="2" t="s">
        <v>8021</v>
      </c>
      <c r="G1414" s="1">
        <v>1</v>
      </c>
      <c r="H1414" s="1" t="s">
        <v>1663</v>
      </c>
      <c r="I1414" s="1" t="s">
        <v>1657</v>
      </c>
      <c r="J1414" s="1" t="s">
        <v>1658</v>
      </c>
      <c r="K1414" s="1" t="s">
        <v>1658</v>
      </c>
      <c r="L1414" s="1" t="s">
        <v>1658</v>
      </c>
      <c r="M1414" s="1" t="s">
        <v>1658</v>
      </c>
      <c r="N1414" s="1" t="s">
        <v>1658</v>
      </c>
      <c r="O1414" s="1" t="s">
        <v>1658</v>
      </c>
      <c r="P1414" s="1">
        <v>1</v>
      </c>
      <c r="Q1414" s="1" t="s">
        <v>1658</v>
      </c>
      <c r="R1414" s="1">
        <v>0</v>
      </c>
      <c r="S1414" s="1" t="s">
        <v>8022</v>
      </c>
      <c r="T1414" s="6" t="s">
        <v>8022</v>
      </c>
      <c r="U1414" s="1" t="str">
        <f t="shared" si="22"/>
        <v>Yes</v>
      </c>
      <c r="W1414" s="1" t="s">
        <v>8023</v>
      </c>
      <c r="X1414" s="1" t="str">
        <f>IF(COUNTIF('MyWells Drilling Comp'!F:F,E1414)=0,"Missing","Exist")</f>
        <v>Exist</v>
      </c>
    </row>
    <row r="1415" hidden="1" spans="1:24">
      <c r="A1415" s="1" t="s">
        <v>5265</v>
      </c>
      <c r="B1415" s="1" t="s">
        <v>90</v>
      </c>
      <c r="C1415" s="1" t="s">
        <v>8024</v>
      </c>
      <c r="D1415" s="1" t="s">
        <v>8020</v>
      </c>
      <c r="E1415" s="2" t="s">
        <v>1199</v>
      </c>
      <c r="F1415" s="2" t="s">
        <v>8025</v>
      </c>
      <c r="G1415" s="1">
        <v>1</v>
      </c>
      <c r="H1415" s="1" t="s">
        <v>1656</v>
      </c>
      <c r="I1415" s="1" t="s">
        <v>1657</v>
      </c>
      <c r="J1415" s="1" t="s">
        <v>1658</v>
      </c>
      <c r="K1415" s="1" t="s">
        <v>1658</v>
      </c>
      <c r="L1415" s="1" t="s">
        <v>1658</v>
      </c>
      <c r="M1415" s="1" t="s">
        <v>1658</v>
      </c>
      <c r="N1415" s="1" t="s">
        <v>1658</v>
      </c>
      <c r="O1415" s="1" t="s">
        <v>1658</v>
      </c>
      <c r="P1415" s="1">
        <v>1</v>
      </c>
      <c r="Q1415" s="1" t="s">
        <v>1658</v>
      </c>
      <c r="R1415" s="1">
        <v>0</v>
      </c>
      <c r="S1415" s="1" t="s">
        <v>8026</v>
      </c>
      <c r="T1415" s="6" t="s">
        <v>8026</v>
      </c>
      <c r="U1415" s="1" t="str">
        <f t="shared" si="22"/>
        <v>Yes</v>
      </c>
      <c r="W1415" s="1" t="s">
        <v>8027</v>
      </c>
      <c r="X1415" s="1" t="str">
        <f>IF(COUNTIF('MyWells Drilling Comp'!F:F,E1415)=0,"Missing","Exist")</f>
        <v>Exist</v>
      </c>
    </row>
    <row r="1416" hidden="1" spans="1:24">
      <c r="A1416" s="1" t="s">
        <v>5265</v>
      </c>
      <c r="B1416" s="1" t="s">
        <v>90</v>
      </c>
      <c r="C1416" s="1" t="s">
        <v>8028</v>
      </c>
      <c r="D1416" s="1" t="s">
        <v>8029</v>
      </c>
      <c r="E1416" s="2" t="s">
        <v>645</v>
      </c>
      <c r="F1416" s="2" t="s">
        <v>8030</v>
      </c>
      <c r="G1416" s="1">
        <v>1</v>
      </c>
      <c r="H1416" s="1" t="s">
        <v>1663</v>
      </c>
      <c r="I1416" s="1" t="s">
        <v>1657</v>
      </c>
      <c r="J1416" s="1" t="s">
        <v>1658</v>
      </c>
      <c r="K1416" s="1" t="s">
        <v>1658</v>
      </c>
      <c r="L1416" s="1" t="s">
        <v>1658</v>
      </c>
      <c r="M1416" s="1" t="s">
        <v>1658</v>
      </c>
      <c r="N1416" s="1" t="s">
        <v>1658</v>
      </c>
      <c r="O1416" s="1" t="s">
        <v>1658</v>
      </c>
      <c r="P1416" s="1">
        <v>1</v>
      </c>
      <c r="Q1416" s="1" t="s">
        <v>1658</v>
      </c>
      <c r="R1416" s="1">
        <v>0</v>
      </c>
      <c r="S1416" s="1" t="s">
        <v>8031</v>
      </c>
      <c r="T1416" s="6" t="s">
        <v>8031</v>
      </c>
      <c r="U1416" s="1" t="str">
        <f t="shared" si="22"/>
        <v>Yes</v>
      </c>
      <c r="W1416" s="1" t="s">
        <v>8032</v>
      </c>
      <c r="X1416" s="1" t="str">
        <f>IF(COUNTIF('MyWells Drilling Comp'!F:F,E1416)=0,"Missing","Exist")</f>
        <v>Exist</v>
      </c>
    </row>
    <row r="1417" hidden="1" spans="1:24">
      <c r="A1417" s="1" t="s">
        <v>5265</v>
      </c>
      <c r="B1417" s="1" t="s">
        <v>90</v>
      </c>
      <c r="C1417" s="1" t="s">
        <v>8033</v>
      </c>
      <c r="D1417" s="1" t="s">
        <v>8029</v>
      </c>
      <c r="E1417" s="2" t="s">
        <v>645</v>
      </c>
      <c r="F1417" s="2" t="s">
        <v>8034</v>
      </c>
      <c r="G1417" s="1">
        <v>1</v>
      </c>
      <c r="H1417" s="1" t="s">
        <v>1656</v>
      </c>
      <c r="I1417" s="1" t="s">
        <v>1657</v>
      </c>
      <c r="J1417" s="1" t="s">
        <v>1658</v>
      </c>
      <c r="K1417" s="1" t="s">
        <v>1658</v>
      </c>
      <c r="L1417" s="1" t="s">
        <v>1658</v>
      </c>
      <c r="M1417" s="1" t="s">
        <v>1658</v>
      </c>
      <c r="N1417" s="1" t="s">
        <v>1658</v>
      </c>
      <c r="O1417" s="1" t="s">
        <v>1658</v>
      </c>
      <c r="P1417" s="1">
        <v>1</v>
      </c>
      <c r="Q1417" s="1" t="s">
        <v>1658</v>
      </c>
      <c r="R1417" s="1">
        <v>0</v>
      </c>
      <c r="S1417" s="1" t="s">
        <v>8035</v>
      </c>
      <c r="T1417" s="6" t="s">
        <v>8035</v>
      </c>
      <c r="U1417" s="1" t="str">
        <f t="shared" si="22"/>
        <v>Yes</v>
      </c>
      <c r="W1417" s="1" t="s">
        <v>8036</v>
      </c>
      <c r="X1417" s="1" t="str">
        <f>IF(COUNTIF('MyWells Drilling Comp'!F:F,E1417)=0,"Missing","Exist")</f>
        <v>Exist</v>
      </c>
    </row>
    <row r="1418" hidden="1" spans="1:24">
      <c r="A1418" s="1" t="s">
        <v>5265</v>
      </c>
      <c r="B1418" s="1" t="s">
        <v>90</v>
      </c>
      <c r="C1418" s="1" t="s">
        <v>8037</v>
      </c>
      <c r="D1418" s="1" t="s">
        <v>8038</v>
      </c>
      <c r="E1418" s="2" t="s">
        <v>1488</v>
      </c>
      <c r="F1418" s="2" t="s">
        <v>8039</v>
      </c>
      <c r="G1418" s="1">
        <v>1</v>
      </c>
      <c r="H1418" s="1" t="s">
        <v>1656</v>
      </c>
      <c r="I1418" s="1" t="s">
        <v>1657</v>
      </c>
      <c r="J1418" s="1" t="s">
        <v>1658</v>
      </c>
      <c r="K1418" s="1" t="s">
        <v>1658</v>
      </c>
      <c r="L1418" s="1" t="s">
        <v>1658</v>
      </c>
      <c r="M1418" s="1" t="s">
        <v>1658</v>
      </c>
      <c r="N1418" s="1" t="s">
        <v>1658</v>
      </c>
      <c r="O1418" s="1" t="s">
        <v>1658</v>
      </c>
      <c r="P1418" s="1">
        <v>1</v>
      </c>
      <c r="Q1418" s="1" t="s">
        <v>1658</v>
      </c>
      <c r="R1418" s="1">
        <v>0</v>
      </c>
      <c r="S1418" s="1" t="s">
        <v>8040</v>
      </c>
      <c r="T1418" s="6" t="s">
        <v>8040</v>
      </c>
      <c r="U1418" s="1" t="str">
        <f t="shared" si="22"/>
        <v>Yes</v>
      </c>
      <c r="W1418" s="1" t="s">
        <v>8041</v>
      </c>
      <c r="X1418" s="1" t="str">
        <f>IF(COUNTIF('MyWells Drilling Comp'!F:F,E1418)=0,"Missing","Exist")</f>
        <v>Exist</v>
      </c>
    </row>
    <row r="1419" hidden="1" spans="1:24">
      <c r="A1419" s="1" t="s">
        <v>5265</v>
      </c>
      <c r="B1419" s="1" t="s">
        <v>90</v>
      </c>
      <c r="C1419" s="1" t="s">
        <v>8042</v>
      </c>
      <c r="D1419" s="1" t="s">
        <v>8038</v>
      </c>
      <c r="E1419" s="2" t="s">
        <v>1488</v>
      </c>
      <c r="F1419" s="2" t="s">
        <v>8043</v>
      </c>
      <c r="G1419" s="1">
        <v>1</v>
      </c>
      <c r="H1419" s="1" t="s">
        <v>1663</v>
      </c>
      <c r="I1419" s="1" t="s">
        <v>1657</v>
      </c>
      <c r="J1419" s="1" t="s">
        <v>1658</v>
      </c>
      <c r="K1419" s="1" t="s">
        <v>1658</v>
      </c>
      <c r="L1419" s="1" t="s">
        <v>1658</v>
      </c>
      <c r="M1419" s="1" t="s">
        <v>1658</v>
      </c>
      <c r="N1419" s="1" t="s">
        <v>1658</v>
      </c>
      <c r="O1419" s="1" t="s">
        <v>1658</v>
      </c>
      <c r="P1419" s="1">
        <v>1</v>
      </c>
      <c r="Q1419" s="1" t="s">
        <v>1658</v>
      </c>
      <c r="R1419" s="1">
        <v>0</v>
      </c>
      <c r="S1419" s="1" t="s">
        <v>8044</v>
      </c>
      <c r="T1419" s="6" t="s">
        <v>8044</v>
      </c>
      <c r="U1419" s="1" t="str">
        <f t="shared" si="22"/>
        <v>Yes</v>
      </c>
      <c r="W1419" s="1" t="s">
        <v>8045</v>
      </c>
      <c r="X1419" s="1" t="str">
        <f>IF(COUNTIF('MyWells Drilling Comp'!F:F,E1419)=0,"Missing","Exist")</f>
        <v>Exist</v>
      </c>
    </row>
    <row r="1420" hidden="1" spans="1:24">
      <c r="A1420" s="1" t="s">
        <v>5265</v>
      </c>
      <c r="B1420" s="1" t="s">
        <v>90</v>
      </c>
      <c r="C1420" s="1" t="s">
        <v>8046</v>
      </c>
      <c r="D1420" s="1" t="s">
        <v>8047</v>
      </c>
      <c r="E1420" s="2" t="s">
        <v>1168</v>
      </c>
      <c r="F1420" s="2" t="s">
        <v>8048</v>
      </c>
      <c r="G1420" s="1">
        <v>1</v>
      </c>
      <c r="H1420" s="1" t="s">
        <v>1663</v>
      </c>
      <c r="I1420" s="1" t="s">
        <v>1657</v>
      </c>
      <c r="J1420" s="1" t="s">
        <v>1658</v>
      </c>
      <c r="K1420" s="1" t="s">
        <v>1658</v>
      </c>
      <c r="L1420" s="1" t="s">
        <v>1658</v>
      </c>
      <c r="M1420" s="1" t="s">
        <v>1658</v>
      </c>
      <c r="N1420" s="1" t="s">
        <v>1658</v>
      </c>
      <c r="O1420" s="1" t="s">
        <v>1658</v>
      </c>
      <c r="P1420" s="1">
        <v>1</v>
      </c>
      <c r="Q1420" s="1" t="s">
        <v>1658</v>
      </c>
      <c r="R1420" s="1">
        <v>0</v>
      </c>
      <c r="S1420" s="1" t="s">
        <v>8049</v>
      </c>
      <c r="T1420" s="6"/>
      <c r="U1420" s="1" t="str">
        <f t="shared" si="22"/>
        <v>No</v>
      </c>
      <c r="W1420" s="1" t="s">
        <v>8050</v>
      </c>
      <c r="X1420" s="1" t="str">
        <f>IF(COUNTIF('MyWells Drilling Comp'!F:F,E1420)=0,"Missing","Exist")</f>
        <v>Exist</v>
      </c>
    </row>
    <row r="1421" hidden="1" spans="1:24">
      <c r="A1421" s="1" t="s">
        <v>5265</v>
      </c>
      <c r="B1421" s="1" t="s">
        <v>90</v>
      </c>
      <c r="C1421" s="1" t="s">
        <v>8051</v>
      </c>
      <c r="D1421" s="1" t="s">
        <v>8047</v>
      </c>
      <c r="E1421" s="2" t="s">
        <v>1168</v>
      </c>
      <c r="F1421" s="2" t="s">
        <v>8052</v>
      </c>
      <c r="G1421" s="1">
        <v>1</v>
      </c>
      <c r="H1421" s="1" t="s">
        <v>1656</v>
      </c>
      <c r="I1421" s="1" t="s">
        <v>1657</v>
      </c>
      <c r="J1421" s="1" t="s">
        <v>1658</v>
      </c>
      <c r="K1421" s="1" t="s">
        <v>1658</v>
      </c>
      <c r="L1421" s="1" t="s">
        <v>1658</v>
      </c>
      <c r="M1421" s="1" t="s">
        <v>1658</v>
      </c>
      <c r="N1421" s="1" t="s">
        <v>1658</v>
      </c>
      <c r="O1421" s="1" t="s">
        <v>1658</v>
      </c>
      <c r="P1421" s="1">
        <v>1</v>
      </c>
      <c r="Q1421" s="1" t="s">
        <v>1658</v>
      </c>
      <c r="R1421" s="1">
        <v>0</v>
      </c>
      <c r="S1421" s="1" t="s">
        <v>8053</v>
      </c>
      <c r="T1421" s="6"/>
      <c r="U1421" s="1" t="str">
        <f t="shared" si="22"/>
        <v>No</v>
      </c>
      <c r="W1421" s="1" t="s">
        <v>8054</v>
      </c>
      <c r="X1421" s="1" t="str">
        <f>IF(COUNTIF('MyWells Drilling Comp'!F:F,E1421)=0,"Missing","Exist")</f>
        <v>Exist</v>
      </c>
    </row>
    <row r="1422" hidden="1" spans="1:24">
      <c r="A1422" s="1" t="s">
        <v>5265</v>
      </c>
      <c r="B1422" s="1" t="s">
        <v>90</v>
      </c>
      <c r="C1422" s="1" t="s">
        <v>8055</v>
      </c>
      <c r="D1422" s="1" t="s">
        <v>8056</v>
      </c>
      <c r="E1422" s="2" t="s">
        <v>122</v>
      </c>
      <c r="F1422" s="2" t="s">
        <v>8057</v>
      </c>
      <c r="G1422" s="1">
        <v>1</v>
      </c>
      <c r="H1422" s="1" t="s">
        <v>1663</v>
      </c>
      <c r="I1422" s="1" t="s">
        <v>1657</v>
      </c>
      <c r="J1422" s="1" t="s">
        <v>1658</v>
      </c>
      <c r="K1422" s="1" t="s">
        <v>1658</v>
      </c>
      <c r="L1422" s="1" t="s">
        <v>1658</v>
      </c>
      <c r="M1422" s="1" t="s">
        <v>1658</v>
      </c>
      <c r="N1422" s="1" t="s">
        <v>1658</v>
      </c>
      <c r="O1422" s="1" t="s">
        <v>1658</v>
      </c>
      <c r="P1422" s="1">
        <v>1</v>
      </c>
      <c r="Q1422" s="1" t="s">
        <v>1658</v>
      </c>
      <c r="R1422" s="1">
        <v>0</v>
      </c>
      <c r="S1422" s="1" t="s">
        <v>8058</v>
      </c>
      <c r="T1422" s="6" t="s">
        <v>8058</v>
      </c>
      <c r="U1422" s="1" t="str">
        <f t="shared" si="22"/>
        <v>Yes</v>
      </c>
      <c r="W1422" s="1" t="s">
        <v>8059</v>
      </c>
      <c r="X1422" s="1" t="str">
        <f>IF(COUNTIF('MyWells Drilling Comp'!F:F,E1422)=0,"Missing","Exist")</f>
        <v>Exist</v>
      </c>
    </row>
    <row r="1423" hidden="1" spans="1:24">
      <c r="A1423" s="1" t="s">
        <v>5265</v>
      </c>
      <c r="B1423" s="1" t="s">
        <v>90</v>
      </c>
      <c r="C1423" s="1" t="s">
        <v>8060</v>
      </c>
      <c r="D1423" s="1" t="s">
        <v>8056</v>
      </c>
      <c r="E1423" s="2" t="s">
        <v>122</v>
      </c>
      <c r="F1423" s="2" t="s">
        <v>8061</v>
      </c>
      <c r="G1423" s="1">
        <v>1</v>
      </c>
      <c r="H1423" s="1" t="s">
        <v>1656</v>
      </c>
      <c r="I1423" s="1" t="s">
        <v>1657</v>
      </c>
      <c r="J1423" s="1" t="s">
        <v>1658</v>
      </c>
      <c r="K1423" s="1" t="s">
        <v>1658</v>
      </c>
      <c r="L1423" s="1" t="s">
        <v>1658</v>
      </c>
      <c r="M1423" s="1" t="s">
        <v>1658</v>
      </c>
      <c r="N1423" s="1" t="s">
        <v>1658</v>
      </c>
      <c r="O1423" s="1" t="s">
        <v>1658</v>
      </c>
      <c r="P1423" s="1">
        <v>1</v>
      </c>
      <c r="Q1423" s="1" t="s">
        <v>1658</v>
      </c>
      <c r="R1423" s="1">
        <v>0</v>
      </c>
      <c r="S1423" s="1" t="s">
        <v>8062</v>
      </c>
      <c r="T1423" s="6" t="s">
        <v>8062</v>
      </c>
      <c r="U1423" s="1" t="str">
        <f t="shared" si="22"/>
        <v>Yes</v>
      </c>
      <c r="W1423" s="1" t="s">
        <v>8063</v>
      </c>
      <c r="X1423" s="1" t="str">
        <f>IF(COUNTIF('MyWells Drilling Comp'!F:F,E1423)=0,"Missing","Exist")</f>
        <v>Exist</v>
      </c>
    </row>
    <row r="1424" hidden="1" spans="1:24">
      <c r="A1424" s="1" t="s">
        <v>5265</v>
      </c>
      <c r="B1424" s="1" t="s">
        <v>90</v>
      </c>
      <c r="C1424" s="1" t="s">
        <v>8064</v>
      </c>
      <c r="D1424" s="1" t="s">
        <v>8065</v>
      </c>
      <c r="E1424" s="2" t="s">
        <v>827</v>
      </c>
      <c r="F1424" s="2" t="s">
        <v>8066</v>
      </c>
      <c r="G1424" s="1">
        <v>1</v>
      </c>
      <c r="H1424" s="1" t="s">
        <v>1663</v>
      </c>
      <c r="I1424" s="1" t="s">
        <v>1657</v>
      </c>
      <c r="J1424" s="1" t="s">
        <v>1658</v>
      </c>
      <c r="K1424" s="1" t="s">
        <v>1658</v>
      </c>
      <c r="L1424" s="1" t="s">
        <v>1658</v>
      </c>
      <c r="M1424" s="1" t="s">
        <v>1658</v>
      </c>
      <c r="N1424" s="1" t="s">
        <v>1658</v>
      </c>
      <c r="O1424" s="1" t="s">
        <v>1658</v>
      </c>
      <c r="P1424" s="1">
        <v>1</v>
      </c>
      <c r="Q1424" s="1" t="s">
        <v>1658</v>
      </c>
      <c r="R1424" s="1">
        <v>0</v>
      </c>
      <c r="S1424" s="1" t="s">
        <v>8067</v>
      </c>
      <c r="T1424" s="6" t="s">
        <v>8067</v>
      </c>
      <c r="U1424" s="1" t="str">
        <f t="shared" si="22"/>
        <v>Yes</v>
      </c>
      <c r="W1424" s="1" t="s">
        <v>8068</v>
      </c>
      <c r="X1424" s="1" t="str">
        <f>IF(COUNTIF('MyWells Drilling Comp'!F:F,E1424)=0,"Missing","Exist")</f>
        <v>Exist</v>
      </c>
    </row>
    <row r="1425" hidden="1" spans="1:24">
      <c r="A1425" s="1" t="s">
        <v>5265</v>
      </c>
      <c r="B1425" s="1" t="s">
        <v>90</v>
      </c>
      <c r="C1425" s="1" t="s">
        <v>8069</v>
      </c>
      <c r="D1425" s="1" t="s">
        <v>8065</v>
      </c>
      <c r="E1425" s="2" t="s">
        <v>827</v>
      </c>
      <c r="F1425" s="2" t="s">
        <v>8070</v>
      </c>
      <c r="G1425" s="1">
        <v>1</v>
      </c>
      <c r="H1425" s="1" t="s">
        <v>1656</v>
      </c>
      <c r="I1425" s="1" t="s">
        <v>1657</v>
      </c>
      <c r="J1425" s="1" t="s">
        <v>1658</v>
      </c>
      <c r="K1425" s="1" t="s">
        <v>1658</v>
      </c>
      <c r="L1425" s="1" t="s">
        <v>1658</v>
      </c>
      <c r="M1425" s="1" t="s">
        <v>1658</v>
      </c>
      <c r="N1425" s="1" t="s">
        <v>1658</v>
      </c>
      <c r="O1425" s="1" t="s">
        <v>1658</v>
      </c>
      <c r="P1425" s="1">
        <v>1</v>
      </c>
      <c r="Q1425" s="1" t="s">
        <v>1658</v>
      </c>
      <c r="R1425" s="1">
        <v>0</v>
      </c>
      <c r="S1425" s="1" t="s">
        <v>3650</v>
      </c>
      <c r="T1425" s="6"/>
      <c r="U1425" s="1" t="str">
        <f t="shared" si="22"/>
        <v>No</v>
      </c>
      <c r="W1425" s="1" t="s">
        <v>8071</v>
      </c>
      <c r="X1425" s="1" t="str">
        <f>IF(COUNTIF('MyWells Drilling Comp'!F:F,E1425)=0,"Missing","Exist")</f>
        <v>Exist</v>
      </c>
    </row>
    <row r="1426" hidden="1" spans="1:24">
      <c r="A1426" s="1" t="s">
        <v>5265</v>
      </c>
      <c r="B1426" s="1" t="s">
        <v>90</v>
      </c>
      <c r="C1426" s="1" t="s">
        <v>8072</v>
      </c>
      <c r="D1426" s="1" t="s">
        <v>8073</v>
      </c>
      <c r="E1426" s="2" t="s">
        <v>824</v>
      </c>
      <c r="F1426" s="2" t="s">
        <v>8074</v>
      </c>
      <c r="G1426" s="1">
        <v>1</v>
      </c>
      <c r="H1426" s="1" t="s">
        <v>1663</v>
      </c>
      <c r="I1426" s="1" t="s">
        <v>1657</v>
      </c>
      <c r="J1426" s="1" t="s">
        <v>1658</v>
      </c>
      <c r="K1426" s="1" t="s">
        <v>1658</v>
      </c>
      <c r="L1426" s="1" t="s">
        <v>1658</v>
      </c>
      <c r="M1426" s="1" t="s">
        <v>1658</v>
      </c>
      <c r="N1426" s="1" t="s">
        <v>1658</v>
      </c>
      <c r="O1426" s="1" t="s">
        <v>1658</v>
      </c>
      <c r="P1426" s="1">
        <v>1</v>
      </c>
      <c r="Q1426" s="1" t="s">
        <v>1658</v>
      </c>
      <c r="R1426" s="1">
        <v>0</v>
      </c>
      <c r="S1426" s="1" t="s">
        <v>8075</v>
      </c>
      <c r="T1426" s="6" t="s">
        <v>8075</v>
      </c>
      <c r="U1426" s="1" t="str">
        <f t="shared" si="22"/>
        <v>Yes</v>
      </c>
      <c r="W1426" s="1" t="s">
        <v>8076</v>
      </c>
      <c r="X1426" s="1" t="str">
        <f>IF(COUNTIF('MyWells Drilling Comp'!F:F,E1426)=0,"Missing","Exist")</f>
        <v>Exist</v>
      </c>
    </row>
    <row r="1427" hidden="1" spans="1:24">
      <c r="A1427" s="1" t="s">
        <v>5265</v>
      </c>
      <c r="B1427" s="1" t="s">
        <v>90</v>
      </c>
      <c r="C1427" s="1" t="s">
        <v>8077</v>
      </c>
      <c r="D1427" s="1" t="s">
        <v>8073</v>
      </c>
      <c r="E1427" s="2" t="s">
        <v>824</v>
      </c>
      <c r="F1427" s="2" t="s">
        <v>8078</v>
      </c>
      <c r="G1427" s="1">
        <v>1</v>
      </c>
      <c r="H1427" s="1" t="s">
        <v>1656</v>
      </c>
      <c r="I1427" s="1" t="s">
        <v>1657</v>
      </c>
      <c r="J1427" s="1" t="s">
        <v>1658</v>
      </c>
      <c r="K1427" s="1" t="s">
        <v>1658</v>
      </c>
      <c r="L1427" s="1" t="s">
        <v>1658</v>
      </c>
      <c r="M1427" s="1" t="s">
        <v>1658</v>
      </c>
      <c r="N1427" s="1" t="s">
        <v>1658</v>
      </c>
      <c r="O1427" s="1" t="s">
        <v>1658</v>
      </c>
      <c r="P1427" s="1">
        <v>1</v>
      </c>
      <c r="Q1427" s="1" t="s">
        <v>1658</v>
      </c>
      <c r="R1427" s="1">
        <v>0</v>
      </c>
      <c r="S1427" s="1" t="s">
        <v>3650</v>
      </c>
      <c r="T1427" s="6"/>
      <c r="U1427" s="1" t="str">
        <f t="shared" si="22"/>
        <v>No</v>
      </c>
      <c r="W1427" s="1" t="s">
        <v>8079</v>
      </c>
      <c r="X1427" s="1" t="str">
        <f>IF(COUNTIF('MyWells Drilling Comp'!F:F,E1427)=0,"Missing","Exist")</f>
        <v>Exist</v>
      </c>
    </row>
    <row r="1428" hidden="1" spans="1:24">
      <c r="A1428" s="1" t="s">
        <v>5265</v>
      </c>
      <c r="B1428" s="1" t="s">
        <v>90</v>
      </c>
      <c r="C1428" s="1" t="s">
        <v>8080</v>
      </c>
      <c r="D1428" s="1" t="s">
        <v>8081</v>
      </c>
      <c r="E1428" s="2" t="s">
        <v>783</v>
      </c>
      <c r="F1428" s="8" t="s">
        <v>8082</v>
      </c>
      <c r="G1428" s="1">
        <v>1</v>
      </c>
      <c r="H1428" s="1" t="s">
        <v>1663</v>
      </c>
      <c r="I1428" s="1" t="s">
        <v>1657</v>
      </c>
      <c r="J1428" s="1" t="s">
        <v>1658</v>
      </c>
      <c r="K1428" s="1" t="s">
        <v>1658</v>
      </c>
      <c r="L1428" s="1" t="s">
        <v>1658</v>
      </c>
      <c r="M1428" s="1" t="s">
        <v>1658</v>
      </c>
      <c r="N1428" s="1" t="s">
        <v>1658</v>
      </c>
      <c r="O1428" s="1" t="s">
        <v>1658</v>
      </c>
      <c r="P1428" s="1">
        <v>1</v>
      </c>
      <c r="Q1428" s="1" t="s">
        <v>1658</v>
      </c>
      <c r="R1428" s="1">
        <v>0</v>
      </c>
      <c r="S1428" s="1" t="s">
        <v>8083</v>
      </c>
      <c r="T1428" s="6" t="s">
        <v>8083</v>
      </c>
      <c r="U1428" s="1" t="str">
        <f t="shared" si="22"/>
        <v>Yes</v>
      </c>
      <c r="W1428" s="1" t="s">
        <v>8084</v>
      </c>
      <c r="X1428" s="1" t="str">
        <f>IF(COUNTIF('MyWells Drilling Comp'!F:F,E1428)=0,"Missing","Exist")</f>
        <v>Exist</v>
      </c>
    </row>
    <row r="1429" hidden="1" spans="1:24">
      <c r="A1429" s="1" t="s">
        <v>5265</v>
      </c>
      <c r="B1429" s="1" t="s">
        <v>90</v>
      </c>
      <c r="C1429" s="1" t="s">
        <v>8085</v>
      </c>
      <c r="D1429" s="1" t="s">
        <v>8081</v>
      </c>
      <c r="E1429" s="2" t="s">
        <v>783</v>
      </c>
      <c r="F1429" s="2" t="s">
        <v>8086</v>
      </c>
      <c r="G1429" s="1">
        <v>1</v>
      </c>
      <c r="H1429" s="1" t="s">
        <v>1656</v>
      </c>
      <c r="I1429" s="1" t="s">
        <v>1657</v>
      </c>
      <c r="J1429" s="1" t="s">
        <v>1658</v>
      </c>
      <c r="K1429" s="1" t="s">
        <v>1658</v>
      </c>
      <c r="L1429" s="1" t="s">
        <v>1658</v>
      </c>
      <c r="M1429" s="1" t="s">
        <v>1658</v>
      </c>
      <c r="N1429" s="1" t="s">
        <v>1658</v>
      </c>
      <c r="O1429" s="1" t="s">
        <v>1658</v>
      </c>
      <c r="P1429" s="1">
        <v>1</v>
      </c>
      <c r="Q1429" s="1" t="s">
        <v>1658</v>
      </c>
      <c r="R1429" s="1">
        <v>0</v>
      </c>
      <c r="S1429" s="1" t="s">
        <v>8087</v>
      </c>
      <c r="T1429" s="6" t="s">
        <v>8087</v>
      </c>
      <c r="U1429" s="1" t="str">
        <f t="shared" si="22"/>
        <v>Yes</v>
      </c>
      <c r="W1429" s="1" t="s">
        <v>8088</v>
      </c>
      <c r="X1429" s="1" t="str">
        <f>IF(COUNTIF('MyWells Drilling Comp'!F:F,E1429)=0,"Missing","Exist")</f>
        <v>Exist</v>
      </c>
    </row>
    <row r="1430" hidden="1" spans="1:24">
      <c r="A1430" s="1" t="s">
        <v>5265</v>
      </c>
      <c r="B1430" s="1" t="s">
        <v>90</v>
      </c>
      <c r="C1430" s="1" t="s">
        <v>8089</v>
      </c>
      <c r="D1430" s="1" t="s">
        <v>8090</v>
      </c>
      <c r="E1430" s="2" t="s">
        <v>667</v>
      </c>
      <c r="F1430" s="2" t="s">
        <v>8091</v>
      </c>
      <c r="G1430" s="1">
        <v>1</v>
      </c>
      <c r="H1430" s="1" t="s">
        <v>1663</v>
      </c>
      <c r="I1430" s="1" t="s">
        <v>1657</v>
      </c>
      <c r="J1430" s="1" t="s">
        <v>1658</v>
      </c>
      <c r="K1430" s="1" t="s">
        <v>1658</v>
      </c>
      <c r="L1430" s="1" t="s">
        <v>1658</v>
      </c>
      <c r="M1430" s="1" t="s">
        <v>1658</v>
      </c>
      <c r="N1430" s="1" t="s">
        <v>1658</v>
      </c>
      <c r="O1430" s="1" t="s">
        <v>1658</v>
      </c>
      <c r="P1430" s="1">
        <v>1</v>
      </c>
      <c r="Q1430" s="1" t="s">
        <v>1658</v>
      </c>
      <c r="R1430" s="1">
        <v>0</v>
      </c>
      <c r="S1430" s="1" t="s">
        <v>8092</v>
      </c>
      <c r="T1430" s="6" t="s">
        <v>8092</v>
      </c>
      <c r="U1430" s="1" t="str">
        <f t="shared" si="22"/>
        <v>Yes</v>
      </c>
      <c r="W1430" s="1" t="s">
        <v>8093</v>
      </c>
      <c r="X1430" s="1" t="str">
        <f>IF(COUNTIF('MyWells Drilling Comp'!F:F,E1430)=0,"Missing","Exist")</f>
        <v>Exist</v>
      </c>
    </row>
    <row r="1431" hidden="1" spans="1:24">
      <c r="A1431" s="1" t="s">
        <v>5265</v>
      </c>
      <c r="B1431" s="1" t="s">
        <v>90</v>
      </c>
      <c r="C1431" s="7" t="s">
        <v>8094</v>
      </c>
      <c r="D1431" s="1" t="s">
        <v>8090</v>
      </c>
      <c r="E1431" s="2" t="s">
        <v>667</v>
      </c>
      <c r="F1431" s="2" t="s">
        <v>8095</v>
      </c>
      <c r="G1431" s="1">
        <v>1</v>
      </c>
      <c r="H1431" s="1" t="s">
        <v>1656</v>
      </c>
      <c r="I1431" s="1" t="s">
        <v>1657</v>
      </c>
      <c r="J1431" s="1" t="s">
        <v>1658</v>
      </c>
      <c r="K1431" s="1" t="s">
        <v>1658</v>
      </c>
      <c r="L1431" s="1" t="s">
        <v>1658</v>
      </c>
      <c r="M1431" s="1" t="s">
        <v>1658</v>
      </c>
      <c r="N1431" s="1" t="s">
        <v>1658</v>
      </c>
      <c r="O1431" s="1" t="s">
        <v>1658</v>
      </c>
      <c r="P1431" s="1">
        <v>1</v>
      </c>
      <c r="Q1431" s="1" t="s">
        <v>1658</v>
      </c>
      <c r="R1431" s="1">
        <v>0</v>
      </c>
      <c r="S1431" s="1" t="s">
        <v>8096</v>
      </c>
      <c r="T1431" s="6" t="s">
        <v>8096</v>
      </c>
      <c r="U1431" s="1" t="str">
        <f t="shared" si="22"/>
        <v>Yes</v>
      </c>
      <c r="W1431" s="1" t="s">
        <v>8097</v>
      </c>
      <c r="X1431" s="1" t="str">
        <f>IF(COUNTIF('MyWells Drilling Comp'!F:F,E1431)=0,"Missing","Exist")</f>
        <v>Exist</v>
      </c>
    </row>
    <row r="1432" hidden="1" spans="1:24">
      <c r="A1432" s="1" t="s">
        <v>5265</v>
      </c>
      <c r="B1432" s="1" t="s">
        <v>90</v>
      </c>
      <c r="C1432" s="1" t="s">
        <v>8098</v>
      </c>
      <c r="D1432" s="1" t="s">
        <v>8099</v>
      </c>
      <c r="E1432" s="2" t="s">
        <v>478</v>
      </c>
      <c r="F1432" s="2" t="s">
        <v>8100</v>
      </c>
      <c r="G1432" s="1">
        <v>1</v>
      </c>
      <c r="H1432" s="1" t="s">
        <v>1663</v>
      </c>
      <c r="I1432" s="1" t="s">
        <v>1657</v>
      </c>
      <c r="J1432" s="1" t="s">
        <v>1658</v>
      </c>
      <c r="K1432" s="1" t="s">
        <v>1658</v>
      </c>
      <c r="L1432" s="1" t="s">
        <v>1658</v>
      </c>
      <c r="M1432" s="1" t="s">
        <v>1658</v>
      </c>
      <c r="N1432" s="1" t="s">
        <v>1658</v>
      </c>
      <c r="O1432" s="1" t="s">
        <v>1658</v>
      </c>
      <c r="P1432" s="1">
        <v>1</v>
      </c>
      <c r="Q1432" s="1" t="s">
        <v>1658</v>
      </c>
      <c r="R1432" s="1">
        <v>0</v>
      </c>
      <c r="S1432" s="1" t="s">
        <v>8101</v>
      </c>
      <c r="T1432" s="6" t="s">
        <v>8101</v>
      </c>
      <c r="U1432" s="1" t="str">
        <f t="shared" si="22"/>
        <v>Yes</v>
      </c>
      <c r="W1432" s="1" t="s">
        <v>8102</v>
      </c>
      <c r="X1432" s="1" t="str">
        <f>IF(COUNTIF('MyWells Drilling Comp'!F:F,E1432)=0,"Missing","Exist")</f>
        <v>Exist</v>
      </c>
    </row>
    <row r="1433" hidden="1" spans="1:24">
      <c r="A1433" s="1" t="s">
        <v>5265</v>
      </c>
      <c r="B1433" s="1" t="s">
        <v>90</v>
      </c>
      <c r="C1433" s="1" t="s">
        <v>8103</v>
      </c>
      <c r="D1433" s="1" t="s">
        <v>8099</v>
      </c>
      <c r="E1433" s="2" t="s">
        <v>478</v>
      </c>
      <c r="F1433" s="2" t="s">
        <v>8104</v>
      </c>
      <c r="G1433" s="1">
        <v>1</v>
      </c>
      <c r="H1433" s="1" t="s">
        <v>1656</v>
      </c>
      <c r="I1433" s="1" t="s">
        <v>1657</v>
      </c>
      <c r="J1433" s="1" t="s">
        <v>1658</v>
      </c>
      <c r="K1433" s="1" t="s">
        <v>1658</v>
      </c>
      <c r="L1433" s="1" t="s">
        <v>1658</v>
      </c>
      <c r="M1433" s="1" t="s">
        <v>1658</v>
      </c>
      <c r="N1433" s="1" t="s">
        <v>1658</v>
      </c>
      <c r="O1433" s="1" t="s">
        <v>1658</v>
      </c>
      <c r="P1433" s="1">
        <v>1</v>
      </c>
      <c r="Q1433" s="1" t="s">
        <v>1658</v>
      </c>
      <c r="R1433" s="1">
        <v>0</v>
      </c>
      <c r="S1433" s="1" t="s">
        <v>8105</v>
      </c>
      <c r="T1433" s="6" t="s">
        <v>8105</v>
      </c>
      <c r="U1433" s="1" t="str">
        <f t="shared" si="22"/>
        <v>Yes</v>
      </c>
      <c r="W1433" s="1" t="s">
        <v>8106</v>
      </c>
      <c r="X1433" s="1" t="str">
        <f>IF(COUNTIF('MyWells Drilling Comp'!F:F,E1433)=0,"Missing","Exist")</f>
        <v>Exist</v>
      </c>
    </row>
    <row r="1434" hidden="1" spans="1:24">
      <c r="A1434" s="1" t="s">
        <v>5265</v>
      </c>
      <c r="B1434" s="1" t="s">
        <v>90</v>
      </c>
      <c r="C1434" s="1" t="s">
        <v>8107</v>
      </c>
      <c r="D1434" s="1" t="s">
        <v>8108</v>
      </c>
      <c r="E1434" s="2" t="s">
        <v>999</v>
      </c>
      <c r="F1434" s="2" t="s">
        <v>8109</v>
      </c>
      <c r="G1434" s="1">
        <v>1</v>
      </c>
      <c r="H1434" s="1" t="s">
        <v>1663</v>
      </c>
      <c r="I1434" s="1" t="s">
        <v>1657</v>
      </c>
      <c r="J1434" s="1" t="s">
        <v>1658</v>
      </c>
      <c r="K1434" s="1" t="s">
        <v>1658</v>
      </c>
      <c r="L1434" s="1" t="s">
        <v>1658</v>
      </c>
      <c r="M1434" s="1" t="s">
        <v>1658</v>
      </c>
      <c r="N1434" s="1" t="s">
        <v>1658</v>
      </c>
      <c r="O1434" s="1" t="s">
        <v>1658</v>
      </c>
      <c r="P1434" s="1">
        <v>1</v>
      </c>
      <c r="Q1434" s="1" t="s">
        <v>1658</v>
      </c>
      <c r="R1434" s="1">
        <v>0</v>
      </c>
      <c r="S1434" s="1" t="s">
        <v>8110</v>
      </c>
      <c r="T1434" s="6" t="s">
        <v>8110</v>
      </c>
      <c r="U1434" s="1" t="str">
        <f t="shared" si="22"/>
        <v>Yes</v>
      </c>
      <c r="W1434" s="1" t="s">
        <v>8111</v>
      </c>
      <c r="X1434" s="1" t="str">
        <f>IF(COUNTIF('MyWells Drilling Comp'!F:F,E1434)=0,"Missing","Exist")</f>
        <v>Exist</v>
      </c>
    </row>
    <row r="1435" hidden="1" spans="1:24">
      <c r="A1435" s="1" t="s">
        <v>5265</v>
      </c>
      <c r="B1435" s="1" t="s">
        <v>90</v>
      </c>
      <c r="C1435" s="1" t="s">
        <v>8112</v>
      </c>
      <c r="D1435" s="1" t="s">
        <v>8108</v>
      </c>
      <c r="E1435" s="2" t="s">
        <v>999</v>
      </c>
      <c r="F1435" s="2" t="s">
        <v>8113</v>
      </c>
      <c r="G1435" s="1">
        <v>1</v>
      </c>
      <c r="H1435" s="1" t="s">
        <v>1656</v>
      </c>
      <c r="I1435" s="1" t="s">
        <v>1657</v>
      </c>
      <c r="J1435" s="1" t="s">
        <v>1658</v>
      </c>
      <c r="K1435" s="1" t="s">
        <v>1658</v>
      </c>
      <c r="L1435" s="1" t="s">
        <v>1658</v>
      </c>
      <c r="M1435" s="1" t="s">
        <v>1658</v>
      </c>
      <c r="N1435" s="1" t="s">
        <v>1658</v>
      </c>
      <c r="O1435" s="1" t="s">
        <v>1658</v>
      </c>
      <c r="P1435" s="1">
        <v>1</v>
      </c>
      <c r="Q1435" s="1" t="s">
        <v>1658</v>
      </c>
      <c r="R1435" s="1">
        <v>0</v>
      </c>
      <c r="S1435" s="1" t="s">
        <v>8114</v>
      </c>
      <c r="T1435" s="6" t="s">
        <v>8114</v>
      </c>
      <c r="U1435" s="1" t="str">
        <f t="shared" si="22"/>
        <v>Yes</v>
      </c>
      <c r="W1435" s="1" t="s">
        <v>8115</v>
      </c>
      <c r="X1435" s="1" t="str">
        <f>IF(COUNTIF('MyWells Drilling Comp'!F:F,E1435)=0,"Missing","Exist")</f>
        <v>Exist</v>
      </c>
    </row>
    <row r="1436" hidden="1" spans="1:24">
      <c r="A1436" s="1" t="s">
        <v>5265</v>
      </c>
      <c r="B1436" s="1" t="s">
        <v>90</v>
      </c>
      <c r="C1436" s="1" t="s">
        <v>8116</v>
      </c>
      <c r="D1436" s="1" t="s">
        <v>8117</v>
      </c>
      <c r="E1436" s="2" t="s">
        <v>1178</v>
      </c>
      <c r="F1436" s="2" t="s">
        <v>8118</v>
      </c>
      <c r="G1436" s="1">
        <v>1</v>
      </c>
      <c r="H1436" s="1" t="s">
        <v>1656</v>
      </c>
      <c r="I1436" s="1" t="s">
        <v>1657</v>
      </c>
      <c r="J1436" s="1" t="s">
        <v>1658</v>
      </c>
      <c r="K1436" s="1" t="s">
        <v>1658</v>
      </c>
      <c r="L1436" s="1" t="s">
        <v>1658</v>
      </c>
      <c r="M1436" s="1" t="s">
        <v>1658</v>
      </c>
      <c r="N1436" s="1" t="s">
        <v>1658</v>
      </c>
      <c r="O1436" s="1" t="s">
        <v>1658</v>
      </c>
      <c r="P1436" s="1">
        <v>1</v>
      </c>
      <c r="Q1436" s="1" t="s">
        <v>1658</v>
      </c>
      <c r="R1436" s="1">
        <v>0</v>
      </c>
      <c r="S1436" s="1" t="s">
        <v>8119</v>
      </c>
      <c r="T1436" s="6" t="s">
        <v>8120</v>
      </c>
      <c r="U1436" s="1" t="str">
        <f t="shared" si="22"/>
        <v>Yes</v>
      </c>
      <c r="W1436" s="1" t="s">
        <v>8121</v>
      </c>
      <c r="X1436" s="1" t="str">
        <f>IF(COUNTIF('MyWells Drilling Comp'!F:F,E1436)=0,"Missing","Exist")</f>
        <v>Exist</v>
      </c>
    </row>
    <row r="1437" hidden="1" spans="1:24">
      <c r="A1437" s="1" t="s">
        <v>5265</v>
      </c>
      <c r="B1437" s="1" t="s">
        <v>90</v>
      </c>
      <c r="C1437" s="1" t="s">
        <v>8122</v>
      </c>
      <c r="D1437" s="1" t="s">
        <v>8117</v>
      </c>
      <c r="E1437" s="2" t="s">
        <v>1178</v>
      </c>
      <c r="F1437" s="2" t="s">
        <v>8123</v>
      </c>
      <c r="G1437" s="1">
        <v>1</v>
      </c>
      <c r="H1437" s="1" t="s">
        <v>1663</v>
      </c>
      <c r="I1437" s="1" t="s">
        <v>1657</v>
      </c>
      <c r="J1437" s="1" t="s">
        <v>1658</v>
      </c>
      <c r="K1437" s="1" t="s">
        <v>1658</v>
      </c>
      <c r="L1437" s="1" t="s">
        <v>1658</v>
      </c>
      <c r="M1437" s="1" t="s">
        <v>1658</v>
      </c>
      <c r="N1437" s="1" t="s">
        <v>1658</v>
      </c>
      <c r="O1437" s="1" t="s">
        <v>1658</v>
      </c>
      <c r="P1437" s="1">
        <v>1</v>
      </c>
      <c r="Q1437" s="1" t="s">
        <v>1658</v>
      </c>
      <c r="R1437" s="1">
        <v>0</v>
      </c>
      <c r="S1437" s="1" t="s">
        <v>8124</v>
      </c>
      <c r="T1437" s="6" t="s">
        <v>8124</v>
      </c>
      <c r="U1437" s="1" t="str">
        <f t="shared" si="22"/>
        <v>Yes</v>
      </c>
      <c r="W1437" s="1" t="s">
        <v>8125</v>
      </c>
      <c r="X1437" s="1" t="str">
        <f>IF(COUNTIF('MyWells Drilling Comp'!F:F,E1437)=0,"Missing","Exist")</f>
        <v>Exist</v>
      </c>
    </row>
    <row r="1438" hidden="1" spans="1:24">
      <c r="A1438" s="1" t="s">
        <v>5265</v>
      </c>
      <c r="B1438" s="1" t="s">
        <v>90</v>
      </c>
      <c r="C1438" s="1" t="s">
        <v>8126</v>
      </c>
      <c r="D1438" s="1" t="s">
        <v>8127</v>
      </c>
      <c r="E1438" s="2" t="s">
        <v>785</v>
      </c>
      <c r="F1438" s="2" t="s">
        <v>8128</v>
      </c>
      <c r="G1438" s="1">
        <v>1</v>
      </c>
      <c r="H1438" s="1" t="s">
        <v>1663</v>
      </c>
      <c r="I1438" s="1" t="s">
        <v>1657</v>
      </c>
      <c r="J1438" s="1" t="s">
        <v>1658</v>
      </c>
      <c r="K1438" s="1" t="s">
        <v>1658</v>
      </c>
      <c r="L1438" s="1" t="s">
        <v>1658</v>
      </c>
      <c r="M1438" s="1" t="s">
        <v>1658</v>
      </c>
      <c r="N1438" s="1" t="s">
        <v>1658</v>
      </c>
      <c r="O1438" s="1" t="s">
        <v>1658</v>
      </c>
      <c r="P1438" s="1">
        <v>1</v>
      </c>
      <c r="Q1438" s="1" t="s">
        <v>1658</v>
      </c>
      <c r="R1438" s="1">
        <v>0</v>
      </c>
      <c r="S1438" s="1" t="s">
        <v>8129</v>
      </c>
      <c r="T1438" s="6" t="s">
        <v>8129</v>
      </c>
      <c r="U1438" s="1" t="str">
        <f t="shared" si="22"/>
        <v>Yes</v>
      </c>
      <c r="W1438" s="1" t="s">
        <v>8130</v>
      </c>
      <c r="X1438" s="1" t="str">
        <f>IF(COUNTIF('MyWells Drilling Comp'!F:F,E1438)=0,"Missing","Exist")</f>
        <v>Exist</v>
      </c>
    </row>
    <row r="1439" hidden="1" spans="1:24">
      <c r="A1439" s="1" t="s">
        <v>5265</v>
      </c>
      <c r="B1439" s="1" t="s">
        <v>90</v>
      </c>
      <c r="C1439" s="1" t="s">
        <v>8131</v>
      </c>
      <c r="D1439" s="1" t="s">
        <v>8127</v>
      </c>
      <c r="E1439" s="2" t="s">
        <v>785</v>
      </c>
      <c r="F1439" s="2" t="s">
        <v>8132</v>
      </c>
      <c r="G1439" s="1">
        <v>1</v>
      </c>
      <c r="H1439" s="1" t="s">
        <v>1656</v>
      </c>
      <c r="I1439" s="1" t="s">
        <v>1657</v>
      </c>
      <c r="J1439" s="1" t="s">
        <v>1658</v>
      </c>
      <c r="K1439" s="1" t="s">
        <v>1658</v>
      </c>
      <c r="L1439" s="1" t="s">
        <v>1658</v>
      </c>
      <c r="M1439" s="1" t="s">
        <v>1658</v>
      </c>
      <c r="N1439" s="1" t="s">
        <v>1658</v>
      </c>
      <c r="O1439" s="1" t="s">
        <v>1658</v>
      </c>
      <c r="P1439" s="1">
        <v>1</v>
      </c>
      <c r="Q1439" s="1" t="s">
        <v>1658</v>
      </c>
      <c r="R1439" s="1">
        <v>0</v>
      </c>
      <c r="S1439" s="1" t="s">
        <v>8133</v>
      </c>
      <c r="T1439" s="6" t="s">
        <v>8133</v>
      </c>
      <c r="U1439" s="1" t="str">
        <f t="shared" si="22"/>
        <v>Yes</v>
      </c>
      <c r="W1439" s="1" t="s">
        <v>8134</v>
      </c>
      <c r="X1439" s="1" t="str">
        <f>IF(COUNTIF('MyWells Drilling Comp'!F:F,E1439)=0,"Missing","Exist")</f>
        <v>Exist</v>
      </c>
    </row>
    <row r="1440" hidden="1" spans="1:24">
      <c r="A1440" s="1" t="s">
        <v>5265</v>
      </c>
      <c r="B1440" s="1" t="s">
        <v>90</v>
      </c>
      <c r="C1440" s="1" t="s">
        <v>8135</v>
      </c>
      <c r="D1440" s="1" t="s">
        <v>8136</v>
      </c>
      <c r="E1440" s="2" t="s">
        <v>1539</v>
      </c>
      <c r="F1440" s="2" t="s">
        <v>8137</v>
      </c>
      <c r="G1440" s="1">
        <v>1</v>
      </c>
      <c r="H1440" s="1" t="s">
        <v>1656</v>
      </c>
      <c r="I1440" s="1" t="s">
        <v>1657</v>
      </c>
      <c r="J1440" s="1" t="s">
        <v>1658</v>
      </c>
      <c r="K1440" s="1" t="s">
        <v>1658</v>
      </c>
      <c r="L1440" s="1" t="s">
        <v>1658</v>
      </c>
      <c r="M1440" s="1" t="s">
        <v>1658</v>
      </c>
      <c r="N1440" s="1" t="s">
        <v>1658</v>
      </c>
      <c r="O1440" s="1" t="s">
        <v>1658</v>
      </c>
      <c r="P1440" s="1">
        <v>1</v>
      </c>
      <c r="Q1440" s="1" t="s">
        <v>1658</v>
      </c>
      <c r="R1440" s="1">
        <v>0</v>
      </c>
      <c r="S1440" s="1" t="s">
        <v>8138</v>
      </c>
      <c r="T1440" s="6" t="s">
        <v>8138</v>
      </c>
      <c r="U1440" s="1" t="str">
        <f t="shared" si="22"/>
        <v>Yes</v>
      </c>
      <c r="W1440" s="1" t="s">
        <v>8139</v>
      </c>
      <c r="X1440" s="1" t="str">
        <f>IF(COUNTIF('MyWells Drilling Comp'!F:F,E1440)=0,"Missing","Exist")</f>
        <v>Exist</v>
      </c>
    </row>
    <row r="1441" hidden="1" spans="1:24">
      <c r="A1441" s="1" t="s">
        <v>5265</v>
      </c>
      <c r="B1441" s="1" t="s">
        <v>90</v>
      </c>
      <c r="C1441" s="1" t="s">
        <v>8140</v>
      </c>
      <c r="D1441" s="1" t="s">
        <v>8136</v>
      </c>
      <c r="E1441" s="2" t="s">
        <v>1539</v>
      </c>
      <c r="F1441" s="2" t="s">
        <v>8141</v>
      </c>
      <c r="G1441" s="1">
        <v>1</v>
      </c>
      <c r="H1441" s="1" t="s">
        <v>1663</v>
      </c>
      <c r="I1441" s="1" t="s">
        <v>1657</v>
      </c>
      <c r="J1441" s="1" t="s">
        <v>1658</v>
      </c>
      <c r="K1441" s="1" t="s">
        <v>1658</v>
      </c>
      <c r="L1441" s="1" t="s">
        <v>1658</v>
      </c>
      <c r="M1441" s="1" t="s">
        <v>1658</v>
      </c>
      <c r="N1441" s="1" t="s">
        <v>1658</v>
      </c>
      <c r="O1441" s="1" t="s">
        <v>1658</v>
      </c>
      <c r="P1441" s="1">
        <v>1</v>
      </c>
      <c r="Q1441" s="1" t="s">
        <v>1658</v>
      </c>
      <c r="R1441" s="1">
        <v>0</v>
      </c>
      <c r="S1441" s="1" t="s">
        <v>8142</v>
      </c>
      <c r="T1441" s="6" t="s">
        <v>8142</v>
      </c>
      <c r="U1441" s="1" t="str">
        <f t="shared" si="22"/>
        <v>Yes</v>
      </c>
      <c r="W1441" s="1" t="s">
        <v>8143</v>
      </c>
      <c r="X1441" s="1" t="str">
        <f>IF(COUNTIF('MyWells Drilling Comp'!F:F,E1441)=0,"Missing","Exist")</f>
        <v>Exist</v>
      </c>
    </row>
    <row r="1442" hidden="1" spans="1:24">
      <c r="A1442" s="1" t="s">
        <v>5265</v>
      </c>
      <c r="B1442" s="1" t="s">
        <v>90</v>
      </c>
      <c r="C1442" s="1" t="s">
        <v>8144</v>
      </c>
      <c r="D1442" s="1" t="s">
        <v>8145</v>
      </c>
      <c r="E1442" s="2" t="s">
        <v>1112</v>
      </c>
      <c r="F1442" s="2" t="s">
        <v>8146</v>
      </c>
      <c r="G1442" s="1">
        <v>1</v>
      </c>
      <c r="H1442" s="1" t="s">
        <v>1663</v>
      </c>
      <c r="I1442" s="1" t="s">
        <v>1657</v>
      </c>
      <c r="J1442" s="1" t="s">
        <v>1658</v>
      </c>
      <c r="K1442" s="1" t="s">
        <v>1658</v>
      </c>
      <c r="L1442" s="1" t="s">
        <v>1658</v>
      </c>
      <c r="M1442" s="1" t="s">
        <v>1658</v>
      </c>
      <c r="N1442" s="1" t="s">
        <v>1658</v>
      </c>
      <c r="O1442" s="1" t="s">
        <v>1658</v>
      </c>
      <c r="P1442" s="1">
        <v>1</v>
      </c>
      <c r="Q1442" s="1" t="s">
        <v>1658</v>
      </c>
      <c r="R1442" s="1">
        <v>0</v>
      </c>
      <c r="S1442" s="1" t="s">
        <v>8147</v>
      </c>
      <c r="T1442" s="6"/>
      <c r="U1442" s="1" t="str">
        <f t="shared" si="22"/>
        <v>No</v>
      </c>
      <c r="W1442" s="1" t="s">
        <v>8148</v>
      </c>
      <c r="X1442" s="1" t="str">
        <f>IF(COUNTIF('MyWells Drilling Comp'!F:F,E1442)=0,"Missing","Exist")</f>
        <v>Exist</v>
      </c>
    </row>
    <row r="1443" hidden="1" spans="1:24">
      <c r="A1443" s="1" t="s">
        <v>5265</v>
      </c>
      <c r="B1443" s="1" t="s">
        <v>90</v>
      </c>
      <c r="C1443" s="1" t="s">
        <v>8149</v>
      </c>
      <c r="D1443" s="1" t="s">
        <v>8145</v>
      </c>
      <c r="E1443" s="2" t="s">
        <v>1112</v>
      </c>
      <c r="F1443" s="2" t="s">
        <v>8150</v>
      </c>
      <c r="G1443" s="1">
        <v>1</v>
      </c>
      <c r="H1443" s="1" t="s">
        <v>1656</v>
      </c>
      <c r="I1443" s="1" t="s">
        <v>1657</v>
      </c>
      <c r="J1443" s="1" t="s">
        <v>1658</v>
      </c>
      <c r="K1443" s="1" t="s">
        <v>1658</v>
      </c>
      <c r="L1443" s="1" t="s">
        <v>1658</v>
      </c>
      <c r="M1443" s="1" t="s">
        <v>1658</v>
      </c>
      <c r="N1443" s="1" t="s">
        <v>1658</v>
      </c>
      <c r="O1443" s="1" t="s">
        <v>1658</v>
      </c>
      <c r="P1443" s="1">
        <v>1</v>
      </c>
      <c r="Q1443" s="1" t="s">
        <v>1658</v>
      </c>
      <c r="R1443" s="1">
        <v>0</v>
      </c>
      <c r="S1443" s="1" t="s">
        <v>8151</v>
      </c>
      <c r="T1443" s="6" t="s">
        <v>8151</v>
      </c>
      <c r="U1443" s="1" t="str">
        <f t="shared" si="22"/>
        <v>Yes</v>
      </c>
      <c r="W1443" s="1" t="s">
        <v>8152</v>
      </c>
      <c r="X1443" s="1" t="str">
        <f>IF(COUNTIF('MyWells Drilling Comp'!F:F,E1443)=0,"Missing","Exist")</f>
        <v>Exist</v>
      </c>
    </row>
    <row r="1444" hidden="1" spans="1:24">
      <c r="A1444" s="1" t="s">
        <v>5265</v>
      </c>
      <c r="B1444" s="1" t="s">
        <v>90</v>
      </c>
      <c r="C1444" s="1" t="s">
        <v>8153</v>
      </c>
      <c r="D1444" s="1" t="s">
        <v>8154</v>
      </c>
      <c r="E1444" s="2" t="s">
        <v>1373</v>
      </c>
      <c r="F1444" s="2" t="s">
        <v>8155</v>
      </c>
      <c r="G1444" s="1">
        <v>1</v>
      </c>
      <c r="H1444" s="1" t="s">
        <v>1663</v>
      </c>
      <c r="I1444" s="1" t="s">
        <v>1657</v>
      </c>
      <c r="J1444" s="1" t="s">
        <v>1658</v>
      </c>
      <c r="K1444" s="1" t="s">
        <v>1658</v>
      </c>
      <c r="L1444" s="1" t="s">
        <v>1658</v>
      </c>
      <c r="M1444" s="1" t="s">
        <v>1658</v>
      </c>
      <c r="N1444" s="1" t="s">
        <v>1658</v>
      </c>
      <c r="O1444" s="1" t="s">
        <v>1658</v>
      </c>
      <c r="P1444" s="1">
        <v>1</v>
      </c>
      <c r="Q1444" s="1" t="s">
        <v>1658</v>
      </c>
      <c r="R1444" s="1">
        <v>0</v>
      </c>
      <c r="S1444" s="1" t="s">
        <v>8156</v>
      </c>
      <c r="T1444" s="6" t="s">
        <v>8156</v>
      </c>
      <c r="U1444" s="1" t="str">
        <f t="shared" si="22"/>
        <v>Yes</v>
      </c>
      <c r="W1444" s="1" t="s">
        <v>8157</v>
      </c>
      <c r="X1444" s="1" t="str">
        <f>IF(COUNTIF('MyWells Drilling Comp'!F:F,E1444)=0,"Missing","Exist")</f>
        <v>Exist</v>
      </c>
    </row>
    <row r="1445" hidden="1" spans="1:24">
      <c r="A1445" s="1" t="s">
        <v>5265</v>
      </c>
      <c r="B1445" s="1" t="s">
        <v>90</v>
      </c>
      <c r="C1445" s="1" t="s">
        <v>8158</v>
      </c>
      <c r="D1445" s="1" t="s">
        <v>8154</v>
      </c>
      <c r="E1445" s="2" t="s">
        <v>1373</v>
      </c>
      <c r="F1445" s="2" t="s">
        <v>8159</v>
      </c>
      <c r="G1445" s="1">
        <v>1</v>
      </c>
      <c r="H1445" s="1" t="s">
        <v>1656</v>
      </c>
      <c r="I1445" s="1" t="s">
        <v>1657</v>
      </c>
      <c r="J1445" s="1" t="s">
        <v>1658</v>
      </c>
      <c r="K1445" s="1" t="s">
        <v>1658</v>
      </c>
      <c r="L1445" s="1" t="s">
        <v>1658</v>
      </c>
      <c r="M1445" s="1" t="s">
        <v>1658</v>
      </c>
      <c r="N1445" s="1" t="s">
        <v>1658</v>
      </c>
      <c r="O1445" s="1" t="s">
        <v>1658</v>
      </c>
      <c r="P1445" s="1">
        <v>1</v>
      </c>
      <c r="Q1445" s="1" t="s">
        <v>1658</v>
      </c>
      <c r="R1445" s="1">
        <v>0</v>
      </c>
      <c r="S1445" s="1" t="s">
        <v>1763</v>
      </c>
      <c r="T1445" s="6"/>
      <c r="U1445" s="1" t="str">
        <f t="shared" si="22"/>
        <v>No</v>
      </c>
      <c r="W1445" s="1" t="s">
        <v>8160</v>
      </c>
      <c r="X1445" s="1" t="str">
        <f>IF(COUNTIF('MyWells Drilling Comp'!F:F,E1445)=0,"Missing","Exist")</f>
        <v>Exist</v>
      </c>
    </row>
    <row r="1446" hidden="1" spans="1:24">
      <c r="A1446" s="1" t="s">
        <v>5265</v>
      </c>
      <c r="B1446" s="1" t="s">
        <v>90</v>
      </c>
      <c r="C1446" s="1" t="s">
        <v>8161</v>
      </c>
      <c r="D1446" s="1" t="s">
        <v>8162</v>
      </c>
      <c r="E1446" s="2" t="s">
        <v>1011</v>
      </c>
      <c r="F1446" s="2" t="s">
        <v>8163</v>
      </c>
      <c r="G1446" s="1">
        <v>1</v>
      </c>
      <c r="H1446" s="1" t="s">
        <v>1656</v>
      </c>
      <c r="I1446" s="1" t="s">
        <v>1657</v>
      </c>
      <c r="J1446" s="1" t="s">
        <v>1658</v>
      </c>
      <c r="K1446" s="1" t="s">
        <v>1658</v>
      </c>
      <c r="L1446" s="1" t="s">
        <v>1658</v>
      </c>
      <c r="M1446" s="1" t="s">
        <v>1658</v>
      </c>
      <c r="N1446" s="1" t="s">
        <v>1658</v>
      </c>
      <c r="O1446" s="1" t="s">
        <v>1658</v>
      </c>
      <c r="P1446" s="1">
        <v>1</v>
      </c>
      <c r="Q1446" s="1" t="s">
        <v>1658</v>
      </c>
      <c r="R1446" s="1">
        <v>0</v>
      </c>
      <c r="S1446" s="1" t="s">
        <v>8164</v>
      </c>
      <c r="T1446" s="6" t="s">
        <v>8164</v>
      </c>
      <c r="U1446" s="1" t="str">
        <f t="shared" si="22"/>
        <v>Yes</v>
      </c>
      <c r="W1446" s="1" t="s">
        <v>8165</v>
      </c>
      <c r="X1446" s="1" t="str">
        <f>IF(COUNTIF('MyWells Drilling Comp'!F:F,E1446)=0,"Missing","Exist")</f>
        <v>Exist</v>
      </c>
    </row>
    <row r="1447" hidden="1" spans="1:24">
      <c r="A1447" s="1" t="s">
        <v>5265</v>
      </c>
      <c r="B1447" s="1" t="s">
        <v>90</v>
      </c>
      <c r="C1447" s="1" t="s">
        <v>8166</v>
      </c>
      <c r="D1447" s="1" t="s">
        <v>8162</v>
      </c>
      <c r="E1447" s="2" t="s">
        <v>1011</v>
      </c>
      <c r="F1447" s="2" t="s">
        <v>8167</v>
      </c>
      <c r="G1447" s="1">
        <v>1</v>
      </c>
      <c r="H1447" s="1" t="s">
        <v>1663</v>
      </c>
      <c r="I1447" s="1" t="s">
        <v>1657</v>
      </c>
      <c r="J1447" s="1" t="s">
        <v>1658</v>
      </c>
      <c r="K1447" s="1" t="s">
        <v>1658</v>
      </c>
      <c r="L1447" s="1" t="s">
        <v>1658</v>
      </c>
      <c r="M1447" s="1" t="s">
        <v>1658</v>
      </c>
      <c r="N1447" s="1" t="s">
        <v>1658</v>
      </c>
      <c r="O1447" s="1" t="s">
        <v>1658</v>
      </c>
      <c r="P1447" s="1">
        <v>1</v>
      </c>
      <c r="Q1447" s="1" t="s">
        <v>1658</v>
      </c>
      <c r="R1447" s="1">
        <v>0</v>
      </c>
      <c r="S1447" s="1" t="s">
        <v>8168</v>
      </c>
      <c r="T1447" s="6" t="s">
        <v>8169</v>
      </c>
      <c r="U1447" s="1" t="str">
        <f t="shared" si="22"/>
        <v>No</v>
      </c>
      <c r="W1447" s="1" t="s">
        <v>8170</v>
      </c>
      <c r="X1447" s="1" t="str">
        <f>IF(COUNTIF('MyWells Drilling Comp'!F:F,E1447)=0,"Missing","Exist")</f>
        <v>Exist</v>
      </c>
    </row>
    <row r="1448" hidden="1" spans="1:24">
      <c r="A1448" s="1" t="s">
        <v>5265</v>
      </c>
      <c r="B1448" s="1" t="s">
        <v>90</v>
      </c>
      <c r="C1448" s="1" t="s">
        <v>8171</v>
      </c>
      <c r="D1448" s="7" t="s">
        <v>8172</v>
      </c>
      <c r="E1448" s="2" t="s">
        <v>1413</v>
      </c>
      <c r="F1448" s="2" t="s">
        <v>8173</v>
      </c>
      <c r="G1448" s="1">
        <v>1</v>
      </c>
      <c r="H1448" s="1" t="s">
        <v>1656</v>
      </c>
      <c r="I1448" s="1" t="s">
        <v>1657</v>
      </c>
      <c r="J1448" s="1" t="s">
        <v>1658</v>
      </c>
      <c r="K1448" s="1" t="s">
        <v>1658</v>
      </c>
      <c r="L1448" s="1" t="s">
        <v>1658</v>
      </c>
      <c r="M1448" s="1" t="s">
        <v>1658</v>
      </c>
      <c r="N1448" s="1" t="s">
        <v>1658</v>
      </c>
      <c r="O1448" s="1" t="s">
        <v>1658</v>
      </c>
      <c r="P1448" s="1">
        <v>1</v>
      </c>
      <c r="Q1448" s="1" t="s">
        <v>1658</v>
      </c>
      <c r="R1448" s="1">
        <v>0</v>
      </c>
      <c r="S1448" s="1" t="s">
        <v>8174</v>
      </c>
      <c r="T1448" s="6" t="s">
        <v>8174</v>
      </c>
      <c r="U1448" s="1" t="str">
        <f t="shared" si="22"/>
        <v>Yes</v>
      </c>
      <c r="W1448" s="1" t="s">
        <v>8175</v>
      </c>
      <c r="X1448" s="1" t="str">
        <f>IF(COUNTIF('MyWells Drilling Comp'!F:F,E1448)=0,"Missing","Exist")</f>
        <v>Exist</v>
      </c>
    </row>
    <row r="1449" hidden="1" spans="1:24">
      <c r="A1449" s="1" t="s">
        <v>5265</v>
      </c>
      <c r="B1449" s="1" t="s">
        <v>90</v>
      </c>
      <c r="C1449" s="1" t="s">
        <v>8176</v>
      </c>
      <c r="D1449" s="7" t="s">
        <v>8172</v>
      </c>
      <c r="E1449" s="2" t="s">
        <v>1413</v>
      </c>
      <c r="F1449" s="2" t="s">
        <v>8177</v>
      </c>
      <c r="G1449" s="1">
        <v>1</v>
      </c>
      <c r="H1449" s="1" t="s">
        <v>1663</v>
      </c>
      <c r="I1449" s="1" t="s">
        <v>1657</v>
      </c>
      <c r="J1449" s="1" t="s">
        <v>1658</v>
      </c>
      <c r="K1449" s="1" t="s">
        <v>1658</v>
      </c>
      <c r="L1449" s="1" t="s">
        <v>1658</v>
      </c>
      <c r="M1449" s="1" t="s">
        <v>1658</v>
      </c>
      <c r="N1449" s="1" t="s">
        <v>1658</v>
      </c>
      <c r="O1449" s="1" t="s">
        <v>1658</v>
      </c>
      <c r="P1449" s="1">
        <v>1</v>
      </c>
      <c r="Q1449" s="1" t="s">
        <v>1658</v>
      </c>
      <c r="R1449" s="1">
        <v>0</v>
      </c>
      <c r="S1449" s="1" t="s">
        <v>8178</v>
      </c>
      <c r="T1449" s="6" t="s">
        <v>8179</v>
      </c>
      <c r="U1449" s="1" t="str">
        <f t="shared" si="22"/>
        <v>No</v>
      </c>
      <c r="W1449" s="1" t="s">
        <v>8180</v>
      </c>
      <c r="X1449" s="1" t="str">
        <f>IF(COUNTIF('MyWells Drilling Comp'!F:F,E1449)=0,"Missing","Exist")</f>
        <v>Exist</v>
      </c>
    </row>
    <row r="1450" hidden="1" spans="1:24">
      <c r="A1450" s="1" t="s">
        <v>5265</v>
      </c>
      <c r="B1450" s="1" t="s">
        <v>90</v>
      </c>
      <c r="C1450" s="1" t="s">
        <v>8181</v>
      </c>
      <c r="D1450" s="1" t="s">
        <v>8182</v>
      </c>
      <c r="E1450" s="2" t="s">
        <v>201</v>
      </c>
      <c r="F1450" s="8" t="s">
        <v>8183</v>
      </c>
      <c r="G1450" s="1">
        <v>1</v>
      </c>
      <c r="H1450" s="1" t="s">
        <v>1656</v>
      </c>
      <c r="I1450" s="1" t="s">
        <v>1657</v>
      </c>
      <c r="J1450" s="1" t="s">
        <v>1658</v>
      </c>
      <c r="K1450" s="1" t="s">
        <v>1658</v>
      </c>
      <c r="L1450" s="1" t="s">
        <v>1658</v>
      </c>
      <c r="M1450" s="1" t="s">
        <v>1658</v>
      </c>
      <c r="N1450" s="1" t="s">
        <v>1658</v>
      </c>
      <c r="O1450" s="1" t="s">
        <v>1658</v>
      </c>
      <c r="P1450" s="1">
        <v>1</v>
      </c>
      <c r="Q1450" s="1" t="s">
        <v>1658</v>
      </c>
      <c r="R1450" s="1">
        <v>0</v>
      </c>
      <c r="S1450" s="1" t="s">
        <v>8184</v>
      </c>
      <c r="T1450" s="6" t="s">
        <v>8184</v>
      </c>
      <c r="U1450" s="1" t="str">
        <f t="shared" si="22"/>
        <v>Yes</v>
      </c>
      <c r="W1450" s="1" t="s">
        <v>8185</v>
      </c>
      <c r="X1450" s="1" t="str">
        <f>IF(COUNTIF('MyWells Drilling Comp'!F:F,E1450)=0,"Missing","Exist")</f>
        <v>Exist</v>
      </c>
    </row>
    <row r="1451" hidden="1" spans="1:24">
      <c r="A1451" s="1" t="s">
        <v>5265</v>
      </c>
      <c r="B1451" s="1" t="s">
        <v>90</v>
      </c>
      <c r="C1451" s="1" t="s">
        <v>8186</v>
      </c>
      <c r="D1451" s="1" t="s">
        <v>8182</v>
      </c>
      <c r="E1451" s="2" t="s">
        <v>201</v>
      </c>
      <c r="F1451" s="2" t="s">
        <v>8187</v>
      </c>
      <c r="G1451" s="1">
        <v>1</v>
      </c>
      <c r="H1451" s="1" t="s">
        <v>1663</v>
      </c>
      <c r="I1451" s="1" t="s">
        <v>1657</v>
      </c>
      <c r="J1451" s="1" t="s">
        <v>1658</v>
      </c>
      <c r="K1451" s="1" t="s">
        <v>1658</v>
      </c>
      <c r="L1451" s="1" t="s">
        <v>1658</v>
      </c>
      <c r="M1451" s="1" t="s">
        <v>1658</v>
      </c>
      <c r="N1451" s="1" t="s">
        <v>1658</v>
      </c>
      <c r="O1451" s="1" t="s">
        <v>1658</v>
      </c>
      <c r="P1451" s="1">
        <v>1</v>
      </c>
      <c r="Q1451" s="1" t="s">
        <v>1658</v>
      </c>
      <c r="R1451" s="1">
        <v>0</v>
      </c>
      <c r="S1451" s="1" t="s">
        <v>8188</v>
      </c>
      <c r="T1451" s="6" t="s">
        <v>8188</v>
      </c>
      <c r="U1451" s="1" t="str">
        <f t="shared" si="22"/>
        <v>Yes</v>
      </c>
      <c r="W1451" s="1" t="s">
        <v>8189</v>
      </c>
      <c r="X1451" s="1" t="str">
        <f>IF(COUNTIF('MyWells Drilling Comp'!F:F,E1451)=0,"Missing","Exist")</f>
        <v>Exist</v>
      </c>
    </row>
    <row r="1452" hidden="1" spans="1:24">
      <c r="A1452" s="1" t="s">
        <v>5265</v>
      </c>
      <c r="B1452" s="1" t="s">
        <v>90</v>
      </c>
      <c r="C1452" s="1" t="s">
        <v>8190</v>
      </c>
      <c r="D1452" s="1" t="s">
        <v>8191</v>
      </c>
      <c r="E1452" s="2" t="s">
        <v>874</v>
      </c>
      <c r="F1452" s="2" t="s">
        <v>8192</v>
      </c>
      <c r="G1452" s="1">
        <v>1</v>
      </c>
      <c r="H1452" s="1" t="s">
        <v>1656</v>
      </c>
      <c r="I1452" s="1" t="s">
        <v>1657</v>
      </c>
      <c r="J1452" s="1" t="s">
        <v>1658</v>
      </c>
      <c r="K1452" s="1" t="s">
        <v>1658</v>
      </c>
      <c r="L1452" s="1" t="s">
        <v>1658</v>
      </c>
      <c r="M1452" s="1" t="s">
        <v>1658</v>
      </c>
      <c r="N1452" s="1" t="s">
        <v>1658</v>
      </c>
      <c r="O1452" s="1" t="s">
        <v>1658</v>
      </c>
      <c r="P1452" s="1">
        <v>1</v>
      </c>
      <c r="Q1452" s="1" t="s">
        <v>1658</v>
      </c>
      <c r="R1452" s="1">
        <v>0</v>
      </c>
      <c r="S1452" s="1" t="s">
        <v>8193</v>
      </c>
      <c r="T1452" s="6"/>
      <c r="U1452" s="1" t="str">
        <f t="shared" si="22"/>
        <v>No</v>
      </c>
      <c r="W1452" s="1" t="s">
        <v>8194</v>
      </c>
      <c r="X1452" s="1" t="str">
        <f>IF(COUNTIF('MyWells Drilling Comp'!F:F,E1452)=0,"Missing","Exist")</f>
        <v>Exist</v>
      </c>
    </row>
    <row r="1453" hidden="1" spans="1:24">
      <c r="A1453" s="1" t="s">
        <v>5265</v>
      </c>
      <c r="B1453" s="1" t="s">
        <v>90</v>
      </c>
      <c r="C1453" s="1" t="s">
        <v>8195</v>
      </c>
      <c r="D1453" s="1" t="s">
        <v>8191</v>
      </c>
      <c r="E1453" s="2" t="s">
        <v>874</v>
      </c>
      <c r="F1453" s="2" t="s">
        <v>8196</v>
      </c>
      <c r="G1453" s="1">
        <v>1</v>
      </c>
      <c r="H1453" s="1" t="s">
        <v>1663</v>
      </c>
      <c r="I1453" s="1" t="s">
        <v>1657</v>
      </c>
      <c r="J1453" s="1" t="s">
        <v>1658</v>
      </c>
      <c r="K1453" s="1" t="s">
        <v>1658</v>
      </c>
      <c r="L1453" s="1" t="s">
        <v>1658</v>
      </c>
      <c r="M1453" s="1" t="s">
        <v>1658</v>
      </c>
      <c r="N1453" s="1" t="s">
        <v>1658</v>
      </c>
      <c r="O1453" s="1" t="s">
        <v>1658</v>
      </c>
      <c r="P1453" s="1">
        <v>1</v>
      </c>
      <c r="Q1453" s="1" t="s">
        <v>1658</v>
      </c>
      <c r="R1453" s="1">
        <v>0</v>
      </c>
      <c r="S1453" s="1" t="s">
        <v>8197</v>
      </c>
      <c r="T1453" s="6" t="s">
        <v>8197</v>
      </c>
      <c r="U1453" s="1" t="str">
        <f t="shared" si="22"/>
        <v>Yes</v>
      </c>
      <c r="W1453" s="1" t="s">
        <v>8198</v>
      </c>
      <c r="X1453" s="1" t="str">
        <f>IF(COUNTIF('MyWells Drilling Comp'!F:F,E1453)=0,"Missing","Exist")</f>
        <v>Exist</v>
      </c>
    </row>
    <row r="1454" hidden="1" spans="1:24">
      <c r="A1454" s="1" t="s">
        <v>5265</v>
      </c>
      <c r="B1454" s="1" t="s">
        <v>90</v>
      </c>
      <c r="C1454" s="1" t="s">
        <v>8199</v>
      </c>
      <c r="D1454" s="1" t="s">
        <v>8200</v>
      </c>
      <c r="E1454" s="2" t="s">
        <v>1527</v>
      </c>
      <c r="F1454" s="2" t="s">
        <v>8201</v>
      </c>
      <c r="G1454" s="1">
        <v>1</v>
      </c>
      <c r="H1454" s="1" t="s">
        <v>1656</v>
      </c>
      <c r="I1454" s="1" t="s">
        <v>1657</v>
      </c>
      <c r="J1454" s="1" t="s">
        <v>1658</v>
      </c>
      <c r="K1454" s="1" t="s">
        <v>1658</v>
      </c>
      <c r="L1454" s="1" t="s">
        <v>1658</v>
      </c>
      <c r="M1454" s="1" t="s">
        <v>1658</v>
      </c>
      <c r="N1454" s="1" t="s">
        <v>1658</v>
      </c>
      <c r="O1454" s="1" t="s">
        <v>1658</v>
      </c>
      <c r="P1454" s="1">
        <v>1</v>
      </c>
      <c r="Q1454" s="1" t="s">
        <v>1658</v>
      </c>
      <c r="R1454" s="1">
        <v>0</v>
      </c>
      <c r="S1454" s="1" t="s">
        <v>8202</v>
      </c>
      <c r="T1454" s="6" t="s">
        <v>8202</v>
      </c>
      <c r="U1454" s="1" t="str">
        <f t="shared" si="22"/>
        <v>Yes</v>
      </c>
      <c r="W1454" s="1" t="s">
        <v>8203</v>
      </c>
      <c r="X1454" s="1" t="str">
        <f>IF(COUNTIF('MyWells Drilling Comp'!F:F,E1454)=0,"Missing","Exist")</f>
        <v>Exist</v>
      </c>
    </row>
    <row r="1455" hidden="1" spans="1:24">
      <c r="A1455" s="1" t="s">
        <v>5265</v>
      </c>
      <c r="B1455" s="1" t="s">
        <v>90</v>
      </c>
      <c r="C1455" s="1" t="s">
        <v>8204</v>
      </c>
      <c r="D1455" s="1" t="s">
        <v>8200</v>
      </c>
      <c r="E1455" s="2" t="s">
        <v>1527</v>
      </c>
      <c r="F1455" s="2" t="s">
        <v>8205</v>
      </c>
      <c r="G1455" s="1">
        <v>1</v>
      </c>
      <c r="H1455" s="1" t="s">
        <v>1663</v>
      </c>
      <c r="I1455" s="1" t="s">
        <v>1657</v>
      </c>
      <c r="J1455" s="1" t="s">
        <v>1658</v>
      </c>
      <c r="K1455" s="1" t="s">
        <v>1658</v>
      </c>
      <c r="L1455" s="1" t="s">
        <v>1658</v>
      </c>
      <c r="M1455" s="1" t="s">
        <v>1658</v>
      </c>
      <c r="N1455" s="1" t="s">
        <v>1658</v>
      </c>
      <c r="O1455" s="1" t="s">
        <v>1658</v>
      </c>
      <c r="P1455" s="1">
        <v>1</v>
      </c>
      <c r="Q1455" s="1" t="s">
        <v>1658</v>
      </c>
      <c r="R1455" s="1">
        <v>0</v>
      </c>
      <c r="S1455" s="1" t="s">
        <v>8206</v>
      </c>
      <c r="T1455" s="6" t="s">
        <v>8206</v>
      </c>
      <c r="U1455" s="1" t="str">
        <f t="shared" si="22"/>
        <v>Yes</v>
      </c>
      <c r="W1455" s="1" t="s">
        <v>8207</v>
      </c>
      <c r="X1455" s="1" t="str">
        <f>IF(COUNTIF('MyWells Drilling Comp'!F:F,E1455)=0,"Missing","Exist")</f>
        <v>Exist</v>
      </c>
    </row>
    <row r="1456" hidden="1" spans="1:24">
      <c r="A1456" s="1" t="s">
        <v>5265</v>
      </c>
      <c r="B1456" s="1" t="s">
        <v>90</v>
      </c>
      <c r="C1456" s="1" t="s">
        <v>8208</v>
      </c>
      <c r="D1456" s="1" t="s">
        <v>8209</v>
      </c>
      <c r="E1456" s="2" t="s">
        <v>1357</v>
      </c>
      <c r="F1456" s="2" t="s">
        <v>8210</v>
      </c>
      <c r="G1456" s="1">
        <v>1</v>
      </c>
      <c r="H1456" s="1" t="s">
        <v>1656</v>
      </c>
      <c r="I1456" s="1" t="s">
        <v>1657</v>
      </c>
      <c r="J1456" s="1" t="s">
        <v>1658</v>
      </c>
      <c r="K1456" s="1" t="s">
        <v>1658</v>
      </c>
      <c r="L1456" s="1" t="s">
        <v>1658</v>
      </c>
      <c r="M1456" s="1" t="s">
        <v>1658</v>
      </c>
      <c r="N1456" s="1" t="s">
        <v>1658</v>
      </c>
      <c r="O1456" s="1" t="s">
        <v>1658</v>
      </c>
      <c r="P1456" s="1">
        <v>1</v>
      </c>
      <c r="Q1456" s="1" t="s">
        <v>1658</v>
      </c>
      <c r="R1456" s="1">
        <v>0</v>
      </c>
      <c r="S1456" s="1" t="s">
        <v>8211</v>
      </c>
      <c r="T1456" s="6" t="s">
        <v>8211</v>
      </c>
      <c r="U1456" s="1" t="str">
        <f t="shared" si="22"/>
        <v>Yes</v>
      </c>
      <c r="W1456" s="1" t="s">
        <v>8212</v>
      </c>
      <c r="X1456" s="1" t="str">
        <f>IF(COUNTIF('MyWells Drilling Comp'!F:F,E1456)=0,"Missing","Exist")</f>
        <v>Exist</v>
      </c>
    </row>
    <row r="1457" hidden="1" spans="1:24">
      <c r="A1457" s="1" t="s">
        <v>5265</v>
      </c>
      <c r="B1457" s="1" t="s">
        <v>90</v>
      </c>
      <c r="C1457" s="1" t="s">
        <v>8213</v>
      </c>
      <c r="D1457" s="1" t="s">
        <v>8209</v>
      </c>
      <c r="E1457" s="2" t="s">
        <v>1357</v>
      </c>
      <c r="F1457" s="2" t="s">
        <v>8214</v>
      </c>
      <c r="G1457" s="1">
        <v>1</v>
      </c>
      <c r="H1457" s="1" t="s">
        <v>1663</v>
      </c>
      <c r="I1457" s="1" t="s">
        <v>1657</v>
      </c>
      <c r="J1457" s="1" t="s">
        <v>1658</v>
      </c>
      <c r="K1457" s="1" t="s">
        <v>1658</v>
      </c>
      <c r="L1457" s="1" t="s">
        <v>1658</v>
      </c>
      <c r="M1457" s="1" t="s">
        <v>1658</v>
      </c>
      <c r="N1457" s="1" t="s">
        <v>1658</v>
      </c>
      <c r="O1457" s="1" t="s">
        <v>1658</v>
      </c>
      <c r="P1457" s="1">
        <v>1</v>
      </c>
      <c r="Q1457" s="1" t="s">
        <v>1658</v>
      </c>
      <c r="R1457" s="1">
        <v>0</v>
      </c>
      <c r="S1457" s="1" t="s">
        <v>8215</v>
      </c>
      <c r="T1457" s="6" t="s">
        <v>8216</v>
      </c>
      <c r="U1457" s="1" t="str">
        <f t="shared" si="22"/>
        <v>No</v>
      </c>
      <c r="W1457" s="1" t="s">
        <v>8217</v>
      </c>
      <c r="X1457" s="1" t="str">
        <f>IF(COUNTIF('MyWells Drilling Comp'!F:F,E1457)=0,"Missing","Exist")</f>
        <v>Exist</v>
      </c>
    </row>
    <row r="1458" hidden="1" spans="1:24">
      <c r="A1458" s="1" t="s">
        <v>5265</v>
      </c>
      <c r="B1458" s="1" t="s">
        <v>90</v>
      </c>
      <c r="C1458" s="1" t="s">
        <v>8218</v>
      </c>
      <c r="D1458" s="1" t="s">
        <v>8219</v>
      </c>
      <c r="E1458" s="2" t="s">
        <v>689</v>
      </c>
      <c r="F1458" s="2" t="s">
        <v>8220</v>
      </c>
      <c r="G1458" s="1">
        <v>1</v>
      </c>
      <c r="H1458" s="1" t="s">
        <v>1656</v>
      </c>
      <c r="I1458" s="1" t="s">
        <v>1657</v>
      </c>
      <c r="J1458" s="1" t="s">
        <v>1658</v>
      </c>
      <c r="K1458" s="1" t="s">
        <v>1658</v>
      </c>
      <c r="L1458" s="1" t="s">
        <v>1658</v>
      </c>
      <c r="M1458" s="1" t="s">
        <v>1658</v>
      </c>
      <c r="N1458" s="1" t="s">
        <v>1658</v>
      </c>
      <c r="O1458" s="1" t="s">
        <v>1658</v>
      </c>
      <c r="P1458" s="1">
        <v>1</v>
      </c>
      <c r="Q1458" s="1" t="s">
        <v>1658</v>
      </c>
      <c r="R1458" s="1">
        <v>0</v>
      </c>
      <c r="S1458" s="1" t="s">
        <v>8221</v>
      </c>
      <c r="T1458" s="6"/>
      <c r="U1458" s="1" t="str">
        <f t="shared" si="22"/>
        <v>No</v>
      </c>
      <c r="W1458" s="1" t="s">
        <v>8222</v>
      </c>
      <c r="X1458" s="1" t="str">
        <f>IF(COUNTIF('MyWells Drilling Comp'!F:F,E1458)=0,"Missing","Exist")</f>
        <v>Exist</v>
      </c>
    </row>
    <row r="1459" hidden="1" spans="1:24">
      <c r="A1459" s="1" t="s">
        <v>5265</v>
      </c>
      <c r="B1459" s="1" t="s">
        <v>90</v>
      </c>
      <c r="C1459" s="1" t="s">
        <v>8223</v>
      </c>
      <c r="D1459" s="1" t="s">
        <v>8219</v>
      </c>
      <c r="E1459" s="2" t="s">
        <v>689</v>
      </c>
      <c r="F1459" s="2" t="s">
        <v>8224</v>
      </c>
      <c r="G1459" s="1">
        <v>1</v>
      </c>
      <c r="H1459" s="1" t="s">
        <v>1663</v>
      </c>
      <c r="I1459" s="1" t="s">
        <v>1657</v>
      </c>
      <c r="J1459" s="1" t="s">
        <v>1658</v>
      </c>
      <c r="K1459" s="1" t="s">
        <v>1658</v>
      </c>
      <c r="L1459" s="1" t="s">
        <v>1658</v>
      </c>
      <c r="M1459" s="1" t="s">
        <v>1658</v>
      </c>
      <c r="N1459" s="1" t="s">
        <v>1658</v>
      </c>
      <c r="O1459" s="1" t="s">
        <v>1658</v>
      </c>
      <c r="P1459" s="1">
        <v>1</v>
      </c>
      <c r="Q1459" s="1" t="s">
        <v>1658</v>
      </c>
      <c r="R1459" s="1">
        <v>0</v>
      </c>
      <c r="S1459" s="1" t="s">
        <v>8225</v>
      </c>
      <c r="T1459" s="6" t="s">
        <v>8225</v>
      </c>
      <c r="U1459" s="1" t="str">
        <f t="shared" si="22"/>
        <v>Yes</v>
      </c>
      <c r="W1459" s="1" t="s">
        <v>8226</v>
      </c>
      <c r="X1459" s="1" t="str">
        <f>IF(COUNTIF('MyWells Drilling Comp'!F:F,E1459)=0,"Missing","Exist")</f>
        <v>Exist</v>
      </c>
    </row>
    <row r="1460" hidden="1" spans="1:24">
      <c r="A1460" s="1" t="s">
        <v>5265</v>
      </c>
      <c r="B1460" s="1" t="s">
        <v>90</v>
      </c>
      <c r="C1460" s="1" t="s">
        <v>8227</v>
      </c>
      <c r="D1460" s="1" t="s">
        <v>8228</v>
      </c>
      <c r="E1460" s="2" t="s">
        <v>976</v>
      </c>
      <c r="F1460" s="2" t="s">
        <v>8229</v>
      </c>
      <c r="G1460" s="1">
        <v>1</v>
      </c>
      <c r="H1460" s="1" t="s">
        <v>1656</v>
      </c>
      <c r="I1460" s="1" t="s">
        <v>1657</v>
      </c>
      <c r="J1460" s="1" t="s">
        <v>1658</v>
      </c>
      <c r="K1460" s="1" t="s">
        <v>1658</v>
      </c>
      <c r="L1460" s="1" t="s">
        <v>1658</v>
      </c>
      <c r="M1460" s="1" t="s">
        <v>1658</v>
      </c>
      <c r="N1460" s="1" t="s">
        <v>1658</v>
      </c>
      <c r="O1460" s="1" t="s">
        <v>1658</v>
      </c>
      <c r="P1460" s="1">
        <v>1</v>
      </c>
      <c r="Q1460" s="1" t="s">
        <v>1658</v>
      </c>
      <c r="R1460" s="1">
        <v>0</v>
      </c>
      <c r="S1460" s="1" t="s">
        <v>8230</v>
      </c>
      <c r="T1460" s="6"/>
      <c r="U1460" s="1" t="str">
        <f t="shared" si="22"/>
        <v>No</v>
      </c>
      <c r="W1460" s="1" t="s">
        <v>8231</v>
      </c>
      <c r="X1460" s="1" t="str">
        <f>IF(COUNTIF('MyWells Drilling Comp'!F:F,E1460)=0,"Missing","Exist")</f>
        <v>Exist</v>
      </c>
    </row>
    <row r="1461" hidden="1" spans="1:24">
      <c r="A1461" s="1" t="s">
        <v>5265</v>
      </c>
      <c r="B1461" s="1" t="s">
        <v>90</v>
      </c>
      <c r="C1461" s="1" t="s">
        <v>8232</v>
      </c>
      <c r="D1461" s="1" t="s">
        <v>8228</v>
      </c>
      <c r="E1461" s="2" t="s">
        <v>976</v>
      </c>
      <c r="F1461" s="2" t="s">
        <v>8233</v>
      </c>
      <c r="G1461" s="1">
        <v>1</v>
      </c>
      <c r="H1461" s="1" t="s">
        <v>1663</v>
      </c>
      <c r="I1461" s="1" t="s">
        <v>1657</v>
      </c>
      <c r="J1461" s="1" t="s">
        <v>1658</v>
      </c>
      <c r="K1461" s="1" t="s">
        <v>1658</v>
      </c>
      <c r="L1461" s="1" t="s">
        <v>1658</v>
      </c>
      <c r="M1461" s="1" t="s">
        <v>1658</v>
      </c>
      <c r="N1461" s="1" t="s">
        <v>1658</v>
      </c>
      <c r="O1461" s="1" t="s">
        <v>1658</v>
      </c>
      <c r="P1461" s="1">
        <v>1</v>
      </c>
      <c r="Q1461" s="1" t="s">
        <v>1658</v>
      </c>
      <c r="R1461" s="1">
        <v>0</v>
      </c>
      <c r="S1461" s="1" t="s">
        <v>8234</v>
      </c>
      <c r="T1461" s="6" t="s">
        <v>8234</v>
      </c>
      <c r="U1461" s="1" t="str">
        <f t="shared" si="22"/>
        <v>Yes</v>
      </c>
      <c r="W1461" s="1" t="s">
        <v>8235</v>
      </c>
      <c r="X1461" s="1" t="str">
        <f>IF(COUNTIF('MyWells Drilling Comp'!F:F,E1461)=0,"Missing","Exist")</f>
        <v>Exist</v>
      </c>
    </row>
    <row r="1462" hidden="1" spans="1:24">
      <c r="A1462" s="1" t="s">
        <v>5265</v>
      </c>
      <c r="B1462" s="1" t="s">
        <v>90</v>
      </c>
      <c r="C1462" s="1" t="s">
        <v>8236</v>
      </c>
      <c r="D1462" s="1" t="s">
        <v>8237</v>
      </c>
      <c r="E1462" s="2" t="s">
        <v>117</v>
      </c>
      <c r="F1462" s="2" t="s">
        <v>8238</v>
      </c>
      <c r="G1462" s="1">
        <v>1</v>
      </c>
      <c r="H1462" s="1" t="s">
        <v>1663</v>
      </c>
      <c r="I1462" s="1" t="s">
        <v>1657</v>
      </c>
      <c r="J1462" s="1" t="s">
        <v>1658</v>
      </c>
      <c r="K1462" s="1" t="s">
        <v>1658</v>
      </c>
      <c r="L1462" s="1" t="s">
        <v>1658</v>
      </c>
      <c r="M1462" s="1" t="s">
        <v>1658</v>
      </c>
      <c r="N1462" s="1" t="s">
        <v>1658</v>
      </c>
      <c r="O1462" s="1" t="s">
        <v>1658</v>
      </c>
      <c r="P1462" s="1">
        <v>1</v>
      </c>
      <c r="Q1462" s="1" t="s">
        <v>1658</v>
      </c>
      <c r="R1462" s="1">
        <v>0</v>
      </c>
      <c r="S1462" s="1" t="s">
        <v>8239</v>
      </c>
      <c r="T1462" s="6" t="s">
        <v>8239</v>
      </c>
      <c r="U1462" s="1" t="str">
        <f t="shared" si="22"/>
        <v>Yes</v>
      </c>
      <c r="W1462" s="1" t="s">
        <v>8240</v>
      </c>
      <c r="X1462" s="1" t="str">
        <f>IF(COUNTIF('MyWells Drilling Comp'!F:F,E1462)=0,"Missing","Exist")</f>
        <v>Exist</v>
      </c>
    </row>
    <row r="1463" hidden="1" spans="1:24">
      <c r="A1463" s="1" t="s">
        <v>5265</v>
      </c>
      <c r="B1463" s="1" t="s">
        <v>90</v>
      </c>
      <c r="C1463" s="1" t="s">
        <v>8241</v>
      </c>
      <c r="D1463" s="1" t="s">
        <v>8237</v>
      </c>
      <c r="E1463" s="2" t="s">
        <v>117</v>
      </c>
      <c r="F1463" s="2" t="s">
        <v>8242</v>
      </c>
      <c r="G1463" s="1">
        <v>1</v>
      </c>
      <c r="H1463" s="1" t="s">
        <v>1656</v>
      </c>
      <c r="I1463" s="1" t="s">
        <v>1657</v>
      </c>
      <c r="J1463" s="1" t="s">
        <v>1658</v>
      </c>
      <c r="K1463" s="1" t="s">
        <v>1658</v>
      </c>
      <c r="L1463" s="1" t="s">
        <v>1658</v>
      </c>
      <c r="M1463" s="1" t="s">
        <v>1658</v>
      </c>
      <c r="N1463" s="1" t="s">
        <v>1658</v>
      </c>
      <c r="O1463" s="1" t="s">
        <v>1658</v>
      </c>
      <c r="P1463" s="1">
        <v>1</v>
      </c>
      <c r="Q1463" s="1" t="s">
        <v>1658</v>
      </c>
      <c r="R1463" s="1">
        <v>0</v>
      </c>
      <c r="S1463" s="1" t="s">
        <v>8243</v>
      </c>
      <c r="T1463" s="6"/>
      <c r="U1463" s="1" t="str">
        <f t="shared" si="22"/>
        <v>No</v>
      </c>
      <c r="W1463" s="1" t="s">
        <v>8244</v>
      </c>
      <c r="X1463" s="1" t="str">
        <f>IF(COUNTIF('MyWells Drilling Comp'!F:F,E1463)=0,"Missing","Exist")</f>
        <v>Exist</v>
      </c>
    </row>
    <row r="1464" hidden="1" spans="1:24">
      <c r="A1464" s="1" t="s">
        <v>5265</v>
      </c>
      <c r="B1464" s="1" t="s">
        <v>90</v>
      </c>
      <c r="C1464" s="1" t="s">
        <v>8245</v>
      </c>
      <c r="D1464" s="1" t="s">
        <v>8246</v>
      </c>
      <c r="E1464" s="2" t="s">
        <v>677</v>
      </c>
      <c r="F1464" s="2" t="s">
        <v>8247</v>
      </c>
      <c r="G1464" s="1">
        <v>1</v>
      </c>
      <c r="H1464" s="1" t="s">
        <v>1663</v>
      </c>
      <c r="I1464" s="1" t="s">
        <v>1657</v>
      </c>
      <c r="J1464" s="1" t="s">
        <v>1658</v>
      </c>
      <c r="K1464" s="1" t="s">
        <v>1658</v>
      </c>
      <c r="L1464" s="1" t="s">
        <v>1658</v>
      </c>
      <c r="M1464" s="1" t="s">
        <v>1658</v>
      </c>
      <c r="N1464" s="1" t="s">
        <v>1658</v>
      </c>
      <c r="O1464" s="1" t="s">
        <v>1658</v>
      </c>
      <c r="P1464" s="1">
        <v>1</v>
      </c>
      <c r="Q1464" s="1" t="s">
        <v>1658</v>
      </c>
      <c r="R1464" s="1">
        <v>0</v>
      </c>
      <c r="S1464" s="1" t="s">
        <v>8248</v>
      </c>
      <c r="T1464" s="6" t="s">
        <v>8248</v>
      </c>
      <c r="U1464" s="1" t="str">
        <f t="shared" si="22"/>
        <v>Yes</v>
      </c>
      <c r="W1464" s="1" t="s">
        <v>8249</v>
      </c>
      <c r="X1464" s="1" t="str">
        <f>IF(COUNTIF('MyWells Drilling Comp'!F:F,E1464)=0,"Missing","Exist")</f>
        <v>Exist</v>
      </c>
    </row>
    <row r="1465" hidden="1" spans="1:24">
      <c r="A1465" s="1" t="s">
        <v>5265</v>
      </c>
      <c r="B1465" s="1" t="s">
        <v>90</v>
      </c>
      <c r="C1465" s="1" t="s">
        <v>8250</v>
      </c>
      <c r="D1465" s="1" t="s">
        <v>8246</v>
      </c>
      <c r="E1465" s="2" t="s">
        <v>677</v>
      </c>
      <c r="F1465" s="2" t="s">
        <v>8251</v>
      </c>
      <c r="G1465" s="1">
        <v>1</v>
      </c>
      <c r="H1465" s="1" t="s">
        <v>1656</v>
      </c>
      <c r="I1465" s="1" t="s">
        <v>1657</v>
      </c>
      <c r="J1465" s="1" t="s">
        <v>1658</v>
      </c>
      <c r="K1465" s="1" t="s">
        <v>1658</v>
      </c>
      <c r="L1465" s="1" t="s">
        <v>1658</v>
      </c>
      <c r="M1465" s="1" t="s">
        <v>1658</v>
      </c>
      <c r="N1465" s="1" t="s">
        <v>1658</v>
      </c>
      <c r="O1465" s="1" t="s">
        <v>1658</v>
      </c>
      <c r="P1465" s="1">
        <v>1</v>
      </c>
      <c r="Q1465" s="1" t="s">
        <v>1658</v>
      </c>
      <c r="R1465" s="1">
        <v>0</v>
      </c>
      <c r="S1465" s="1" t="s">
        <v>8252</v>
      </c>
      <c r="T1465" s="6" t="s">
        <v>8252</v>
      </c>
      <c r="U1465" s="1" t="str">
        <f t="shared" si="22"/>
        <v>Yes</v>
      </c>
      <c r="W1465" s="1" t="s">
        <v>8253</v>
      </c>
      <c r="X1465" s="1" t="str">
        <f>IF(COUNTIF('MyWells Drilling Comp'!F:F,E1465)=0,"Missing","Exist")</f>
        <v>Exist</v>
      </c>
    </row>
    <row r="1466" hidden="1" spans="1:24">
      <c r="A1466" s="1" t="s">
        <v>5265</v>
      </c>
      <c r="B1466" s="1" t="s">
        <v>90</v>
      </c>
      <c r="C1466" s="1" t="s">
        <v>8254</v>
      </c>
      <c r="D1466" s="1" t="s">
        <v>8255</v>
      </c>
      <c r="E1466" s="2" t="s">
        <v>1618</v>
      </c>
      <c r="F1466" s="2" t="s">
        <v>8256</v>
      </c>
      <c r="G1466" s="1">
        <v>1</v>
      </c>
      <c r="H1466" s="1" t="s">
        <v>1656</v>
      </c>
      <c r="I1466" s="1" t="s">
        <v>1657</v>
      </c>
      <c r="J1466" s="1" t="s">
        <v>1658</v>
      </c>
      <c r="K1466" s="1" t="s">
        <v>1658</v>
      </c>
      <c r="L1466" s="1" t="s">
        <v>1658</v>
      </c>
      <c r="M1466" s="1" t="s">
        <v>1658</v>
      </c>
      <c r="N1466" s="1" t="s">
        <v>1658</v>
      </c>
      <c r="O1466" s="1" t="s">
        <v>1658</v>
      </c>
      <c r="P1466" s="1">
        <v>1</v>
      </c>
      <c r="Q1466" s="1" t="s">
        <v>1658</v>
      </c>
      <c r="R1466" s="1">
        <v>0</v>
      </c>
      <c r="S1466" s="1" t="s">
        <v>8257</v>
      </c>
      <c r="T1466" s="6" t="s">
        <v>8257</v>
      </c>
      <c r="U1466" s="1" t="str">
        <f t="shared" si="22"/>
        <v>Yes</v>
      </c>
      <c r="W1466" s="1" t="s">
        <v>8258</v>
      </c>
      <c r="X1466" s="1" t="str">
        <f>IF(COUNTIF('MyWells Drilling Comp'!F:F,E1466)=0,"Missing","Exist")</f>
        <v>Exist</v>
      </c>
    </row>
    <row r="1467" hidden="1" spans="1:24">
      <c r="A1467" s="1" t="s">
        <v>5265</v>
      </c>
      <c r="B1467" s="1" t="s">
        <v>90</v>
      </c>
      <c r="C1467" s="1" t="s">
        <v>8259</v>
      </c>
      <c r="D1467" s="1" t="s">
        <v>8255</v>
      </c>
      <c r="E1467" s="2" t="s">
        <v>1618</v>
      </c>
      <c r="F1467" s="2" t="s">
        <v>8260</v>
      </c>
      <c r="G1467" s="1">
        <v>1</v>
      </c>
      <c r="H1467" s="1" t="s">
        <v>1663</v>
      </c>
      <c r="I1467" s="1" t="s">
        <v>1657</v>
      </c>
      <c r="J1467" s="1" t="s">
        <v>1658</v>
      </c>
      <c r="K1467" s="1" t="s">
        <v>1658</v>
      </c>
      <c r="L1467" s="1" t="s">
        <v>1658</v>
      </c>
      <c r="M1467" s="1" t="s">
        <v>1658</v>
      </c>
      <c r="N1467" s="1" t="s">
        <v>1658</v>
      </c>
      <c r="O1467" s="1" t="s">
        <v>1658</v>
      </c>
      <c r="P1467" s="1">
        <v>1</v>
      </c>
      <c r="Q1467" s="1" t="s">
        <v>1658</v>
      </c>
      <c r="R1467" s="1">
        <v>0</v>
      </c>
      <c r="S1467" s="1" t="s">
        <v>8261</v>
      </c>
      <c r="T1467" s="6" t="s">
        <v>8261</v>
      </c>
      <c r="U1467" s="1" t="str">
        <f t="shared" si="22"/>
        <v>Yes</v>
      </c>
      <c r="W1467" s="1" t="s">
        <v>8262</v>
      </c>
      <c r="X1467" s="1" t="str">
        <f>IF(COUNTIF('MyWells Drilling Comp'!F:F,E1467)=0,"Missing","Exist")</f>
        <v>Exist</v>
      </c>
    </row>
    <row r="1468" hidden="1" spans="1:24">
      <c r="A1468" s="1" t="s">
        <v>5265</v>
      </c>
      <c r="B1468" s="1" t="s">
        <v>90</v>
      </c>
      <c r="C1468" s="1" t="s">
        <v>8263</v>
      </c>
      <c r="D1468" s="1" t="s">
        <v>8264</v>
      </c>
      <c r="E1468" s="2" t="s">
        <v>990</v>
      </c>
      <c r="F1468" s="2" t="s">
        <v>8265</v>
      </c>
      <c r="G1468" s="1">
        <v>1</v>
      </c>
      <c r="H1468" s="1" t="s">
        <v>1656</v>
      </c>
      <c r="I1468" s="1" t="s">
        <v>1657</v>
      </c>
      <c r="J1468" s="1" t="s">
        <v>1658</v>
      </c>
      <c r="K1468" s="1" t="s">
        <v>1658</v>
      </c>
      <c r="L1468" s="1" t="s">
        <v>1658</v>
      </c>
      <c r="M1468" s="1" t="s">
        <v>1658</v>
      </c>
      <c r="N1468" s="1" t="s">
        <v>1658</v>
      </c>
      <c r="O1468" s="1" t="s">
        <v>1658</v>
      </c>
      <c r="P1468" s="1">
        <v>1</v>
      </c>
      <c r="Q1468" s="1" t="s">
        <v>1658</v>
      </c>
      <c r="R1468" s="1">
        <v>0</v>
      </c>
      <c r="S1468" s="1" t="s">
        <v>8266</v>
      </c>
      <c r="T1468" s="6" t="s">
        <v>8266</v>
      </c>
      <c r="U1468" s="1" t="str">
        <f t="shared" si="22"/>
        <v>Yes</v>
      </c>
      <c r="W1468" s="1" t="s">
        <v>8267</v>
      </c>
      <c r="X1468" s="1" t="str">
        <f>IF(COUNTIF('MyWells Drilling Comp'!F:F,E1468)=0,"Missing","Exist")</f>
        <v>Exist</v>
      </c>
    </row>
    <row r="1469" hidden="1" spans="1:24">
      <c r="A1469" s="1" t="s">
        <v>5265</v>
      </c>
      <c r="B1469" s="1" t="s">
        <v>90</v>
      </c>
      <c r="C1469" s="1" t="s">
        <v>8268</v>
      </c>
      <c r="D1469" s="1" t="s">
        <v>8264</v>
      </c>
      <c r="E1469" s="2" t="s">
        <v>990</v>
      </c>
      <c r="F1469" s="2" t="s">
        <v>8269</v>
      </c>
      <c r="G1469" s="1">
        <v>1</v>
      </c>
      <c r="H1469" s="1" t="s">
        <v>1663</v>
      </c>
      <c r="I1469" s="1" t="s">
        <v>1657</v>
      </c>
      <c r="J1469" s="1" t="s">
        <v>1658</v>
      </c>
      <c r="K1469" s="1" t="s">
        <v>1658</v>
      </c>
      <c r="L1469" s="1" t="s">
        <v>1658</v>
      </c>
      <c r="M1469" s="1" t="s">
        <v>1658</v>
      </c>
      <c r="N1469" s="1" t="s">
        <v>1658</v>
      </c>
      <c r="O1469" s="1" t="s">
        <v>1658</v>
      </c>
      <c r="P1469" s="1">
        <v>1</v>
      </c>
      <c r="Q1469" s="1" t="s">
        <v>1658</v>
      </c>
      <c r="R1469" s="1">
        <v>0</v>
      </c>
      <c r="S1469" s="1" t="s">
        <v>8270</v>
      </c>
      <c r="T1469" s="6" t="s">
        <v>8270</v>
      </c>
      <c r="U1469" s="1" t="str">
        <f t="shared" si="22"/>
        <v>Yes</v>
      </c>
      <c r="W1469" s="1" t="s">
        <v>8271</v>
      </c>
      <c r="X1469" s="1" t="str">
        <f>IF(COUNTIF('MyWells Drilling Comp'!F:F,E1469)=0,"Missing","Exist")</f>
        <v>Exist</v>
      </c>
    </row>
    <row r="1470" hidden="1" spans="1:24">
      <c r="A1470" s="1" t="s">
        <v>5265</v>
      </c>
      <c r="B1470" s="1" t="s">
        <v>90</v>
      </c>
      <c r="C1470" s="1" t="s">
        <v>8272</v>
      </c>
      <c r="D1470" s="1" t="s">
        <v>8273</v>
      </c>
      <c r="E1470" s="2" t="s">
        <v>1460</v>
      </c>
      <c r="F1470" s="2" t="s">
        <v>8274</v>
      </c>
      <c r="G1470" s="1">
        <v>1</v>
      </c>
      <c r="H1470" s="1" t="s">
        <v>1663</v>
      </c>
      <c r="I1470" s="1" t="s">
        <v>1657</v>
      </c>
      <c r="J1470" s="1" t="s">
        <v>1658</v>
      </c>
      <c r="K1470" s="1" t="s">
        <v>1658</v>
      </c>
      <c r="L1470" s="1" t="s">
        <v>1658</v>
      </c>
      <c r="M1470" s="1" t="s">
        <v>1658</v>
      </c>
      <c r="N1470" s="1" t="s">
        <v>1658</v>
      </c>
      <c r="O1470" s="1" t="s">
        <v>1658</v>
      </c>
      <c r="P1470" s="1">
        <v>1</v>
      </c>
      <c r="Q1470" s="1" t="s">
        <v>1658</v>
      </c>
      <c r="R1470" s="1">
        <v>0</v>
      </c>
      <c r="S1470" s="1" t="s">
        <v>8275</v>
      </c>
      <c r="T1470" s="6" t="s">
        <v>8275</v>
      </c>
      <c r="U1470" s="1" t="str">
        <f t="shared" si="22"/>
        <v>Yes</v>
      </c>
      <c r="W1470" s="1" t="s">
        <v>8276</v>
      </c>
      <c r="X1470" s="1" t="str">
        <f>IF(COUNTIF('MyWells Drilling Comp'!F:F,E1470)=0,"Missing","Exist")</f>
        <v>Exist</v>
      </c>
    </row>
    <row r="1471" hidden="1" spans="1:24">
      <c r="A1471" s="1" t="s">
        <v>5265</v>
      </c>
      <c r="B1471" s="1" t="s">
        <v>90</v>
      </c>
      <c r="C1471" s="1" t="s">
        <v>8277</v>
      </c>
      <c r="D1471" s="1" t="s">
        <v>8273</v>
      </c>
      <c r="E1471" s="2" t="s">
        <v>1460</v>
      </c>
      <c r="F1471" s="2" t="s">
        <v>8278</v>
      </c>
      <c r="G1471" s="1">
        <v>1</v>
      </c>
      <c r="H1471" s="1" t="s">
        <v>1656</v>
      </c>
      <c r="I1471" s="1" t="s">
        <v>1657</v>
      </c>
      <c r="J1471" s="1" t="s">
        <v>1658</v>
      </c>
      <c r="K1471" s="1" t="s">
        <v>1658</v>
      </c>
      <c r="L1471" s="1" t="s">
        <v>1658</v>
      </c>
      <c r="M1471" s="1" t="s">
        <v>1658</v>
      </c>
      <c r="N1471" s="1" t="s">
        <v>1658</v>
      </c>
      <c r="O1471" s="1" t="s">
        <v>1658</v>
      </c>
      <c r="P1471" s="1">
        <v>1</v>
      </c>
      <c r="Q1471" s="1" t="s">
        <v>1658</v>
      </c>
      <c r="R1471" s="1">
        <v>0</v>
      </c>
      <c r="S1471" s="1" t="s">
        <v>8279</v>
      </c>
      <c r="T1471" s="6" t="s">
        <v>8279</v>
      </c>
      <c r="U1471" s="1" t="str">
        <f t="shared" si="22"/>
        <v>Yes</v>
      </c>
      <c r="W1471" s="1" t="s">
        <v>8280</v>
      </c>
      <c r="X1471" s="1" t="str">
        <f>IF(COUNTIF('MyWells Drilling Comp'!F:F,E1471)=0,"Missing","Exist")</f>
        <v>Exist</v>
      </c>
    </row>
    <row r="1472" hidden="1" spans="1:24">
      <c r="A1472" s="1" t="s">
        <v>5265</v>
      </c>
      <c r="B1472" s="1" t="s">
        <v>90</v>
      </c>
      <c r="C1472" s="1" t="s">
        <v>8281</v>
      </c>
      <c r="D1472" s="1" t="s">
        <v>8282</v>
      </c>
      <c r="E1472" s="2" t="s">
        <v>1494</v>
      </c>
      <c r="F1472" s="2" t="s">
        <v>8283</v>
      </c>
      <c r="G1472" s="1">
        <v>1</v>
      </c>
      <c r="H1472" s="1" t="s">
        <v>1656</v>
      </c>
      <c r="I1472" s="1" t="s">
        <v>1657</v>
      </c>
      <c r="J1472" s="1" t="s">
        <v>1658</v>
      </c>
      <c r="K1472" s="1" t="s">
        <v>1658</v>
      </c>
      <c r="L1472" s="1" t="s">
        <v>1658</v>
      </c>
      <c r="M1472" s="1" t="s">
        <v>1658</v>
      </c>
      <c r="N1472" s="1" t="s">
        <v>1658</v>
      </c>
      <c r="O1472" s="1" t="s">
        <v>1658</v>
      </c>
      <c r="P1472" s="1">
        <v>1</v>
      </c>
      <c r="Q1472" s="1" t="s">
        <v>1658</v>
      </c>
      <c r="R1472" s="1">
        <v>0</v>
      </c>
      <c r="S1472" s="1" t="s">
        <v>8284</v>
      </c>
      <c r="T1472" s="6" t="s">
        <v>8284</v>
      </c>
      <c r="U1472" s="1" t="str">
        <f t="shared" si="22"/>
        <v>Yes</v>
      </c>
      <c r="W1472" s="1" t="s">
        <v>8285</v>
      </c>
      <c r="X1472" s="1" t="str">
        <f>IF(COUNTIF('MyWells Drilling Comp'!F:F,E1472)=0,"Missing","Exist")</f>
        <v>Exist</v>
      </c>
    </row>
    <row r="1473" hidden="1" spans="1:24">
      <c r="A1473" s="1" t="s">
        <v>5265</v>
      </c>
      <c r="B1473" s="1" t="s">
        <v>90</v>
      </c>
      <c r="C1473" s="1" t="s">
        <v>8286</v>
      </c>
      <c r="D1473" s="1" t="s">
        <v>8282</v>
      </c>
      <c r="E1473" s="2" t="s">
        <v>1494</v>
      </c>
      <c r="F1473" s="2" t="s">
        <v>8287</v>
      </c>
      <c r="G1473" s="1">
        <v>1</v>
      </c>
      <c r="H1473" s="1" t="s">
        <v>1663</v>
      </c>
      <c r="I1473" s="1" t="s">
        <v>1657</v>
      </c>
      <c r="J1473" s="1" t="s">
        <v>1658</v>
      </c>
      <c r="K1473" s="1" t="s">
        <v>1658</v>
      </c>
      <c r="L1473" s="1" t="s">
        <v>1658</v>
      </c>
      <c r="M1473" s="1" t="s">
        <v>1658</v>
      </c>
      <c r="N1473" s="1" t="s">
        <v>1658</v>
      </c>
      <c r="O1473" s="1" t="s">
        <v>1658</v>
      </c>
      <c r="P1473" s="1">
        <v>1</v>
      </c>
      <c r="Q1473" s="1" t="s">
        <v>1658</v>
      </c>
      <c r="R1473" s="1">
        <v>0</v>
      </c>
      <c r="S1473" s="1" t="s">
        <v>8288</v>
      </c>
      <c r="T1473" s="6" t="s">
        <v>8288</v>
      </c>
      <c r="U1473" s="1" t="str">
        <f t="shared" si="22"/>
        <v>Yes</v>
      </c>
      <c r="W1473" s="1" t="s">
        <v>8289</v>
      </c>
      <c r="X1473" s="1" t="str">
        <f>IF(COUNTIF('MyWells Drilling Comp'!F:F,E1473)=0,"Missing","Exist")</f>
        <v>Exist</v>
      </c>
    </row>
    <row r="1474" hidden="1" spans="1:24">
      <c r="A1474" s="1" t="s">
        <v>5265</v>
      </c>
      <c r="B1474" s="1" t="s">
        <v>90</v>
      </c>
      <c r="C1474" s="1" t="s">
        <v>8290</v>
      </c>
      <c r="D1474" s="1" t="s">
        <v>8291</v>
      </c>
      <c r="E1474" s="2" t="s">
        <v>587</v>
      </c>
      <c r="F1474" s="2" t="s">
        <v>8292</v>
      </c>
      <c r="G1474" s="1">
        <v>1</v>
      </c>
      <c r="H1474" s="1" t="s">
        <v>1663</v>
      </c>
      <c r="I1474" s="1" t="s">
        <v>1657</v>
      </c>
      <c r="J1474" s="1" t="s">
        <v>1658</v>
      </c>
      <c r="K1474" s="1" t="s">
        <v>1658</v>
      </c>
      <c r="L1474" s="1" t="s">
        <v>1658</v>
      </c>
      <c r="M1474" s="1" t="s">
        <v>1658</v>
      </c>
      <c r="N1474" s="1" t="s">
        <v>1658</v>
      </c>
      <c r="O1474" s="1" t="s">
        <v>1658</v>
      </c>
      <c r="P1474" s="1">
        <v>1</v>
      </c>
      <c r="Q1474" s="1" t="s">
        <v>1658</v>
      </c>
      <c r="R1474" s="1">
        <v>0</v>
      </c>
      <c r="S1474" s="1" t="s">
        <v>8293</v>
      </c>
      <c r="T1474" s="6"/>
      <c r="U1474" s="1" t="str">
        <f t="shared" ref="U1474:U1537" si="23">IF(S1474=T1474,"Yes","No")</f>
        <v>No</v>
      </c>
      <c r="W1474" s="1" t="s">
        <v>8294</v>
      </c>
      <c r="X1474" s="1" t="str">
        <f>IF(COUNTIF('MyWells Drilling Comp'!F:F,E1474)=0,"Missing","Exist")</f>
        <v>Exist</v>
      </c>
    </row>
    <row r="1475" hidden="1" spans="1:24">
      <c r="A1475" s="1" t="s">
        <v>5265</v>
      </c>
      <c r="B1475" s="1" t="s">
        <v>90</v>
      </c>
      <c r="C1475" s="1" t="s">
        <v>8295</v>
      </c>
      <c r="D1475" s="1" t="s">
        <v>8291</v>
      </c>
      <c r="E1475" s="2" t="s">
        <v>587</v>
      </c>
      <c r="F1475" s="2" t="s">
        <v>8296</v>
      </c>
      <c r="G1475" s="1">
        <v>1</v>
      </c>
      <c r="H1475" s="1" t="s">
        <v>1656</v>
      </c>
      <c r="I1475" s="1" t="s">
        <v>1657</v>
      </c>
      <c r="J1475" s="1" t="s">
        <v>1658</v>
      </c>
      <c r="K1475" s="1" t="s">
        <v>1658</v>
      </c>
      <c r="L1475" s="1" t="s">
        <v>1658</v>
      </c>
      <c r="M1475" s="1" t="s">
        <v>1658</v>
      </c>
      <c r="N1475" s="1" t="s">
        <v>1658</v>
      </c>
      <c r="O1475" s="1" t="s">
        <v>1658</v>
      </c>
      <c r="P1475" s="1">
        <v>1</v>
      </c>
      <c r="Q1475" s="1" t="s">
        <v>1658</v>
      </c>
      <c r="R1475" s="1">
        <v>0</v>
      </c>
      <c r="S1475" s="1" t="s">
        <v>8297</v>
      </c>
      <c r="T1475" s="6"/>
      <c r="U1475" s="1" t="str">
        <f t="shared" si="23"/>
        <v>No</v>
      </c>
      <c r="W1475" s="1" t="s">
        <v>8298</v>
      </c>
      <c r="X1475" s="1" t="str">
        <f>IF(COUNTIF('MyWells Drilling Comp'!F:F,E1475)=0,"Missing","Exist")</f>
        <v>Exist</v>
      </c>
    </row>
    <row r="1476" hidden="1" spans="1:24">
      <c r="A1476" s="1" t="s">
        <v>5265</v>
      </c>
      <c r="B1476" s="1" t="s">
        <v>90</v>
      </c>
      <c r="C1476" s="1" t="s">
        <v>8299</v>
      </c>
      <c r="D1476" s="1" t="s">
        <v>8300</v>
      </c>
      <c r="E1476" s="2" t="s">
        <v>1202</v>
      </c>
      <c r="F1476" s="2" t="s">
        <v>8301</v>
      </c>
      <c r="G1476" s="1">
        <v>1</v>
      </c>
      <c r="H1476" s="1" t="s">
        <v>1663</v>
      </c>
      <c r="I1476" s="1" t="s">
        <v>1657</v>
      </c>
      <c r="J1476" s="1" t="s">
        <v>1658</v>
      </c>
      <c r="K1476" s="1" t="s">
        <v>1658</v>
      </c>
      <c r="L1476" s="1" t="s">
        <v>1658</v>
      </c>
      <c r="M1476" s="1" t="s">
        <v>1658</v>
      </c>
      <c r="N1476" s="1" t="s">
        <v>1658</v>
      </c>
      <c r="O1476" s="1" t="s">
        <v>1658</v>
      </c>
      <c r="P1476" s="1">
        <v>1</v>
      </c>
      <c r="Q1476" s="1" t="s">
        <v>1658</v>
      </c>
      <c r="R1476" s="1">
        <v>0</v>
      </c>
      <c r="S1476" s="1" t="s">
        <v>8302</v>
      </c>
      <c r="T1476" s="6" t="s">
        <v>8302</v>
      </c>
      <c r="U1476" s="1" t="str">
        <f t="shared" si="23"/>
        <v>Yes</v>
      </c>
      <c r="W1476" s="1" t="s">
        <v>8303</v>
      </c>
      <c r="X1476" s="1" t="str">
        <f>IF(COUNTIF('MyWells Drilling Comp'!F:F,E1476)=0,"Missing","Exist")</f>
        <v>Exist</v>
      </c>
    </row>
    <row r="1477" hidden="1" spans="1:24">
      <c r="A1477" s="1" t="s">
        <v>5265</v>
      </c>
      <c r="B1477" s="1" t="s">
        <v>90</v>
      </c>
      <c r="C1477" s="1" t="s">
        <v>8304</v>
      </c>
      <c r="D1477" s="1" t="s">
        <v>8300</v>
      </c>
      <c r="E1477" s="2" t="s">
        <v>1202</v>
      </c>
      <c r="F1477" s="2" t="s">
        <v>8305</v>
      </c>
      <c r="G1477" s="1">
        <v>1</v>
      </c>
      <c r="H1477" s="1" t="s">
        <v>1656</v>
      </c>
      <c r="I1477" s="1" t="s">
        <v>1657</v>
      </c>
      <c r="J1477" s="1" t="s">
        <v>1658</v>
      </c>
      <c r="K1477" s="1" t="s">
        <v>1658</v>
      </c>
      <c r="L1477" s="1" t="s">
        <v>1658</v>
      </c>
      <c r="M1477" s="1" t="s">
        <v>1658</v>
      </c>
      <c r="N1477" s="1" t="s">
        <v>1658</v>
      </c>
      <c r="O1477" s="1" t="s">
        <v>1658</v>
      </c>
      <c r="P1477" s="1">
        <v>1</v>
      </c>
      <c r="Q1477" s="1" t="s">
        <v>1658</v>
      </c>
      <c r="R1477" s="1">
        <v>0</v>
      </c>
      <c r="S1477" s="1" t="s">
        <v>8306</v>
      </c>
      <c r="T1477" s="6" t="s">
        <v>8306</v>
      </c>
      <c r="U1477" s="1" t="str">
        <f t="shared" si="23"/>
        <v>Yes</v>
      </c>
      <c r="W1477" s="1" t="s">
        <v>8307</v>
      </c>
      <c r="X1477" s="1" t="str">
        <f>IF(COUNTIF('MyWells Drilling Comp'!F:F,E1477)=0,"Missing","Exist")</f>
        <v>Exist</v>
      </c>
    </row>
    <row r="1478" hidden="1" spans="1:24">
      <c r="A1478" s="1" t="s">
        <v>5265</v>
      </c>
      <c r="B1478" s="1" t="s">
        <v>90</v>
      </c>
      <c r="C1478" s="1" t="s">
        <v>8308</v>
      </c>
      <c r="D1478" s="1" t="s">
        <v>8309</v>
      </c>
      <c r="E1478" s="2" t="s">
        <v>1405</v>
      </c>
      <c r="F1478" s="2" t="s">
        <v>8310</v>
      </c>
      <c r="G1478" s="1">
        <v>1</v>
      </c>
      <c r="H1478" s="1" t="s">
        <v>1663</v>
      </c>
      <c r="I1478" s="1" t="s">
        <v>1657</v>
      </c>
      <c r="J1478" s="1" t="s">
        <v>1658</v>
      </c>
      <c r="K1478" s="1" t="s">
        <v>1658</v>
      </c>
      <c r="L1478" s="1" t="s">
        <v>1658</v>
      </c>
      <c r="M1478" s="1" t="s">
        <v>1658</v>
      </c>
      <c r="N1478" s="1" t="s">
        <v>1658</v>
      </c>
      <c r="O1478" s="1" t="s">
        <v>1658</v>
      </c>
      <c r="P1478" s="1">
        <v>1</v>
      </c>
      <c r="Q1478" s="1" t="s">
        <v>1658</v>
      </c>
      <c r="R1478" s="1">
        <v>0</v>
      </c>
      <c r="S1478" s="1" t="s">
        <v>8311</v>
      </c>
      <c r="T1478" s="6" t="s">
        <v>8311</v>
      </c>
      <c r="U1478" s="1" t="str">
        <f t="shared" si="23"/>
        <v>Yes</v>
      </c>
      <c r="W1478" s="1" t="s">
        <v>8312</v>
      </c>
      <c r="X1478" s="1" t="str">
        <f>IF(COUNTIF('MyWells Drilling Comp'!F:F,E1478)=0,"Missing","Exist")</f>
        <v>Exist</v>
      </c>
    </row>
    <row r="1479" hidden="1" spans="1:24">
      <c r="A1479" s="1" t="s">
        <v>5265</v>
      </c>
      <c r="B1479" s="1" t="s">
        <v>90</v>
      </c>
      <c r="C1479" s="1" t="s">
        <v>8313</v>
      </c>
      <c r="D1479" s="1" t="s">
        <v>8309</v>
      </c>
      <c r="E1479" s="2" t="s">
        <v>1405</v>
      </c>
      <c r="F1479" s="2" t="s">
        <v>8314</v>
      </c>
      <c r="G1479" s="1">
        <v>1</v>
      </c>
      <c r="H1479" s="1" t="s">
        <v>1656</v>
      </c>
      <c r="I1479" s="1" t="s">
        <v>1657</v>
      </c>
      <c r="J1479" s="1" t="s">
        <v>1658</v>
      </c>
      <c r="K1479" s="1" t="s">
        <v>1658</v>
      </c>
      <c r="L1479" s="1" t="s">
        <v>1658</v>
      </c>
      <c r="M1479" s="1" t="s">
        <v>1658</v>
      </c>
      <c r="N1479" s="1" t="s">
        <v>1658</v>
      </c>
      <c r="O1479" s="1" t="s">
        <v>1658</v>
      </c>
      <c r="P1479" s="1">
        <v>1</v>
      </c>
      <c r="Q1479" s="1" t="s">
        <v>1658</v>
      </c>
      <c r="R1479" s="1">
        <v>0</v>
      </c>
      <c r="S1479" s="1" t="s">
        <v>8315</v>
      </c>
      <c r="T1479" s="6"/>
      <c r="U1479" s="1" t="str">
        <f t="shared" si="23"/>
        <v>No</v>
      </c>
      <c r="W1479" s="1" t="s">
        <v>8316</v>
      </c>
      <c r="X1479" s="1" t="str">
        <f>IF(COUNTIF('MyWells Drilling Comp'!F:F,E1479)=0,"Missing","Exist")</f>
        <v>Exist</v>
      </c>
    </row>
    <row r="1480" hidden="1" spans="1:24">
      <c r="A1480" s="1" t="s">
        <v>5265</v>
      </c>
      <c r="B1480" s="1" t="s">
        <v>90</v>
      </c>
      <c r="C1480" s="1" t="s">
        <v>8317</v>
      </c>
      <c r="D1480" s="1" t="s">
        <v>8318</v>
      </c>
      <c r="E1480" s="2" t="s">
        <v>810</v>
      </c>
      <c r="F1480" s="2" t="s">
        <v>8319</v>
      </c>
      <c r="G1480" s="1">
        <v>1</v>
      </c>
      <c r="H1480" s="1" t="s">
        <v>1656</v>
      </c>
      <c r="I1480" s="1" t="s">
        <v>1657</v>
      </c>
      <c r="J1480" s="1" t="s">
        <v>1658</v>
      </c>
      <c r="K1480" s="1" t="s">
        <v>1658</v>
      </c>
      <c r="L1480" s="1" t="s">
        <v>1658</v>
      </c>
      <c r="M1480" s="1" t="s">
        <v>1658</v>
      </c>
      <c r="N1480" s="1" t="s">
        <v>1658</v>
      </c>
      <c r="O1480" s="1" t="s">
        <v>1658</v>
      </c>
      <c r="P1480" s="1">
        <v>1</v>
      </c>
      <c r="Q1480" s="1" t="s">
        <v>1658</v>
      </c>
      <c r="R1480" s="1">
        <v>0</v>
      </c>
      <c r="S1480" s="1" t="s">
        <v>8320</v>
      </c>
      <c r="T1480" s="6" t="s">
        <v>8320</v>
      </c>
      <c r="U1480" s="1" t="str">
        <f t="shared" si="23"/>
        <v>Yes</v>
      </c>
      <c r="W1480" s="1" t="s">
        <v>8321</v>
      </c>
      <c r="X1480" s="1" t="str">
        <f>IF(COUNTIF('MyWells Drilling Comp'!F:F,E1480)=0,"Missing","Exist")</f>
        <v>Exist</v>
      </c>
    </row>
    <row r="1481" hidden="1" spans="1:24">
      <c r="A1481" s="1" t="s">
        <v>5265</v>
      </c>
      <c r="B1481" s="1" t="s">
        <v>90</v>
      </c>
      <c r="C1481" s="1" t="s">
        <v>8322</v>
      </c>
      <c r="D1481" s="1" t="s">
        <v>8318</v>
      </c>
      <c r="E1481" s="2" t="s">
        <v>810</v>
      </c>
      <c r="F1481" s="2" t="s">
        <v>8323</v>
      </c>
      <c r="G1481" s="1">
        <v>1</v>
      </c>
      <c r="H1481" s="1" t="s">
        <v>1663</v>
      </c>
      <c r="I1481" s="1" t="s">
        <v>1657</v>
      </c>
      <c r="J1481" s="1" t="s">
        <v>1658</v>
      </c>
      <c r="K1481" s="1" t="s">
        <v>1658</v>
      </c>
      <c r="L1481" s="1" t="s">
        <v>1658</v>
      </c>
      <c r="M1481" s="1" t="s">
        <v>1658</v>
      </c>
      <c r="N1481" s="1" t="s">
        <v>1658</v>
      </c>
      <c r="O1481" s="1" t="s">
        <v>1658</v>
      </c>
      <c r="P1481" s="1">
        <v>1</v>
      </c>
      <c r="Q1481" s="1" t="s">
        <v>1658</v>
      </c>
      <c r="R1481" s="1">
        <v>0</v>
      </c>
      <c r="S1481" s="1" t="s">
        <v>8324</v>
      </c>
      <c r="T1481" s="6" t="s">
        <v>8324</v>
      </c>
      <c r="U1481" s="1" t="str">
        <f t="shared" si="23"/>
        <v>Yes</v>
      </c>
      <c r="W1481" s="1" t="s">
        <v>8325</v>
      </c>
      <c r="X1481" s="1" t="str">
        <f>IF(COUNTIF('MyWells Drilling Comp'!F:F,E1481)=0,"Missing","Exist")</f>
        <v>Exist</v>
      </c>
    </row>
    <row r="1482" hidden="1" spans="1:24">
      <c r="A1482" s="1" t="s">
        <v>5265</v>
      </c>
      <c r="B1482" s="1" t="s">
        <v>90</v>
      </c>
      <c r="C1482" s="1" t="s">
        <v>8326</v>
      </c>
      <c r="D1482" s="1" t="s">
        <v>8327</v>
      </c>
      <c r="E1482" s="2" t="s">
        <v>1291</v>
      </c>
      <c r="F1482" s="2" t="s">
        <v>8328</v>
      </c>
      <c r="G1482" s="1">
        <v>1</v>
      </c>
      <c r="H1482" s="1" t="s">
        <v>1656</v>
      </c>
      <c r="I1482" s="1" t="s">
        <v>1657</v>
      </c>
      <c r="J1482" s="1" t="s">
        <v>1658</v>
      </c>
      <c r="K1482" s="1" t="s">
        <v>1658</v>
      </c>
      <c r="L1482" s="1" t="s">
        <v>1658</v>
      </c>
      <c r="M1482" s="1" t="s">
        <v>1658</v>
      </c>
      <c r="N1482" s="1" t="s">
        <v>1658</v>
      </c>
      <c r="O1482" s="1" t="s">
        <v>1658</v>
      </c>
      <c r="P1482" s="1">
        <v>1</v>
      </c>
      <c r="Q1482" s="1" t="s">
        <v>1658</v>
      </c>
      <c r="R1482" s="1">
        <v>0</v>
      </c>
      <c r="S1482" s="1" t="s">
        <v>8329</v>
      </c>
      <c r="T1482" s="6" t="s">
        <v>8329</v>
      </c>
      <c r="U1482" s="1" t="str">
        <f t="shared" si="23"/>
        <v>Yes</v>
      </c>
      <c r="W1482" s="1" t="s">
        <v>8330</v>
      </c>
      <c r="X1482" s="1" t="str">
        <f>IF(COUNTIF('MyWells Drilling Comp'!F:F,E1482)=0,"Missing","Exist")</f>
        <v>Exist</v>
      </c>
    </row>
    <row r="1483" hidden="1" spans="1:24">
      <c r="A1483" s="1" t="s">
        <v>5265</v>
      </c>
      <c r="B1483" s="1" t="s">
        <v>90</v>
      </c>
      <c r="C1483" s="1" t="s">
        <v>8331</v>
      </c>
      <c r="D1483" s="1" t="s">
        <v>8327</v>
      </c>
      <c r="E1483" s="2" t="s">
        <v>1291</v>
      </c>
      <c r="F1483" s="2" t="s">
        <v>8332</v>
      </c>
      <c r="G1483" s="1">
        <v>1</v>
      </c>
      <c r="H1483" s="1" t="s">
        <v>1663</v>
      </c>
      <c r="I1483" s="1" t="s">
        <v>1657</v>
      </c>
      <c r="J1483" s="1" t="s">
        <v>1658</v>
      </c>
      <c r="K1483" s="1" t="s">
        <v>1658</v>
      </c>
      <c r="L1483" s="1" t="s">
        <v>1658</v>
      </c>
      <c r="M1483" s="1" t="s">
        <v>1658</v>
      </c>
      <c r="N1483" s="1" t="s">
        <v>1658</v>
      </c>
      <c r="O1483" s="1" t="s">
        <v>1658</v>
      </c>
      <c r="P1483" s="1">
        <v>1</v>
      </c>
      <c r="Q1483" s="1" t="s">
        <v>1658</v>
      </c>
      <c r="R1483" s="1">
        <v>0</v>
      </c>
      <c r="S1483" s="1" t="s">
        <v>8333</v>
      </c>
      <c r="T1483" s="6"/>
      <c r="U1483" s="1" t="str">
        <f t="shared" si="23"/>
        <v>No</v>
      </c>
      <c r="W1483" s="1" t="s">
        <v>8334</v>
      </c>
      <c r="X1483" s="1" t="str">
        <f>IF(COUNTIF('MyWells Drilling Comp'!F:F,E1483)=0,"Missing","Exist")</f>
        <v>Exist</v>
      </c>
    </row>
    <row r="1484" hidden="1" spans="1:24">
      <c r="A1484" s="1" t="s">
        <v>5265</v>
      </c>
      <c r="B1484" s="1" t="s">
        <v>90</v>
      </c>
      <c r="C1484" s="1" t="s">
        <v>8335</v>
      </c>
      <c r="D1484" s="1" t="s">
        <v>8336</v>
      </c>
      <c r="E1484" s="2" t="s">
        <v>1107</v>
      </c>
      <c r="F1484" s="2" t="s">
        <v>8337</v>
      </c>
      <c r="G1484" s="1">
        <v>1</v>
      </c>
      <c r="H1484" s="1" t="s">
        <v>1663</v>
      </c>
      <c r="I1484" s="1" t="s">
        <v>1657</v>
      </c>
      <c r="J1484" s="1" t="s">
        <v>1658</v>
      </c>
      <c r="K1484" s="1" t="s">
        <v>1658</v>
      </c>
      <c r="L1484" s="1" t="s">
        <v>1658</v>
      </c>
      <c r="M1484" s="1" t="s">
        <v>1658</v>
      </c>
      <c r="N1484" s="1" t="s">
        <v>1658</v>
      </c>
      <c r="O1484" s="1" t="s">
        <v>1658</v>
      </c>
      <c r="P1484" s="1">
        <v>1</v>
      </c>
      <c r="Q1484" s="1" t="s">
        <v>1658</v>
      </c>
      <c r="R1484" s="1">
        <v>0</v>
      </c>
      <c r="S1484" s="1" t="s">
        <v>8338</v>
      </c>
      <c r="T1484" s="6" t="s">
        <v>8338</v>
      </c>
      <c r="U1484" s="1" t="str">
        <f t="shared" si="23"/>
        <v>Yes</v>
      </c>
      <c r="W1484" s="1" t="s">
        <v>8339</v>
      </c>
      <c r="X1484" s="1" t="str">
        <f>IF(COUNTIF('MyWells Drilling Comp'!F:F,E1484)=0,"Missing","Exist")</f>
        <v>Exist</v>
      </c>
    </row>
    <row r="1485" hidden="1" spans="1:24">
      <c r="A1485" s="1" t="s">
        <v>5265</v>
      </c>
      <c r="B1485" s="1" t="s">
        <v>90</v>
      </c>
      <c r="C1485" s="1" t="s">
        <v>8340</v>
      </c>
      <c r="D1485" s="1" t="s">
        <v>8336</v>
      </c>
      <c r="E1485" s="2" t="s">
        <v>1107</v>
      </c>
      <c r="F1485" s="2" t="s">
        <v>8341</v>
      </c>
      <c r="G1485" s="1">
        <v>1</v>
      </c>
      <c r="H1485" s="1" t="s">
        <v>1656</v>
      </c>
      <c r="I1485" s="1" t="s">
        <v>1657</v>
      </c>
      <c r="J1485" s="1" t="s">
        <v>1658</v>
      </c>
      <c r="K1485" s="1" t="s">
        <v>1658</v>
      </c>
      <c r="L1485" s="1" t="s">
        <v>1658</v>
      </c>
      <c r="M1485" s="1" t="s">
        <v>1658</v>
      </c>
      <c r="N1485" s="1" t="s">
        <v>1658</v>
      </c>
      <c r="O1485" s="1" t="s">
        <v>1658</v>
      </c>
      <c r="P1485" s="1">
        <v>1</v>
      </c>
      <c r="Q1485" s="1" t="s">
        <v>1658</v>
      </c>
      <c r="R1485" s="1">
        <v>0</v>
      </c>
      <c r="S1485" s="1" t="s">
        <v>8342</v>
      </c>
      <c r="T1485" s="6" t="s">
        <v>8342</v>
      </c>
      <c r="U1485" s="1" t="str">
        <f t="shared" si="23"/>
        <v>Yes</v>
      </c>
      <c r="W1485" s="1" t="s">
        <v>8343</v>
      </c>
      <c r="X1485" s="1" t="str">
        <f>IF(COUNTIF('MyWells Drilling Comp'!F:F,E1485)=0,"Missing","Exist")</f>
        <v>Exist</v>
      </c>
    </row>
    <row r="1486" hidden="1" spans="1:24">
      <c r="A1486" s="1" t="s">
        <v>5265</v>
      </c>
      <c r="B1486" s="1" t="s">
        <v>90</v>
      </c>
      <c r="C1486" s="1" t="s">
        <v>8344</v>
      </c>
      <c r="D1486" s="1" t="s">
        <v>8345</v>
      </c>
      <c r="E1486" s="2" t="s">
        <v>893</v>
      </c>
      <c r="F1486" s="2" t="s">
        <v>8346</v>
      </c>
      <c r="G1486" s="1">
        <v>1</v>
      </c>
      <c r="H1486" s="1" t="s">
        <v>1656</v>
      </c>
      <c r="I1486" s="1" t="s">
        <v>1657</v>
      </c>
      <c r="J1486" s="1" t="s">
        <v>1658</v>
      </c>
      <c r="K1486" s="1" t="s">
        <v>1658</v>
      </c>
      <c r="L1486" s="1" t="s">
        <v>1658</v>
      </c>
      <c r="M1486" s="1" t="s">
        <v>1658</v>
      </c>
      <c r="N1486" s="1" t="s">
        <v>1658</v>
      </c>
      <c r="O1486" s="1" t="s">
        <v>1658</v>
      </c>
      <c r="P1486" s="1">
        <v>1</v>
      </c>
      <c r="Q1486" s="1" t="s">
        <v>1658</v>
      </c>
      <c r="R1486" s="1">
        <v>0</v>
      </c>
      <c r="S1486" s="1" t="s">
        <v>8347</v>
      </c>
      <c r="T1486" s="6" t="s">
        <v>8347</v>
      </c>
      <c r="U1486" s="1" t="str">
        <f t="shared" si="23"/>
        <v>Yes</v>
      </c>
      <c r="W1486" s="1" t="s">
        <v>8348</v>
      </c>
      <c r="X1486" s="1" t="str">
        <f>IF(COUNTIF('MyWells Drilling Comp'!F:F,E1486)=0,"Missing","Exist")</f>
        <v>Exist</v>
      </c>
    </row>
    <row r="1487" hidden="1" spans="1:24">
      <c r="A1487" s="1" t="s">
        <v>5265</v>
      </c>
      <c r="B1487" s="1" t="s">
        <v>90</v>
      </c>
      <c r="C1487" s="1" t="s">
        <v>8349</v>
      </c>
      <c r="D1487" s="1" t="s">
        <v>8345</v>
      </c>
      <c r="E1487" s="2" t="s">
        <v>893</v>
      </c>
      <c r="F1487" s="2" t="s">
        <v>8350</v>
      </c>
      <c r="G1487" s="1">
        <v>1</v>
      </c>
      <c r="H1487" s="1" t="s">
        <v>1663</v>
      </c>
      <c r="I1487" s="1" t="s">
        <v>1657</v>
      </c>
      <c r="J1487" s="1" t="s">
        <v>1658</v>
      </c>
      <c r="K1487" s="1" t="s">
        <v>1658</v>
      </c>
      <c r="L1487" s="1" t="s">
        <v>1658</v>
      </c>
      <c r="M1487" s="1" t="s">
        <v>1658</v>
      </c>
      <c r="N1487" s="1" t="s">
        <v>1658</v>
      </c>
      <c r="O1487" s="1" t="s">
        <v>1658</v>
      </c>
      <c r="P1487" s="1">
        <v>1</v>
      </c>
      <c r="Q1487" s="1" t="s">
        <v>1658</v>
      </c>
      <c r="R1487" s="1">
        <v>0</v>
      </c>
      <c r="S1487" s="1" t="s">
        <v>8351</v>
      </c>
      <c r="T1487" s="6" t="s">
        <v>8351</v>
      </c>
      <c r="U1487" s="1" t="str">
        <f t="shared" si="23"/>
        <v>Yes</v>
      </c>
      <c r="W1487" s="1" t="s">
        <v>8352</v>
      </c>
      <c r="X1487" s="1" t="str">
        <f>IF(COUNTIF('MyWells Drilling Comp'!F:F,E1487)=0,"Missing","Exist")</f>
        <v>Exist</v>
      </c>
    </row>
    <row r="1488" hidden="1" spans="1:24">
      <c r="A1488" s="1" t="s">
        <v>5265</v>
      </c>
      <c r="B1488" s="1" t="s">
        <v>90</v>
      </c>
      <c r="C1488" s="1" t="s">
        <v>8353</v>
      </c>
      <c r="D1488" s="1" t="s">
        <v>8354</v>
      </c>
      <c r="E1488" s="2" t="s">
        <v>814</v>
      </c>
      <c r="F1488" s="2" t="s">
        <v>8355</v>
      </c>
      <c r="G1488" s="1">
        <v>1</v>
      </c>
      <c r="H1488" s="1" t="s">
        <v>1656</v>
      </c>
      <c r="I1488" s="1" t="s">
        <v>1657</v>
      </c>
      <c r="J1488" s="1" t="s">
        <v>1658</v>
      </c>
      <c r="K1488" s="1" t="s">
        <v>1658</v>
      </c>
      <c r="L1488" s="1" t="s">
        <v>1658</v>
      </c>
      <c r="M1488" s="1" t="s">
        <v>1658</v>
      </c>
      <c r="N1488" s="1" t="s">
        <v>1658</v>
      </c>
      <c r="O1488" s="1" t="s">
        <v>1658</v>
      </c>
      <c r="P1488" s="1">
        <v>1</v>
      </c>
      <c r="Q1488" s="1" t="s">
        <v>1658</v>
      </c>
      <c r="R1488" s="1">
        <v>0</v>
      </c>
      <c r="S1488" s="1" t="s">
        <v>8356</v>
      </c>
      <c r="T1488" s="6" t="s">
        <v>8356</v>
      </c>
      <c r="U1488" s="1" t="str">
        <f t="shared" si="23"/>
        <v>Yes</v>
      </c>
      <c r="W1488" s="1" t="s">
        <v>8357</v>
      </c>
      <c r="X1488" s="1" t="str">
        <f>IF(COUNTIF('MyWells Drilling Comp'!F:F,E1488)=0,"Missing","Exist")</f>
        <v>Exist</v>
      </c>
    </row>
    <row r="1489" hidden="1" spans="1:24">
      <c r="A1489" s="1" t="s">
        <v>5265</v>
      </c>
      <c r="B1489" s="1" t="s">
        <v>90</v>
      </c>
      <c r="C1489" s="1" t="s">
        <v>8358</v>
      </c>
      <c r="D1489" s="1" t="s">
        <v>8354</v>
      </c>
      <c r="E1489" s="2" t="s">
        <v>814</v>
      </c>
      <c r="F1489" s="2" t="s">
        <v>8359</v>
      </c>
      <c r="G1489" s="1">
        <v>1</v>
      </c>
      <c r="H1489" s="1" t="s">
        <v>1663</v>
      </c>
      <c r="I1489" s="1" t="s">
        <v>1657</v>
      </c>
      <c r="J1489" s="1" t="s">
        <v>1658</v>
      </c>
      <c r="K1489" s="1" t="s">
        <v>1658</v>
      </c>
      <c r="L1489" s="1" t="s">
        <v>1658</v>
      </c>
      <c r="M1489" s="1" t="s">
        <v>1658</v>
      </c>
      <c r="N1489" s="1" t="s">
        <v>1658</v>
      </c>
      <c r="O1489" s="1" t="s">
        <v>1658</v>
      </c>
      <c r="P1489" s="1">
        <v>1</v>
      </c>
      <c r="Q1489" s="1" t="s">
        <v>1658</v>
      </c>
      <c r="R1489" s="1">
        <v>0</v>
      </c>
      <c r="S1489" s="1" t="s">
        <v>8360</v>
      </c>
      <c r="T1489" s="6" t="s">
        <v>8360</v>
      </c>
      <c r="U1489" s="1" t="str">
        <f t="shared" si="23"/>
        <v>Yes</v>
      </c>
      <c r="W1489" s="1" t="s">
        <v>8361</v>
      </c>
      <c r="X1489" s="1" t="str">
        <f>IF(COUNTIF('MyWells Drilling Comp'!F:F,E1489)=0,"Missing","Exist")</f>
        <v>Exist</v>
      </c>
    </row>
    <row r="1490" hidden="1" spans="1:24">
      <c r="A1490" s="1" t="s">
        <v>5265</v>
      </c>
      <c r="B1490" s="1" t="s">
        <v>90</v>
      </c>
      <c r="C1490" s="1" t="s">
        <v>8362</v>
      </c>
      <c r="D1490" s="1" t="s">
        <v>8363</v>
      </c>
      <c r="E1490" s="2" t="s">
        <v>1100</v>
      </c>
      <c r="F1490" s="2" t="s">
        <v>8364</v>
      </c>
      <c r="G1490" s="1">
        <v>1</v>
      </c>
      <c r="H1490" s="1" t="s">
        <v>1663</v>
      </c>
      <c r="I1490" s="1" t="s">
        <v>1657</v>
      </c>
      <c r="J1490" s="1" t="s">
        <v>1658</v>
      </c>
      <c r="K1490" s="1" t="s">
        <v>1658</v>
      </c>
      <c r="L1490" s="1" t="s">
        <v>1658</v>
      </c>
      <c r="M1490" s="1" t="s">
        <v>1658</v>
      </c>
      <c r="N1490" s="1" t="s">
        <v>1658</v>
      </c>
      <c r="O1490" s="1" t="s">
        <v>1658</v>
      </c>
      <c r="P1490" s="1">
        <v>1</v>
      </c>
      <c r="Q1490" s="1" t="s">
        <v>1658</v>
      </c>
      <c r="R1490" s="1">
        <v>0</v>
      </c>
      <c r="S1490" s="1" t="s">
        <v>8365</v>
      </c>
      <c r="T1490" s="6" t="s">
        <v>8365</v>
      </c>
      <c r="U1490" s="1" t="str">
        <f t="shared" si="23"/>
        <v>Yes</v>
      </c>
      <c r="W1490" s="1" t="s">
        <v>8366</v>
      </c>
      <c r="X1490" s="1" t="str">
        <f>IF(COUNTIF('MyWells Drilling Comp'!F:F,E1490)=0,"Missing","Exist")</f>
        <v>Exist</v>
      </c>
    </row>
    <row r="1491" hidden="1" spans="1:24">
      <c r="A1491" s="1" t="s">
        <v>5265</v>
      </c>
      <c r="B1491" s="1" t="s">
        <v>90</v>
      </c>
      <c r="C1491" s="1" t="s">
        <v>8367</v>
      </c>
      <c r="D1491" s="1" t="s">
        <v>8363</v>
      </c>
      <c r="E1491" s="2" t="s">
        <v>1100</v>
      </c>
      <c r="F1491" s="2" t="s">
        <v>8368</v>
      </c>
      <c r="G1491" s="1">
        <v>1</v>
      </c>
      <c r="H1491" s="1" t="s">
        <v>1656</v>
      </c>
      <c r="I1491" s="1" t="s">
        <v>1657</v>
      </c>
      <c r="J1491" s="1" t="s">
        <v>1658</v>
      </c>
      <c r="K1491" s="1" t="s">
        <v>1658</v>
      </c>
      <c r="L1491" s="1" t="s">
        <v>1658</v>
      </c>
      <c r="M1491" s="1" t="s">
        <v>1658</v>
      </c>
      <c r="N1491" s="1" t="s">
        <v>1658</v>
      </c>
      <c r="O1491" s="1" t="s">
        <v>1658</v>
      </c>
      <c r="P1491" s="1">
        <v>1</v>
      </c>
      <c r="Q1491" s="1" t="s">
        <v>1658</v>
      </c>
      <c r="R1491" s="1">
        <v>0</v>
      </c>
      <c r="S1491" s="1" t="s">
        <v>8369</v>
      </c>
      <c r="T1491" s="6" t="s">
        <v>8369</v>
      </c>
      <c r="U1491" s="1" t="str">
        <f t="shared" si="23"/>
        <v>Yes</v>
      </c>
      <c r="W1491" s="1" t="s">
        <v>8370</v>
      </c>
      <c r="X1491" s="1" t="str">
        <f>IF(COUNTIF('MyWells Drilling Comp'!F:F,E1491)=0,"Missing","Exist")</f>
        <v>Exist</v>
      </c>
    </row>
    <row r="1492" hidden="1" spans="1:24">
      <c r="A1492" s="1" t="s">
        <v>5265</v>
      </c>
      <c r="B1492" s="1" t="s">
        <v>90</v>
      </c>
      <c r="C1492" s="1" t="s">
        <v>8371</v>
      </c>
      <c r="D1492" s="1" t="s">
        <v>8372</v>
      </c>
      <c r="E1492" s="2" t="s">
        <v>684</v>
      </c>
      <c r="F1492" s="2" t="s">
        <v>8373</v>
      </c>
      <c r="G1492" s="1">
        <v>1</v>
      </c>
      <c r="H1492" s="1" t="s">
        <v>1656</v>
      </c>
      <c r="I1492" s="1" t="s">
        <v>1657</v>
      </c>
      <c r="J1492" s="1" t="s">
        <v>1658</v>
      </c>
      <c r="K1492" s="1" t="s">
        <v>1658</v>
      </c>
      <c r="L1492" s="1" t="s">
        <v>1658</v>
      </c>
      <c r="M1492" s="1" t="s">
        <v>1658</v>
      </c>
      <c r="N1492" s="1" t="s">
        <v>1658</v>
      </c>
      <c r="O1492" s="1" t="s">
        <v>1658</v>
      </c>
      <c r="P1492" s="1">
        <v>1</v>
      </c>
      <c r="Q1492" s="1" t="s">
        <v>1658</v>
      </c>
      <c r="R1492" s="1">
        <v>0</v>
      </c>
      <c r="S1492" s="1" t="s">
        <v>8374</v>
      </c>
      <c r="T1492" s="6" t="s">
        <v>8374</v>
      </c>
      <c r="U1492" s="1" t="str">
        <f t="shared" si="23"/>
        <v>Yes</v>
      </c>
      <c r="W1492" s="1" t="s">
        <v>8375</v>
      </c>
      <c r="X1492" s="1" t="str">
        <f>IF(COUNTIF('MyWells Drilling Comp'!F:F,E1492)=0,"Missing","Exist")</f>
        <v>Exist</v>
      </c>
    </row>
    <row r="1493" hidden="1" spans="1:24">
      <c r="A1493" s="1" t="s">
        <v>5265</v>
      </c>
      <c r="B1493" s="1" t="s">
        <v>90</v>
      </c>
      <c r="C1493" s="1" t="s">
        <v>8376</v>
      </c>
      <c r="D1493" s="1" t="s">
        <v>8372</v>
      </c>
      <c r="E1493" s="2" t="s">
        <v>684</v>
      </c>
      <c r="F1493" s="2" t="s">
        <v>8377</v>
      </c>
      <c r="G1493" s="1">
        <v>1</v>
      </c>
      <c r="H1493" s="1" t="s">
        <v>1663</v>
      </c>
      <c r="I1493" s="1" t="s">
        <v>1657</v>
      </c>
      <c r="J1493" s="1" t="s">
        <v>1658</v>
      </c>
      <c r="K1493" s="1" t="s">
        <v>1658</v>
      </c>
      <c r="L1493" s="1" t="s">
        <v>1658</v>
      </c>
      <c r="M1493" s="1" t="s">
        <v>1658</v>
      </c>
      <c r="N1493" s="1" t="s">
        <v>1658</v>
      </c>
      <c r="O1493" s="1" t="s">
        <v>1658</v>
      </c>
      <c r="P1493" s="1">
        <v>1</v>
      </c>
      <c r="Q1493" s="1" t="s">
        <v>1658</v>
      </c>
      <c r="R1493" s="1">
        <v>0</v>
      </c>
      <c r="S1493" s="1" t="s">
        <v>8378</v>
      </c>
      <c r="T1493" s="6" t="s">
        <v>8378</v>
      </c>
      <c r="U1493" s="1" t="str">
        <f t="shared" si="23"/>
        <v>Yes</v>
      </c>
      <c r="W1493" s="1" t="s">
        <v>8379</v>
      </c>
      <c r="X1493" s="1" t="str">
        <f>IF(COUNTIF('MyWells Drilling Comp'!F:F,E1493)=0,"Missing","Exist")</f>
        <v>Exist</v>
      </c>
    </row>
    <row r="1494" hidden="1" spans="1:24">
      <c r="A1494" s="1" t="s">
        <v>5265</v>
      </c>
      <c r="B1494" s="1" t="s">
        <v>90</v>
      </c>
      <c r="C1494" s="1" t="s">
        <v>8380</v>
      </c>
      <c r="D1494" s="1" t="s">
        <v>8381</v>
      </c>
      <c r="E1494" s="2" t="s">
        <v>1467</v>
      </c>
      <c r="F1494" s="2" t="s">
        <v>8382</v>
      </c>
      <c r="G1494" s="1">
        <v>1</v>
      </c>
      <c r="H1494" s="1" t="s">
        <v>1663</v>
      </c>
      <c r="I1494" s="1" t="s">
        <v>1657</v>
      </c>
      <c r="J1494" s="1" t="s">
        <v>1658</v>
      </c>
      <c r="K1494" s="1" t="s">
        <v>1658</v>
      </c>
      <c r="L1494" s="1" t="s">
        <v>1658</v>
      </c>
      <c r="M1494" s="1" t="s">
        <v>1658</v>
      </c>
      <c r="N1494" s="1" t="s">
        <v>1658</v>
      </c>
      <c r="O1494" s="1" t="s">
        <v>1658</v>
      </c>
      <c r="P1494" s="1">
        <v>1</v>
      </c>
      <c r="Q1494" s="1" t="s">
        <v>1658</v>
      </c>
      <c r="R1494" s="1">
        <v>0</v>
      </c>
      <c r="S1494" s="1" t="s">
        <v>8383</v>
      </c>
      <c r="T1494" s="6" t="s">
        <v>8383</v>
      </c>
      <c r="U1494" s="1" t="str">
        <f t="shared" si="23"/>
        <v>Yes</v>
      </c>
      <c r="W1494" s="1" t="s">
        <v>8384</v>
      </c>
      <c r="X1494" s="1" t="str">
        <f>IF(COUNTIF('MyWells Drilling Comp'!F:F,E1494)=0,"Missing","Exist")</f>
        <v>Exist</v>
      </c>
    </row>
    <row r="1495" hidden="1" spans="1:24">
      <c r="A1495" s="1" t="s">
        <v>5265</v>
      </c>
      <c r="B1495" s="1" t="s">
        <v>90</v>
      </c>
      <c r="C1495" s="1" t="s">
        <v>8385</v>
      </c>
      <c r="D1495" s="1" t="s">
        <v>8381</v>
      </c>
      <c r="E1495" s="2" t="s">
        <v>1467</v>
      </c>
      <c r="F1495" s="2" t="s">
        <v>8386</v>
      </c>
      <c r="G1495" s="1">
        <v>1</v>
      </c>
      <c r="H1495" s="1" t="s">
        <v>1656</v>
      </c>
      <c r="I1495" s="1" t="s">
        <v>1657</v>
      </c>
      <c r="J1495" s="1" t="s">
        <v>1658</v>
      </c>
      <c r="K1495" s="1" t="s">
        <v>1658</v>
      </c>
      <c r="L1495" s="1" t="s">
        <v>1658</v>
      </c>
      <c r="M1495" s="1" t="s">
        <v>1658</v>
      </c>
      <c r="N1495" s="1" t="s">
        <v>1658</v>
      </c>
      <c r="O1495" s="1" t="s">
        <v>1658</v>
      </c>
      <c r="P1495" s="1">
        <v>1</v>
      </c>
      <c r="Q1495" s="1" t="s">
        <v>1658</v>
      </c>
      <c r="R1495" s="1">
        <v>0</v>
      </c>
      <c r="S1495" s="1" t="s">
        <v>8387</v>
      </c>
      <c r="T1495" s="6" t="s">
        <v>8387</v>
      </c>
      <c r="U1495" s="1" t="str">
        <f t="shared" si="23"/>
        <v>Yes</v>
      </c>
      <c r="W1495" s="1" t="s">
        <v>8388</v>
      </c>
      <c r="X1495" s="1" t="str">
        <f>IF(COUNTIF('MyWells Drilling Comp'!F:F,E1495)=0,"Missing","Exist")</f>
        <v>Exist</v>
      </c>
    </row>
    <row r="1496" hidden="1" spans="1:24">
      <c r="A1496" s="1" t="s">
        <v>5265</v>
      </c>
      <c r="B1496" s="1" t="s">
        <v>90</v>
      </c>
      <c r="C1496" s="1" t="s">
        <v>8389</v>
      </c>
      <c r="D1496" s="1" t="s">
        <v>8390</v>
      </c>
      <c r="E1496" s="2" t="s">
        <v>577</v>
      </c>
      <c r="F1496" s="2" t="s">
        <v>8391</v>
      </c>
      <c r="G1496" s="1">
        <v>1</v>
      </c>
      <c r="H1496" s="1" t="s">
        <v>1656</v>
      </c>
      <c r="I1496" s="1" t="s">
        <v>1657</v>
      </c>
      <c r="J1496" s="1" t="s">
        <v>1658</v>
      </c>
      <c r="K1496" s="1" t="s">
        <v>1658</v>
      </c>
      <c r="L1496" s="1" t="s">
        <v>1658</v>
      </c>
      <c r="M1496" s="1" t="s">
        <v>1658</v>
      </c>
      <c r="N1496" s="1" t="s">
        <v>1658</v>
      </c>
      <c r="O1496" s="1" t="s">
        <v>1658</v>
      </c>
      <c r="P1496" s="1">
        <v>1</v>
      </c>
      <c r="Q1496" s="1" t="s">
        <v>1658</v>
      </c>
      <c r="R1496" s="1">
        <v>0</v>
      </c>
      <c r="S1496" s="1" t="s">
        <v>8392</v>
      </c>
      <c r="T1496" s="6" t="s">
        <v>8392</v>
      </c>
      <c r="U1496" s="1" t="str">
        <f t="shared" si="23"/>
        <v>Yes</v>
      </c>
      <c r="W1496" s="1" t="s">
        <v>8393</v>
      </c>
      <c r="X1496" s="1" t="str">
        <f>IF(COUNTIF('MyWells Drilling Comp'!F:F,E1496)=0,"Missing","Exist")</f>
        <v>Exist</v>
      </c>
    </row>
    <row r="1497" hidden="1" spans="1:24">
      <c r="A1497" s="1" t="s">
        <v>5265</v>
      </c>
      <c r="B1497" s="1" t="s">
        <v>90</v>
      </c>
      <c r="C1497" s="1" t="s">
        <v>8394</v>
      </c>
      <c r="D1497" s="1" t="s">
        <v>8390</v>
      </c>
      <c r="E1497" s="2" t="s">
        <v>577</v>
      </c>
      <c r="F1497" s="2" t="s">
        <v>8395</v>
      </c>
      <c r="G1497" s="1">
        <v>1</v>
      </c>
      <c r="H1497" s="1" t="s">
        <v>1663</v>
      </c>
      <c r="I1497" s="1" t="s">
        <v>1657</v>
      </c>
      <c r="J1497" s="1" t="s">
        <v>1658</v>
      </c>
      <c r="K1497" s="1" t="s">
        <v>1658</v>
      </c>
      <c r="L1497" s="1" t="s">
        <v>1658</v>
      </c>
      <c r="M1497" s="1" t="s">
        <v>1658</v>
      </c>
      <c r="N1497" s="1" t="s">
        <v>1658</v>
      </c>
      <c r="O1497" s="1" t="s">
        <v>1658</v>
      </c>
      <c r="P1497" s="1">
        <v>1</v>
      </c>
      <c r="Q1497" s="1" t="s">
        <v>1658</v>
      </c>
      <c r="R1497" s="1">
        <v>0</v>
      </c>
      <c r="S1497" s="1" t="s">
        <v>8396</v>
      </c>
      <c r="T1497" s="6" t="s">
        <v>8396</v>
      </c>
      <c r="U1497" s="1" t="str">
        <f t="shared" si="23"/>
        <v>Yes</v>
      </c>
      <c r="W1497" s="1" t="s">
        <v>8397</v>
      </c>
      <c r="X1497" s="1" t="str">
        <f>IF(COUNTIF('MyWells Drilling Comp'!F:F,E1497)=0,"Missing","Exist")</f>
        <v>Exist</v>
      </c>
    </row>
    <row r="1498" hidden="1" spans="1:24">
      <c r="A1498" s="1" t="s">
        <v>5265</v>
      </c>
      <c r="B1498" s="1" t="s">
        <v>90</v>
      </c>
      <c r="C1498" s="1" t="s">
        <v>8398</v>
      </c>
      <c r="D1498" s="1" t="s">
        <v>8399</v>
      </c>
      <c r="E1498" s="2" t="s">
        <v>1480</v>
      </c>
      <c r="F1498" s="2" t="s">
        <v>8400</v>
      </c>
      <c r="G1498" s="1">
        <v>1</v>
      </c>
      <c r="H1498" s="1" t="s">
        <v>1663</v>
      </c>
      <c r="I1498" s="1" t="s">
        <v>1657</v>
      </c>
      <c r="J1498" s="1" t="s">
        <v>1658</v>
      </c>
      <c r="K1498" s="1" t="s">
        <v>1658</v>
      </c>
      <c r="L1498" s="1" t="s">
        <v>1658</v>
      </c>
      <c r="M1498" s="1" t="s">
        <v>1658</v>
      </c>
      <c r="N1498" s="1" t="s">
        <v>1658</v>
      </c>
      <c r="O1498" s="1" t="s">
        <v>1658</v>
      </c>
      <c r="P1498" s="1">
        <v>1</v>
      </c>
      <c r="Q1498" s="1" t="s">
        <v>1658</v>
      </c>
      <c r="R1498" s="1">
        <v>0</v>
      </c>
      <c r="S1498" s="1" t="s">
        <v>8401</v>
      </c>
      <c r="T1498" s="6" t="s">
        <v>8402</v>
      </c>
      <c r="U1498" s="1" t="str">
        <f t="shared" si="23"/>
        <v>No</v>
      </c>
      <c r="W1498" s="1" t="s">
        <v>8403</v>
      </c>
      <c r="X1498" s="1" t="str">
        <f>IF(COUNTIF('MyWells Drilling Comp'!F:F,E1498)=0,"Missing","Exist")</f>
        <v>Exist</v>
      </c>
    </row>
    <row r="1499" hidden="1" spans="1:24">
      <c r="A1499" s="1" t="s">
        <v>5265</v>
      </c>
      <c r="B1499" s="1" t="s">
        <v>90</v>
      </c>
      <c r="C1499" s="1" t="s">
        <v>8404</v>
      </c>
      <c r="D1499" s="1" t="s">
        <v>8399</v>
      </c>
      <c r="E1499" s="2" t="s">
        <v>1480</v>
      </c>
      <c r="F1499" s="2" t="s">
        <v>8405</v>
      </c>
      <c r="G1499" s="1">
        <v>1</v>
      </c>
      <c r="H1499" s="1" t="s">
        <v>1656</v>
      </c>
      <c r="I1499" s="1" t="s">
        <v>1657</v>
      </c>
      <c r="J1499" s="1" t="s">
        <v>1658</v>
      </c>
      <c r="K1499" s="1" t="s">
        <v>1658</v>
      </c>
      <c r="L1499" s="1" t="s">
        <v>1658</v>
      </c>
      <c r="M1499" s="1" t="s">
        <v>1658</v>
      </c>
      <c r="N1499" s="1" t="s">
        <v>1658</v>
      </c>
      <c r="O1499" s="1" t="s">
        <v>1658</v>
      </c>
      <c r="P1499" s="1">
        <v>1</v>
      </c>
      <c r="Q1499" s="1" t="s">
        <v>1658</v>
      </c>
      <c r="R1499" s="1">
        <v>0</v>
      </c>
      <c r="S1499" s="1" t="s">
        <v>8406</v>
      </c>
      <c r="T1499" s="6" t="s">
        <v>8406</v>
      </c>
      <c r="U1499" s="1" t="str">
        <f t="shared" si="23"/>
        <v>Yes</v>
      </c>
      <c r="W1499" s="1" t="s">
        <v>8407</v>
      </c>
      <c r="X1499" s="1" t="str">
        <f>IF(COUNTIF('MyWells Drilling Comp'!F:F,E1499)=0,"Missing","Exist")</f>
        <v>Exist</v>
      </c>
    </row>
    <row r="1500" hidden="1" spans="1:24">
      <c r="A1500" s="1" t="s">
        <v>5265</v>
      </c>
      <c r="B1500" s="1" t="s">
        <v>90</v>
      </c>
      <c r="C1500" s="1" t="s">
        <v>8408</v>
      </c>
      <c r="D1500" s="1" t="s">
        <v>8409</v>
      </c>
      <c r="E1500" s="2" t="s">
        <v>919</v>
      </c>
      <c r="F1500" s="2" t="s">
        <v>8410</v>
      </c>
      <c r="G1500" s="1">
        <v>1</v>
      </c>
      <c r="H1500" s="1" t="s">
        <v>1663</v>
      </c>
      <c r="I1500" s="1" t="s">
        <v>1657</v>
      </c>
      <c r="J1500" s="1" t="s">
        <v>1658</v>
      </c>
      <c r="K1500" s="1" t="s">
        <v>1658</v>
      </c>
      <c r="L1500" s="1" t="s">
        <v>1658</v>
      </c>
      <c r="M1500" s="1" t="s">
        <v>1658</v>
      </c>
      <c r="N1500" s="1" t="s">
        <v>1658</v>
      </c>
      <c r="O1500" s="1" t="s">
        <v>1658</v>
      </c>
      <c r="P1500" s="1">
        <v>1</v>
      </c>
      <c r="Q1500" s="1" t="s">
        <v>1658</v>
      </c>
      <c r="R1500" s="1">
        <v>0</v>
      </c>
      <c r="S1500" s="1" t="s">
        <v>8411</v>
      </c>
      <c r="T1500" s="6" t="s">
        <v>8411</v>
      </c>
      <c r="U1500" s="1" t="str">
        <f t="shared" si="23"/>
        <v>Yes</v>
      </c>
      <c r="W1500" s="1" t="s">
        <v>8412</v>
      </c>
      <c r="X1500" s="1" t="str">
        <f>IF(COUNTIF('MyWells Drilling Comp'!F:F,E1500)=0,"Missing","Exist")</f>
        <v>Exist</v>
      </c>
    </row>
    <row r="1501" hidden="1" spans="1:24">
      <c r="A1501" s="1" t="s">
        <v>5265</v>
      </c>
      <c r="B1501" s="1" t="s">
        <v>90</v>
      </c>
      <c r="C1501" s="1" t="s">
        <v>8413</v>
      </c>
      <c r="D1501" s="1" t="s">
        <v>8409</v>
      </c>
      <c r="E1501" s="2" t="s">
        <v>919</v>
      </c>
      <c r="F1501" s="2" t="s">
        <v>8414</v>
      </c>
      <c r="G1501" s="1">
        <v>1</v>
      </c>
      <c r="H1501" s="1" t="s">
        <v>1656</v>
      </c>
      <c r="I1501" s="1" t="s">
        <v>1657</v>
      </c>
      <c r="J1501" s="1" t="s">
        <v>1658</v>
      </c>
      <c r="K1501" s="1" t="s">
        <v>1658</v>
      </c>
      <c r="L1501" s="1" t="s">
        <v>1658</v>
      </c>
      <c r="M1501" s="1" t="s">
        <v>1658</v>
      </c>
      <c r="N1501" s="1" t="s">
        <v>1658</v>
      </c>
      <c r="O1501" s="1" t="s">
        <v>1658</v>
      </c>
      <c r="P1501" s="1">
        <v>1</v>
      </c>
      <c r="Q1501" s="1" t="s">
        <v>1658</v>
      </c>
      <c r="R1501" s="1">
        <v>0</v>
      </c>
      <c r="S1501" s="1" t="s">
        <v>8415</v>
      </c>
      <c r="T1501" s="6" t="s">
        <v>8415</v>
      </c>
      <c r="U1501" s="1" t="str">
        <f t="shared" si="23"/>
        <v>Yes</v>
      </c>
      <c r="W1501" s="1" t="s">
        <v>8416</v>
      </c>
      <c r="X1501" s="1" t="str">
        <f>IF(COUNTIF('MyWells Drilling Comp'!F:F,E1501)=0,"Missing","Exist")</f>
        <v>Exist</v>
      </c>
    </row>
    <row r="1502" hidden="1" spans="1:24">
      <c r="A1502" s="1" t="s">
        <v>5265</v>
      </c>
      <c r="B1502" s="1" t="s">
        <v>90</v>
      </c>
      <c r="C1502" s="1" t="s">
        <v>8417</v>
      </c>
      <c r="D1502" s="1" t="s">
        <v>8418</v>
      </c>
      <c r="E1502" s="2" t="s">
        <v>1525</v>
      </c>
      <c r="F1502" s="2" t="s">
        <v>8419</v>
      </c>
      <c r="G1502" s="1">
        <v>1</v>
      </c>
      <c r="H1502" s="1" t="s">
        <v>1663</v>
      </c>
      <c r="I1502" s="1" t="s">
        <v>1657</v>
      </c>
      <c r="J1502" s="1" t="s">
        <v>1658</v>
      </c>
      <c r="K1502" s="1" t="s">
        <v>1658</v>
      </c>
      <c r="L1502" s="1" t="s">
        <v>1658</v>
      </c>
      <c r="M1502" s="1" t="s">
        <v>1658</v>
      </c>
      <c r="N1502" s="1" t="s">
        <v>1658</v>
      </c>
      <c r="O1502" s="1" t="s">
        <v>1658</v>
      </c>
      <c r="P1502" s="1">
        <v>1</v>
      </c>
      <c r="Q1502" s="1" t="s">
        <v>1658</v>
      </c>
      <c r="R1502" s="1">
        <v>0</v>
      </c>
      <c r="S1502" s="1" t="s">
        <v>8420</v>
      </c>
      <c r="T1502" s="6" t="s">
        <v>8420</v>
      </c>
      <c r="U1502" s="1" t="str">
        <f t="shared" si="23"/>
        <v>Yes</v>
      </c>
      <c r="W1502" s="1" t="s">
        <v>8421</v>
      </c>
      <c r="X1502" s="1" t="str">
        <f>IF(COUNTIF('MyWells Drilling Comp'!F:F,E1502)=0,"Missing","Exist")</f>
        <v>Exist</v>
      </c>
    </row>
    <row r="1503" hidden="1" spans="1:24">
      <c r="A1503" s="1" t="s">
        <v>5265</v>
      </c>
      <c r="B1503" s="1" t="s">
        <v>90</v>
      </c>
      <c r="C1503" s="1" t="s">
        <v>8422</v>
      </c>
      <c r="D1503" s="1" t="s">
        <v>8418</v>
      </c>
      <c r="E1503" s="2" t="s">
        <v>1525</v>
      </c>
      <c r="F1503" s="2" t="s">
        <v>8423</v>
      </c>
      <c r="G1503" s="1">
        <v>1</v>
      </c>
      <c r="H1503" s="1" t="s">
        <v>1656</v>
      </c>
      <c r="I1503" s="1" t="s">
        <v>1657</v>
      </c>
      <c r="J1503" s="1" t="s">
        <v>1658</v>
      </c>
      <c r="K1503" s="1" t="s">
        <v>1658</v>
      </c>
      <c r="L1503" s="1" t="s">
        <v>1658</v>
      </c>
      <c r="M1503" s="1" t="s">
        <v>1658</v>
      </c>
      <c r="N1503" s="1" t="s">
        <v>1658</v>
      </c>
      <c r="O1503" s="1" t="s">
        <v>1658</v>
      </c>
      <c r="P1503" s="1">
        <v>1</v>
      </c>
      <c r="Q1503" s="1" t="s">
        <v>1658</v>
      </c>
      <c r="R1503" s="1">
        <v>0</v>
      </c>
      <c r="S1503" s="1" t="s">
        <v>8424</v>
      </c>
      <c r="T1503" s="6" t="s">
        <v>8424</v>
      </c>
      <c r="U1503" s="1" t="str">
        <f t="shared" si="23"/>
        <v>Yes</v>
      </c>
      <c r="W1503" s="1" t="s">
        <v>8425</v>
      </c>
      <c r="X1503" s="1" t="str">
        <f>IF(COUNTIF('MyWells Drilling Comp'!F:F,E1503)=0,"Missing","Exist")</f>
        <v>Exist</v>
      </c>
    </row>
    <row r="1504" hidden="1" spans="1:24">
      <c r="A1504" s="1" t="s">
        <v>5265</v>
      </c>
      <c r="B1504" s="1" t="s">
        <v>90</v>
      </c>
      <c r="C1504" s="1" t="s">
        <v>8426</v>
      </c>
      <c r="D1504" s="1" t="s">
        <v>8427</v>
      </c>
      <c r="E1504" s="2" t="s">
        <v>952</v>
      </c>
      <c r="F1504" s="2" t="s">
        <v>8428</v>
      </c>
      <c r="G1504" s="1">
        <v>1</v>
      </c>
      <c r="H1504" s="1" t="s">
        <v>1656</v>
      </c>
      <c r="I1504" s="1" t="s">
        <v>1657</v>
      </c>
      <c r="J1504" s="1" t="s">
        <v>1658</v>
      </c>
      <c r="K1504" s="1" t="s">
        <v>1658</v>
      </c>
      <c r="L1504" s="1" t="s">
        <v>1658</v>
      </c>
      <c r="M1504" s="1" t="s">
        <v>1658</v>
      </c>
      <c r="N1504" s="1" t="s">
        <v>1658</v>
      </c>
      <c r="O1504" s="1" t="s">
        <v>1658</v>
      </c>
      <c r="P1504" s="1">
        <v>1</v>
      </c>
      <c r="Q1504" s="1" t="s">
        <v>1658</v>
      </c>
      <c r="R1504" s="1">
        <v>0</v>
      </c>
      <c r="S1504" s="1" t="s">
        <v>6202</v>
      </c>
      <c r="T1504" s="6"/>
      <c r="U1504" s="1" t="str">
        <f t="shared" si="23"/>
        <v>No</v>
      </c>
      <c r="W1504" s="1" t="s">
        <v>8429</v>
      </c>
      <c r="X1504" s="1" t="str">
        <f>IF(COUNTIF('MyWells Drilling Comp'!F:F,E1504)=0,"Missing","Exist")</f>
        <v>Exist</v>
      </c>
    </row>
    <row r="1505" hidden="1" spans="1:24">
      <c r="A1505" s="1" t="s">
        <v>5265</v>
      </c>
      <c r="B1505" s="1" t="s">
        <v>90</v>
      </c>
      <c r="C1505" s="1" t="s">
        <v>8430</v>
      </c>
      <c r="D1505" s="1" t="s">
        <v>8427</v>
      </c>
      <c r="E1505" s="2" t="s">
        <v>952</v>
      </c>
      <c r="F1505" s="2" t="s">
        <v>8431</v>
      </c>
      <c r="G1505" s="1">
        <v>1</v>
      </c>
      <c r="H1505" s="1" t="s">
        <v>1663</v>
      </c>
      <c r="I1505" s="1" t="s">
        <v>1657</v>
      </c>
      <c r="J1505" s="1" t="s">
        <v>1658</v>
      </c>
      <c r="K1505" s="1" t="s">
        <v>1658</v>
      </c>
      <c r="L1505" s="1" t="s">
        <v>1658</v>
      </c>
      <c r="M1505" s="1" t="s">
        <v>1658</v>
      </c>
      <c r="N1505" s="1" t="s">
        <v>1658</v>
      </c>
      <c r="O1505" s="1" t="s">
        <v>1658</v>
      </c>
      <c r="P1505" s="1">
        <v>1</v>
      </c>
      <c r="Q1505" s="1" t="s">
        <v>1658</v>
      </c>
      <c r="R1505" s="1">
        <v>0</v>
      </c>
      <c r="S1505" s="1" t="s">
        <v>8432</v>
      </c>
      <c r="T1505" s="6"/>
      <c r="U1505" s="1" t="str">
        <f t="shared" si="23"/>
        <v>No</v>
      </c>
      <c r="W1505" s="1" t="s">
        <v>8433</v>
      </c>
      <c r="X1505" s="1" t="str">
        <f>IF(COUNTIF('MyWells Drilling Comp'!F:F,E1505)=0,"Missing","Exist")</f>
        <v>Exist</v>
      </c>
    </row>
    <row r="1506" hidden="1" spans="1:24">
      <c r="A1506" s="1" t="s">
        <v>5265</v>
      </c>
      <c r="B1506" s="1" t="s">
        <v>90</v>
      </c>
      <c r="C1506" s="1" t="s">
        <v>8434</v>
      </c>
      <c r="D1506" s="1" t="s">
        <v>8435</v>
      </c>
      <c r="E1506" s="2" t="s">
        <v>1122</v>
      </c>
      <c r="F1506" s="2" t="s">
        <v>8436</v>
      </c>
      <c r="G1506" s="1">
        <v>1</v>
      </c>
      <c r="H1506" s="1" t="s">
        <v>1656</v>
      </c>
      <c r="I1506" s="1" t="s">
        <v>1657</v>
      </c>
      <c r="J1506" s="1" t="s">
        <v>1658</v>
      </c>
      <c r="K1506" s="1" t="s">
        <v>1658</v>
      </c>
      <c r="L1506" s="1" t="s">
        <v>1658</v>
      </c>
      <c r="M1506" s="1" t="s">
        <v>1658</v>
      </c>
      <c r="N1506" s="1" t="s">
        <v>1658</v>
      </c>
      <c r="O1506" s="1" t="s">
        <v>1658</v>
      </c>
      <c r="P1506" s="1">
        <v>1</v>
      </c>
      <c r="Q1506" s="1" t="s">
        <v>1658</v>
      </c>
      <c r="R1506" s="1">
        <v>0</v>
      </c>
      <c r="S1506" s="1" t="s">
        <v>8437</v>
      </c>
      <c r="T1506" s="6"/>
      <c r="U1506" s="1" t="str">
        <f t="shared" si="23"/>
        <v>No</v>
      </c>
      <c r="W1506" s="1" t="s">
        <v>8438</v>
      </c>
      <c r="X1506" s="1" t="str">
        <f>IF(COUNTIF('MyWells Drilling Comp'!F:F,E1506)=0,"Missing","Exist")</f>
        <v>Exist</v>
      </c>
    </row>
    <row r="1507" hidden="1" spans="1:24">
      <c r="A1507" s="1" t="s">
        <v>5265</v>
      </c>
      <c r="B1507" s="1" t="s">
        <v>90</v>
      </c>
      <c r="C1507" s="1" t="s">
        <v>8439</v>
      </c>
      <c r="D1507" s="1" t="s">
        <v>8435</v>
      </c>
      <c r="E1507" s="2" t="s">
        <v>1122</v>
      </c>
      <c r="F1507" s="2" t="s">
        <v>8440</v>
      </c>
      <c r="G1507" s="1">
        <v>1</v>
      </c>
      <c r="H1507" s="1" t="s">
        <v>1663</v>
      </c>
      <c r="I1507" s="1" t="s">
        <v>1657</v>
      </c>
      <c r="J1507" s="1" t="s">
        <v>1658</v>
      </c>
      <c r="K1507" s="1" t="s">
        <v>1658</v>
      </c>
      <c r="L1507" s="1" t="s">
        <v>1658</v>
      </c>
      <c r="M1507" s="1" t="s">
        <v>1658</v>
      </c>
      <c r="N1507" s="1" t="s">
        <v>1658</v>
      </c>
      <c r="O1507" s="1" t="s">
        <v>1658</v>
      </c>
      <c r="P1507" s="1">
        <v>1</v>
      </c>
      <c r="Q1507" s="1" t="s">
        <v>1658</v>
      </c>
      <c r="R1507" s="1">
        <v>0</v>
      </c>
      <c r="S1507" s="1" t="s">
        <v>8441</v>
      </c>
      <c r="T1507" s="6" t="s">
        <v>8441</v>
      </c>
      <c r="U1507" s="1" t="str">
        <f t="shared" si="23"/>
        <v>Yes</v>
      </c>
      <c r="W1507" s="1" t="s">
        <v>8442</v>
      </c>
      <c r="X1507" s="1" t="str">
        <f>IF(COUNTIF('MyWells Drilling Comp'!F:F,E1507)=0,"Missing","Exist")</f>
        <v>Exist</v>
      </c>
    </row>
    <row r="1508" hidden="1" spans="1:24">
      <c r="A1508" s="1" t="s">
        <v>5265</v>
      </c>
      <c r="B1508" s="1" t="s">
        <v>90</v>
      </c>
      <c r="C1508" s="1" t="s">
        <v>8443</v>
      </c>
      <c r="D1508" s="1" t="s">
        <v>8444</v>
      </c>
      <c r="E1508" s="2" t="s">
        <v>1145</v>
      </c>
      <c r="F1508" s="2" t="s">
        <v>8445</v>
      </c>
      <c r="G1508" s="1">
        <v>1</v>
      </c>
      <c r="H1508" s="1" t="s">
        <v>1663</v>
      </c>
      <c r="I1508" s="1" t="s">
        <v>1657</v>
      </c>
      <c r="J1508" s="1" t="s">
        <v>1658</v>
      </c>
      <c r="K1508" s="1" t="s">
        <v>1658</v>
      </c>
      <c r="L1508" s="1" t="s">
        <v>1658</v>
      </c>
      <c r="M1508" s="1" t="s">
        <v>1658</v>
      </c>
      <c r="N1508" s="1" t="s">
        <v>1658</v>
      </c>
      <c r="O1508" s="1" t="s">
        <v>1658</v>
      </c>
      <c r="P1508" s="1">
        <v>1</v>
      </c>
      <c r="Q1508" s="1" t="s">
        <v>1658</v>
      </c>
      <c r="R1508" s="1">
        <v>0</v>
      </c>
      <c r="S1508" s="1" t="s">
        <v>8446</v>
      </c>
      <c r="T1508" s="6" t="s">
        <v>8446</v>
      </c>
      <c r="U1508" s="1" t="str">
        <f t="shared" si="23"/>
        <v>Yes</v>
      </c>
      <c r="W1508" s="1" t="s">
        <v>8447</v>
      </c>
      <c r="X1508" s="1" t="str">
        <f>IF(COUNTIF('MyWells Drilling Comp'!F:F,E1508)=0,"Missing","Exist")</f>
        <v>Exist</v>
      </c>
    </row>
    <row r="1509" hidden="1" spans="1:24">
      <c r="A1509" s="1" t="s">
        <v>5265</v>
      </c>
      <c r="B1509" s="1" t="s">
        <v>90</v>
      </c>
      <c r="C1509" s="1" t="s">
        <v>8448</v>
      </c>
      <c r="D1509" s="1" t="s">
        <v>8444</v>
      </c>
      <c r="E1509" s="2" t="s">
        <v>1145</v>
      </c>
      <c r="F1509" s="2" t="s">
        <v>8449</v>
      </c>
      <c r="G1509" s="1">
        <v>1</v>
      </c>
      <c r="H1509" s="1" t="s">
        <v>1656</v>
      </c>
      <c r="I1509" s="1" t="s">
        <v>1657</v>
      </c>
      <c r="J1509" s="1" t="s">
        <v>1658</v>
      </c>
      <c r="K1509" s="1" t="s">
        <v>1658</v>
      </c>
      <c r="L1509" s="1" t="s">
        <v>1658</v>
      </c>
      <c r="M1509" s="1" t="s">
        <v>1658</v>
      </c>
      <c r="N1509" s="1" t="s">
        <v>1658</v>
      </c>
      <c r="O1509" s="1" t="s">
        <v>1658</v>
      </c>
      <c r="P1509" s="1">
        <v>1</v>
      </c>
      <c r="Q1509" s="1" t="s">
        <v>1658</v>
      </c>
      <c r="R1509" s="1">
        <v>0</v>
      </c>
      <c r="S1509" s="1" t="s">
        <v>8450</v>
      </c>
      <c r="T1509" s="6" t="s">
        <v>8450</v>
      </c>
      <c r="U1509" s="1" t="str">
        <f t="shared" si="23"/>
        <v>Yes</v>
      </c>
      <c r="W1509" s="1" t="s">
        <v>8451</v>
      </c>
      <c r="X1509" s="1" t="str">
        <f>IF(COUNTIF('MyWells Drilling Comp'!F:F,E1509)=0,"Missing","Exist")</f>
        <v>Exist</v>
      </c>
    </row>
    <row r="1510" hidden="1" spans="1:24">
      <c r="A1510" s="1" t="s">
        <v>5265</v>
      </c>
      <c r="B1510" s="1" t="s">
        <v>90</v>
      </c>
      <c r="C1510" s="1" t="s">
        <v>8452</v>
      </c>
      <c r="D1510" s="1" t="s">
        <v>8453</v>
      </c>
      <c r="E1510" s="2" t="s">
        <v>996</v>
      </c>
      <c r="F1510" s="2" t="s">
        <v>8454</v>
      </c>
      <c r="G1510" s="1">
        <v>1</v>
      </c>
      <c r="H1510" s="1" t="s">
        <v>1663</v>
      </c>
      <c r="I1510" s="1" t="s">
        <v>1657</v>
      </c>
      <c r="J1510" s="1" t="s">
        <v>1658</v>
      </c>
      <c r="K1510" s="1" t="s">
        <v>1658</v>
      </c>
      <c r="L1510" s="1" t="s">
        <v>1658</v>
      </c>
      <c r="M1510" s="1" t="s">
        <v>1658</v>
      </c>
      <c r="N1510" s="1" t="s">
        <v>1658</v>
      </c>
      <c r="O1510" s="1" t="s">
        <v>1658</v>
      </c>
      <c r="P1510" s="1">
        <v>1</v>
      </c>
      <c r="Q1510" s="1" t="s">
        <v>1658</v>
      </c>
      <c r="R1510" s="1">
        <v>0</v>
      </c>
      <c r="S1510" s="1" t="s">
        <v>8455</v>
      </c>
      <c r="T1510" s="6" t="s">
        <v>8455</v>
      </c>
      <c r="U1510" s="1" t="str">
        <f t="shared" si="23"/>
        <v>Yes</v>
      </c>
      <c r="W1510" s="1" t="s">
        <v>8456</v>
      </c>
      <c r="X1510" s="1" t="str">
        <f>IF(COUNTIF('MyWells Drilling Comp'!F:F,E1510)=0,"Missing","Exist")</f>
        <v>Exist</v>
      </c>
    </row>
    <row r="1511" hidden="1" spans="1:24">
      <c r="A1511" s="1" t="s">
        <v>5265</v>
      </c>
      <c r="B1511" s="1" t="s">
        <v>90</v>
      </c>
      <c r="C1511" s="1" t="s">
        <v>8457</v>
      </c>
      <c r="D1511" s="1" t="s">
        <v>8453</v>
      </c>
      <c r="E1511" s="2" t="s">
        <v>996</v>
      </c>
      <c r="F1511" s="2" t="s">
        <v>8458</v>
      </c>
      <c r="G1511" s="1">
        <v>1</v>
      </c>
      <c r="H1511" s="1" t="s">
        <v>1656</v>
      </c>
      <c r="I1511" s="1" t="s">
        <v>1657</v>
      </c>
      <c r="J1511" s="1" t="s">
        <v>1658</v>
      </c>
      <c r="K1511" s="1" t="s">
        <v>1658</v>
      </c>
      <c r="L1511" s="1" t="s">
        <v>1658</v>
      </c>
      <c r="M1511" s="1" t="s">
        <v>1658</v>
      </c>
      <c r="N1511" s="1" t="s">
        <v>1658</v>
      </c>
      <c r="O1511" s="1" t="s">
        <v>1658</v>
      </c>
      <c r="P1511" s="1">
        <v>1</v>
      </c>
      <c r="Q1511" s="1" t="s">
        <v>1658</v>
      </c>
      <c r="R1511" s="1">
        <v>0</v>
      </c>
      <c r="S1511" s="1" t="s">
        <v>8459</v>
      </c>
      <c r="T1511" s="6" t="s">
        <v>8459</v>
      </c>
      <c r="U1511" s="1" t="str">
        <f t="shared" si="23"/>
        <v>Yes</v>
      </c>
      <c r="W1511" s="1" t="s">
        <v>8460</v>
      </c>
      <c r="X1511" s="1" t="str">
        <f>IF(COUNTIF('MyWells Drilling Comp'!F:F,E1511)=0,"Missing","Exist")</f>
        <v>Exist</v>
      </c>
    </row>
    <row r="1512" hidden="1" spans="1:24">
      <c r="A1512" s="1" t="s">
        <v>5265</v>
      </c>
      <c r="B1512" s="1" t="s">
        <v>90</v>
      </c>
      <c r="C1512" s="1" t="s">
        <v>8461</v>
      </c>
      <c r="D1512" s="1" t="s">
        <v>8462</v>
      </c>
      <c r="E1512" s="2" t="s">
        <v>1092</v>
      </c>
      <c r="F1512" s="2" t="s">
        <v>8463</v>
      </c>
      <c r="G1512" s="1">
        <v>1</v>
      </c>
      <c r="H1512" s="1" t="s">
        <v>1656</v>
      </c>
      <c r="I1512" s="1" t="s">
        <v>1657</v>
      </c>
      <c r="J1512" s="1" t="s">
        <v>1658</v>
      </c>
      <c r="K1512" s="1" t="s">
        <v>1658</v>
      </c>
      <c r="L1512" s="1" t="s">
        <v>1658</v>
      </c>
      <c r="M1512" s="1" t="s">
        <v>1658</v>
      </c>
      <c r="N1512" s="1" t="s">
        <v>1658</v>
      </c>
      <c r="O1512" s="1" t="s">
        <v>1658</v>
      </c>
      <c r="P1512" s="1">
        <v>1</v>
      </c>
      <c r="Q1512" s="1" t="s">
        <v>1658</v>
      </c>
      <c r="R1512" s="1">
        <v>0</v>
      </c>
      <c r="S1512" s="1" t="s">
        <v>8464</v>
      </c>
      <c r="T1512" s="6" t="s">
        <v>8464</v>
      </c>
      <c r="U1512" s="1" t="str">
        <f t="shared" si="23"/>
        <v>Yes</v>
      </c>
      <c r="W1512" s="1" t="s">
        <v>8465</v>
      </c>
      <c r="X1512" s="1" t="str">
        <f>IF(COUNTIF('MyWells Drilling Comp'!F:F,E1512)=0,"Missing","Exist")</f>
        <v>Exist</v>
      </c>
    </row>
    <row r="1513" hidden="1" spans="1:24">
      <c r="A1513" s="1" t="s">
        <v>5265</v>
      </c>
      <c r="B1513" s="1" t="s">
        <v>90</v>
      </c>
      <c r="C1513" s="1" t="s">
        <v>8466</v>
      </c>
      <c r="D1513" s="1" t="s">
        <v>8462</v>
      </c>
      <c r="E1513" s="2" t="s">
        <v>1092</v>
      </c>
      <c r="F1513" s="2" t="s">
        <v>8467</v>
      </c>
      <c r="G1513" s="1">
        <v>1</v>
      </c>
      <c r="H1513" s="1" t="s">
        <v>1663</v>
      </c>
      <c r="I1513" s="1" t="s">
        <v>1657</v>
      </c>
      <c r="J1513" s="1" t="s">
        <v>1658</v>
      </c>
      <c r="K1513" s="1" t="s">
        <v>1658</v>
      </c>
      <c r="L1513" s="1" t="s">
        <v>1658</v>
      </c>
      <c r="M1513" s="1" t="s">
        <v>1658</v>
      </c>
      <c r="N1513" s="1" t="s">
        <v>1658</v>
      </c>
      <c r="O1513" s="1" t="s">
        <v>1658</v>
      </c>
      <c r="P1513" s="1">
        <v>1</v>
      </c>
      <c r="Q1513" s="1" t="s">
        <v>1658</v>
      </c>
      <c r="R1513" s="1">
        <v>0</v>
      </c>
      <c r="S1513" s="1" t="s">
        <v>8468</v>
      </c>
      <c r="T1513" s="6" t="s">
        <v>8468</v>
      </c>
      <c r="U1513" s="1" t="str">
        <f t="shared" si="23"/>
        <v>Yes</v>
      </c>
      <c r="W1513" s="1" t="s">
        <v>8469</v>
      </c>
      <c r="X1513" s="1" t="str">
        <f>IF(COUNTIF('MyWells Drilling Comp'!F:F,E1513)=0,"Missing","Exist")</f>
        <v>Exist</v>
      </c>
    </row>
    <row r="1514" hidden="1" spans="1:24">
      <c r="A1514" s="1" t="s">
        <v>5265</v>
      </c>
      <c r="B1514" s="1" t="s">
        <v>90</v>
      </c>
      <c r="C1514" s="1" t="s">
        <v>8470</v>
      </c>
      <c r="D1514" s="1" t="s">
        <v>8471</v>
      </c>
      <c r="E1514" s="2" t="s">
        <v>562</v>
      </c>
      <c r="F1514" s="2" t="s">
        <v>8472</v>
      </c>
      <c r="G1514" s="1">
        <v>1</v>
      </c>
      <c r="H1514" s="1" t="s">
        <v>1663</v>
      </c>
      <c r="I1514" s="1" t="s">
        <v>1657</v>
      </c>
      <c r="J1514" s="1" t="s">
        <v>1658</v>
      </c>
      <c r="K1514" s="1" t="s">
        <v>1658</v>
      </c>
      <c r="L1514" s="1" t="s">
        <v>1658</v>
      </c>
      <c r="M1514" s="1" t="s">
        <v>1658</v>
      </c>
      <c r="N1514" s="1" t="s">
        <v>1658</v>
      </c>
      <c r="O1514" s="1" t="s">
        <v>1658</v>
      </c>
      <c r="P1514" s="1">
        <v>1</v>
      </c>
      <c r="Q1514" s="1" t="s">
        <v>1658</v>
      </c>
      <c r="R1514" s="1">
        <v>0</v>
      </c>
      <c r="S1514" s="1" t="s">
        <v>8473</v>
      </c>
      <c r="T1514" s="6" t="s">
        <v>8473</v>
      </c>
      <c r="U1514" s="1" t="str">
        <f t="shared" si="23"/>
        <v>Yes</v>
      </c>
      <c r="W1514" s="1" t="s">
        <v>8474</v>
      </c>
      <c r="X1514" s="1" t="str">
        <f>IF(COUNTIF('MyWells Drilling Comp'!F:F,E1514)=0,"Missing","Exist")</f>
        <v>Exist</v>
      </c>
    </row>
    <row r="1515" hidden="1" spans="1:24">
      <c r="A1515" s="1" t="s">
        <v>5265</v>
      </c>
      <c r="B1515" s="1" t="s">
        <v>90</v>
      </c>
      <c r="C1515" s="1" t="s">
        <v>8475</v>
      </c>
      <c r="D1515" s="1" t="s">
        <v>8471</v>
      </c>
      <c r="E1515" s="2" t="s">
        <v>562</v>
      </c>
      <c r="F1515" s="2" t="s">
        <v>8476</v>
      </c>
      <c r="G1515" s="1">
        <v>1</v>
      </c>
      <c r="H1515" s="1" t="s">
        <v>1656</v>
      </c>
      <c r="I1515" s="1" t="s">
        <v>1657</v>
      </c>
      <c r="J1515" s="1" t="s">
        <v>1658</v>
      </c>
      <c r="K1515" s="1" t="s">
        <v>1658</v>
      </c>
      <c r="L1515" s="1" t="s">
        <v>1658</v>
      </c>
      <c r="M1515" s="1" t="s">
        <v>1658</v>
      </c>
      <c r="N1515" s="1" t="s">
        <v>1658</v>
      </c>
      <c r="O1515" s="1" t="s">
        <v>1658</v>
      </c>
      <c r="P1515" s="1">
        <v>1</v>
      </c>
      <c r="Q1515" s="1" t="s">
        <v>1658</v>
      </c>
      <c r="R1515" s="1">
        <v>0</v>
      </c>
      <c r="S1515" s="1" t="s">
        <v>8477</v>
      </c>
      <c r="T1515" s="6" t="s">
        <v>8477</v>
      </c>
      <c r="U1515" s="1" t="str">
        <f t="shared" si="23"/>
        <v>Yes</v>
      </c>
      <c r="W1515" s="1" t="s">
        <v>8478</v>
      </c>
      <c r="X1515" s="1" t="str">
        <f>IF(COUNTIF('MyWells Drilling Comp'!F:F,E1515)=0,"Missing","Exist")</f>
        <v>Exist</v>
      </c>
    </row>
    <row r="1516" hidden="1" spans="1:24">
      <c r="A1516" s="1" t="s">
        <v>5265</v>
      </c>
      <c r="B1516" s="1" t="s">
        <v>90</v>
      </c>
      <c r="C1516" s="1" t="s">
        <v>8479</v>
      </c>
      <c r="D1516" s="1" t="s">
        <v>8480</v>
      </c>
      <c r="E1516" s="2" t="s">
        <v>1010</v>
      </c>
      <c r="F1516" s="2" t="s">
        <v>8481</v>
      </c>
      <c r="G1516" s="1">
        <v>1</v>
      </c>
      <c r="H1516" s="1" t="s">
        <v>1656</v>
      </c>
      <c r="I1516" s="1" t="s">
        <v>1657</v>
      </c>
      <c r="J1516" s="1" t="s">
        <v>1658</v>
      </c>
      <c r="K1516" s="1" t="s">
        <v>1658</v>
      </c>
      <c r="L1516" s="1" t="s">
        <v>1658</v>
      </c>
      <c r="M1516" s="1" t="s">
        <v>1658</v>
      </c>
      <c r="N1516" s="1" t="s">
        <v>1658</v>
      </c>
      <c r="O1516" s="1" t="s">
        <v>1658</v>
      </c>
      <c r="P1516" s="1">
        <v>1</v>
      </c>
      <c r="Q1516" s="1" t="s">
        <v>1658</v>
      </c>
      <c r="R1516" s="1">
        <v>0</v>
      </c>
      <c r="S1516" s="1" t="s">
        <v>8482</v>
      </c>
      <c r="T1516" s="6" t="s">
        <v>8482</v>
      </c>
      <c r="U1516" s="1" t="str">
        <f t="shared" si="23"/>
        <v>Yes</v>
      </c>
      <c r="W1516" s="1" t="s">
        <v>8483</v>
      </c>
      <c r="X1516" s="1" t="str">
        <f>IF(COUNTIF('MyWells Drilling Comp'!F:F,E1516)=0,"Missing","Exist")</f>
        <v>Exist</v>
      </c>
    </row>
    <row r="1517" hidden="1" spans="1:24">
      <c r="A1517" s="1" t="s">
        <v>5265</v>
      </c>
      <c r="B1517" s="1" t="s">
        <v>90</v>
      </c>
      <c r="C1517" s="1" t="s">
        <v>8484</v>
      </c>
      <c r="D1517" s="1" t="s">
        <v>8480</v>
      </c>
      <c r="E1517" s="2" t="s">
        <v>1010</v>
      </c>
      <c r="F1517" s="2" t="s">
        <v>8485</v>
      </c>
      <c r="G1517" s="1">
        <v>1</v>
      </c>
      <c r="H1517" s="1" t="s">
        <v>1663</v>
      </c>
      <c r="I1517" s="1" t="s">
        <v>1657</v>
      </c>
      <c r="J1517" s="1" t="s">
        <v>1658</v>
      </c>
      <c r="K1517" s="1" t="s">
        <v>1658</v>
      </c>
      <c r="L1517" s="1" t="s">
        <v>1658</v>
      </c>
      <c r="M1517" s="1" t="s">
        <v>1658</v>
      </c>
      <c r="N1517" s="1" t="s">
        <v>1658</v>
      </c>
      <c r="O1517" s="1" t="s">
        <v>1658</v>
      </c>
      <c r="P1517" s="1">
        <v>1</v>
      </c>
      <c r="Q1517" s="1" t="s">
        <v>1658</v>
      </c>
      <c r="R1517" s="1">
        <v>0</v>
      </c>
      <c r="S1517" s="1" t="s">
        <v>8486</v>
      </c>
      <c r="T1517" s="6" t="s">
        <v>8486</v>
      </c>
      <c r="U1517" s="1" t="str">
        <f t="shared" si="23"/>
        <v>Yes</v>
      </c>
      <c r="W1517" s="1" t="s">
        <v>8487</v>
      </c>
      <c r="X1517" s="1" t="str">
        <f>IF(COUNTIF('MyWells Drilling Comp'!F:F,E1517)=0,"Missing","Exist")</f>
        <v>Exist</v>
      </c>
    </row>
    <row r="1518" hidden="1" spans="1:24">
      <c r="A1518" s="1" t="s">
        <v>5265</v>
      </c>
      <c r="B1518" s="1" t="s">
        <v>90</v>
      </c>
      <c r="C1518" s="1" t="s">
        <v>8488</v>
      </c>
      <c r="D1518" s="1" t="s">
        <v>8489</v>
      </c>
      <c r="E1518" s="2" t="s">
        <v>1543</v>
      </c>
      <c r="F1518" s="2" t="s">
        <v>8490</v>
      </c>
      <c r="G1518" s="1">
        <v>1</v>
      </c>
      <c r="H1518" s="1" t="s">
        <v>1656</v>
      </c>
      <c r="I1518" s="1" t="s">
        <v>1657</v>
      </c>
      <c r="J1518" s="1" t="s">
        <v>1658</v>
      </c>
      <c r="K1518" s="1" t="s">
        <v>1658</v>
      </c>
      <c r="L1518" s="1" t="s">
        <v>1658</v>
      </c>
      <c r="M1518" s="1" t="s">
        <v>1658</v>
      </c>
      <c r="N1518" s="1" t="s">
        <v>1658</v>
      </c>
      <c r="O1518" s="1" t="s">
        <v>1658</v>
      </c>
      <c r="P1518" s="1">
        <v>1</v>
      </c>
      <c r="Q1518" s="1" t="s">
        <v>1658</v>
      </c>
      <c r="R1518" s="1">
        <v>0</v>
      </c>
      <c r="S1518" s="1" t="s">
        <v>8491</v>
      </c>
      <c r="T1518" s="6"/>
      <c r="U1518" s="1" t="str">
        <f t="shared" si="23"/>
        <v>No</v>
      </c>
      <c r="W1518" s="1" t="s">
        <v>8492</v>
      </c>
      <c r="X1518" s="1" t="str">
        <f>IF(COUNTIF('MyWells Drilling Comp'!F:F,E1518)=0,"Missing","Exist")</f>
        <v>Exist</v>
      </c>
    </row>
    <row r="1519" hidden="1" spans="1:24">
      <c r="A1519" s="1" t="s">
        <v>5265</v>
      </c>
      <c r="B1519" s="1" t="s">
        <v>90</v>
      </c>
      <c r="C1519" s="1" t="s">
        <v>8493</v>
      </c>
      <c r="D1519" s="1" t="s">
        <v>8489</v>
      </c>
      <c r="E1519" s="2" t="s">
        <v>1543</v>
      </c>
      <c r="F1519" s="2" t="s">
        <v>8494</v>
      </c>
      <c r="G1519" s="1">
        <v>1</v>
      </c>
      <c r="H1519" s="1" t="s">
        <v>1663</v>
      </c>
      <c r="I1519" s="1" t="s">
        <v>1657</v>
      </c>
      <c r="J1519" s="1" t="s">
        <v>1658</v>
      </c>
      <c r="K1519" s="1" t="s">
        <v>1658</v>
      </c>
      <c r="L1519" s="1" t="s">
        <v>1658</v>
      </c>
      <c r="M1519" s="1" t="s">
        <v>1658</v>
      </c>
      <c r="N1519" s="1" t="s">
        <v>1658</v>
      </c>
      <c r="O1519" s="1" t="s">
        <v>1658</v>
      </c>
      <c r="P1519" s="1">
        <v>1</v>
      </c>
      <c r="Q1519" s="1" t="s">
        <v>1658</v>
      </c>
      <c r="R1519" s="1">
        <v>0</v>
      </c>
      <c r="S1519" s="1" t="s">
        <v>8495</v>
      </c>
      <c r="T1519" s="6" t="s">
        <v>8495</v>
      </c>
      <c r="U1519" s="1" t="str">
        <f t="shared" si="23"/>
        <v>Yes</v>
      </c>
      <c r="W1519" s="1" t="s">
        <v>8496</v>
      </c>
      <c r="X1519" s="1" t="str">
        <f>IF(COUNTIF('MyWells Drilling Comp'!F:F,E1519)=0,"Missing","Exist")</f>
        <v>Exist</v>
      </c>
    </row>
    <row r="1520" hidden="1" spans="1:24">
      <c r="A1520" s="1" t="s">
        <v>3044</v>
      </c>
      <c r="B1520" s="1" t="s">
        <v>90</v>
      </c>
      <c r="C1520" s="1" t="s">
        <v>8497</v>
      </c>
      <c r="D1520" s="1" t="s">
        <v>8498</v>
      </c>
      <c r="E1520" s="2" t="s">
        <v>1210</v>
      </c>
      <c r="F1520" s="2" t="s">
        <v>8499</v>
      </c>
      <c r="G1520" s="1">
        <v>1</v>
      </c>
      <c r="H1520" s="1" t="s">
        <v>1663</v>
      </c>
      <c r="I1520" s="1" t="s">
        <v>1657</v>
      </c>
      <c r="J1520" s="1" t="s">
        <v>1658</v>
      </c>
      <c r="K1520" s="1" t="s">
        <v>1658</v>
      </c>
      <c r="L1520" s="1" t="s">
        <v>1658</v>
      </c>
      <c r="M1520" s="1" t="s">
        <v>1658</v>
      </c>
      <c r="N1520" s="1" t="s">
        <v>1658</v>
      </c>
      <c r="O1520" s="1" t="s">
        <v>1658</v>
      </c>
      <c r="P1520" s="1">
        <v>1</v>
      </c>
      <c r="Q1520" s="1" t="s">
        <v>1658</v>
      </c>
      <c r="R1520" s="1">
        <v>0</v>
      </c>
      <c r="S1520" s="1" t="s">
        <v>8500</v>
      </c>
      <c r="T1520" s="6"/>
      <c r="U1520" s="1" t="str">
        <f t="shared" si="23"/>
        <v>No</v>
      </c>
      <c r="W1520" s="1" t="s">
        <v>8501</v>
      </c>
      <c r="X1520" s="1" t="str">
        <f>IF(COUNTIF('MyWells Drilling Comp'!F:F,E1520)=0,"Missing","Exist")</f>
        <v>Exist</v>
      </c>
    </row>
    <row r="1521" hidden="1" spans="1:24">
      <c r="A1521" s="1" t="s">
        <v>5265</v>
      </c>
      <c r="B1521" s="1" t="s">
        <v>90</v>
      </c>
      <c r="C1521" s="1" t="s">
        <v>8502</v>
      </c>
      <c r="D1521" s="1" t="s">
        <v>8498</v>
      </c>
      <c r="E1521" s="2" t="s">
        <v>1210</v>
      </c>
      <c r="F1521" s="2" t="s">
        <v>8503</v>
      </c>
      <c r="G1521" s="1">
        <v>1</v>
      </c>
      <c r="H1521" s="1" t="s">
        <v>1656</v>
      </c>
      <c r="I1521" s="1" t="s">
        <v>1657</v>
      </c>
      <c r="J1521" s="1" t="s">
        <v>1658</v>
      </c>
      <c r="K1521" s="1" t="s">
        <v>1658</v>
      </c>
      <c r="L1521" s="1" t="s">
        <v>1658</v>
      </c>
      <c r="M1521" s="1" t="s">
        <v>1658</v>
      </c>
      <c r="N1521" s="1" t="s">
        <v>1658</v>
      </c>
      <c r="O1521" s="1" t="s">
        <v>1658</v>
      </c>
      <c r="P1521" s="1">
        <v>1</v>
      </c>
      <c r="Q1521" s="1" t="s">
        <v>1658</v>
      </c>
      <c r="R1521" s="1">
        <v>0</v>
      </c>
      <c r="S1521" s="1" t="s">
        <v>8504</v>
      </c>
      <c r="T1521" s="6" t="s">
        <v>8504</v>
      </c>
      <c r="U1521" s="1" t="str">
        <f t="shared" si="23"/>
        <v>Yes</v>
      </c>
      <c r="W1521" s="1" t="s">
        <v>8505</v>
      </c>
      <c r="X1521" s="1" t="str">
        <f>IF(COUNTIF('MyWells Drilling Comp'!F:F,E1521)=0,"Missing","Exist")</f>
        <v>Exist</v>
      </c>
    </row>
    <row r="1522" hidden="1" spans="1:24">
      <c r="A1522" s="1" t="s">
        <v>5265</v>
      </c>
      <c r="B1522" s="1" t="s">
        <v>90</v>
      </c>
      <c r="C1522" s="1" t="s">
        <v>8506</v>
      </c>
      <c r="D1522" s="1" t="s">
        <v>8507</v>
      </c>
      <c r="E1522" s="2" t="s">
        <v>1150</v>
      </c>
      <c r="F1522" s="2" t="s">
        <v>8508</v>
      </c>
      <c r="G1522" s="1">
        <v>1</v>
      </c>
      <c r="H1522" s="1" t="s">
        <v>1663</v>
      </c>
      <c r="I1522" s="1" t="s">
        <v>1657</v>
      </c>
      <c r="J1522" s="1" t="s">
        <v>1658</v>
      </c>
      <c r="K1522" s="1" t="s">
        <v>1658</v>
      </c>
      <c r="L1522" s="1" t="s">
        <v>1658</v>
      </c>
      <c r="M1522" s="1" t="s">
        <v>1658</v>
      </c>
      <c r="N1522" s="1" t="s">
        <v>1658</v>
      </c>
      <c r="O1522" s="1" t="s">
        <v>1658</v>
      </c>
      <c r="P1522" s="1">
        <v>1</v>
      </c>
      <c r="Q1522" s="1" t="s">
        <v>1658</v>
      </c>
      <c r="R1522" s="1">
        <v>0</v>
      </c>
      <c r="S1522" s="1" t="s">
        <v>8509</v>
      </c>
      <c r="T1522" s="6" t="s">
        <v>8509</v>
      </c>
      <c r="U1522" s="1" t="str">
        <f t="shared" si="23"/>
        <v>Yes</v>
      </c>
      <c r="W1522" s="1" t="s">
        <v>8510</v>
      </c>
      <c r="X1522" s="1" t="str">
        <f>IF(COUNTIF('MyWells Drilling Comp'!F:F,E1522)=0,"Missing","Exist")</f>
        <v>Exist</v>
      </c>
    </row>
    <row r="1523" hidden="1" spans="1:24">
      <c r="A1523" s="1" t="s">
        <v>5265</v>
      </c>
      <c r="B1523" s="1" t="s">
        <v>90</v>
      </c>
      <c r="C1523" s="1" t="s">
        <v>8511</v>
      </c>
      <c r="D1523" s="1" t="s">
        <v>8507</v>
      </c>
      <c r="E1523" s="2" t="s">
        <v>1150</v>
      </c>
      <c r="F1523" s="2" t="s">
        <v>8512</v>
      </c>
      <c r="G1523" s="1">
        <v>1</v>
      </c>
      <c r="H1523" s="1" t="s">
        <v>1656</v>
      </c>
      <c r="I1523" s="1" t="s">
        <v>1657</v>
      </c>
      <c r="J1523" s="1" t="s">
        <v>1658</v>
      </c>
      <c r="K1523" s="1" t="s">
        <v>1658</v>
      </c>
      <c r="L1523" s="1" t="s">
        <v>1658</v>
      </c>
      <c r="M1523" s="1" t="s">
        <v>1658</v>
      </c>
      <c r="N1523" s="1" t="s">
        <v>1658</v>
      </c>
      <c r="O1523" s="1" t="s">
        <v>1658</v>
      </c>
      <c r="P1523" s="1">
        <v>1</v>
      </c>
      <c r="Q1523" s="1" t="s">
        <v>1658</v>
      </c>
      <c r="R1523" s="1">
        <v>0</v>
      </c>
      <c r="S1523" s="1" t="s">
        <v>8513</v>
      </c>
      <c r="T1523" s="6" t="s">
        <v>8513</v>
      </c>
      <c r="U1523" s="1" t="str">
        <f t="shared" si="23"/>
        <v>Yes</v>
      </c>
      <c r="W1523" s="1" t="s">
        <v>8514</v>
      </c>
      <c r="X1523" s="1" t="str">
        <f>IF(COUNTIF('MyWells Drilling Comp'!F:F,E1523)=0,"Missing","Exist")</f>
        <v>Exist</v>
      </c>
    </row>
    <row r="1524" hidden="1" spans="1:24">
      <c r="A1524" s="1" t="s">
        <v>3044</v>
      </c>
      <c r="B1524" s="1" t="s">
        <v>90</v>
      </c>
      <c r="C1524" s="1" t="s">
        <v>8515</v>
      </c>
      <c r="D1524" s="1" t="s">
        <v>8516</v>
      </c>
      <c r="E1524" s="2" t="s">
        <v>736</v>
      </c>
      <c r="F1524" s="2" t="s">
        <v>8517</v>
      </c>
      <c r="G1524" s="1">
        <v>1</v>
      </c>
      <c r="H1524" s="1" t="s">
        <v>1663</v>
      </c>
      <c r="I1524" s="1" t="s">
        <v>1657</v>
      </c>
      <c r="J1524" s="1" t="s">
        <v>1658</v>
      </c>
      <c r="K1524" s="1" t="s">
        <v>1658</v>
      </c>
      <c r="L1524" s="1" t="s">
        <v>1658</v>
      </c>
      <c r="M1524" s="1" t="s">
        <v>1658</v>
      </c>
      <c r="N1524" s="1" t="s">
        <v>1658</v>
      </c>
      <c r="O1524" s="1" t="s">
        <v>1658</v>
      </c>
      <c r="P1524" s="1">
        <v>1</v>
      </c>
      <c r="Q1524" s="1" t="s">
        <v>1658</v>
      </c>
      <c r="R1524" s="1">
        <v>0</v>
      </c>
      <c r="S1524" s="1" t="s">
        <v>8518</v>
      </c>
      <c r="T1524" s="6"/>
      <c r="U1524" s="1" t="str">
        <f t="shared" si="23"/>
        <v>No</v>
      </c>
      <c r="W1524" s="1" t="s">
        <v>8519</v>
      </c>
      <c r="X1524" s="1" t="str">
        <f>IF(COUNTIF('MyWells Drilling Comp'!F:F,E1524)=0,"Missing","Exist")</f>
        <v>Exist</v>
      </c>
    </row>
    <row r="1525" hidden="1" spans="1:24">
      <c r="A1525" s="1" t="s">
        <v>3044</v>
      </c>
      <c r="B1525" s="1" t="s">
        <v>90</v>
      </c>
      <c r="C1525" s="1" t="s">
        <v>8520</v>
      </c>
      <c r="D1525" s="1" t="s">
        <v>8516</v>
      </c>
      <c r="E1525" s="2" t="s">
        <v>736</v>
      </c>
      <c r="F1525" s="2" t="s">
        <v>8521</v>
      </c>
      <c r="G1525" s="1">
        <v>1</v>
      </c>
      <c r="H1525" s="1" t="s">
        <v>1656</v>
      </c>
      <c r="I1525" s="1" t="s">
        <v>1657</v>
      </c>
      <c r="J1525" s="1" t="s">
        <v>1658</v>
      </c>
      <c r="K1525" s="1" t="s">
        <v>1658</v>
      </c>
      <c r="L1525" s="1" t="s">
        <v>1658</v>
      </c>
      <c r="M1525" s="1" t="s">
        <v>1658</v>
      </c>
      <c r="N1525" s="1" t="s">
        <v>1658</v>
      </c>
      <c r="O1525" s="1" t="s">
        <v>1658</v>
      </c>
      <c r="P1525" s="1">
        <v>1</v>
      </c>
      <c r="Q1525" s="1" t="s">
        <v>1658</v>
      </c>
      <c r="R1525" s="1">
        <v>0</v>
      </c>
      <c r="S1525" s="1" t="s">
        <v>1804</v>
      </c>
      <c r="T1525" s="6"/>
      <c r="U1525" s="1" t="str">
        <f t="shared" si="23"/>
        <v>No</v>
      </c>
      <c r="W1525" s="1" t="s">
        <v>8522</v>
      </c>
      <c r="X1525" s="1" t="str">
        <f>IF(COUNTIF('MyWells Drilling Comp'!F:F,E1525)=0,"Missing","Exist")</f>
        <v>Exist</v>
      </c>
    </row>
    <row r="1526" hidden="1" spans="1:24">
      <c r="A1526" s="1" t="s">
        <v>5265</v>
      </c>
      <c r="B1526" s="1" t="s">
        <v>90</v>
      </c>
      <c r="C1526" s="1" t="s">
        <v>8523</v>
      </c>
      <c r="D1526" s="1" t="s">
        <v>8524</v>
      </c>
      <c r="E1526" s="2" t="s">
        <v>979</v>
      </c>
      <c r="F1526" s="2" t="s">
        <v>8525</v>
      </c>
      <c r="G1526" s="1">
        <v>1</v>
      </c>
      <c r="H1526" s="1" t="s">
        <v>1663</v>
      </c>
      <c r="I1526" s="1" t="s">
        <v>1657</v>
      </c>
      <c r="J1526" s="1" t="s">
        <v>1658</v>
      </c>
      <c r="K1526" s="1" t="s">
        <v>1658</v>
      </c>
      <c r="L1526" s="1" t="s">
        <v>1658</v>
      </c>
      <c r="M1526" s="1" t="s">
        <v>1658</v>
      </c>
      <c r="N1526" s="1" t="s">
        <v>1658</v>
      </c>
      <c r="O1526" s="1" t="s">
        <v>1658</v>
      </c>
      <c r="P1526" s="1">
        <v>1</v>
      </c>
      <c r="Q1526" s="1" t="s">
        <v>1658</v>
      </c>
      <c r="R1526" s="1">
        <v>0</v>
      </c>
      <c r="S1526" s="1" t="s">
        <v>8526</v>
      </c>
      <c r="T1526" s="6" t="s">
        <v>8526</v>
      </c>
      <c r="U1526" s="1" t="str">
        <f t="shared" si="23"/>
        <v>Yes</v>
      </c>
      <c r="W1526" s="1" t="s">
        <v>8527</v>
      </c>
      <c r="X1526" s="1" t="str">
        <f>IF(COUNTIF('MyWells Drilling Comp'!F:F,E1526)=0,"Missing","Exist")</f>
        <v>Exist</v>
      </c>
    </row>
    <row r="1527" hidden="1" spans="1:24">
      <c r="A1527" s="1" t="s">
        <v>5265</v>
      </c>
      <c r="B1527" s="1" t="s">
        <v>90</v>
      </c>
      <c r="C1527" s="1" t="s">
        <v>8528</v>
      </c>
      <c r="D1527" s="1" t="s">
        <v>8524</v>
      </c>
      <c r="E1527" s="2" t="s">
        <v>979</v>
      </c>
      <c r="F1527" s="2" t="s">
        <v>8529</v>
      </c>
      <c r="G1527" s="1">
        <v>1</v>
      </c>
      <c r="H1527" s="1" t="s">
        <v>1656</v>
      </c>
      <c r="I1527" s="1" t="s">
        <v>1657</v>
      </c>
      <c r="J1527" s="1" t="s">
        <v>1658</v>
      </c>
      <c r="K1527" s="1" t="s">
        <v>1658</v>
      </c>
      <c r="L1527" s="1" t="s">
        <v>1658</v>
      </c>
      <c r="M1527" s="1" t="s">
        <v>1658</v>
      </c>
      <c r="N1527" s="1" t="s">
        <v>1658</v>
      </c>
      <c r="O1527" s="1" t="s">
        <v>1658</v>
      </c>
      <c r="P1527" s="1">
        <v>1</v>
      </c>
      <c r="Q1527" s="1" t="s">
        <v>1658</v>
      </c>
      <c r="R1527" s="1">
        <v>0</v>
      </c>
      <c r="S1527" s="1" t="s">
        <v>8530</v>
      </c>
      <c r="T1527" s="6" t="s">
        <v>8530</v>
      </c>
      <c r="U1527" s="1" t="str">
        <f t="shared" si="23"/>
        <v>Yes</v>
      </c>
      <c r="W1527" s="1" t="s">
        <v>8531</v>
      </c>
      <c r="X1527" s="1" t="str">
        <f>IF(COUNTIF('MyWells Drilling Comp'!F:F,E1527)=0,"Missing","Exist")</f>
        <v>Exist</v>
      </c>
    </row>
    <row r="1528" spans="1:24">
      <c r="A1528" s="1" t="s">
        <v>5265</v>
      </c>
      <c r="B1528" s="1" t="s">
        <v>90</v>
      </c>
      <c r="C1528" s="1" t="s">
        <v>8532</v>
      </c>
      <c r="D1528" s="1" t="s">
        <v>8533</v>
      </c>
      <c r="E1528" s="2" t="s">
        <v>8534</v>
      </c>
      <c r="F1528" s="2" t="s">
        <v>8535</v>
      </c>
      <c r="G1528" s="1">
        <v>1</v>
      </c>
      <c r="H1528" s="1" t="s">
        <v>1663</v>
      </c>
      <c r="I1528" s="1" t="s">
        <v>1657</v>
      </c>
      <c r="J1528" s="1" t="s">
        <v>1658</v>
      </c>
      <c r="K1528" s="1" t="s">
        <v>1658</v>
      </c>
      <c r="L1528" s="1" t="s">
        <v>1658</v>
      </c>
      <c r="M1528" s="1" t="s">
        <v>1658</v>
      </c>
      <c r="N1528" s="1" t="s">
        <v>1658</v>
      </c>
      <c r="O1528" s="1" t="s">
        <v>1658</v>
      </c>
      <c r="P1528" s="1">
        <v>1</v>
      </c>
      <c r="Q1528" s="1" t="s">
        <v>1658</v>
      </c>
      <c r="R1528" s="1">
        <v>0</v>
      </c>
      <c r="S1528" s="1" t="s">
        <v>8536</v>
      </c>
      <c r="T1528" s="6" t="s">
        <v>8536</v>
      </c>
      <c r="U1528" s="1" t="str">
        <f t="shared" si="23"/>
        <v>Yes</v>
      </c>
      <c r="W1528" s="1" t="s">
        <v>8537</v>
      </c>
      <c r="X1528" s="1" t="str">
        <f>IF(COUNTIF('MyWells Drilling Comp'!F:F,E1528)=0,"Missing","Exist")</f>
        <v>Missing</v>
      </c>
    </row>
    <row r="1529" hidden="1" spans="1:24">
      <c r="A1529" s="1" t="s">
        <v>5265</v>
      </c>
      <c r="B1529" s="1" t="s">
        <v>90</v>
      </c>
      <c r="C1529" s="1" t="s">
        <v>8538</v>
      </c>
      <c r="D1529" s="1" t="s">
        <v>8533</v>
      </c>
      <c r="E1529" s="2" t="s">
        <v>8534</v>
      </c>
      <c r="F1529" s="2" t="s">
        <v>8539</v>
      </c>
      <c r="G1529" s="1">
        <v>1</v>
      </c>
      <c r="H1529" s="1" t="s">
        <v>1656</v>
      </c>
      <c r="I1529" s="1" t="s">
        <v>1657</v>
      </c>
      <c r="J1529" s="1" t="s">
        <v>1658</v>
      </c>
      <c r="K1529" s="1" t="s">
        <v>1658</v>
      </c>
      <c r="L1529" s="1" t="s">
        <v>1658</v>
      </c>
      <c r="M1529" s="1" t="s">
        <v>1658</v>
      </c>
      <c r="N1529" s="1" t="s">
        <v>1658</v>
      </c>
      <c r="O1529" s="1" t="s">
        <v>1658</v>
      </c>
      <c r="P1529" s="1">
        <v>1</v>
      </c>
      <c r="Q1529" s="1" t="s">
        <v>1658</v>
      </c>
      <c r="R1529" s="1">
        <v>0</v>
      </c>
      <c r="S1529" s="1" t="s">
        <v>4682</v>
      </c>
      <c r="T1529" s="6" t="s">
        <v>4683</v>
      </c>
      <c r="U1529" s="1" t="str">
        <f t="shared" si="23"/>
        <v>No</v>
      </c>
      <c r="W1529" s="1" t="s">
        <v>8540</v>
      </c>
      <c r="X1529" s="1" t="str">
        <f>IF(COUNTIF('MyWells Drilling Comp'!F:F,E1529)=0,"Missing","Exist")</f>
        <v>Missing</v>
      </c>
    </row>
    <row r="1530" hidden="1" spans="1:24">
      <c r="A1530" s="1" t="s">
        <v>3044</v>
      </c>
      <c r="B1530" s="1" t="s">
        <v>90</v>
      </c>
      <c r="C1530" s="1" t="s">
        <v>8541</v>
      </c>
      <c r="D1530" s="1" t="s">
        <v>8542</v>
      </c>
      <c r="E1530" s="2" t="s">
        <v>1221</v>
      </c>
      <c r="F1530" s="2" t="s">
        <v>8543</v>
      </c>
      <c r="G1530" s="1">
        <v>1</v>
      </c>
      <c r="H1530" s="1" t="s">
        <v>1656</v>
      </c>
      <c r="I1530" s="1" t="s">
        <v>1657</v>
      </c>
      <c r="J1530" s="1" t="s">
        <v>1658</v>
      </c>
      <c r="K1530" s="1" t="s">
        <v>1658</v>
      </c>
      <c r="L1530" s="1" t="s">
        <v>1658</v>
      </c>
      <c r="M1530" s="1" t="s">
        <v>1658</v>
      </c>
      <c r="N1530" s="1" t="s">
        <v>1658</v>
      </c>
      <c r="O1530" s="1" t="s">
        <v>1658</v>
      </c>
      <c r="P1530" s="1">
        <v>1</v>
      </c>
      <c r="Q1530" s="1" t="s">
        <v>1658</v>
      </c>
      <c r="R1530" s="1">
        <v>0</v>
      </c>
      <c r="S1530" s="1" t="s">
        <v>3048</v>
      </c>
      <c r="T1530" s="6"/>
      <c r="U1530" s="1" t="str">
        <f t="shared" si="23"/>
        <v>No</v>
      </c>
      <c r="W1530" s="1" t="s">
        <v>8544</v>
      </c>
      <c r="X1530" s="1" t="str">
        <f>IF(COUNTIF('MyWells Drilling Comp'!F:F,E1530)=0,"Missing","Exist")</f>
        <v>Exist</v>
      </c>
    </row>
    <row r="1531" hidden="1" spans="1:24">
      <c r="A1531" s="1" t="s">
        <v>5265</v>
      </c>
      <c r="B1531" s="1" t="s">
        <v>90</v>
      </c>
      <c r="C1531" s="1" t="s">
        <v>8545</v>
      </c>
      <c r="D1531" s="1" t="s">
        <v>8542</v>
      </c>
      <c r="E1531" s="2" t="s">
        <v>1221</v>
      </c>
      <c r="F1531" s="2" t="s">
        <v>8546</v>
      </c>
      <c r="G1531" s="1">
        <v>1</v>
      </c>
      <c r="H1531" s="1" t="s">
        <v>1663</v>
      </c>
      <c r="I1531" s="1" t="s">
        <v>1657</v>
      </c>
      <c r="J1531" s="1" t="s">
        <v>1658</v>
      </c>
      <c r="K1531" s="1" t="s">
        <v>1658</v>
      </c>
      <c r="L1531" s="1" t="s">
        <v>1658</v>
      </c>
      <c r="M1531" s="1" t="s">
        <v>1658</v>
      </c>
      <c r="N1531" s="1" t="s">
        <v>1658</v>
      </c>
      <c r="O1531" s="1" t="s">
        <v>1658</v>
      </c>
      <c r="P1531" s="1">
        <v>1</v>
      </c>
      <c r="Q1531" s="1" t="s">
        <v>1658</v>
      </c>
      <c r="R1531" s="1">
        <v>0</v>
      </c>
      <c r="S1531" s="1" t="s">
        <v>8547</v>
      </c>
      <c r="T1531" s="6" t="s">
        <v>8547</v>
      </c>
      <c r="U1531" s="1" t="str">
        <f t="shared" si="23"/>
        <v>Yes</v>
      </c>
      <c r="W1531" s="1" t="s">
        <v>8548</v>
      </c>
      <c r="X1531" s="1" t="str">
        <f>IF(COUNTIF('MyWells Drilling Comp'!F:F,E1531)=0,"Missing","Exist")</f>
        <v>Exist</v>
      </c>
    </row>
    <row r="1532" hidden="1" spans="1:24">
      <c r="A1532" s="1" t="s">
        <v>5265</v>
      </c>
      <c r="B1532" s="1" t="s">
        <v>90</v>
      </c>
      <c r="C1532" s="1" t="s">
        <v>8549</v>
      </c>
      <c r="D1532" s="1" t="s">
        <v>8550</v>
      </c>
      <c r="E1532" s="2" t="s">
        <v>951</v>
      </c>
      <c r="F1532" s="2" t="s">
        <v>8551</v>
      </c>
      <c r="G1532" s="1">
        <v>1</v>
      </c>
      <c r="H1532" s="1" t="s">
        <v>1656</v>
      </c>
      <c r="I1532" s="1" t="s">
        <v>1657</v>
      </c>
      <c r="J1532" s="1" t="s">
        <v>1658</v>
      </c>
      <c r="K1532" s="1" t="s">
        <v>1658</v>
      </c>
      <c r="L1532" s="1" t="s">
        <v>1658</v>
      </c>
      <c r="M1532" s="1" t="s">
        <v>1658</v>
      </c>
      <c r="N1532" s="1" t="s">
        <v>1658</v>
      </c>
      <c r="O1532" s="1" t="s">
        <v>1658</v>
      </c>
      <c r="P1532" s="1">
        <v>1</v>
      </c>
      <c r="Q1532" s="1" t="s">
        <v>1658</v>
      </c>
      <c r="R1532" s="1">
        <v>0</v>
      </c>
      <c r="S1532" s="1" t="s">
        <v>6202</v>
      </c>
      <c r="T1532" s="6"/>
      <c r="U1532" s="1" t="str">
        <f t="shared" si="23"/>
        <v>No</v>
      </c>
      <c r="W1532" s="1" t="s">
        <v>8552</v>
      </c>
      <c r="X1532" s="1" t="str">
        <f>IF(COUNTIF('MyWells Drilling Comp'!F:F,E1532)=0,"Missing","Exist")</f>
        <v>Exist</v>
      </c>
    </row>
    <row r="1533" hidden="1" spans="1:24">
      <c r="A1533" s="1" t="s">
        <v>5265</v>
      </c>
      <c r="B1533" s="1" t="s">
        <v>90</v>
      </c>
      <c r="C1533" s="1" t="s">
        <v>8553</v>
      </c>
      <c r="D1533" s="1" t="s">
        <v>8550</v>
      </c>
      <c r="E1533" s="2" t="s">
        <v>951</v>
      </c>
      <c r="F1533" s="2" t="s">
        <v>8554</v>
      </c>
      <c r="G1533" s="1">
        <v>1</v>
      </c>
      <c r="H1533" s="1" t="s">
        <v>1663</v>
      </c>
      <c r="I1533" s="1" t="s">
        <v>1657</v>
      </c>
      <c r="J1533" s="1" t="s">
        <v>1658</v>
      </c>
      <c r="K1533" s="1" t="s">
        <v>1658</v>
      </c>
      <c r="L1533" s="1" t="s">
        <v>1658</v>
      </c>
      <c r="M1533" s="1" t="s">
        <v>1658</v>
      </c>
      <c r="N1533" s="1" t="s">
        <v>1658</v>
      </c>
      <c r="O1533" s="1" t="s">
        <v>1658</v>
      </c>
      <c r="P1533" s="1">
        <v>1</v>
      </c>
      <c r="Q1533" s="1" t="s">
        <v>1658</v>
      </c>
      <c r="R1533" s="1">
        <v>0</v>
      </c>
      <c r="S1533" s="1" t="s">
        <v>8555</v>
      </c>
      <c r="T1533" s="6" t="s">
        <v>8555</v>
      </c>
      <c r="U1533" s="1" t="str">
        <f t="shared" si="23"/>
        <v>Yes</v>
      </c>
      <c r="W1533" s="1" t="s">
        <v>8556</v>
      </c>
      <c r="X1533" s="1" t="str">
        <f>IF(COUNTIF('MyWells Drilling Comp'!F:F,E1533)=0,"Missing","Exist")</f>
        <v>Exist</v>
      </c>
    </row>
    <row r="1534" hidden="1" spans="1:24">
      <c r="A1534" s="1" t="s">
        <v>5265</v>
      </c>
      <c r="B1534" s="1" t="s">
        <v>90</v>
      </c>
      <c r="C1534" s="1" t="s">
        <v>8557</v>
      </c>
      <c r="D1534" s="1" t="s">
        <v>8558</v>
      </c>
      <c r="E1534" s="2" t="s">
        <v>1045</v>
      </c>
      <c r="F1534" s="2" t="s">
        <v>8559</v>
      </c>
      <c r="G1534" s="1">
        <v>1</v>
      </c>
      <c r="H1534" s="1" t="s">
        <v>1656</v>
      </c>
      <c r="I1534" s="1" t="s">
        <v>1657</v>
      </c>
      <c r="J1534" s="1" t="s">
        <v>1658</v>
      </c>
      <c r="K1534" s="1" t="s">
        <v>1658</v>
      </c>
      <c r="L1534" s="1" t="s">
        <v>1658</v>
      </c>
      <c r="M1534" s="1" t="s">
        <v>1658</v>
      </c>
      <c r="N1534" s="1" t="s">
        <v>1658</v>
      </c>
      <c r="O1534" s="1" t="s">
        <v>1658</v>
      </c>
      <c r="P1534" s="1">
        <v>1</v>
      </c>
      <c r="Q1534" s="1" t="s">
        <v>1658</v>
      </c>
      <c r="R1534" s="1">
        <v>0</v>
      </c>
      <c r="S1534" s="1" t="s">
        <v>8560</v>
      </c>
      <c r="T1534" s="6" t="s">
        <v>8560</v>
      </c>
      <c r="U1534" s="1" t="str">
        <f t="shared" si="23"/>
        <v>Yes</v>
      </c>
      <c r="W1534" s="1" t="s">
        <v>8561</v>
      </c>
      <c r="X1534" s="1" t="str">
        <f>IF(COUNTIF('MyWells Drilling Comp'!F:F,E1534)=0,"Missing","Exist")</f>
        <v>Exist</v>
      </c>
    </row>
    <row r="1535" hidden="1" spans="1:24">
      <c r="A1535" s="1" t="s">
        <v>5265</v>
      </c>
      <c r="B1535" s="1" t="s">
        <v>90</v>
      </c>
      <c r="C1535" s="1" t="s">
        <v>8562</v>
      </c>
      <c r="D1535" s="1" t="s">
        <v>8558</v>
      </c>
      <c r="E1535" s="2" t="s">
        <v>1045</v>
      </c>
      <c r="F1535" s="2" t="s">
        <v>8563</v>
      </c>
      <c r="G1535" s="1">
        <v>1</v>
      </c>
      <c r="H1535" s="1" t="s">
        <v>1663</v>
      </c>
      <c r="I1535" s="1" t="s">
        <v>1657</v>
      </c>
      <c r="J1535" s="1" t="s">
        <v>1658</v>
      </c>
      <c r="K1535" s="1" t="s">
        <v>1658</v>
      </c>
      <c r="L1535" s="1" t="s">
        <v>1658</v>
      </c>
      <c r="M1535" s="1" t="s">
        <v>1658</v>
      </c>
      <c r="N1535" s="1" t="s">
        <v>1658</v>
      </c>
      <c r="O1535" s="1" t="s">
        <v>1658</v>
      </c>
      <c r="P1535" s="1">
        <v>1</v>
      </c>
      <c r="Q1535" s="1" t="s">
        <v>1658</v>
      </c>
      <c r="R1535" s="1">
        <v>0</v>
      </c>
      <c r="S1535" s="1" t="s">
        <v>8564</v>
      </c>
      <c r="T1535" s="6" t="s">
        <v>8564</v>
      </c>
      <c r="U1535" s="1" t="str">
        <f t="shared" si="23"/>
        <v>Yes</v>
      </c>
      <c r="W1535" s="1" t="s">
        <v>8565</v>
      </c>
      <c r="X1535" s="1" t="str">
        <f>IF(COUNTIF('MyWells Drilling Comp'!F:F,E1535)=0,"Missing","Exist")</f>
        <v>Exist</v>
      </c>
    </row>
    <row r="1536" hidden="1" spans="1:24">
      <c r="A1536" s="1" t="s">
        <v>5265</v>
      </c>
      <c r="B1536" s="1" t="s">
        <v>90</v>
      </c>
      <c r="C1536" s="1" t="s">
        <v>8566</v>
      </c>
      <c r="D1536" s="1" t="s">
        <v>8567</v>
      </c>
      <c r="E1536" s="2" t="s">
        <v>1173</v>
      </c>
      <c r="F1536" s="2" t="s">
        <v>8568</v>
      </c>
      <c r="G1536" s="1">
        <v>1</v>
      </c>
      <c r="H1536" s="1" t="s">
        <v>1663</v>
      </c>
      <c r="I1536" s="1" t="s">
        <v>1657</v>
      </c>
      <c r="J1536" s="1" t="s">
        <v>1658</v>
      </c>
      <c r="K1536" s="1" t="s">
        <v>1658</v>
      </c>
      <c r="L1536" s="1" t="s">
        <v>1658</v>
      </c>
      <c r="M1536" s="1" t="s">
        <v>1658</v>
      </c>
      <c r="N1536" s="1" t="s">
        <v>1658</v>
      </c>
      <c r="O1536" s="1" t="s">
        <v>1658</v>
      </c>
      <c r="P1536" s="1">
        <v>1</v>
      </c>
      <c r="Q1536" s="1" t="s">
        <v>1658</v>
      </c>
      <c r="R1536" s="1">
        <v>0</v>
      </c>
      <c r="S1536" s="1" t="s">
        <v>8569</v>
      </c>
      <c r="T1536" s="6" t="s">
        <v>8569</v>
      </c>
      <c r="U1536" s="1" t="str">
        <f t="shared" si="23"/>
        <v>Yes</v>
      </c>
      <c r="W1536" s="1" t="s">
        <v>8570</v>
      </c>
      <c r="X1536" s="1" t="str">
        <f>IF(COUNTIF('MyWells Drilling Comp'!F:F,E1536)=0,"Missing","Exist")</f>
        <v>Exist</v>
      </c>
    </row>
    <row r="1537" hidden="1" spans="1:24">
      <c r="A1537" s="1" t="s">
        <v>5265</v>
      </c>
      <c r="B1537" s="1" t="s">
        <v>90</v>
      </c>
      <c r="C1537" s="1" t="s">
        <v>8571</v>
      </c>
      <c r="D1537" s="1" t="s">
        <v>8567</v>
      </c>
      <c r="E1537" s="2" t="s">
        <v>1173</v>
      </c>
      <c r="F1537" s="2" t="s">
        <v>8572</v>
      </c>
      <c r="G1537" s="1">
        <v>1</v>
      </c>
      <c r="H1537" s="1" t="s">
        <v>1656</v>
      </c>
      <c r="I1537" s="1" t="s">
        <v>1657</v>
      </c>
      <c r="J1537" s="1" t="s">
        <v>1658</v>
      </c>
      <c r="K1537" s="1" t="s">
        <v>1658</v>
      </c>
      <c r="L1537" s="1" t="s">
        <v>1658</v>
      </c>
      <c r="M1537" s="1" t="s">
        <v>1658</v>
      </c>
      <c r="N1537" s="1" t="s">
        <v>1658</v>
      </c>
      <c r="O1537" s="1" t="s">
        <v>1658</v>
      </c>
      <c r="P1537" s="1">
        <v>1</v>
      </c>
      <c r="Q1537" s="1" t="s">
        <v>1658</v>
      </c>
      <c r="R1537" s="1">
        <v>0</v>
      </c>
      <c r="S1537" s="1" t="s">
        <v>8573</v>
      </c>
      <c r="T1537" s="6" t="s">
        <v>8573</v>
      </c>
      <c r="U1537" s="1" t="str">
        <f t="shared" si="23"/>
        <v>Yes</v>
      </c>
      <c r="W1537" s="1" t="s">
        <v>8574</v>
      </c>
      <c r="X1537" s="1" t="str">
        <f>IF(COUNTIF('MyWells Drilling Comp'!F:F,E1537)=0,"Missing","Exist")</f>
        <v>Exist</v>
      </c>
    </row>
    <row r="1538" hidden="1" spans="1:24">
      <c r="A1538" s="1" t="s">
        <v>5265</v>
      </c>
      <c r="B1538" s="1" t="s">
        <v>90</v>
      </c>
      <c r="C1538" s="1" t="s">
        <v>8575</v>
      </c>
      <c r="D1538" s="1" t="s">
        <v>8576</v>
      </c>
      <c r="E1538" s="2" t="s">
        <v>867</v>
      </c>
      <c r="F1538" s="2" t="s">
        <v>8577</v>
      </c>
      <c r="G1538" s="1">
        <v>1</v>
      </c>
      <c r="H1538" s="1" t="s">
        <v>1656</v>
      </c>
      <c r="I1538" s="1" t="s">
        <v>1657</v>
      </c>
      <c r="J1538" s="1" t="s">
        <v>1658</v>
      </c>
      <c r="K1538" s="1" t="s">
        <v>1658</v>
      </c>
      <c r="L1538" s="1" t="s">
        <v>1658</v>
      </c>
      <c r="M1538" s="1" t="s">
        <v>1658</v>
      </c>
      <c r="N1538" s="1" t="s">
        <v>1658</v>
      </c>
      <c r="O1538" s="1" t="s">
        <v>1658</v>
      </c>
      <c r="P1538" s="1">
        <v>1</v>
      </c>
      <c r="Q1538" s="1" t="s">
        <v>1658</v>
      </c>
      <c r="R1538" s="1">
        <v>0</v>
      </c>
      <c r="S1538" s="1" t="s">
        <v>8578</v>
      </c>
      <c r="T1538" s="6" t="s">
        <v>8578</v>
      </c>
      <c r="U1538" s="1" t="str">
        <f t="shared" ref="U1538:U1599" si="24">IF(S1538=T1538,"Yes","No")</f>
        <v>Yes</v>
      </c>
      <c r="W1538" s="1" t="s">
        <v>8579</v>
      </c>
      <c r="X1538" s="1" t="str">
        <f>IF(COUNTIF('MyWells Drilling Comp'!F:F,E1538)=0,"Missing","Exist")</f>
        <v>Exist</v>
      </c>
    </row>
    <row r="1539" hidden="1" spans="1:24">
      <c r="A1539" s="1" t="s">
        <v>5265</v>
      </c>
      <c r="B1539" s="1" t="s">
        <v>90</v>
      </c>
      <c r="C1539" s="1" t="s">
        <v>8580</v>
      </c>
      <c r="D1539" s="1" t="s">
        <v>8576</v>
      </c>
      <c r="E1539" s="2" t="s">
        <v>867</v>
      </c>
      <c r="F1539" s="2" t="s">
        <v>8581</v>
      </c>
      <c r="G1539" s="1">
        <v>1</v>
      </c>
      <c r="H1539" s="1" t="s">
        <v>1663</v>
      </c>
      <c r="I1539" s="1" t="s">
        <v>1657</v>
      </c>
      <c r="J1539" s="1" t="s">
        <v>1658</v>
      </c>
      <c r="K1539" s="1" t="s">
        <v>1658</v>
      </c>
      <c r="L1539" s="1" t="s">
        <v>1658</v>
      </c>
      <c r="M1539" s="1" t="s">
        <v>1658</v>
      </c>
      <c r="N1539" s="1" t="s">
        <v>1658</v>
      </c>
      <c r="O1539" s="1" t="s">
        <v>1658</v>
      </c>
      <c r="P1539" s="1">
        <v>1</v>
      </c>
      <c r="Q1539" s="1" t="s">
        <v>1658</v>
      </c>
      <c r="R1539" s="1">
        <v>0</v>
      </c>
      <c r="S1539" s="1" t="s">
        <v>8582</v>
      </c>
      <c r="T1539" s="6" t="s">
        <v>8582</v>
      </c>
      <c r="U1539" s="1" t="str">
        <f t="shared" si="24"/>
        <v>Yes</v>
      </c>
      <c r="W1539" s="1" t="s">
        <v>8583</v>
      </c>
      <c r="X1539" s="1" t="str">
        <f>IF(COUNTIF('MyWells Drilling Comp'!F:F,E1539)=0,"Missing","Exist")</f>
        <v>Exist</v>
      </c>
    </row>
    <row r="1540" hidden="1" spans="1:24">
      <c r="A1540" s="1" t="s">
        <v>5265</v>
      </c>
      <c r="B1540" s="1" t="s">
        <v>90</v>
      </c>
      <c r="C1540" s="1" t="s">
        <v>8584</v>
      </c>
      <c r="D1540" s="1" t="s">
        <v>8585</v>
      </c>
      <c r="E1540" s="2" t="s">
        <v>1581</v>
      </c>
      <c r="F1540" s="2" t="s">
        <v>8586</v>
      </c>
      <c r="G1540" s="1">
        <v>1</v>
      </c>
      <c r="H1540" s="1" t="s">
        <v>1656</v>
      </c>
      <c r="I1540" s="1" t="s">
        <v>1657</v>
      </c>
      <c r="J1540" s="1" t="s">
        <v>1658</v>
      </c>
      <c r="K1540" s="1" t="s">
        <v>1658</v>
      </c>
      <c r="L1540" s="1" t="s">
        <v>1658</v>
      </c>
      <c r="M1540" s="1" t="s">
        <v>1658</v>
      </c>
      <c r="N1540" s="1" t="s">
        <v>1658</v>
      </c>
      <c r="O1540" s="1" t="s">
        <v>1658</v>
      </c>
      <c r="P1540" s="1">
        <v>1</v>
      </c>
      <c r="Q1540" s="1" t="s">
        <v>1658</v>
      </c>
      <c r="R1540" s="1">
        <v>0</v>
      </c>
      <c r="S1540" s="1" t="s">
        <v>8587</v>
      </c>
      <c r="T1540" s="6" t="s">
        <v>8587</v>
      </c>
      <c r="U1540" s="1" t="str">
        <f t="shared" si="24"/>
        <v>Yes</v>
      </c>
      <c r="W1540" s="1" t="s">
        <v>8588</v>
      </c>
      <c r="X1540" s="1" t="str">
        <f>IF(COUNTIF('MyWells Drilling Comp'!F:F,E1540)=0,"Missing","Exist")</f>
        <v>Exist</v>
      </c>
    </row>
    <row r="1541" hidden="1" spans="1:24">
      <c r="A1541" s="1" t="s">
        <v>5265</v>
      </c>
      <c r="B1541" s="1" t="s">
        <v>90</v>
      </c>
      <c r="C1541" s="1" t="s">
        <v>8589</v>
      </c>
      <c r="D1541" s="1" t="s">
        <v>8585</v>
      </c>
      <c r="E1541" s="2" t="s">
        <v>1581</v>
      </c>
      <c r="F1541" s="2" t="s">
        <v>8590</v>
      </c>
      <c r="G1541" s="1">
        <v>1</v>
      </c>
      <c r="H1541" s="1" t="s">
        <v>1663</v>
      </c>
      <c r="I1541" s="1" t="s">
        <v>1657</v>
      </c>
      <c r="J1541" s="1" t="s">
        <v>1658</v>
      </c>
      <c r="K1541" s="1" t="s">
        <v>1658</v>
      </c>
      <c r="L1541" s="1" t="s">
        <v>1658</v>
      </c>
      <c r="M1541" s="1" t="s">
        <v>1658</v>
      </c>
      <c r="N1541" s="1" t="s">
        <v>1658</v>
      </c>
      <c r="O1541" s="1" t="s">
        <v>1658</v>
      </c>
      <c r="P1541" s="1">
        <v>1</v>
      </c>
      <c r="Q1541" s="1" t="s">
        <v>1658</v>
      </c>
      <c r="R1541" s="1">
        <v>0</v>
      </c>
      <c r="S1541" s="1" t="s">
        <v>8591</v>
      </c>
      <c r="T1541" s="6" t="s">
        <v>8591</v>
      </c>
      <c r="U1541" s="1" t="str">
        <f t="shared" si="24"/>
        <v>Yes</v>
      </c>
      <c r="W1541" s="1" t="s">
        <v>8592</v>
      </c>
      <c r="X1541" s="1" t="str">
        <f>IF(COUNTIF('MyWells Drilling Comp'!F:F,E1541)=0,"Missing","Exist")</f>
        <v>Exist</v>
      </c>
    </row>
    <row r="1542" hidden="1" spans="1:24">
      <c r="A1542" s="1" t="s">
        <v>5265</v>
      </c>
      <c r="B1542" s="1" t="s">
        <v>90</v>
      </c>
      <c r="C1542" s="1" t="s">
        <v>8593</v>
      </c>
      <c r="D1542" s="1" t="s">
        <v>8594</v>
      </c>
      <c r="E1542" s="2" t="s">
        <v>1075</v>
      </c>
      <c r="F1542" s="2" t="s">
        <v>8595</v>
      </c>
      <c r="G1542" s="1">
        <v>1</v>
      </c>
      <c r="H1542" s="1" t="s">
        <v>1656</v>
      </c>
      <c r="I1542" s="1" t="s">
        <v>1657</v>
      </c>
      <c r="J1542" s="1" t="s">
        <v>1658</v>
      </c>
      <c r="K1542" s="1" t="s">
        <v>1658</v>
      </c>
      <c r="L1542" s="1" t="s">
        <v>1658</v>
      </c>
      <c r="M1542" s="1" t="s">
        <v>1658</v>
      </c>
      <c r="N1542" s="1" t="s">
        <v>1658</v>
      </c>
      <c r="O1542" s="1" t="s">
        <v>1658</v>
      </c>
      <c r="P1542" s="1">
        <v>1</v>
      </c>
      <c r="Q1542" s="1" t="s">
        <v>1658</v>
      </c>
      <c r="R1542" s="1">
        <v>0</v>
      </c>
      <c r="S1542" s="1" t="s">
        <v>8596</v>
      </c>
      <c r="T1542" s="6" t="s">
        <v>8596</v>
      </c>
      <c r="U1542" s="1" t="str">
        <f t="shared" si="24"/>
        <v>Yes</v>
      </c>
      <c r="W1542" s="1" t="s">
        <v>8597</v>
      </c>
      <c r="X1542" s="1" t="str">
        <f>IF(COUNTIF('MyWells Drilling Comp'!F:F,E1542)=0,"Missing","Exist")</f>
        <v>Exist</v>
      </c>
    </row>
    <row r="1543" hidden="1" spans="1:24">
      <c r="A1543" s="1" t="s">
        <v>5265</v>
      </c>
      <c r="B1543" s="1" t="s">
        <v>90</v>
      </c>
      <c r="C1543" s="1" t="s">
        <v>8598</v>
      </c>
      <c r="D1543" s="1" t="s">
        <v>8594</v>
      </c>
      <c r="E1543" s="2" t="s">
        <v>1075</v>
      </c>
      <c r="F1543" s="2" t="s">
        <v>8599</v>
      </c>
      <c r="G1543" s="1">
        <v>1</v>
      </c>
      <c r="H1543" s="1" t="s">
        <v>1663</v>
      </c>
      <c r="I1543" s="1" t="s">
        <v>1657</v>
      </c>
      <c r="J1543" s="1" t="s">
        <v>1658</v>
      </c>
      <c r="K1543" s="1" t="s">
        <v>1658</v>
      </c>
      <c r="L1543" s="1" t="s">
        <v>1658</v>
      </c>
      <c r="M1543" s="1" t="s">
        <v>1658</v>
      </c>
      <c r="N1543" s="1" t="s">
        <v>1658</v>
      </c>
      <c r="O1543" s="1" t="s">
        <v>1658</v>
      </c>
      <c r="P1543" s="1">
        <v>1</v>
      </c>
      <c r="Q1543" s="1" t="s">
        <v>1658</v>
      </c>
      <c r="R1543" s="1">
        <v>0</v>
      </c>
      <c r="S1543" s="1" t="s">
        <v>8600</v>
      </c>
      <c r="T1543" s="6" t="s">
        <v>8600</v>
      </c>
      <c r="U1543" s="1" t="str">
        <f t="shared" si="24"/>
        <v>Yes</v>
      </c>
      <c r="W1543" s="1" t="s">
        <v>8601</v>
      </c>
      <c r="X1543" s="1" t="str">
        <f>IF(COUNTIF('MyWells Drilling Comp'!F:F,E1543)=0,"Missing","Exist")</f>
        <v>Exist</v>
      </c>
    </row>
    <row r="1544" hidden="1" spans="1:24">
      <c r="A1544" s="1" t="s">
        <v>5265</v>
      </c>
      <c r="B1544" s="1" t="s">
        <v>90</v>
      </c>
      <c r="C1544" s="1" t="s">
        <v>8602</v>
      </c>
      <c r="D1544" s="1" t="s">
        <v>8603</v>
      </c>
      <c r="E1544" s="2" t="s">
        <v>1137</v>
      </c>
      <c r="F1544" s="2" t="s">
        <v>8604</v>
      </c>
      <c r="G1544" s="1">
        <v>1</v>
      </c>
      <c r="H1544" s="1" t="s">
        <v>1663</v>
      </c>
      <c r="I1544" s="1" t="s">
        <v>1657</v>
      </c>
      <c r="J1544" s="1" t="s">
        <v>1658</v>
      </c>
      <c r="K1544" s="1" t="s">
        <v>1658</v>
      </c>
      <c r="L1544" s="1" t="s">
        <v>1658</v>
      </c>
      <c r="M1544" s="1" t="s">
        <v>1658</v>
      </c>
      <c r="N1544" s="1" t="s">
        <v>1658</v>
      </c>
      <c r="O1544" s="1" t="s">
        <v>1658</v>
      </c>
      <c r="P1544" s="1">
        <v>1</v>
      </c>
      <c r="Q1544" s="1" t="s">
        <v>1658</v>
      </c>
      <c r="R1544" s="1">
        <v>0</v>
      </c>
      <c r="S1544" s="1" t="s">
        <v>8605</v>
      </c>
      <c r="T1544" s="6" t="s">
        <v>8605</v>
      </c>
      <c r="U1544" s="1" t="str">
        <f t="shared" si="24"/>
        <v>Yes</v>
      </c>
      <c r="W1544" s="1" t="s">
        <v>8606</v>
      </c>
      <c r="X1544" s="1" t="str">
        <f>IF(COUNTIF('MyWells Drilling Comp'!F:F,E1544)=0,"Missing","Exist")</f>
        <v>Exist</v>
      </c>
    </row>
    <row r="1545" hidden="1" spans="1:24">
      <c r="A1545" s="1" t="s">
        <v>5265</v>
      </c>
      <c r="B1545" s="1" t="s">
        <v>90</v>
      </c>
      <c r="C1545" s="1" t="s">
        <v>8607</v>
      </c>
      <c r="D1545" s="1" t="s">
        <v>8603</v>
      </c>
      <c r="E1545" s="2" t="s">
        <v>1137</v>
      </c>
      <c r="F1545" s="2" t="s">
        <v>8608</v>
      </c>
      <c r="G1545" s="1">
        <v>1</v>
      </c>
      <c r="H1545" s="1" t="s">
        <v>1656</v>
      </c>
      <c r="I1545" s="1" t="s">
        <v>1657</v>
      </c>
      <c r="J1545" s="1" t="s">
        <v>1658</v>
      </c>
      <c r="K1545" s="1" t="s">
        <v>1658</v>
      </c>
      <c r="L1545" s="1" t="s">
        <v>1658</v>
      </c>
      <c r="M1545" s="1" t="s">
        <v>1658</v>
      </c>
      <c r="N1545" s="1" t="s">
        <v>1658</v>
      </c>
      <c r="O1545" s="1" t="s">
        <v>1658</v>
      </c>
      <c r="P1545" s="1">
        <v>1</v>
      </c>
      <c r="Q1545" s="1" t="s">
        <v>1658</v>
      </c>
      <c r="R1545" s="1">
        <v>0</v>
      </c>
      <c r="S1545" s="1" t="s">
        <v>8609</v>
      </c>
      <c r="T1545" s="6" t="s">
        <v>8609</v>
      </c>
      <c r="U1545" s="1" t="str">
        <f t="shared" si="24"/>
        <v>Yes</v>
      </c>
      <c r="W1545" s="1" t="s">
        <v>8610</v>
      </c>
      <c r="X1545" s="1" t="str">
        <f>IF(COUNTIF('MyWells Drilling Comp'!F:F,E1545)=0,"Missing","Exist")</f>
        <v>Exist</v>
      </c>
    </row>
    <row r="1546" hidden="1" spans="1:24">
      <c r="A1546" s="1" t="s">
        <v>5265</v>
      </c>
      <c r="B1546" s="1" t="s">
        <v>90</v>
      </c>
      <c r="C1546" s="1" t="s">
        <v>8611</v>
      </c>
      <c r="D1546" s="1" t="s">
        <v>8612</v>
      </c>
      <c r="E1546" s="2" t="s">
        <v>163</v>
      </c>
      <c r="F1546" s="2" t="s">
        <v>8613</v>
      </c>
      <c r="G1546" s="1">
        <v>1</v>
      </c>
      <c r="H1546" s="1" t="s">
        <v>1663</v>
      </c>
      <c r="I1546" s="1" t="s">
        <v>1657</v>
      </c>
      <c r="J1546" s="1" t="s">
        <v>1658</v>
      </c>
      <c r="K1546" s="1" t="s">
        <v>1658</v>
      </c>
      <c r="L1546" s="1" t="s">
        <v>1658</v>
      </c>
      <c r="M1546" s="1" t="s">
        <v>1658</v>
      </c>
      <c r="N1546" s="1" t="s">
        <v>1658</v>
      </c>
      <c r="O1546" s="1" t="s">
        <v>1658</v>
      </c>
      <c r="P1546" s="1">
        <v>1</v>
      </c>
      <c r="Q1546" s="1" t="s">
        <v>1658</v>
      </c>
      <c r="R1546" s="1">
        <v>0</v>
      </c>
      <c r="S1546" s="1" t="s">
        <v>8614</v>
      </c>
      <c r="T1546" s="6" t="s">
        <v>8614</v>
      </c>
      <c r="U1546" s="1" t="str">
        <f t="shared" si="24"/>
        <v>Yes</v>
      </c>
      <c r="W1546" s="1" t="s">
        <v>8615</v>
      </c>
      <c r="X1546" s="1" t="str">
        <f>IF(COUNTIF('MyWells Drilling Comp'!F:F,E1546)=0,"Missing","Exist")</f>
        <v>Exist</v>
      </c>
    </row>
    <row r="1547" hidden="1" spans="1:24">
      <c r="A1547" s="1" t="s">
        <v>5265</v>
      </c>
      <c r="B1547" s="1" t="s">
        <v>90</v>
      </c>
      <c r="C1547" s="1" t="s">
        <v>8616</v>
      </c>
      <c r="D1547" s="1" t="s">
        <v>8612</v>
      </c>
      <c r="E1547" s="2" t="s">
        <v>163</v>
      </c>
      <c r="F1547" s="2" t="s">
        <v>8617</v>
      </c>
      <c r="G1547" s="1">
        <v>1</v>
      </c>
      <c r="H1547" s="1" t="s">
        <v>1656</v>
      </c>
      <c r="I1547" s="1" t="s">
        <v>1657</v>
      </c>
      <c r="J1547" s="1" t="s">
        <v>1658</v>
      </c>
      <c r="K1547" s="1" t="s">
        <v>1658</v>
      </c>
      <c r="L1547" s="1" t="s">
        <v>1658</v>
      </c>
      <c r="M1547" s="1" t="s">
        <v>1658</v>
      </c>
      <c r="N1547" s="1" t="s">
        <v>1658</v>
      </c>
      <c r="O1547" s="1" t="s">
        <v>1658</v>
      </c>
      <c r="P1547" s="1">
        <v>1</v>
      </c>
      <c r="Q1547" s="1" t="s">
        <v>1658</v>
      </c>
      <c r="R1547" s="1">
        <v>0</v>
      </c>
      <c r="S1547" s="1" t="s">
        <v>8618</v>
      </c>
      <c r="T1547" s="6" t="s">
        <v>8618</v>
      </c>
      <c r="U1547" s="1" t="str">
        <f t="shared" si="24"/>
        <v>Yes</v>
      </c>
      <c r="W1547" s="1" t="s">
        <v>8619</v>
      </c>
      <c r="X1547" s="1" t="str">
        <f>IF(COUNTIF('MyWells Drilling Comp'!F:F,E1547)=0,"Missing","Exist")</f>
        <v>Exist</v>
      </c>
    </row>
    <row r="1548" hidden="1" spans="1:24">
      <c r="A1548" s="1" t="s">
        <v>5265</v>
      </c>
      <c r="B1548" s="1" t="s">
        <v>90</v>
      </c>
      <c r="C1548" s="1" t="s">
        <v>8620</v>
      </c>
      <c r="D1548" s="1" t="s">
        <v>8621</v>
      </c>
      <c r="E1548" s="2" t="s">
        <v>935</v>
      </c>
      <c r="F1548" s="2" t="s">
        <v>8622</v>
      </c>
      <c r="G1548" s="1">
        <v>1</v>
      </c>
      <c r="H1548" s="1" t="s">
        <v>1656</v>
      </c>
      <c r="I1548" s="1" t="s">
        <v>1657</v>
      </c>
      <c r="J1548" s="1" t="s">
        <v>1658</v>
      </c>
      <c r="K1548" s="1" t="s">
        <v>1658</v>
      </c>
      <c r="L1548" s="1" t="s">
        <v>1658</v>
      </c>
      <c r="M1548" s="1" t="s">
        <v>1658</v>
      </c>
      <c r="N1548" s="1" t="s">
        <v>1658</v>
      </c>
      <c r="O1548" s="1" t="s">
        <v>1658</v>
      </c>
      <c r="P1548" s="1">
        <v>1</v>
      </c>
      <c r="Q1548" s="1" t="s">
        <v>1658</v>
      </c>
      <c r="R1548" s="1">
        <v>0</v>
      </c>
      <c r="S1548" s="1" t="s">
        <v>8623</v>
      </c>
      <c r="T1548" s="6" t="s">
        <v>8623</v>
      </c>
      <c r="U1548" s="1" t="str">
        <f t="shared" si="24"/>
        <v>Yes</v>
      </c>
      <c r="W1548" s="1" t="s">
        <v>8624</v>
      </c>
      <c r="X1548" s="1" t="str">
        <f>IF(COUNTIF('MyWells Drilling Comp'!F:F,E1548)=0,"Missing","Exist")</f>
        <v>Exist</v>
      </c>
    </row>
    <row r="1549" hidden="1" spans="1:24">
      <c r="A1549" s="1" t="s">
        <v>5265</v>
      </c>
      <c r="B1549" s="1" t="s">
        <v>90</v>
      </c>
      <c r="C1549" s="1" t="s">
        <v>8625</v>
      </c>
      <c r="D1549" s="1" t="s">
        <v>8621</v>
      </c>
      <c r="E1549" s="2" t="s">
        <v>935</v>
      </c>
      <c r="F1549" s="2" t="s">
        <v>8626</v>
      </c>
      <c r="G1549" s="1">
        <v>1</v>
      </c>
      <c r="H1549" s="1" t="s">
        <v>1663</v>
      </c>
      <c r="I1549" s="1" t="s">
        <v>1657</v>
      </c>
      <c r="J1549" s="1" t="s">
        <v>1658</v>
      </c>
      <c r="K1549" s="1" t="s">
        <v>1658</v>
      </c>
      <c r="L1549" s="1" t="s">
        <v>1658</v>
      </c>
      <c r="M1549" s="1" t="s">
        <v>1658</v>
      </c>
      <c r="N1549" s="1" t="s">
        <v>1658</v>
      </c>
      <c r="O1549" s="1" t="s">
        <v>1658</v>
      </c>
      <c r="P1549" s="1">
        <v>1</v>
      </c>
      <c r="Q1549" s="1" t="s">
        <v>1658</v>
      </c>
      <c r="R1549" s="1">
        <v>0</v>
      </c>
      <c r="S1549" s="1" t="s">
        <v>8627</v>
      </c>
      <c r="T1549" s="6" t="s">
        <v>8628</v>
      </c>
      <c r="U1549" s="1" t="str">
        <f t="shared" si="24"/>
        <v>No</v>
      </c>
      <c r="W1549" s="1" t="s">
        <v>8629</v>
      </c>
      <c r="X1549" s="1" t="str">
        <f>IF(COUNTIF('MyWells Drilling Comp'!F:F,E1549)=0,"Missing","Exist")</f>
        <v>Exist</v>
      </c>
    </row>
    <row r="1550" hidden="1" spans="1:24">
      <c r="A1550" s="1" t="s">
        <v>5265</v>
      </c>
      <c r="B1550" s="1" t="s">
        <v>90</v>
      </c>
      <c r="C1550" s="1" t="s">
        <v>8630</v>
      </c>
      <c r="D1550" s="1" t="s">
        <v>8631</v>
      </c>
      <c r="E1550" s="2" t="s">
        <v>905</v>
      </c>
      <c r="F1550" s="2" t="s">
        <v>8632</v>
      </c>
      <c r="G1550" s="1">
        <v>1</v>
      </c>
      <c r="H1550" s="1" t="s">
        <v>1663</v>
      </c>
      <c r="I1550" s="1" t="s">
        <v>1657</v>
      </c>
      <c r="J1550" s="1" t="s">
        <v>1658</v>
      </c>
      <c r="K1550" s="1" t="s">
        <v>1658</v>
      </c>
      <c r="L1550" s="1" t="s">
        <v>1658</v>
      </c>
      <c r="M1550" s="1" t="s">
        <v>1658</v>
      </c>
      <c r="N1550" s="1" t="s">
        <v>1658</v>
      </c>
      <c r="O1550" s="1" t="s">
        <v>1658</v>
      </c>
      <c r="P1550" s="1">
        <v>1</v>
      </c>
      <c r="Q1550" s="1" t="s">
        <v>1658</v>
      </c>
      <c r="R1550" s="1">
        <v>0</v>
      </c>
      <c r="S1550" s="1" t="s">
        <v>8633</v>
      </c>
      <c r="T1550" s="6" t="s">
        <v>8634</v>
      </c>
      <c r="U1550" s="1" t="str">
        <f t="shared" si="24"/>
        <v>No</v>
      </c>
      <c r="W1550" s="1" t="s">
        <v>8635</v>
      </c>
      <c r="X1550" s="1" t="str">
        <f>IF(COUNTIF('MyWells Drilling Comp'!F:F,E1550)=0,"Missing","Exist")</f>
        <v>Exist</v>
      </c>
    </row>
    <row r="1551" hidden="1" spans="1:24">
      <c r="A1551" s="1" t="s">
        <v>5265</v>
      </c>
      <c r="B1551" s="1" t="s">
        <v>90</v>
      </c>
      <c r="C1551" s="1" t="s">
        <v>8636</v>
      </c>
      <c r="D1551" s="1" t="s">
        <v>8631</v>
      </c>
      <c r="E1551" s="2" t="s">
        <v>905</v>
      </c>
      <c r="F1551" s="2" t="s">
        <v>8637</v>
      </c>
      <c r="G1551" s="1">
        <v>1</v>
      </c>
      <c r="H1551" s="1" t="s">
        <v>1656</v>
      </c>
      <c r="I1551" s="1" t="s">
        <v>1657</v>
      </c>
      <c r="J1551" s="1" t="s">
        <v>1658</v>
      </c>
      <c r="K1551" s="1" t="s">
        <v>1658</v>
      </c>
      <c r="L1551" s="1" t="s">
        <v>1658</v>
      </c>
      <c r="M1551" s="1" t="s">
        <v>1658</v>
      </c>
      <c r="N1551" s="1" t="s">
        <v>1658</v>
      </c>
      <c r="O1551" s="1" t="s">
        <v>1658</v>
      </c>
      <c r="P1551" s="1">
        <v>1</v>
      </c>
      <c r="Q1551" s="1" t="s">
        <v>1658</v>
      </c>
      <c r="R1551" s="1">
        <v>0</v>
      </c>
      <c r="S1551" s="1" t="s">
        <v>8638</v>
      </c>
      <c r="T1551" s="6" t="s">
        <v>8639</v>
      </c>
      <c r="U1551" s="1" t="str">
        <f t="shared" si="24"/>
        <v>No</v>
      </c>
      <c r="W1551" s="1" t="s">
        <v>8640</v>
      </c>
      <c r="X1551" s="1" t="str">
        <f>IF(COUNTIF('MyWells Drilling Comp'!F:F,E1551)=0,"Missing","Exist")</f>
        <v>Exist</v>
      </c>
    </row>
    <row r="1552" hidden="1" spans="1:24">
      <c r="A1552" s="1" t="s">
        <v>5265</v>
      </c>
      <c r="B1552" s="1" t="s">
        <v>90</v>
      </c>
      <c r="C1552" s="1" t="s">
        <v>8641</v>
      </c>
      <c r="D1552" s="1" t="s">
        <v>8642</v>
      </c>
      <c r="E1552" s="2" t="s">
        <v>1458</v>
      </c>
      <c r="F1552" s="2" t="s">
        <v>8643</v>
      </c>
      <c r="G1552" s="1">
        <v>1</v>
      </c>
      <c r="H1552" s="1" t="s">
        <v>1656</v>
      </c>
      <c r="I1552" s="1" t="s">
        <v>1657</v>
      </c>
      <c r="J1552" s="1" t="s">
        <v>1658</v>
      </c>
      <c r="K1552" s="1" t="s">
        <v>1658</v>
      </c>
      <c r="L1552" s="1" t="s">
        <v>1658</v>
      </c>
      <c r="M1552" s="1" t="s">
        <v>1658</v>
      </c>
      <c r="N1552" s="1" t="s">
        <v>1658</v>
      </c>
      <c r="O1552" s="1" t="s">
        <v>1658</v>
      </c>
      <c r="P1552" s="1">
        <v>1</v>
      </c>
      <c r="Q1552" s="1" t="s">
        <v>1658</v>
      </c>
      <c r="R1552" s="1">
        <v>0</v>
      </c>
      <c r="S1552" s="1" t="s">
        <v>8644</v>
      </c>
      <c r="T1552" s="6" t="s">
        <v>8644</v>
      </c>
      <c r="U1552" s="1" t="str">
        <f t="shared" si="24"/>
        <v>Yes</v>
      </c>
      <c r="W1552" s="1" t="s">
        <v>8645</v>
      </c>
      <c r="X1552" s="1" t="str">
        <f>IF(COUNTIF('MyWells Drilling Comp'!F:F,E1552)=0,"Missing","Exist")</f>
        <v>Exist</v>
      </c>
    </row>
    <row r="1553" hidden="1" spans="1:24">
      <c r="A1553" s="1" t="s">
        <v>5265</v>
      </c>
      <c r="B1553" s="1" t="s">
        <v>90</v>
      </c>
      <c r="C1553" s="1" t="s">
        <v>8646</v>
      </c>
      <c r="D1553" s="1" t="s">
        <v>8642</v>
      </c>
      <c r="E1553" s="2" t="s">
        <v>1458</v>
      </c>
      <c r="F1553" s="2" t="s">
        <v>8647</v>
      </c>
      <c r="G1553" s="1">
        <v>1</v>
      </c>
      <c r="H1553" s="1" t="s">
        <v>1663</v>
      </c>
      <c r="I1553" s="1" t="s">
        <v>1657</v>
      </c>
      <c r="J1553" s="1" t="s">
        <v>1658</v>
      </c>
      <c r="K1553" s="1" t="s">
        <v>1658</v>
      </c>
      <c r="L1553" s="1" t="s">
        <v>1658</v>
      </c>
      <c r="M1553" s="1" t="s">
        <v>1658</v>
      </c>
      <c r="N1553" s="1" t="s">
        <v>1658</v>
      </c>
      <c r="O1553" s="1" t="s">
        <v>1658</v>
      </c>
      <c r="P1553" s="1">
        <v>1</v>
      </c>
      <c r="Q1553" s="1" t="s">
        <v>1658</v>
      </c>
      <c r="R1553" s="1">
        <v>0</v>
      </c>
      <c r="S1553" s="1" t="s">
        <v>8648</v>
      </c>
      <c r="T1553" s="6" t="s">
        <v>8649</v>
      </c>
      <c r="U1553" s="1" t="str">
        <f t="shared" si="24"/>
        <v>No</v>
      </c>
      <c r="W1553" s="1" t="s">
        <v>8650</v>
      </c>
      <c r="X1553" s="1" t="str">
        <f>IF(COUNTIF('MyWells Drilling Comp'!F:F,E1553)=0,"Missing","Exist")</f>
        <v>Exist</v>
      </c>
    </row>
    <row r="1554" hidden="1" spans="1:24">
      <c r="A1554" s="1" t="s">
        <v>5265</v>
      </c>
      <c r="B1554" s="1" t="s">
        <v>90</v>
      </c>
      <c r="C1554" s="1" t="s">
        <v>8651</v>
      </c>
      <c r="D1554" s="1" t="s">
        <v>8652</v>
      </c>
      <c r="E1554" s="2" t="s">
        <v>1439</v>
      </c>
      <c r="F1554" s="2" t="s">
        <v>8653</v>
      </c>
      <c r="G1554" s="1">
        <v>1</v>
      </c>
      <c r="H1554" s="1" t="s">
        <v>1663</v>
      </c>
      <c r="I1554" s="1" t="s">
        <v>1657</v>
      </c>
      <c r="J1554" s="1" t="s">
        <v>1658</v>
      </c>
      <c r="K1554" s="1" t="s">
        <v>1658</v>
      </c>
      <c r="L1554" s="1" t="s">
        <v>1658</v>
      </c>
      <c r="M1554" s="1" t="s">
        <v>1658</v>
      </c>
      <c r="N1554" s="1" t="s">
        <v>1658</v>
      </c>
      <c r="O1554" s="1" t="s">
        <v>1658</v>
      </c>
      <c r="P1554" s="1">
        <v>1</v>
      </c>
      <c r="Q1554" s="1" t="s">
        <v>1658</v>
      </c>
      <c r="R1554" s="1">
        <v>0</v>
      </c>
      <c r="S1554" s="1" t="s">
        <v>8654</v>
      </c>
      <c r="T1554" s="6" t="s">
        <v>8654</v>
      </c>
      <c r="U1554" s="1" t="str">
        <f t="shared" si="24"/>
        <v>Yes</v>
      </c>
      <c r="W1554" s="1" t="s">
        <v>8655</v>
      </c>
      <c r="X1554" s="1" t="str">
        <f>IF(COUNTIF('MyWells Drilling Comp'!F:F,E1554)=0,"Missing","Exist")</f>
        <v>Exist</v>
      </c>
    </row>
    <row r="1555" hidden="1" spans="1:24">
      <c r="A1555" s="1" t="s">
        <v>5265</v>
      </c>
      <c r="B1555" s="1" t="s">
        <v>90</v>
      </c>
      <c r="C1555" s="1" t="s">
        <v>8656</v>
      </c>
      <c r="D1555" s="1" t="s">
        <v>8652</v>
      </c>
      <c r="E1555" s="2" t="s">
        <v>1439</v>
      </c>
      <c r="F1555" s="2" t="s">
        <v>8657</v>
      </c>
      <c r="G1555" s="1">
        <v>1</v>
      </c>
      <c r="H1555" s="1" t="s">
        <v>1656</v>
      </c>
      <c r="I1555" s="1" t="s">
        <v>1657</v>
      </c>
      <c r="J1555" s="1" t="s">
        <v>1658</v>
      </c>
      <c r="K1555" s="1" t="s">
        <v>1658</v>
      </c>
      <c r="L1555" s="1" t="s">
        <v>1658</v>
      </c>
      <c r="M1555" s="1" t="s">
        <v>1658</v>
      </c>
      <c r="N1555" s="1" t="s">
        <v>1658</v>
      </c>
      <c r="O1555" s="1" t="s">
        <v>1658</v>
      </c>
      <c r="P1555" s="1">
        <v>1</v>
      </c>
      <c r="Q1555" s="1" t="s">
        <v>1658</v>
      </c>
      <c r="R1555" s="1">
        <v>0</v>
      </c>
      <c r="S1555" s="1" t="s">
        <v>8658</v>
      </c>
      <c r="T1555" s="6" t="s">
        <v>8658</v>
      </c>
      <c r="U1555" s="1" t="str">
        <f t="shared" si="24"/>
        <v>Yes</v>
      </c>
      <c r="W1555" s="1" t="s">
        <v>8659</v>
      </c>
      <c r="X1555" s="1" t="str">
        <f>IF(COUNTIF('MyWells Drilling Comp'!F:F,E1555)=0,"Missing","Exist")</f>
        <v>Exist</v>
      </c>
    </row>
    <row r="1556" hidden="1" spans="1:24">
      <c r="A1556" s="1" t="s">
        <v>5265</v>
      </c>
      <c r="B1556" s="1" t="s">
        <v>90</v>
      </c>
      <c r="C1556" s="1" t="s">
        <v>8660</v>
      </c>
      <c r="D1556" s="1" t="s">
        <v>8661</v>
      </c>
      <c r="E1556" s="2" t="s">
        <v>765</v>
      </c>
      <c r="F1556" s="2" t="s">
        <v>8662</v>
      </c>
      <c r="G1556" s="1">
        <v>1</v>
      </c>
      <c r="H1556" s="1" t="s">
        <v>1663</v>
      </c>
      <c r="I1556" s="1" t="s">
        <v>1657</v>
      </c>
      <c r="J1556" s="1" t="s">
        <v>1658</v>
      </c>
      <c r="K1556" s="1" t="s">
        <v>1658</v>
      </c>
      <c r="L1556" s="1" t="s">
        <v>1658</v>
      </c>
      <c r="M1556" s="1" t="s">
        <v>1658</v>
      </c>
      <c r="N1556" s="1" t="s">
        <v>1658</v>
      </c>
      <c r="O1556" s="1" t="s">
        <v>1658</v>
      </c>
      <c r="P1556" s="1">
        <v>1</v>
      </c>
      <c r="Q1556" s="1" t="s">
        <v>1658</v>
      </c>
      <c r="R1556" s="1">
        <v>0</v>
      </c>
      <c r="S1556" s="1" t="s">
        <v>8663</v>
      </c>
      <c r="T1556" s="6" t="s">
        <v>8663</v>
      </c>
      <c r="U1556" s="1" t="str">
        <f t="shared" si="24"/>
        <v>Yes</v>
      </c>
      <c r="W1556" s="1" t="s">
        <v>8664</v>
      </c>
      <c r="X1556" s="1" t="str">
        <f>IF(COUNTIF('MyWells Drilling Comp'!F:F,E1556)=0,"Missing","Exist")</f>
        <v>Exist</v>
      </c>
    </row>
    <row r="1557" hidden="1" spans="1:24">
      <c r="A1557" s="1" t="s">
        <v>5265</v>
      </c>
      <c r="B1557" s="1" t="s">
        <v>90</v>
      </c>
      <c r="C1557" s="1" t="s">
        <v>8665</v>
      </c>
      <c r="D1557" s="1" t="s">
        <v>8661</v>
      </c>
      <c r="E1557" s="2" t="s">
        <v>765</v>
      </c>
      <c r="F1557" s="2" t="s">
        <v>8666</v>
      </c>
      <c r="G1557" s="1">
        <v>1</v>
      </c>
      <c r="H1557" s="1" t="s">
        <v>1656</v>
      </c>
      <c r="I1557" s="1" t="s">
        <v>1657</v>
      </c>
      <c r="J1557" s="1" t="s">
        <v>1658</v>
      </c>
      <c r="K1557" s="1" t="s">
        <v>1658</v>
      </c>
      <c r="L1557" s="1" t="s">
        <v>1658</v>
      </c>
      <c r="M1557" s="1" t="s">
        <v>1658</v>
      </c>
      <c r="N1557" s="1" t="s">
        <v>1658</v>
      </c>
      <c r="O1557" s="1" t="s">
        <v>1658</v>
      </c>
      <c r="P1557" s="1">
        <v>1</v>
      </c>
      <c r="Q1557" s="1" t="s">
        <v>1658</v>
      </c>
      <c r="R1557" s="1">
        <v>0</v>
      </c>
      <c r="S1557" s="1" t="s">
        <v>8667</v>
      </c>
      <c r="T1557" s="6" t="s">
        <v>8667</v>
      </c>
      <c r="U1557" s="1" t="str">
        <f t="shared" si="24"/>
        <v>Yes</v>
      </c>
      <c r="W1557" s="1" t="s">
        <v>8668</v>
      </c>
      <c r="X1557" s="1" t="str">
        <f>IF(COUNTIF('MyWells Drilling Comp'!F:F,E1557)=0,"Missing","Exist")</f>
        <v>Exist</v>
      </c>
    </row>
    <row r="1558" hidden="1" spans="1:24">
      <c r="A1558" s="1" t="s">
        <v>5265</v>
      </c>
      <c r="B1558" s="1" t="s">
        <v>90</v>
      </c>
      <c r="C1558" s="1" t="s">
        <v>8669</v>
      </c>
      <c r="D1558" s="1" t="s">
        <v>8670</v>
      </c>
      <c r="E1558" s="2" t="s">
        <v>1451</v>
      </c>
      <c r="F1558" s="2" t="s">
        <v>8671</v>
      </c>
      <c r="G1558" s="1">
        <v>1</v>
      </c>
      <c r="H1558" s="1" t="s">
        <v>1663</v>
      </c>
      <c r="I1558" s="1" t="s">
        <v>1657</v>
      </c>
      <c r="J1558" s="1" t="s">
        <v>1658</v>
      </c>
      <c r="K1558" s="1" t="s">
        <v>1658</v>
      </c>
      <c r="L1558" s="1" t="s">
        <v>1658</v>
      </c>
      <c r="M1558" s="1" t="s">
        <v>1658</v>
      </c>
      <c r="N1558" s="1" t="s">
        <v>1658</v>
      </c>
      <c r="O1558" s="1" t="s">
        <v>1658</v>
      </c>
      <c r="P1558" s="1">
        <v>1</v>
      </c>
      <c r="Q1558" s="1" t="s">
        <v>1658</v>
      </c>
      <c r="R1558" s="1">
        <v>0</v>
      </c>
      <c r="S1558" s="1" t="s">
        <v>8672</v>
      </c>
      <c r="T1558" s="6" t="s">
        <v>8672</v>
      </c>
      <c r="U1558" s="1" t="str">
        <f t="shared" si="24"/>
        <v>Yes</v>
      </c>
      <c r="W1558" s="1" t="s">
        <v>8673</v>
      </c>
      <c r="X1558" s="1" t="str">
        <f>IF(COUNTIF('MyWells Drilling Comp'!F:F,E1558)=0,"Missing","Exist")</f>
        <v>Exist</v>
      </c>
    </row>
    <row r="1559" hidden="1" spans="1:24">
      <c r="A1559" s="1" t="s">
        <v>5265</v>
      </c>
      <c r="B1559" s="1" t="s">
        <v>90</v>
      </c>
      <c r="C1559" s="1" t="s">
        <v>8674</v>
      </c>
      <c r="D1559" s="1" t="s">
        <v>8670</v>
      </c>
      <c r="E1559" s="2" t="s">
        <v>1451</v>
      </c>
      <c r="F1559" s="2" t="s">
        <v>8675</v>
      </c>
      <c r="G1559" s="1">
        <v>1</v>
      </c>
      <c r="H1559" s="1" t="s">
        <v>1656</v>
      </c>
      <c r="I1559" s="1" t="s">
        <v>1657</v>
      </c>
      <c r="J1559" s="1" t="s">
        <v>1658</v>
      </c>
      <c r="K1559" s="1" t="s">
        <v>1658</v>
      </c>
      <c r="L1559" s="1" t="s">
        <v>1658</v>
      </c>
      <c r="M1559" s="1" t="s">
        <v>1658</v>
      </c>
      <c r="N1559" s="1" t="s">
        <v>1658</v>
      </c>
      <c r="O1559" s="1" t="s">
        <v>1658</v>
      </c>
      <c r="P1559" s="1">
        <v>1</v>
      </c>
      <c r="Q1559" s="1" t="s">
        <v>1658</v>
      </c>
      <c r="R1559" s="1">
        <v>0</v>
      </c>
      <c r="S1559" s="1" t="s">
        <v>8676</v>
      </c>
      <c r="T1559" s="6" t="s">
        <v>8677</v>
      </c>
      <c r="U1559" s="1" t="str">
        <f t="shared" si="24"/>
        <v>No</v>
      </c>
      <c r="W1559" s="1" t="s">
        <v>8678</v>
      </c>
      <c r="X1559" s="1" t="str">
        <f>IF(COUNTIF('MyWells Drilling Comp'!F:F,E1559)=0,"Missing","Exist")</f>
        <v>Exist</v>
      </c>
    </row>
    <row r="1560" hidden="1" spans="1:24">
      <c r="A1560" s="1" t="s">
        <v>5265</v>
      </c>
      <c r="B1560" s="1" t="s">
        <v>90</v>
      </c>
      <c r="C1560" s="1" t="s">
        <v>8679</v>
      </c>
      <c r="D1560" s="1" t="s">
        <v>8680</v>
      </c>
      <c r="E1560" s="2" t="s">
        <v>1454</v>
      </c>
      <c r="F1560" s="2" t="s">
        <v>8681</v>
      </c>
      <c r="G1560" s="1">
        <v>1</v>
      </c>
      <c r="H1560" s="1" t="s">
        <v>1663</v>
      </c>
      <c r="I1560" s="1" t="s">
        <v>1657</v>
      </c>
      <c r="J1560" s="1" t="s">
        <v>1658</v>
      </c>
      <c r="K1560" s="1" t="s">
        <v>1658</v>
      </c>
      <c r="L1560" s="1" t="s">
        <v>1658</v>
      </c>
      <c r="M1560" s="1" t="s">
        <v>1658</v>
      </c>
      <c r="N1560" s="1" t="s">
        <v>1658</v>
      </c>
      <c r="O1560" s="1" t="s">
        <v>1658</v>
      </c>
      <c r="P1560" s="1">
        <v>1</v>
      </c>
      <c r="Q1560" s="1" t="s">
        <v>1658</v>
      </c>
      <c r="R1560" s="1">
        <v>0</v>
      </c>
      <c r="S1560" s="1" t="s">
        <v>8682</v>
      </c>
      <c r="T1560" s="6" t="s">
        <v>8682</v>
      </c>
      <c r="U1560" s="1" t="str">
        <f t="shared" si="24"/>
        <v>Yes</v>
      </c>
      <c r="W1560" s="1" t="s">
        <v>8683</v>
      </c>
      <c r="X1560" s="1" t="str">
        <f>IF(COUNTIF('MyWells Drilling Comp'!F:F,E1560)=0,"Missing","Exist")</f>
        <v>Exist</v>
      </c>
    </row>
    <row r="1561" hidden="1" spans="1:24">
      <c r="A1561" s="1" t="s">
        <v>5265</v>
      </c>
      <c r="B1561" s="1" t="s">
        <v>90</v>
      </c>
      <c r="C1561" s="1" t="s">
        <v>8684</v>
      </c>
      <c r="D1561" s="1" t="s">
        <v>8680</v>
      </c>
      <c r="E1561" s="2" t="s">
        <v>1454</v>
      </c>
      <c r="F1561" s="2" t="s">
        <v>8685</v>
      </c>
      <c r="G1561" s="1">
        <v>1</v>
      </c>
      <c r="H1561" s="1" t="s">
        <v>1656</v>
      </c>
      <c r="I1561" s="1" t="s">
        <v>1657</v>
      </c>
      <c r="J1561" s="1" t="s">
        <v>1658</v>
      </c>
      <c r="K1561" s="1" t="s">
        <v>1658</v>
      </c>
      <c r="L1561" s="1" t="s">
        <v>1658</v>
      </c>
      <c r="M1561" s="1" t="s">
        <v>1658</v>
      </c>
      <c r="N1561" s="1" t="s">
        <v>1658</v>
      </c>
      <c r="O1561" s="1" t="s">
        <v>1658</v>
      </c>
      <c r="P1561" s="1">
        <v>1</v>
      </c>
      <c r="Q1561" s="1" t="s">
        <v>1658</v>
      </c>
      <c r="R1561" s="1">
        <v>0</v>
      </c>
      <c r="S1561" s="1" t="s">
        <v>8686</v>
      </c>
      <c r="T1561" s="6" t="s">
        <v>8686</v>
      </c>
      <c r="U1561" s="1" t="str">
        <f t="shared" si="24"/>
        <v>Yes</v>
      </c>
      <c r="W1561" s="1" t="s">
        <v>8687</v>
      </c>
      <c r="X1561" s="1" t="str">
        <f>IF(COUNTIF('MyWells Drilling Comp'!F:F,E1561)=0,"Missing","Exist")</f>
        <v>Exist</v>
      </c>
    </row>
    <row r="1562" hidden="1" spans="1:24">
      <c r="A1562" s="1" t="s">
        <v>5265</v>
      </c>
      <c r="B1562" s="1" t="s">
        <v>90</v>
      </c>
      <c r="C1562" s="1" t="s">
        <v>8688</v>
      </c>
      <c r="D1562" s="1" t="s">
        <v>8689</v>
      </c>
      <c r="E1562" s="2" t="s">
        <v>1058</v>
      </c>
      <c r="F1562" s="2" t="s">
        <v>8690</v>
      </c>
      <c r="G1562" s="1">
        <v>1</v>
      </c>
      <c r="H1562" s="1" t="s">
        <v>1663</v>
      </c>
      <c r="I1562" s="1" t="s">
        <v>1657</v>
      </c>
      <c r="J1562" s="1" t="s">
        <v>1658</v>
      </c>
      <c r="K1562" s="1" t="s">
        <v>1658</v>
      </c>
      <c r="L1562" s="1" t="s">
        <v>1658</v>
      </c>
      <c r="M1562" s="1" t="s">
        <v>1658</v>
      </c>
      <c r="N1562" s="1" t="s">
        <v>1658</v>
      </c>
      <c r="O1562" s="1" t="s">
        <v>1658</v>
      </c>
      <c r="P1562" s="1">
        <v>1</v>
      </c>
      <c r="Q1562" s="1" t="s">
        <v>1658</v>
      </c>
      <c r="R1562" s="1">
        <v>0</v>
      </c>
      <c r="S1562" s="1" t="s">
        <v>8691</v>
      </c>
      <c r="T1562" s="6" t="s">
        <v>8691</v>
      </c>
      <c r="U1562" s="1" t="str">
        <f t="shared" si="24"/>
        <v>Yes</v>
      </c>
      <c r="W1562" s="1" t="s">
        <v>8692</v>
      </c>
      <c r="X1562" s="1" t="str">
        <f>IF(COUNTIF('MyWells Drilling Comp'!F:F,E1562)=0,"Missing","Exist")</f>
        <v>Exist</v>
      </c>
    </row>
    <row r="1563" hidden="1" spans="1:24">
      <c r="A1563" s="1" t="s">
        <v>5265</v>
      </c>
      <c r="B1563" s="1" t="s">
        <v>90</v>
      </c>
      <c r="C1563" s="1" t="s">
        <v>8693</v>
      </c>
      <c r="D1563" s="1" t="s">
        <v>8689</v>
      </c>
      <c r="E1563" s="2" t="s">
        <v>1058</v>
      </c>
      <c r="F1563" s="2" t="s">
        <v>8694</v>
      </c>
      <c r="G1563" s="1">
        <v>1</v>
      </c>
      <c r="H1563" s="1" t="s">
        <v>1656</v>
      </c>
      <c r="I1563" s="1" t="s">
        <v>1657</v>
      </c>
      <c r="J1563" s="1" t="s">
        <v>1658</v>
      </c>
      <c r="K1563" s="1" t="s">
        <v>1658</v>
      </c>
      <c r="L1563" s="1" t="s">
        <v>1658</v>
      </c>
      <c r="M1563" s="1" t="s">
        <v>1658</v>
      </c>
      <c r="N1563" s="1" t="s">
        <v>1658</v>
      </c>
      <c r="O1563" s="1" t="s">
        <v>1658</v>
      </c>
      <c r="P1563" s="1">
        <v>1</v>
      </c>
      <c r="Q1563" s="1" t="s">
        <v>1658</v>
      </c>
      <c r="R1563" s="1">
        <v>0</v>
      </c>
      <c r="S1563" s="1" t="s">
        <v>8695</v>
      </c>
      <c r="T1563" s="6" t="s">
        <v>8695</v>
      </c>
      <c r="U1563" s="1" t="str">
        <f t="shared" si="24"/>
        <v>Yes</v>
      </c>
      <c r="W1563" s="1" t="s">
        <v>8696</v>
      </c>
      <c r="X1563" s="1" t="str">
        <f>IF(COUNTIF('MyWells Drilling Comp'!F:F,E1563)=0,"Missing","Exist")</f>
        <v>Exist</v>
      </c>
    </row>
    <row r="1564" hidden="1" spans="1:24">
      <c r="A1564" s="1" t="s">
        <v>5265</v>
      </c>
      <c r="B1564" s="1" t="s">
        <v>90</v>
      </c>
      <c r="C1564" s="1" t="s">
        <v>8697</v>
      </c>
      <c r="D1564" s="1" t="s">
        <v>8698</v>
      </c>
      <c r="E1564" s="2" t="s">
        <v>1588</v>
      </c>
      <c r="F1564" s="2" t="s">
        <v>8699</v>
      </c>
      <c r="G1564" s="1">
        <v>1</v>
      </c>
      <c r="H1564" s="1" t="s">
        <v>1656</v>
      </c>
      <c r="I1564" s="1" t="s">
        <v>1657</v>
      </c>
      <c r="J1564" s="1" t="s">
        <v>1658</v>
      </c>
      <c r="K1564" s="1" t="s">
        <v>1658</v>
      </c>
      <c r="L1564" s="1" t="s">
        <v>1658</v>
      </c>
      <c r="M1564" s="1" t="s">
        <v>1658</v>
      </c>
      <c r="N1564" s="1" t="s">
        <v>1658</v>
      </c>
      <c r="O1564" s="1" t="s">
        <v>1658</v>
      </c>
      <c r="P1564" s="1">
        <v>1</v>
      </c>
      <c r="Q1564" s="1" t="s">
        <v>1658</v>
      </c>
      <c r="R1564" s="1">
        <v>0</v>
      </c>
      <c r="S1564" s="1" t="s">
        <v>8700</v>
      </c>
      <c r="T1564" s="6" t="s">
        <v>8700</v>
      </c>
      <c r="U1564" s="1" t="str">
        <f t="shared" si="24"/>
        <v>Yes</v>
      </c>
      <c r="W1564" s="1" t="s">
        <v>8701</v>
      </c>
      <c r="X1564" s="1" t="str">
        <f>IF(COUNTIF('MyWells Drilling Comp'!F:F,E1564)=0,"Missing","Exist")</f>
        <v>Exist</v>
      </c>
    </row>
    <row r="1565" hidden="1" spans="1:24">
      <c r="A1565" s="1" t="s">
        <v>5265</v>
      </c>
      <c r="B1565" s="1" t="s">
        <v>90</v>
      </c>
      <c r="C1565" s="1" t="s">
        <v>8702</v>
      </c>
      <c r="D1565" s="1" t="s">
        <v>8698</v>
      </c>
      <c r="E1565" s="2" t="s">
        <v>1588</v>
      </c>
      <c r="F1565" s="2" t="s">
        <v>8703</v>
      </c>
      <c r="G1565" s="1">
        <v>1</v>
      </c>
      <c r="H1565" s="1" t="s">
        <v>1663</v>
      </c>
      <c r="I1565" s="1" t="s">
        <v>1657</v>
      </c>
      <c r="J1565" s="1" t="s">
        <v>1658</v>
      </c>
      <c r="K1565" s="1" t="s">
        <v>1658</v>
      </c>
      <c r="L1565" s="1" t="s">
        <v>1658</v>
      </c>
      <c r="M1565" s="1" t="s">
        <v>1658</v>
      </c>
      <c r="N1565" s="1" t="s">
        <v>1658</v>
      </c>
      <c r="O1565" s="1" t="s">
        <v>1658</v>
      </c>
      <c r="P1565" s="1">
        <v>1</v>
      </c>
      <c r="Q1565" s="1" t="s">
        <v>1658</v>
      </c>
      <c r="R1565" s="1">
        <v>0</v>
      </c>
      <c r="S1565" s="1" t="s">
        <v>8704</v>
      </c>
      <c r="T1565" s="6" t="s">
        <v>8704</v>
      </c>
      <c r="U1565" s="1" t="str">
        <f t="shared" si="24"/>
        <v>Yes</v>
      </c>
      <c r="W1565" s="1" t="s">
        <v>8705</v>
      </c>
      <c r="X1565" s="1" t="str">
        <f>IF(COUNTIF('MyWells Drilling Comp'!F:F,E1565)=0,"Missing","Exist")</f>
        <v>Exist</v>
      </c>
    </row>
    <row r="1566" hidden="1" spans="1:24">
      <c r="A1566" s="1" t="s">
        <v>5265</v>
      </c>
      <c r="B1566" s="1" t="s">
        <v>90</v>
      </c>
      <c r="C1566" s="1" t="s">
        <v>8706</v>
      </c>
      <c r="D1566" s="1" t="s">
        <v>8707</v>
      </c>
      <c r="E1566" s="2" t="s">
        <v>1399</v>
      </c>
      <c r="F1566" s="2" t="s">
        <v>8708</v>
      </c>
      <c r="G1566" s="1">
        <v>1</v>
      </c>
      <c r="H1566" s="1" t="s">
        <v>1663</v>
      </c>
      <c r="I1566" s="1" t="s">
        <v>1657</v>
      </c>
      <c r="J1566" s="1" t="s">
        <v>1658</v>
      </c>
      <c r="K1566" s="1" t="s">
        <v>1658</v>
      </c>
      <c r="L1566" s="1" t="s">
        <v>1658</v>
      </c>
      <c r="M1566" s="1" t="s">
        <v>1658</v>
      </c>
      <c r="N1566" s="1" t="s">
        <v>1658</v>
      </c>
      <c r="O1566" s="1" t="s">
        <v>1658</v>
      </c>
      <c r="P1566" s="1">
        <v>1</v>
      </c>
      <c r="Q1566" s="1" t="s">
        <v>1658</v>
      </c>
      <c r="R1566" s="1">
        <v>0</v>
      </c>
      <c r="S1566" s="1" t="s">
        <v>8709</v>
      </c>
      <c r="T1566" s="6" t="s">
        <v>8709</v>
      </c>
      <c r="U1566" s="1" t="str">
        <f t="shared" si="24"/>
        <v>Yes</v>
      </c>
      <c r="W1566" s="1" t="s">
        <v>8710</v>
      </c>
      <c r="X1566" s="1" t="str">
        <f>IF(COUNTIF('MyWells Drilling Comp'!F:F,E1566)=0,"Missing","Exist")</f>
        <v>Exist</v>
      </c>
    </row>
    <row r="1567" hidden="1" spans="1:24">
      <c r="A1567" s="1" t="s">
        <v>5265</v>
      </c>
      <c r="B1567" s="1" t="s">
        <v>90</v>
      </c>
      <c r="C1567" s="1" t="s">
        <v>8711</v>
      </c>
      <c r="D1567" s="1" t="s">
        <v>8707</v>
      </c>
      <c r="E1567" s="2" t="s">
        <v>1399</v>
      </c>
      <c r="F1567" s="2" t="s">
        <v>8712</v>
      </c>
      <c r="G1567" s="1">
        <v>1</v>
      </c>
      <c r="H1567" s="1" t="s">
        <v>1656</v>
      </c>
      <c r="I1567" s="1" t="s">
        <v>1657</v>
      </c>
      <c r="J1567" s="1" t="s">
        <v>1658</v>
      </c>
      <c r="K1567" s="1" t="s">
        <v>1658</v>
      </c>
      <c r="L1567" s="1" t="s">
        <v>1658</v>
      </c>
      <c r="M1567" s="1" t="s">
        <v>1658</v>
      </c>
      <c r="N1567" s="1" t="s">
        <v>1658</v>
      </c>
      <c r="O1567" s="1" t="s">
        <v>1658</v>
      </c>
      <c r="P1567" s="1">
        <v>1</v>
      </c>
      <c r="Q1567" s="1" t="s">
        <v>1658</v>
      </c>
      <c r="R1567" s="1">
        <v>0</v>
      </c>
      <c r="S1567" s="1" t="s">
        <v>8713</v>
      </c>
      <c r="T1567" s="6" t="s">
        <v>8713</v>
      </c>
      <c r="U1567" s="1" t="str">
        <f t="shared" si="24"/>
        <v>Yes</v>
      </c>
      <c r="W1567" s="1" t="s">
        <v>8714</v>
      </c>
      <c r="X1567" s="1" t="str">
        <f>IF(COUNTIF('MyWells Drilling Comp'!F:F,E1567)=0,"Missing","Exist")</f>
        <v>Exist</v>
      </c>
    </row>
    <row r="1568" hidden="1" spans="1:24">
      <c r="A1568" s="1" t="s">
        <v>5265</v>
      </c>
      <c r="B1568" s="1" t="s">
        <v>90</v>
      </c>
      <c r="C1568" s="1" t="s">
        <v>8715</v>
      </c>
      <c r="D1568" s="1" t="s">
        <v>8716</v>
      </c>
      <c r="E1568" s="2" t="s">
        <v>616</v>
      </c>
      <c r="F1568" s="2" t="s">
        <v>8717</v>
      </c>
      <c r="G1568" s="1">
        <v>1</v>
      </c>
      <c r="H1568" s="1" t="s">
        <v>1656</v>
      </c>
      <c r="I1568" s="1" t="s">
        <v>1657</v>
      </c>
      <c r="J1568" s="1" t="s">
        <v>1658</v>
      </c>
      <c r="K1568" s="1" t="s">
        <v>1658</v>
      </c>
      <c r="L1568" s="1" t="s">
        <v>1658</v>
      </c>
      <c r="M1568" s="1" t="s">
        <v>1658</v>
      </c>
      <c r="N1568" s="1" t="s">
        <v>1658</v>
      </c>
      <c r="O1568" s="1" t="s">
        <v>1658</v>
      </c>
      <c r="P1568" s="1">
        <v>1</v>
      </c>
      <c r="Q1568" s="1" t="s">
        <v>1658</v>
      </c>
      <c r="R1568" s="1">
        <v>0</v>
      </c>
      <c r="S1568" s="1" t="s">
        <v>8718</v>
      </c>
      <c r="T1568" s="6" t="s">
        <v>8718</v>
      </c>
      <c r="U1568" s="1" t="str">
        <f t="shared" si="24"/>
        <v>Yes</v>
      </c>
      <c r="W1568" s="1" t="s">
        <v>8719</v>
      </c>
      <c r="X1568" s="1" t="str">
        <f>IF(COUNTIF('MyWells Drilling Comp'!F:F,E1568)=0,"Missing","Exist")</f>
        <v>Exist</v>
      </c>
    </row>
    <row r="1569" hidden="1" spans="1:24">
      <c r="A1569" s="1" t="s">
        <v>5265</v>
      </c>
      <c r="B1569" s="1" t="s">
        <v>90</v>
      </c>
      <c r="C1569" s="1" t="s">
        <v>8720</v>
      </c>
      <c r="D1569" s="1" t="s">
        <v>8716</v>
      </c>
      <c r="E1569" s="2" t="s">
        <v>616</v>
      </c>
      <c r="F1569" s="2" t="s">
        <v>8721</v>
      </c>
      <c r="G1569" s="1">
        <v>1</v>
      </c>
      <c r="H1569" s="1" t="s">
        <v>1663</v>
      </c>
      <c r="I1569" s="1" t="s">
        <v>1657</v>
      </c>
      <c r="J1569" s="1" t="s">
        <v>1658</v>
      </c>
      <c r="K1569" s="1" t="s">
        <v>1658</v>
      </c>
      <c r="L1569" s="1" t="s">
        <v>1658</v>
      </c>
      <c r="M1569" s="1" t="s">
        <v>1658</v>
      </c>
      <c r="N1569" s="1" t="s">
        <v>1658</v>
      </c>
      <c r="O1569" s="1" t="s">
        <v>1658</v>
      </c>
      <c r="P1569" s="1">
        <v>1</v>
      </c>
      <c r="Q1569" s="1" t="s">
        <v>1658</v>
      </c>
      <c r="R1569" s="1">
        <v>0</v>
      </c>
      <c r="S1569" s="1" t="s">
        <v>8722</v>
      </c>
      <c r="T1569" s="6" t="s">
        <v>8722</v>
      </c>
      <c r="U1569" s="1" t="str">
        <f t="shared" si="24"/>
        <v>Yes</v>
      </c>
      <c r="W1569" s="1" t="s">
        <v>8723</v>
      </c>
      <c r="X1569" s="1" t="str">
        <f>IF(COUNTIF('MyWells Drilling Comp'!F:F,E1569)=0,"Missing","Exist")</f>
        <v>Exist</v>
      </c>
    </row>
    <row r="1570" hidden="1" spans="1:24">
      <c r="A1570" s="1" t="s">
        <v>5265</v>
      </c>
      <c r="B1570" s="1" t="s">
        <v>90</v>
      </c>
      <c r="C1570" s="1" t="s">
        <v>8724</v>
      </c>
      <c r="D1570" s="1" t="s">
        <v>8725</v>
      </c>
      <c r="E1570" s="2" t="s">
        <v>526</v>
      </c>
      <c r="F1570" s="2" t="s">
        <v>8726</v>
      </c>
      <c r="G1570" s="1">
        <v>1</v>
      </c>
      <c r="H1570" s="1" t="s">
        <v>1663</v>
      </c>
      <c r="I1570" s="1" t="s">
        <v>1657</v>
      </c>
      <c r="J1570" s="1" t="s">
        <v>1658</v>
      </c>
      <c r="K1570" s="1" t="s">
        <v>1658</v>
      </c>
      <c r="L1570" s="1" t="s">
        <v>1658</v>
      </c>
      <c r="M1570" s="1" t="s">
        <v>1658</v>
      </c>
      <c r="N1570" s="1" t="s">
        <v>1658</v>
      </c>
      <c r="O1570" s="1" t="s">
        <v>1658</v>
      </c>
      <c r="P1570" s="1">
        <v>1</v>
      </c>
      <c r="Q1570" s="1" t="s">
        <v>1658</v>
      </c>
      <c r="R1570" s="1">
        <v>0</v>
      </c>
      <c r="S1570" s="1" t="s">
        <v>8727</v>
      </c>
      <c r="T1570" s="6" t="s">
        <v>8727</v>
      </c>
      <c r="U1570" s="1" t="str">
        <f t="shared" si="24"/>
        <v>Yes</v>
      </c>
      <c r="W1570" s="1" t="s">
        <v>8728</v>
      </c>
      <c r="X1570" s="1" t="str">
        <f>IF(COUNTIF('MyWells Drilling Comp'!F:F,E1570)=0,"Missing","Exist")</f>
        <v>Exist</v>
      </c>
    </row>
    <row r="1571" hidden="1" spans="1:24">
      <c r="A1571" s="1" t="s">
        <v>5265</v>
      </c>
      <c r="B1571" s="1" t="s">
        <v>90</v>
      </c>
      <c r="C1571" s="1" t="s">
        <v>8729</v>
      </c>
      <c r="D1571" s="1" t="s">
        <v>8725</v>
      </c>
      <c r="E1571" s="2" t="s">
        <v>526</v>
      </c>
      <c r="F1571" s="2" t="s">
        <v>8730</v>
      </c>
      <c r="G1571" s="1">
        <v>1</v>
      </c>
      <c r="H1571" s="1" t="s">
        <v>1656</v>
      </c>
      <c r="I1571" s="1" t="s">
        <v>1657</v>
      </c>
      <c r="J1571" s="1" t="s">
        <v>1658</v>
      </c>
      <c r="K1571" s="1" t="s">
        <v>1658</v>
      </c>
      <c r="L1571" s="1" t="s">
        <v>1658</v>
      </c>
      <c r="M1571" s="1" t="s">
        <v>1658</v>
      </c>
      <c r="N1571" s="1" t="s">
        <v>1658</v>
      </c>
      <c r="O1571" s="1" t="s">
        <v>1658</v>
      </c>
      <c r="P1571" s="1">
        <v>1</v>
      </c>
      <c r="Q1571" s="1" t="s">
        <v>1658</v>
      </c>
      <c r="R1571" s="1">
        <v>0</v>
      </c>
      <c r="S1571" s="1" t="s">
        <v>2384</v>
      </c>
      <c r="T1571" s="6" t="s">
        <v>2384</v>
      </c>
      <c r="U1571" s="1" t="str">
        <f t="shared" si="24"/>
        <v>Yes</v>
      </c>
      <c r="W1571" s="1" t="s">
        <v>8731</v>
      </c>
      <c r="X1571" s="1" t="str">
        <f>IF(COUNTIF('MyWells Drilling Comp'!F:F,E1571)=0,"Missing","Exist")</f>
        <v>Exist</v>
      </c>
    </row>
    <row r="1572" hidden="1" spans="1:24">
      <c r="A1572" s="1" t="s">
        <v>5265</v>
      </c>
      <c r="B1572" s="1" t="s">
        <v>90</v>
      </c>
      <c r="C1572" s="1" t="s">
        <v>8732</v>
      </c>
      <c r="D1572" s="1" t="s">
        <v>8733</v>
      </c>
      <c r="E1572" s="2" t="s">
        <v>249</v>
      </c>
      <c r="F1572" s="2" t="s">
        <v>8734</v>
      </c>
      <c r="G1572" s="1">
        <v>1</v>
      </c>
      <c r="H1572" s="1" t="s">
        <v>1656</v>
      </c>
      <c r="I1572" s="1" t="s">
        <v>1657</v>
      </c>
      <c r="J1572" s="1" t="s">
        <v>1658</v>
      </c>
      <c r="K1572" s="1" t="s">
        <v>1658</v>
      </c>
      <c r="L1572" s="1" t="s">
        <v>1658</v>
      </c>
      <c r="M1572" s="1" t="s">
        <v>1658</v>
      </c>
      <c r="N1572" s="1" t="s">
        <v>1658</v>
      </c>
      <c r="O1572" s="1" t="s">
        <v>1658</v>
      </c>
      <c r="P1572" s="1">
        <v>1</v>
      </c>
      <c r="Q1572" s="1" t="s">
        <v>1658</v>
      </c>
      <c r="R1572" s="1">
        <v>0</v>
      </c>
      <c r="S1572" s="1" t="s">
        <v>5917</v>
      </c>
      <c r="T1572" s="6" t="s">
        <v>5917</v>
      </c>
      <c r="U1572" s="1" t="str">
        <f t="shared" si="24"/>
        <v>Yes</v>
      </c>
      <c r="W1572" s="1" t="s">
        <v>8735</v>
      </c>
      <c r="X1572" s="1" t="str">
        <f>IF(COUNTIF('MyWells Drilling Comp'!F:F,E1572)=0,"Missing","Exist")</f>
        <v>Exist</v>
      </c>
    </row>
    <row r="1573" hidden="1" spans="1:24">
      <c r="A1573" s="1" t="s">
        <v>5265</v>
      </c>
      <c r="B1573" s="1" t="s">
        <v>90</v>
      </c>
      <c r="C1573" s="1" t="s">
        <v>8736</v>
      </c>
      <c r="D1573" s="1" t="s">
        <v>8733</v>
      </c>
      <c r="E1573" s="2" t="s">
        <v>249</v>
      </c>
      <c r="F1573" s="2" t="s">
        <v>8737</v>
      </c>
      <c r="G1573" s="1">
        <v>1</v>
      </c>
      <c r="H1573" s="1" t="s">
        <v>1663</v>
      </c>
      <c r="I1573" s="1" t="s">
        <v>1657</v>
      </c>
      <c r="J1573" s="1" t="s">
        <v>1658</v>
      </c>
      <c r="K1573" s="1" t="s">
        <v>1658</v>
      </c>
      <c r="L1573" s="1" t="s">
        <v>1658</v>
      </c>
      <c r="M1573" s="1" t="s">
        <v>1658</v>
      </c>
      <c r="N1573" s="1" t="s">
        <v>1658</v>
      </c>
      <c r="O1573" s="1" t="s">
        <v>1658</v>
      </c>
      <c r="P1573" s="1">
        <v>1</v>
      </c>
      <c r="Q1573" s="1" t="s">
        <v>1658</v>
      </c>
      <c r="R1573" s="1">
        <v>0</v>
      </c>
      <c r="S1573" s="1" t="s">
        <v>8738</v>
      </c>
      <c r="T1573" s="6" t="s">
        <v>8738</v>
      </c>
      <c r="U1573" s="1" t="str">
        <f t="shared" si="24"/>
        <v>Yes</v>
      </c>
      <c r="W1573" s="1" t="s">
        <v>8739</v>
      </c>
      <c r="X1573" s="1" t="str">
        <f>IF(COUNTIF('MyWells Drilling Comp'!F:F,E1573)=0,"Missing","Exist")</f>
        <v>Exist</v>
      </c>
    </row>
    <row r="1574" hidden="1" spans="1:24">
      <c r="A1574" s="1" t="s">
        <v>5265</v>
      </c>
      <c r="B1574" s="1" t="s">
        <v>90</v>
      </c>
      <c r="C1574" s="1" t="s">
        <v>8740</v>
      </c>
      <c r="D1574" s="1" t="s">
        <v>8741</v>
      </c>
      <c r="E1574" s="2" t="s">
        <v>1345</v>
      </c>
      <c r="F1574" s="2" t="s">
        <v>8742</v>
      </c>
      <c r="G1574" s="1">
        <v>1</v>
      </c>
      <c r="H1574" s="1" t="s">
        <v>1663</v>
      </c>
      <c r="I1574" s="1" t="s">
        <v>1657</v>
      </c>
      <c r="J1574" s="1" t="s">
        <v>1658</v>
      </c>
      <c r="K1574" s="1" t="s">
        <v>1658</v>
      </c>
      <c r="L1574" s="1" t="s">
        <v>1658</v>
      </c>
      <c r="M1574" s="1" t="s">
        <v>1658</v>
      </c>
      <c r="N1574" s="1" t="s">
        <v>1658</v>
      </c>
      <c r="O1574" s="1" t="s">
        <v>1658</v>
      </c>
      <c r="P1574" s="1">
        <v>1</v>
      </c>
      <c r="Q1574" s="1" t="s">
        <v>1658</v>
      </c>
      <c r="R1574" s="1">
        <v>0</v>
      </c>
      <c r="S1574" s="1" t="s">
        <v>8743</v>
      </c>
      <c r="T1574" s="6" t="s">
        <v>8743</v>
      </c>
      <c r="U1574" s="1" t="str">
        <f t="shared" si="24"/>
        <v>Yes</v>
      </c>
      <c r="W1574" s="1" t="s">
        <v>8744</v>
      </c>
      <c r="X1574" s="1" t="str">
        <f>IF(COUNTIF('MyWells Drilling Comp'!F:F,E1574)=0,"Missing","Exist")</f>
        <v>Exist</v>
      </c>
    </row>
    <row r="1575" hidden="1" spans="1:24">
      <c r="A1575" s="1" t="s">
        <v>5265</v>
      </c>
      <c r="B1575" s="1" t="s">
        <v>90</v>
      </c>
      <c r="C1575" s="1" t="s">
        <v>8745</v>
      </c>
      <c r="D1575" s="1" t="s">
        <v>8741</v>
      </c>
      <c r="E1575" s="2" t="s">
        <v>1345</v>
      </c>
      <c r="F1575" s="2" t="s">
        <v>8746</v>
      </c>
      <c r="G1575" s="1">
        <v>1</v>
      </c>
      <c r="H1575" s="1" t="s">
        <v>1656</v>
      </c>
      <c r="I1575" s="1" t="s">
        <v>1657</v>
      </c>
      <c r="J1575" s="1" t="s">
        <v>1658</v>
      </c>
      <c r="K1575" s="1" t="s">
        <v>1658</v>
      </c>
      <c r="L1575" s="1" t="s">
        <v>1658</v>
      </c>
      <c r="M1575" s="1" t="s">
        <v>1658</v>
      </c>
      <c r="N1575" s="1" t="s">
        <v>1658</v>
      </c>
      <c r="O1575" s="1" t="s">
        <v>1658</v>
      </c>
      <c r="P1575" s="1">
        <v>1</v>
      </c>
      <c r="Q1575" s="1" t="s">
        <v>1658</v>
      </c>
      <c r="R1575" s="1">
        <v>0</v>
      </c>
      <c r="S1575" s="1" t="s">
        <v>8747</v>
      </c>
      <c r="T1575" s="6" t="s">
        <v>8747</v>
      </c>
      <c r="U1575" s="1" t="str">
        <f t="shared" si="24"/>
        <v>Yes</v>
      </c>
      <c r="W1575" s="1" t="s">
        <v>8748</v>
      </c>
      <c r="X1575" s="1" t="str">
        <f>IF(COUNTIF('MyWells Drilling Comp'!F:F,E1575)=0,"Missing","Exist")</f>
        <v>Exist</v>
      </c>
    </row>
    <row r="1576" hidden="1" spans="1:24">
      <c r="A1576" s="1" t="s">
        <v>5265</v>
      </c>
      <c r="B1576" s="1" t="s">
        <v>90</v>
      </c>
      <c r="C1576" s="1" t="s">
        <v>8749</v>
      </c>
      <c r="D1576" s="1" t="s">
        <v>8750</v>
      </c>
      <c r="E1576" s="2" t="s">
        <v>1095</v>
      </c>
      <c r="F1576" s="2" t="s">
        <v>8751</v>
      </c>
      <c r="G1576" s="1">
        <v>1</v>
      </c>
      <c r="H1576" s="1" t="s">
        <v>1656</v>
      </c>
      <c r="I1576" s="1" t="s">
        <v>1657</v>
      </c>
      <c r="J1576" s="1" t="s">
        <v>1658</v>
      </c>
      <c r="K1576" s="1" t="s">
        <v>1658</v>
      </c>
      <c r="L1576" s="1" t="s">
        <v>1658</v>
      </c>
      <c r="M1576" s="1" t="s">
        <v>1658</v>
      </c>
      <c r="N1576" s="1" t="s">
        <v>1658</v>
      </c>
      <c r="O1576" s="1" t="s">
        <v>1658</v>
      </c>
      <c r="P1576" s="1">
        <v>1</v>
      </c>
      <c r="Q1576" s="1" t="s">
        <v>1658</v>
      </c>
      <c r="R1576" s="1">
        <v>0</v>
      </c>
      <c r="S1576" s="1" t="s">
        <v>8752</v>
      </c>
      <c r="T1576" s="6" t="s">
        <v>8752</v>
      </c>
      <c r="U1576" s="1" t="str">
        <f t="shared" si="24"/>
        <v>Yes</v>
      </c>
      <c r="W1576" s="1" t="s">
        <v>8753</v>
      </c>
      <c r="X1576" s="1" t="str">
        <f>IF(COUNTIF('MyWells Drilling Comp'!F:F,E1576)=0,"Missing","Exist")</f>
        <v>Exist</v>
      </c>
    </row>
    <row r="1577" hidden="1" spans="1:24">
      <c r="A1577" s="1" t="s">
        <v>5265</v>
      </c>
      <c r="B1577" s="1" t="s">
        <v>90</v>
      </c>
      <c r="C1577" s="1" t="s">
        <v>8754</v>
      </c>
      <c r="D1577" s="1" t="s">
        <v>8750</v>
      </c>
      <c r="E1577" s="2" t="s">
        <v>1095</v>
      </c>
      <c r="F1577" s="2" t="s">
        <v>8755</v>
      </c>
      <c r="G1577" s="1">
        <v>1</v>
      </c>
      <c r="H1577" s="1" t="s">
        <v>1663</v>
      </c>
      <c r="I1577" s="1" t="s">
        <v>1657</v>
      </c>
      <c r="J1577" s="1" t="s">
        <v>1658</v>
      </c>
      <c r="K1577" s="1" t="s">
        <v>1658</v>
      </c>
      <c r="L1577" s="1" t="s">
        <v>1658</v>
      </c>
      <c r="M1577" s="1" t="s">
        <v>1658</v>
      </c>
      <c r="N1577" s="1" t="s">
        <v>1658</v>
      </c>
      <c r="O1577" s="1" t="s">
        <v>1658</v>
      </c>
      <c r="P1577" s="1">
        <v>1</v>
      </c>
      <c r="Q1577" s="1" t="s">
        <v>1658</v>
      </c>
      <c r="R1577" s="1">
        <v>0</v>
      </c>
      <c r="S1577" s="1" t="s">
        <v>8756</v>
      </c>
      <c r="T1577" s="6" t="s">
        <v>8756</v>
      </c>
      <c r="U1577" s="1" t="str">
        <f t="shared" si="24"/>
        <v>Yes</v>
      </c>
      <c r="W1577" s="1" t="s">
        <v>8757</v>
      </c>
      <c r="X1577" s="1" t="str">
        <f>IF(COUNTIF('MyWells Drilling Comp'!F:F,E1577)=0,"Missing","Exist")</f>
        <v>Exist</v>
      </c>
    </row>
    <row r="1578" hidden="1" spans="1:24">
      <c r="A1578" s="1" t="s">
        <v>5265</v>
      </c>
      <c r="B1578" s="1" t="s">
        <v>90</v>
      </c>
      <c r="C1578" s="1" t="s">
        <v>8758</v>
      </c>
      <c r="D1578" s="1" t="s">
        <v>8759</v>
      </c>
      <c r="E1578" s="2" t="s">
        <v>525</v>
      </c>
      <c r="F1578" s="2" t="s">
        <v>8760</v>
      </c>
      <c r="G1578" s="1">
        <v>1</v>
      </c>
      <c r="H1578" s="1" t="s">
        <v>1663</v>
      </c>
      <c r="I1578" s="1" t="s">
        <v>1657</v>
      </c>
      <c r="J1578" s="1" t="s">
        <v>1658</v>
      </c>
      <c r="K1578" s="1" t="s">
        <v>1658</v>
      </c>
      <c r="L1578" s="1" t="s">
        <v>1658</v>
      </c>
      <c r="M1578" s="1" t="s">
        <v>1658</v>
      </c>
      <c r="N1578" s="1" t="s">
        <v>1658</v>
      </c>
      <c r="O1578" s="1" t="s">
        <v>1658</v>
      </c>
      <c r="P1578" s="1">
        <v>1</v>
      </c>
      <c r="Q1578" s="1" t="s">
        <v>1658</v>
      </c>
      <c r="R1578" s="1">
        <v>0</v>
      </c>
      <c r="S1578" s="1" t="s">
        <v>8761</v>
      </c>
      <c r="T1578" s="6" t="s">
        <v>8761</v>
      </c>
      <c r="U1578" s="1" t="str">
        <f t="shared" si="24"/>
        <v>Yes</v>
      </c>
      <c r="W1578" s="1" t="s">
        <v>8762</v>
      </c>
      <c r="X1578" s="1" t="str">
        <f>IF(COUNTIF('MyWells Drilling Comp'!F:F,E1578)=0,"Missing","Exist")</f>
        <v>Exist</v>
      </c>
    </row>
    <row r="1579" hidden="1" spans="1:24">
      <c r="A1579" s="1" t="s">
        <v>5265</v>
      </c>
      <c r="B1579" s="1" t="s">
        <v>90</v>
      </c>
      <c r="C1579" s="1" t="s">
        <v>8763</v>
      </c>
      <c r="D1579" s="1" t="s">
        <v>8759</v>
      </c>
      <c r="E1579" s="2" t="s">
        <v>525</v>
      </c>
      <c r="F1579" s="2" t="s">
        <v>8764</v>
      </c>
      <c r="G1579" s="1">
        <v>1</v>
      </c>
      <c r="H1579" s="1" t="s">
        <v>1656</v>
      </c>
      <c r="I1579" s="1" t="s">
        <v>1657</v>
      </c>
      <c r="J1579" s="1" t="s">
        <v>1658</v>
      </c>
      <c r="K1579" s="1" t="s">
        <v>1658</v>
      </c>
      <c r="L1579" s="1" t="s">
        <v>1658</v>
      </c>
      <c r="M1579" s="1" t="s">
        <v>1658</v>
      </c>
      <c r="N1579" s="1" t="s">
        <v>1658</v>
      </c>
      <c r="O1579" s="1" t="s">
        <v>1658</v>
      </c>
      <c r="P1579" s="1">
        <v>1</v>
      </c>
      <c r="Q1579" s="1" t="s">
        <v>1658</v>
      </c>
      <c r="R1579" s="1">
        <v>0</v>
      </c>
      <c r="S1579" s="1" t="s">
        <v>2384</v>
      </c>
      <c r="T1579" s="6" t="s">
        <v>2384</v>
      </c>
      <c r="U1579" s="1" t="str">
        <f t="shared" si="24"/>
        <v>Yes</v>
      </c>
      <c r="W1579" s="1" t="s">
        <v>8765</v>
      </c>
      <c r="X1579" s="1" t="str">
        <f>IF(COUNTIF('MyWells Drilling Comp'!F:F,E1579)=0,"Missing","Exist")</f>
        <v>Exist</v>
      </c>
    </row>
    <row r="1580" hidden="1" spans="1:24">
      <c r="A1580" s="1" t="s">
        <v>5265</v>
      </c>
      <c r="B1580" s="1" t="s">
        <v>90</v>
      </c>
      <c r="C1580" s="1" t="s">
        <v>8766</v>
      </c>
      <c r="D1580" s="1" t="s">
        <v>8767</v>
      </c>
      <c r="E1580" s="2" t="s">
        <v>1298</v>
      </c>
      <c r="F1580" s="2" t="s">
        <v>8768</v>
      </c>
      <c r="G1580" s="1">
        <v>1</v>
      </c>
      <c r="H1580" s="1" t="s">
        <v>1656</v>
      </c>
      <c r="I1580" s="1" t="s">
        <v>1657</v>
      </c>
      <c r="J1580" s="1" t="s">
        <v>1658</v>
      </c>
      <c r="K1580" s="1" t="s">
        <v>1658</v>
      </c>
      <c r="L1580" s="1" t="s">
        <v>1658</v>
      </c>
      <c r="M1580" s="1" t="s">
        <v>1658</v>
      </c>
      <c r="N1580" s="1" t="s">
        <v>1658</v>
      </c>
      <c r="O1580" s="1" t="s">
        <v>1658</v>
      </c>
      <c r="P1580" s="1">
        <v>1</v>
      </c>
      <c r="Q1580" s="1" t="s">
        <v>1658</v>
      </c>
      <c r="R1580" s="1">
        <v>0</v>
      </c>
      <c r="S1580" s="1" t="s">
        <v>4682</v>
      </c>
      <c r="T1580" s="6" t="s">
        <v>4682</v>
      </c>
      <c r="U1580" s="1" t="str">
        <f t="shared" si="24"/>
        <v>Yes</v>
      </c>
      <c r="W1580" s="1" t="s">
        <v>8769</v>
      </c>
      <c r="X1580" s="1" t="str">
        <f>IF(COUNTIF('MyWells Drilling Comp'!F:F,E1580)=0,"Missing","Exist")</f>
        <v>Exist</v>
      </c>
    </row>
    <row r="1581" hidden="1" spans="1:24">
      <c r="A1581" s="1" t="s">
        <v>5265</v>
      </c>
      <c r="B1581" s="1" t="s">
        <v>90</v>
      </c>
      <c r="C1581" s="1" t="s">
        <v>8770</v>
      </c>
      <c r="D1581" s="1" t="s">
        <v>8767</v>
      </c>
      <c r="E1581" s="2" t="s">
        <v>1298</v>
      </c>
      <c r="F1581" s="2" t="s">
        <v>8771</v>
      </c>
      <c r="G1581" s="1">
        <v>1</v>
      </c>
      <c r="H1581" s="1" t="s">
        <v>1663</v>
      </c>
      <c r="I1581" s="1" t="s">
        <v>1657</v>
      </c>
      <c r="J1581" s="1" t="s">
        <v>1658</v>
      </c>
      <c r="K1581" s="1" t="s">
        <v>1658</v>
      </c>
      <c r="L1581" s="1" t="s">
        <v>1658</v>
      </c>
      <c r="M1581" s="1" t="s">
        <v>1658</v>
      </c>
      <c r="N1581" s="1" t="s">
        <v>1658</v>
      </c>
      <c r="O1581" s="1" t="s">
        <v>1658</v>
      </c>
      <c r="P1581" s="1">
        <v>1</v>
      </c>
      <c r="Q1581" s="1" t="s">
        <v>1658</v>
      </c>
      <c r="R1581" s="1">
        <v>0</v>
      </c>
      <c r="S1581" s="1" t="s">
        <v>8772</v>
      </c>
      <c r="T1581" s="6" t="s">
        <v>8772</v>
      </c>
      <c r="U1581" s="1" t="str">
        <f t="shared" si="24"/>
        <v>Yes</v>
      </c>
      <c r="W1581" s="1" t="s">
        <v>8773</v>
      </c>
      <c r="X1581" s="1" t="str">
        <f>IF(COUNTIF('MyWells Drilling Comp'!F:F,E1581)=0,"Missing","Exist")</f>
        <v>Exist</v>
      </c>
    </row>
    <row r="1582" hidden="1" spans="1:24">
      <c r="A1582" s="1" t="s">
        <v>5265</v>
      </c>
      <c r="B1582" s="1" t="s">
        <v>90</v>
      </c>
      <c r="C1582" s="1" t="s">
        <v>8774</v>
      </c>
      <c r="D1582" s="1" t="s">
        <v>8775</v>
      </c>
      <c r="E1582" s="2" t="s">
        <v>993</v>
      </c>
      <c r="F1582" s="2" t="s">
        <v>8776</v>
      </c>
      <c r="G1582" s="1">
        <v>1</v>
      </c>
      <c r="H1582" s="1" t="s">
        <v>1663</v>
      </c>
      <c r="I1582" s="1" t="s">
        <v>1657</v>
      </c>
      <c r="J1582" s="1" t="s">
        <v>1658</v>
      </c>
      <c r="K1582" s="1" t="s">
        <v>1658</v>
      </c>
      <c r="L1582" s="1" t="s">
        <v>1658</v>
      </c>
      <c r="M1582" s="1" t="s">
        <v>1658</v>
      </c>
      <c r="N1582" s="1" t="s">
        <v>1658</v>
      </c>
      <c r="O1582" s="1" t="s">
        <v>1658</v>
      </c>
      <c r="P1582" s="1">
        <v>1</v>
      </c>
      <c r="Q1582" s="1" t="s">
        <v>1658</v>
      </c>
      <c r="R1582" s="1">
        <v>0</v>
      </c>
      <c r="S1582" s="1" t="s">
        <v>8777</v>
      </c>
      <c r="T1582" s="6" t="s">
        <v>8777</v>
      </c>
      <c r="U1582" s="1" t="str">
        <f t="shared" si="24"/>
        <v>Yes</v>
      </c>
      <c r="W1582" s="1" t="s">
        <v>8778</v>
      </c>
      <c r="X1582" s="1" t="str">
        <f>IF(COUNTIF('MyWells Drilling Comp'!F:F,E1582)=0,"Missing","Exist")</f>
        <v>Exist</v>
      </c>
    </row>
    <row r="1583" hidden="1" spans="1:24">
      <c r="A1583" s="1" t="s">
        <v>5265</v>
      </c>
      <c r="B1583" s="1" t="s">
        <v>90</v>
      </c>
      <c r="C1583" s="1" t="s">
        <v>8779</v>
      </c>
      <c r="D1583" s="1" t="s">
        <v>8775</v>
      </c>
      <c r="E1583" s="2" t="s">
        <v>993</v>
      </c>
      <c r="F1583" s="2" t="s">
        <v>8780</v>
      </c>
      <c r="G1583" s="1">
        <v>1</v>
      </c>
      <c r="H1583" s="1" t="s">
        <v>1656</v>
      </c>
      <c r="I1583" s="1" t="s">
        <v>1657</v>
      </c>
      <c r="J1583" s="1" t="s">
        <v>1658</v>
      </c>
      <c r="K1583" s="1" t="s">
        <v>1658</v>
      </c>
      <c r="L1583" s="1" t="s">
        <v>1658</v>
      </c>
      <c r="M1583" s="1" t="s">
        <v>1658</v>
      </c>
      <c r="N1583" s="1" t="s">
        <v>1658</v>
      </c>
      <c r="O1583" s="1" t="s">
        <v>1658</v>
      </c>
      <c r="P1583" s="1">
        <v>1</v>
      </c>
      <c r="Q1583" s="1" t="s">
        <v>1658</v>
      </c>
      <c r="R1583" s="1">
        <v>0</v>
      </c>
      <c r="S1583" s="1" t="s">
        <v>8781</v>
      </c>
      <c r="T1583" s="6" t="s">
        <v>8781</v>
      </c>
      <c r="U1583" s="1" t="str">
        <f t="shared" si="24"/>
        <v>Yes</v>
      </c>
      <c r="W1583" s="1" t="s">
        <v>8782</v>
      </c>
      <c r="X1583" s="1" t="str">
        <f>IF(COUNTIF('MyWells Drilling Comp'!F:F,E1583)=0,"Missing","Exist")</f>
        <v>Exist</v>
      </c>
    </row>
    <row r="1584" hidden="1" spans="1:24">
      <c r="A1584" s="1" t="s">
        <v>5265</v>
      </c>
      <c r="B1584" s="1" t="s">
        <v>90</v>
      </c>
      <c r="C1584" s="1" t="s">
        <v>8783</v>
      </c>
      <c r="D1584" s="1" t="s">
        <v>8784</v>
      </c>
      <c r="E1584" s="2" t="s">
        <v>1204</v>
      </c>
      <c r="F1584" s="2" t="s">
        <v>8785</v>
      </c>
      <c r="G1584" s="1">
        <v>1</v>
      </c>
      <c r="H1584" s="1" t="s">
        <v>1663</v>
      </c>
      <c r="I1584" s="1" t="s">
        <v>1657</v>
      </c>
      <c r="J1584" s="1" t="s">
        <v>1658</v>
      </c>
      <c r="K1584" s="1" t="s">
        <v>1658</v>
      </c>
      <c r="L1584" s="1" t="s">
        <v>1658</v>
      </c>
      <c r="M1584" s="1" t="s">
        <v>1658</v>
      </c>
      <c r="N1584" s="1" t="s">
        <v>1658</v>
      </c>
      <c r="O1584" s="1" t="s">
        <v>1658</v>
      </c>
      <c r="P1584" s="1">
        <v>1</v>
      </c>
      <c r="Q1584" s="1" t="s">
        <v>1658</v>
      </c>
      <c r="R1584" s="1">
        <v>0</v>
      </c>
      <c r="S1584" s="1" t="s">
        <v>8786</v>
      </c>
      <c r="T1584" s="6" t="s">
        <v>8786</v>
      </c>
      <c r="U1584" s="1" t="str">
        <f t="shared" si="24"/>
        <v>Yes</v>
      </c>
      <c r="W1584" s="1" t="s">
        <v>8787</v>
      </c>
      <c r="X1584" s="1" t="str">
        <f>IF(COUNTIF('MyWells Drilling Comp'!F:F,E1584)=0,"Missing","Exist")</f>
        <v>Exist</v>
      </c>
    </row>
    <row r="1585" hidden="1" spans="1:24">
      <c r="A1585" s="1" t="s">
        <v>5265</v>
      </c>
      <c r="B1585" s="1" t="s">
        <v>90</v>
      </c>
      <c r="C1585" s="1" t="s">
        <v>8788</v>
      </c>
      <c r="D1585" s="1" t="s">
        <v>8784</v>
      </c>
      <c r="E1585" s="2" t="s">
        <v>1204</v>
      </c>
      <c r="F1585" s="2" t="s">
        <v>8789</v>
      </c>
      <c r="G1585" s="1">
        <v>1</v>
      </c>
      <c r="H1585" s="1" t="s">
        <v>1656</v>
      </c>
      <c r="I1585" s="1" t="s">
        <v>1657</v>
      </c>
      <c r="J1585" s="1" t="s">
        <v>1658</v>
      </c>
      <c r="K1585" s="1" t="s">
        <v>1658</v>
      </c>
      <c r="L1585" s="1" t="s">
        <v>1658</v>
      </c>
      <c r="M1585" s="1" t="s">
        <v>1658</v>
      </c>
      <c r="N1585" s="1" t="s">
        <v>1658</v>
      </c>
      <c r="O1585" s="1" t="s">
        <v>1658</v>
      </c>
      <c r="P1585" s="1">
        <v>1</v>
      </c>
      <c r="Q1585" s="1" t="s">
        <v>1658</v>
      </c>
      <c r="R1585" s="1">
        <v>0</v>
      </c>
      <c r="S1585" s="1" t="s">
        <v>8790</v>
      </c>
      <c r="T1585" s="6" t="s">
        <v>8790</v>
      </c>
      <c r="U1585" s="1" t="str">
        <f t="shared" si="24"/>
        <v>Yes</v>
      </c>
      <c r="W1585" s="1" t="s">
        <v>8791</v>
      </c>
      <c r="X1585" s="1" t="str">
        <f>IF(COUNTIF('MyWells Drilling Comp'!F:F,E1585)=0,"Missing","Exist")</f>
        <v>Exist</v>
      </c>
    </row>
    <row r="1586" hidden="1" spans="1:24">
      <c r="A1586" s="1" t="s">
        <v>5265</v>
      </c>
      <c r="B1586" s="1" t="s">
        <v>90</v>
      </c>
      <c r="C1586" s="1" t="s">
        <v>8792</v>
      </c>
      <c r="D1586" s="1" t="s">
        <v>8793</v>
      </c>
      <c r="E1586" s="2" t="s">
        <v>1258</v>
      </c>
      <c r="F1586" s="2" t="s">
        <v>8794</v>
      </c>
      <c r="G1586" s="1">
        <v>1</v>
      </c>
      <c r="H1586" s="1" t="s">
        <v>1656</v>
      </c>
      <c r="I1586" s="1" t="s">
        <v>1657</v>
      </c>
      <c r="J1586" s="1" t="s">
        <v>1658</v>
      </c>
      <c r="K1586" s="1" t="s">
        <v>1658</v>
      </c>
      <c r="L1586" s="1" t="s">
        <v>1658</v>
      </c>
      <c r="M1586" s="1" t="s">
        <v>1658</v>
      </c>
      <c r="N1586" s="1" t="s">
        <v>1658</v>
      </c>
      <c r="O1586" s="1" t="s">
        <v>1658</v>
      </c>
      <c r="P1586" s="1">
        <v>1</v>
      </c>
      <c r="Q1586" s="1" t="s">
        <v>1658</v>
      </c>
      <c r="R1586" s="1">
        <v>0</v>
      </c>
      <c r="S1586" s="1" t="s">
        <v>8795</v>
      </c>
      <c r="T1586" s="6" t="s">
        <v>8795</v>
      </c>
      <c r="U1586" s="1" t="str">
        <f t="shared" si="24"/>
        <v>Yes</v>
      </c>
      <c r="W1586" s="1" t="s">
        <v>8796</v>
      </c>
      <c r="X1586" s="1" t="str">
        <f>IF(COUNTIF('MyWells Drilling Comp'!F:F,E1586)=0,"Missing","Exist")</f>
        <v>Exist</v>
      </c>
    </row>
    <row r="1587" hidden="1" spans="1:24">
      <c r="A1587" s="1" t="s">
        <v>5265</v>
      </c>
      <c r="B1587" s="1" t="s">
        <v>90</v>
      </c>
      <c r="C1587" s="1" t="s">
        <v>8797</v>
      </c>
      <c r="D1587" s="1" t="s">
        <v>8793</v>
      </c>
      <c r="E1587" s="2" t="s">
        <v>1258</v>
      </c>
      <c r="F1587" s="2" t="s">
        <v>8798</v>
      </c>
      <c r="G1587" s="1">
        <v>1</v>
      </c>
      <c r="H1587" s="1" t="s">
        <v>1663</v>
      </c>
      <c r="I1587" s="1" t="s">
        <v>1657</v>
      </c>
      <c r="J1587" s="1" t="s">
        <v>1658</v>
      </c>
      <c r="K1587" s="1" t="s">
        <v>1658</v>
      </c>
      <c r="L1587" s="1" t="s">
        <v>1658</v>
      </c>
      <c r="M1587" s="1" t="s">
        <v>1658</v>
      </c>
      <c r="N1587" s="1" t="s">
        <v>1658</v>
      </c>
      <c r="O1587" s="1" t="s">
        <v>1658</v>
      </c>
      <c r="P1587" s="1">
        <v>1</v>
      </c>
      <c r="Q1587" s="1" t="s">
        <v>1658</v>
      </c>
      <c r="R1587" s="1">
        <v>0</v>
      </c>
      <c r="S1587" s="1" t="s">
        <v>8799</v>
      </c>
      <c r="T1587" s="6" t="s">
        <v>8799</v>
      </c>
      <c r="U1587" s="1" t="str">
        <f t="shared" si="24"/>
        <v>Yes</v>
      </c>
      <c r="W1587" s="1" t="s">
        <v>8800</v>
      </c>
      <c r="X1587" s="1" t="str">
        <f>IF(COUNTIF('MyWells Drilling Comp'!F:F,E1587)=0,"Missing","Exist")</f>
        <v>Exist</v>
      </c>
    </row>
    <row r="1588" hidden="1" spans="1:24">
      <c r="A1588" s="1" t="s">
        <v>5265</v>
      </c>
      <c r="B1588" s="1" t="s">
        <v>90</v>
      </c>
      <c r="C1588" s="1" t="s">
        <v>8801</v>
      </c>
      <c r="D1588" s="7" t="s">
        <v>8802</v>
      </c>
      <c r="E1588" s="2" t="s">
        <v>1574</v>
      </c>
      <c r="F1588" s="2" t="s">
        <v>8803</v>
      </c>
      <c r="G1588" s="1">
        <v>1</v>
      </c>
      <c r="H1588" s="1" t="s">
        <v>1656</v>
      </c>
      <c r="I1588" s="1" t="s">
        <v>1657</v>
      </c>
      <c r="J1588" s="1" t="s">
        <v>1658</v>
      </c>
      <c r="K1588" s="1" t="s">
        <v>1658</v>
      </c>
      <c r="L1588" s="1" t="s">
        <v>1658</v>
      </c>
      <c r="M1588" s="1" t="s">
        <v>1658</v>
      </c>
      <c r="N1588" s="1" t="s">
        <v>1658</v>
      </c>
      <c r="O1588" s="1" t="s">
        <v>1658</v>
      </c>
      <c r="P1588" s="1">
        <v>1</v>
      </c>
      <c r="Q1588" s="1" t="s">
        <v>1658</v>
      </c>
      <c r="R1588" s="1">
        <v>0</v>
      </c>
      <c r="S1588" s="1" t="s">
        <v>4682</v>
      </c>
      <c r="T1588" s="6" t="s">
        <v>4682</v>
      </c>
      <c r="U1588" s="1" t="str">
        <f t="shared" si="24"/>
        <v>Yes</v>
      </c>
      <c r="W1588" s="1" t="s">
        <v>8804</v>
      </c>
      <c r="X1588" s="1" t="str">
        <f>IF(COUNTIF('MyWells Drilling Comp'!F:F,E1588)=0,"Missing","Exist")</f>
        <v>Exist</v>
      </c>
    </row>
    <row r="1589" hidden="1" spans="1:24">
      <c r="A1589" s="1" t="s">
        <v>5265</v>
      </c>
      <c r="B1589" s="1" t="s">
        <v>90</v>
      </c>
      <c r="C1589" s="1" t="s">
        <v>8805</v>
      </c>
      <c r="D1589" s="7" t="s">
        <v>8802</v>
      </c>
      <c r="E1589" s="2" t="s">
        <v>1574</v>
      </c>
      <c r="F1589" s="2" t="s">
        <v>8806</v>
      </c>
      <c r="G1589" s="1">
        <v>1</v>
      </c>
      <c r="H1589" s="1" t="s">
        <v>1663</v>
      </c>
      <c r="I1589" s="1" t="s">
        <v>1657</v>
      </c>
      <c r="J1589" s="1" t="s">
        <v>1658</v>
      </c>
      <c r="K1589" s="1" t="s">
        <v>1658</v>
      </c>
      <c r="L1589" s="1" t="s">
        <v>1658</v>
      </c>
      <c r="M1589" s="1" t="s">
        <v>1658</v>
      </c>
      <c r="N1589" s="1" t="s">
        <v>1658</v>
      </c>
      <c r="O1589" s="1" t="s">
        <v>1658</v>
      </c>
      <c r="P1589" s="1">
        <v>1</v>
      </c>
      <c r="Q1589" s="1" t="s">
        <v>1658</v>
      </c>
      <c r="R1589" s="1">
        <v>0</v>
      </c>
      <c r="S1589" s="1" t="s">
        <v>8807</v>
      </c>
      <c r="T1589" s="6" t="s">
        <v>8807</v>
      </c>
      <c r="U1589" s="1" t="str">
        <f t="shared" si="24"/>
        <v>Yes</v>
      </c>
      <c r="W1589" s="1" t="s">
        <v>8808</v>
      </c>
      <c r="X1589" s="1" t="str">
        <f>IF(COUNTIF('MyWells Drilling Comp'!F:F,E1589)=0,"Missing","Exist")</f>
        <v>Exist</v>
      </c>
    </row>
    <row r="1590" hidden="1" spans="1:24">
      <c r="A1590" s="1" t="s">
        <v>5265</v>
      </c>
      <c r="B1590" s="1" t="s">
        <v>90</v>
      </c>
      <c r="C1590" s="1" t="s">
        <v>8809</v>
      </c>
      <c r="D1590" s="1" t="s">
        <v>8810</v>
      </c>
      <c r="E1590" s="2" t="s">
        <v>1043</v>
      </c>
      <c r="F1590" s="2" t="s">
        <v>8811</v>
      </c>
      <c r="G1590" s="1">
        <v>1</v>
      </c>
      <c r="H1590" s="1" t="s">
        <v>1663</v>
      </c>
      <c r="I1590" s="1" t="s">
        <v>1657</v>
      </c>
      <c r="J1590" s="1" t="s">
        <v>1658</v>
      </c>
      <c r="K1590" s="1" t="s">
        <v>1658</v>
      </c>
      <c r="L1590" s="1" t="s">
        <v>1658</v>
      </c>
      <c r="M1590" s="1" t="s">
        <v>1658</v>
      </c>
      <c r="N1590" s="1" t="s">
        <v>1658</v>
      </c>
      <c r="O1590" s="1" t="s">
        <v>1658</v>
      </c>
      <c r="P1590" s="1">
        <v>1</v>
      </c>
      <c r="Q1590" s="1" t="s">
        <v>1658</v>
      </c>
      <c r="R1590" s="1">
        <v>0</v>
      </c>
      <c r="S1590" s="1" t="s">
        <v>8812</v>
      </c>
      <c r="T1590" s="6" t="s">
        <v>8812</v>
      </c>
      <c r="U1590" s="1" t="str">
        <f t="shared" si="24"/>
        <v>Yes</v>
      </c>
      <c r="W1590" s="1" t="s">
        <v>8813</v>
      </c>
      <c r="X1590" s="1" t="str">
        <f>IF(COUNTIF('MyWells Drilling Comp'!F:F,E1590)=0,"Missing","Exist")</f>
        <v>Exist</v>
      </c>
    </row>
    <row r="1591" hidden="1" spans="1:24">
      <c r="A1591" s="1" t="s">
        <v>5265</v>
      </c>
      <c r="B1591" s="1" t="s">
        <v>90</v>
      </c>
      <c r="C1591" s="1" t="s">
        <v>8814</v>
      </c>
      <c r="D1591" s="1" t="s">
        <v>8810</v>
      </c>
      <c r="E1591" s="2" t="s">
        <v>1043</v>
      </c>
      <c r="F1591" s="2" t="s">
        <v>8815</v>
      </c>
      <c r="G1591" s="1">
        <v>1</v>
      </c>
      <c r="H1591" s="1" t="s">
        <v>1656</v>
      </c>
      <c r="I1591" s="1" t="s">
        <v>1657</v>
      </c>
      <c r="J1591" s="1" t="s">
        <v>1658</v>
      </c>
      <c r="K1591" s="1" t="s">
        <v>1658</v>
      </c>
      <c r="L1591" s="1" t="s">
        <v>1658</v>
      </c>
      <c r="M1591" s="1" t="s">
        <v>1658</v>
      </c>
      <c r="N1591" s="1" t="s">
        <v>1658</v>
      </c>
      <c r="O1591" s="1" t="s">
        <v>1658</v>
      </c>
      <c r="P1591" s="1">
        <v>1</v>
      </c>
      <c r="Q1591" s="1" t="s">
        <v>1658</v>
      </c>
      <c r="R1591" s="1">
        <v>0</v>
      </c>
      <c r="S1591" s="1" t="s">
        <v>8816</v>
      </c>
      <c r="T1591" s="6" t="s">
        <v>8816</v>
      </c>
      <c r="U1591" s="1" t="str">
        <f t="shared" si="24"/>
        <v>Yes</v>
      </c>
      <c r="W1591" s="1" t="s">
        <v>8817</v>
      </c>
      <c r="X1591" s="1" t="str">
        <f>IF(COUNTIF('MyWells Drilling Comp'!F:F,E1591)=0,"Missing","Exist")</f>
        <v>Exist</v>
      </c>
    </row>
    <row r="1592" hidden="1" spans="1:24">
      <c r="A1592" s="1" t="s">
        <v>5265</v>
      </c>
      <c r="B1592" s="1" t="s">
        <v>90</v>
      </c>
      <c r="C1592" s="1" t="s">
        <v>8818</v>
      </c>
      <c r="D1592" s="1" t="s">
        <v>8819</v>
      </c>
      <c r="E1592" s="2" t="s">
        <v>1607</v>
      </c>
      <c r="F1592" s="2" t="s">
        <v>8820</v>
      </c>
      <c r="G1592" s="1">
        <v>1</v>
      </c>
      <c r="H1592" s="1" t="s">
        <v>1663</v>
      </c>
      <c r="I1592" s="1" t="s">
        <v>1657</v>
      </c>
      <c r="J1592" s="1" t="s">
        <v>1658</v>
      </c>
      <c r="K1592" s="1" t="s">
        <v>1658</v>
      </c>
      <c r="L1592" s="1" t="s">
        <v>1658</v>
      </c>
      <c r="M1592" s="1" t="s">
        <v>1658</v>
      </c>
      <c r="N1592" s="1" t="s">
        <v>1658</v>
      </c>
      <c r="O1592" s="1" t="s">
        <v>1658</v>
      </c>
      <c r="P1592" s="1">
        <v>1</v>
      </c>
      <c r="Q1592" s="1" t="s">
        <v>1658</v>
      </c>
      <c r="R1592" s="1">
        <v>0</v>
      </c>
      <c r="S1592" s="1" t="s">
        <v>8821</v>
      </c>
      <c r="T1592" s="6" t="s">
        <v>8821</v>
      </c>
      <c r="U1592" s="1" t="str">
        <f t="shared" si="24"/>
        <v>Yes</v>
      </c>
      <c r="W1592" s="1" t="s">
        <v>8822</v>
      </c>
      <c r="X1592" s="1" t="str">
        <f>IF(COUNTIF('MyWells Drilling Comp'!F:F,E1592)=0,"Missing","Exist")</f>
        <v>Exist</v>
      </c>
    </row>
    <row r="1593" hidden="1" spans="1:24">
      <c r="A1593" s="1" t="s">
        <v>5265</v>
      </c>
      <c r="B1593" s="1" t="s">
        <v>90</v>
      </c>
      <c r="C1593" s="1" t="s">
        <v>8823</v>
      </c>
      <c r="D1593" s="1" t="s">
        <v>8819</v>
      </c>
      <c r="E1593" s="2" t="s">
        <v>1607</v>
      </c>
      <c r="F1593" s="2" t="s">
        <v>8824</v>
      </c>
      <c r="G1593" s="1">
        <v>1</v>
      </c>
      <c r="H1593" s="1" t="s">
        <v>1656</v>
      </c>
      <c r="I1593" s="1" t="s">
        <v>1657</v>
      </c>
      <c r="J1593" s="1" t="s">
        <v>1658</v>
      </c>
      <c r="K1593" s="1" t="s">
        <v>1658</v>
      </c>
      <c r="L1593" s="1" t="s">
        <v>1658</v>
      </c>
      <c r="M1593" s="1" t="s">
        <v>1658</v>
      </c>
      <c r="N1593" s="1" t="s">
        <v>1658</v>
      </c>
      <c r="O1593" s="1" t="s">
        <v>1658</v>
      </c>
      <c r="P1593" s="1">
        <v>1</v>
      </c>
      <c r="Q1593" s="1" t="s">
        <v>1658</v>
      </c>
      <c r="R1593" s="1">
        <v>0</v>
      </c>
      <c r="S1593" s="1" t="s">
        <v>1963</v>
      </c>
      <c r="T1593" s="6" t="s">
        <v>1963</v>
      </c>
      <c r="U1593" s="1" t="str">
        <f t="shared" si="24"/>
        <v>Yes</v>
      </c>
      <c r="W1593" s="1" t="s">
        <v>8825</v>
      </c>
      <c r="X1593" s="1" t="str">
        <f>IF(COUNTIF('MyWells Drilling Comp'!F:F,E1593)=0,"Missing","Exist")</f>
        <v>Exist</v>
      </c>
    </row>
    <row r="1594" hidden="1" spans="1:24">
      <c r="A1594" s="1" t="s">
        <v>5265</v>
      </c>
      <c r="B1594" s="1" t="s">
        <v>90</v>
      </c>
      <c r="C1594" s="1" t="s">
        <v>8826</v>
      </c>
      <c r="D1594" s="1" t="s">
        <v>8827</v>
      </c>
      <c r="E1594" s="2" t="s">
        <v>1499</v>
      </c>
      <c r="F1594" s="2" t="s">
        <v>8828</v>
      </c>
      <c r="G1594" s="1">
        <v>1</v>
      </c>
      <c r="H1594" s="1" t="s">
        <v>1656</v>
      </c>
      <c r="I1594" s="1" t="s">
        <v>1657</v>
      </c>
      <c r="J1594" s="1" t="s">
        <v>1658</v>
      </c>
      <c r="K1594" s="1" t="s">
        <v>1658</v>
      </c>
      <c r="L1594" s="1" t="s">
        <v>1658</v>
      </c>
      <c r="M1594" s="1" t="s">
        <v>1658</v>
      </c>
      <c r="N1594" s="1" t="s">
        <v>1658</v>
      </c>
      <c r="O1594" s="1" t="s">
        <v>1658</v>
      </c>
      <c r="P1594" s="1">
        <v>1</v>
      </c>
      <c r="Q1594" s="1" t="s">
        <v>1658</v>
      </c>
      <c r="R1594" s="1">
        <v>0</v>
      </c>
      <c r="S1594" s="1" t="s">
        <v>8829</v>
      </c>
      <c r="T1594" s="6" t="s">
        <v>8829</v>
      </c>
      <c r="U1594" s="1" t="str">
        <f t="shared" si="24"/>
        <v>Yes</v>
      </c>
      <c r="W1594" s="1" t="s">
        <v>8830</v>
      </c>
      <c r="X1594" s="1" t="str">
        <f>IF(COUNTIF('MyWells Drilling Comp'!F:F,E1594)=0,"Missing","Exist")</f>
        <v>Exist</v>
      </c>
    </row>
    <row r="1595" hidden="1" spans="1:24">
      <c r="A1595" s="1" t="s">
        <v>5265</v>
      </c>
      <c r="B1595" s="1" t="s">
        <v>90</v>
      </c>
      <c r="C1595" s="1" t="s">
        <v>8831</v>
      </c>
      <c r="D1595" s="1" t="s">
        <v>8827</v>
      </c>
      <c r="E1595" s="2" t="s">
        <v>1499</v>
      </c>
      <c r="F1595" s="2" t="s">
        <v>8832</v>
      </c>
      <c r="G1595" s="1">
        <v>1</v>
      </c>
      <c r="H1595" s="1" t="s">
        <v>1663</v>
      </c>
      <c r="I1595" s="1" t="s">
        <v>1657</v>
      </c>
      <c r="J1595" s="1" t="s">
        <v>1658</v>
      </c>
      <c r="K1595" s="1" t="s">
        <v>1658</v>
      </c>
      <c r="L1595" s="1" t="s">
        <v>1658</v>
      </c>
      <c r="M1595" s="1" t="s">
        <v>1658</v>
      </c>
      <c r="N1595" s="1" t="s">
        <v>1658</v>
      </c>
      <c r="O1595" s="1" t="s">
        <v>1658</v>
      </c>
      <c r="P1595" s="1">
        <v>1</v>
      </c>
      <c r="Q1595" s="1" t="s">
        <v>1658</v>
      </c>
      <c r="R1595" s="1">
        <v>0</v>
      </c>
      <c r="S1595" s="1" t="s">
        <v>8833</v>
      </c>
      <c r="T1595" s="6" t="s">
        <v>8833</v>
      </c>
      <c r="U1595" s="1" t="str">
        <f t="shared" si="24"/>
        <v>Yes</v>
      </c>
      <c r="W1595" s="1" t="s">
        <v>8834</v>
      </c>
      <c r="X1595" s="1" t="str">
        <f>IF(COUNTIF('MyWells Drilling Comp'!F:F,E1595)=0,"Missing","Exist")</f>
        <v>Exist</v>
      </c>
    </row>
    <row r="1596" hidden="1" spans="1:24">
      <c r="A1596" s="1" t="s">
        <v>5265</v>
      </c>
      <c r="B1596" s="1" t="s">
        <v>90</v>
      </c>
      <c r="C1596" s="1" t="s">
        <v>8835</v>
      </c>
      <c r="D1596" s="1" t="s">
        <v>8836</v>
      </c>
      <c r="E1596" s="2" t="s">
        <v>244</v>
      </c>
      <c r="F1596" s="2" t="s">
        <v>8837</v>
      </c>
      <c r="G1596" s="1">
        <v>1</v>
      </c>
      <c r="H1596" s="1" t="s">
        <v>1656</v>
      </c>
      <c r="I1596" s="1" t="s">
        <v>1657</v>
      </c>
      <c r="J1596" s="1" t="s">
        <v>1658</v>
      </c>
      <c r="K1596" s="1" t="s">
        <v>1658</v>
      </c>
      <c r="L1596" s="1" t="s">
        <v>1658</v>
      </c>
      <c r="M1596" s="1" t="s">
        <v>1658</v>
      </c>
      <c r="N1596" s="1" t="s">
        <v>1658</v>
      </c>
      <c r="O1596" s="1" t="s">
        <v>1658</v>
      </c>
      <c r="P1596" s="1">
        <v>1</v>
      </c>
      <c r="Q1596" s="1" t="s">
        <v>1658</v>
      </c>
      <c r="R1596" s="1">
        <v>0</v>
      </c>
      <c r="S1596" s="1" t="s">
        <v>8838</v>
      </c>
      <c r="T1596" s="6" t="s">
        <v>8838</v>
      </c>
      <c r="U1596" s="1" t="str">
        <f t="shared" si="24"/>
        <v>Yes</v>
      </c>
      <c r="W1596" s="1" t="s">
        <v>8839</v>
      </c>
      <c r="X1596" s="1" t="str">
        <f>IF(COUNTIF('MyWells Drilling Comp'!F:F,E1596)=0,"Missing","Exist")</f>
        <v>Exist</v>
      </c>
    </row>
    <row r="1597" hidden="1" spans="1:24">
      <c r="A1597" s="1" t="s">
        <v>5265</v>
      </c>
      <c r="B1597" s="1" t="s">
        <v>90</v>
      </c>
      <c r="C1597" s="1" t="s">
        <v>8840</v>
      </c>
      <c r="D1597" s="1" t="s">
        <v>8836</v>
      </c>
      <c r="E1597" s="2" t="s">
        <v>244</v>
      </c>
      <c r="F1597" s="2" t="s">
        <v>8841</v>
      </c>
      <c r="G1597" s="1">
        <v>1</v>
      </c>
      <c r="H1597" s="1" t="s">
        <v>1663</v>
      </c>
      <c r="I1597" s="1" t="s">
        <v>1657</v>
      </c>
      <c r="J1597" s="1" t="s">
        <v>1658</v>
      </c>
      <c r="K1597" s="1" t="s">
        <v>1658</v>
      </c>
      <c r="L1597" s="1" t="s">
        <v>1658</v>
      </c>
      <c r="M1597" s="1" t="s">
        <v>1658</v>
      </c>
      <c r="N1597" s="1" t="s">
        <v>1658</v>
      </c>
      <c r="O1597" s="1" t="s">
        <v>1658</v>
      </c>
      <c r="P1597" s="1">
        <v>1</v>
      </c>
      <c r="Q1597" s="1" t="s">
        <v>1658</v>
      </c>
      <c r="R1597" s="1">
        <v>0</v>
      </c>
      <c r="S1597" s="1" t="s">
        <v>8842</v>
      </c>
      <c r="T1597" s="6" t="s">
        <v>8842</v>
      </c>
      <c r="U1597" s="1" t="str">
        <f t="shared" si="24"/>
        <v>Yes</v>
      </c>
      <c r="W1597" s="1" t="s">
        <v>8843</v>
      </c>
      <c r="X1597" s="1" t="str">
        <f>IF(COUNTIF('MyWells Drilling Comp'!F:F,E1597)=0,"Missing","Exist")</f>
        <v>Exist</v>
      </c>
    </row>
    <row r="1598" hidden="1" spans="1:24">
      <c r="A1598" s="1" t="s">
        <v>5265</v>
      </c>
      <c r="B1598" s="1" t="s">
        <v>90</v>
      </c>
      <c r="C1598" s="1" t="s">
        <v>8844</v>
      </c>
      <c r="D1598" s="1" t="s">
        <v>8845</v>
      </c>
      <c r="E1598" s="2" t="s">
        <v>706</v>
      </c>
      <c r="F1598" s="2" t="s">
        <v>8846</v>
      </c>
      <c r="G1598" s="1">
        <v>1</v>
      </c>
      <c r="H1598" s="1" t="s">
        <v>1663</v>
      </c>
      <c r="I1598" s="1" t="s">
        <v>1657</v>
      </c>
      <c r="J1598" s="1" t="s">
        <v>1658</v>
      </c>
      <c r="K1598" s="1" t="s">
        <v>1658</v>
      </c>
      <c r="L1598" s="1" t="s">
        <v>1658</v>
      </c>
      <c r="M1598" s="1" t="s">
        <v>1658</v>
      </c>
      <c r="N1598" s="1" t="s">
        <v>1658</v>
      </c>
      <c r="O1598" s="1" t="s">
        <v>1658</v>
      </c>
      <c r="P1598" s="1">
        <v>1</v>
      </c>
      <c r="Q1598" s="1" t="s">
        <v>1658</v>
      </c>
      <c r="R1598" s="1">
        <v>0</v>
      </c>
      <c r="S1598" s="1" t="s">
        <v>8847</v>
      </c>
      <c r="T1598" s="6" t="s">
        <v>8847</v>
      </c>
      <c r="U1598" s="1" t="str">
        <f t="shared" si="24"/>
        <v>Yes</v>
      </c>
      <c r="W1598" s="1" t="s">
        <v>8848</v>
      </c>
      <c r="X1598" s="1" t="str">
        <f>IF(COUNTIF('MyWells Drilling Comp'!F:F,E1598)=0,"Missing","Exist")</f>
        <v>Exist</v>
      </c>
    </row>
    <row r="1599" hidden="1" spans="1:24">
      <c r="A1599" s="1" t="s">
        <v>5265</v>
      </c>
      <c r="B1599" s="1" t="s">
        <v>90</v>
      </c>
      <c r="C1599" s="1" t="s">
        <v>8849</v>
      </c>
      <c r="D1599" s="1" t="s">
        <v>8845</v>
      </c>
      <c r="E1599" s="2" t="s">
        <v>706</v>
      </c>
      <c r="F1599" s="2" t="s">
        <v>8850</v>
      </c>
      <c r="G1599" s="1">
        <v>1</v>
      </c>
      <c r="H1599" s="1" t="s">
        <v>1656</v>
      </c>
      <c r="I1599" s="1" t="s">
        <v>1657</v>
      </c>
      <c r="J1599" s="1" t="s">
        <v>1658</v>
      </c>
      <c r="K1599" s="1" t="s">
        <v>1658</v>
      </c>
      <c r="L1599" s="1" t="s">
        <v>1658</v>
      </c>
      <c r="M1599" s="1" t="s">
        <v>1658</v>
      </c>
      <c r="N1599" s="1" t="s">
        <v>1658</v>
      </c>
      <c r="O1599" s="1" t="s">
        <v>1658</v>
      </c>
      <c r="P1599" s="1">
        <v>1</v>
      </c>
      <c r="Q1599" s="1" t="s">
        <v>1658</v>
      </c>
      <c r="R1599" s="1">
        <v>0</v>
      </c>
      <c r="S1599" s="1" t="s">
        <v>8851</v>
      </c>
      <c r="T1599" s="6" t="s">
        <v>8851</v>
      </c>
      <c r="U1599" s="1" t="str">
        <f t="shared" si="24"/>
        <v>Yes</v>
      </c>
      <c r="W1599" s="1" t="s">
        <v>8852</v>
      </c>
      <c r="X1599" s="1" t="str">
        <f>IF(COUNTIF('MyWells Drilling Comp'!F:F,E1599)=0,"Missing","Exist")</f>
        <v>Exist</v>
      </c>
    </row>
    <row r="1600" hidden="1" spans="1:24">
      <c r="A1600" s="1" t="s">
        <v>1652</v>
      </c>
      <c r="B1600" s="1" t="s">
        <v>90</v>
      </c>
      <c r="C1600" s="7" t="s">
        <v>8853</v>
      </c>
      <c r="D1600" s="1" t="s">
        <v>8854</v>
      </c>
      <c r="E1600" s="1" t="s">
        <v>1152</v>
      </c>
      <c r="F1600" s="1" t="s">
        <v>8855</v>
      </c>
      <c r="G1600" s="1">
        <v>1</v>
      </c>
      <c r="H1600" s="1" t="s">
        <v>1663</v>
      </c>
      <c r="I1600" s="1" t="s">
        <v>1657</v>
      </c>
      <c r="J1600" s="1" t="s">
        <v>1658</v>
      </c>
      <c r="K1600" s="1" t="s">
        <v>1658</v>
      </c>
      <c r="L1600" s="1" t="s">
        <v>1658</v>
      </c>
      <c r="M1600" s="1" t="s">
        <v>1658</v>
      </c>
      <c r="N1600" s="1" t="s">
        <v>1658</v>
      </c>
      <c r="O1600" s="1" t="s">
        <v>1658</v>
      </c>
      <c r="P1600" s="1">
        <v>1</v>
      </c>
      <c r="Q1600" s="1" t="s">
        <v>1658</v>
      </c>
      <c r="R1600" s="1">
        <v>0</v>
      </c>
      <c r="S1600" s="6" t="s">
        <v>8856</v>
      </c>
      <c r="T1600" s="6" t="s">
        <v>8856</v>
      </c>
      <c r="W1600" s="1" t="s">
        <v>8857</v>
      </c>
      <c r="X1600" s="1" t="str">
        <f>IF(COUNTIF('MyWells Drilling Comp'!F:F,E1600)=0,"Missing","Exist")</f>
        <v>Exist</v>
      </c>
    </row>
    <row r="1601" hidden="1" spans="1:24">
      <c r="A1601" s="1" t="s">
        <v>1652</v>
      </c>
      <c r="B1601" s="1" t="s">
        <v>90</v>
      </c>
      <c r="C1601" s="1" t="s">
        <v>8858</v>
      </c>
      <c r="D1601" s="1" t="s">
        <v>8854</v>
      </c>
      <c r="E1601" s="1" t="s">
        <v>1152</v>
      </c>
      <c r="F1601" s="1" t="s">
        <v>8859</v>
      </c>
      <c r="G1601" s="1">
        <v>1</v>
      </c>
      <c r="H1601" s="1" t="s">
        <v>1656</v>
      </c>
      <c r="I1601" s="1" t="s">
        <v>1657</v>
      </c>
      <c r="J1601" s="1" t="s">
        <v>1658</v>
      </c>
      <c r="K1601" s="1" t="s">
        <v>1658</v>
      </c>
      <c r="L1601" s="1" t="s">
        <v>1658</v>
      </c>
      <c r="M1601" s="1" t="s">
        <v>1658</v>
      </c>
      <c r="N1601" s="1" t="s">
        <v>1658</v>
      </c>
      <c r="O1601" s="1" t="s">
        <v>1658</v>
      </c>
      <c r="P1601" s="1">
        <v>1</v>
      </c>
      <c r="Q1601" s="1" t="s">
        <v>1658</v>
      </c>
      <c r="R1601" s="1">
        <v>0</v>
      </c>
      <c r="S1601" s="6" t="s">
        <v>8860</v>
      </c>
      <c r="T1601" s="6" t="s">
        <v>8860</v>
      </c>
      <c r="W1601" s="1" t="s">
        <v>8861</v>
      </c>
      <c r="X1601" s="1" t="str">
        <f>IF(COUNTIF('MyWells Drilling Comp'!F:F,E1601)=0,"Missing","Exist")</f>
        <v>Exist</v>
      </c>
    </row>
    <row r="1602" hidden="1" spans="1:24">
      <c r="A1602" s="1" t="s">
        <v>1652</v>
      </c>
      <c r="B1602" s="1" t="s">
        <v>90</v>
      </c>
      <c r="C1602" s="1" t="s">
        <v>8862</v>
      </c>
      <c r="D1602" s="1" t="s">
        <v>8863</v>
      </c>
      <c r="E1602" s="1" t="s">
        <v>776</v>
      </c>
      <c r="F1602" s="1" t="s">
        <v>8864</v>
      </c>
      <c r="G1602" s="1">
        <v>1</v>
      </c>
      <c r="H1602" s="1" t="s">
        <v>1656</v>
      </c>
      <c r="I1602" s="1" t="s">
        <v>1657</v>
      </c>
      <c r="J1602" s="1" t="s">
        <v>1658</v>
      </c>
      <c r="K1602" s="1" t="s">
        <v>1658</v>
      </c>
      <c r="L1602" s="1" t="s">
        <v>1658</v>
      </c>
      <c r="M1602" s="1" t="s">
        <v>1658</v>
      </c>
      <c r="N1602" s="1" t="s">
        <v>1658</v>
      </c>
      <c r="O1602" s="1" t="s">
        <v>1658</v>
      </c>
      <c r="P1602" s="1">
        <v>1</v>
      </c>
      <c r="Q1602" s="1" t="s">
        <v>1658</v>
      </c>
      <c r="R1602" s="1">
        <v>0</v>
      </c>
      <c r="S1602" s="6" t="s">
        <v>8865</v>
      </c>
      <c r="T1602" s="6" t="s">
        <v>8865</v>
      </c>
      <c r="W1602" s="1" t="s">
        <v>8866</v>
      </c>
      <c r="X1602" s="1" t="str">
        <f>IF(COUNTIF('MyWells Drilling Comp'!F:F,E1602)=0,"Missing","Exist")</f>
        <v>Exist</v>
      </c>
    </row>
    <row r="1603" hidden="1" spans="1:24">
      <c r="A1603" s="1" t="s">
        <v>1652</v>
      </c>
      <c r="B1603" s="1" t="s">
        <v>90</v>
      </c>
      <c r="C1603" s="1" t="s">
        <v>8867</v>
      </c>
      <c r="D1603" s="1" t="s">
        <v>8863</v>
      </c>
      <c r="E1603" s="1" t="s">
        <v>776</v>
      </c>
      <c r="F1603" s="1" t="s">
        <v>8868</v>
      </c>
      <c r="G1603" s="1">
        <v>1</v>
      </c>
      <c r="H1603" s="1" t="s">
        <v>1663</v>
      </c>
      <c r="I1603" s="1" t="s">
        <v>1657</v>
      </c>
      <c r="J1603" s="1" t="s">
        <v>1658</v>
      </c>
      <c r="K1603" s="1" t="s">
        <v>1658</v>
      </c>
      <c r="L1603" s="1" t="s">
        <v>1658</v>
      </c>
      <c r="M1603" s="1" t="s">
        <v>1658</v>
      </c>
      <c r="N1603" s="1" t="s">
        <v>1658</v>
      </c>
      <c r="O1603" s="1" t="s">
        <v>1658</v>
      </c>
      <c r="P1603" s="1">
        <v>1</v>
      </c>
      <c r="Q1603" s="1" t="s">
        <v>1658</v>
      </c>
      <c r="R1603" s="1">
        <v>0</v>
      </c>
      <c r="S1603" s="6" t="s">
        <v>8869</v>
      </c>
      <c r="T1603" s="6" t="s">
        <v>8869</v>
      </c>
      <c r="W1603" s="1" t="s">
        <v>8870</v>
      </c>
      <c r="X1603" s="1" t="str">
        <f>IF(COUNTIF('MyWells Drilling Comp'!F:F,E1603)=0,"Missing","Exist")</f>
        <v>Exist</v>
      </c>
    </row>
    <row r="1604" hidden="1" spans="1:24">
      <c r="A1604" s="1" t="s">
        <v>5265</v>
      </c>
      <c r="B1604" s="1" t="s">
        <v>90</v>
      </c>
      <c r="C1604" s="1" t="s">
        <v>8871</v>
      </c>
      <c r="D1604" s="1" t="s">
        <v>8872</v>
      </c>
      <c r="E1604" s="1" t="s">
        <v>206</v>
      </c>
      <c r="F1604" s="1" t="s">
        <v>8873</v>
      </c>
      <c r="G1604" s="1">
        <v>1</v>
      </c>
      <c r="H1604" s="1" t="s">
        <v>1656</v>
      </c>
      <c r="I1604" s="1" t="s">
        <v>1657</v>
      </c>
      <c r="J1604" s="1" t="s">
        <v>1658</v>
      </c>
      <c r="K1604" s="1" t="s">
        <v>1658</v>
      </c>
      <c r="L1604" s="1" t="s">
        <v>1658</v>
      </c>
      <c r="M1604" s="1" t="s">
        <v>1658</v>
      </c>
      <c r="N1604" s="1" t="s">
        <v>1658</v>
      </c>
      <c r="O1604" s="1" t="s">
        <v>1658</v>
      </c>
      <c r="P1604" s="1">
        <v>1</v>
      </c>
      <c r="Q1604" s="1" t="s">
        <v>1658</v>
      </c>
      <c r="R1604" s="1">
        <v>0</v>
      </c>
      <c r="S1604" s="6" t="s">
        <v>8874</v>
      </c>
      <c r="T1604" s="6" t="s">
        <v>8874</v>
      </c>
      <c r="W1604" s="1" t="s">
        <v>8875</v>
      </c>
      <c r="X1604" s="1" t="str">
        <f>IF(COUNTIF('MyWells Drilling Comp'!F:F,E1604)=0,"Missing","Exist")</f>
        <v>Exist</v>
      </c>
    </row>
    <row r="1605" hidden="1" spans="1:24">
      <c r="A1605" s="1" t="s">
        <v>5265</v>
      </c>
      <c r="B1605" s="1" t="s">
        <v>90</v>
      </c>
      <c r="C1605" s="1" t="s">
        <v>8876</v>
      </c>
      <c r="D1605" s="1" t="s">
        <v>8872</v>
      </c>
      <c r="E1605" s="1" t="s">
        <v>206</v>
      </c>
      <c r="F1605" s="1" t="s">
        <v>8877</v>
      </c>
      <c r="G1605" s="1">
        <v>1</v>
      </c>
      <c r="H1605" s="1" t="s">
        <v>1663</v>
      </c>
      <c r="I1605" s="1" t="s">
        <v>1657</v>
      </c>
      <c r="J1605" s="1" t="s">
        <v>1658</v>
      </c>
      <c r="K1605" s="1" t="s">
        <v>1658</v>
      </c>
      <c r="L1605" s="1" t="s">
        <v>1658</v>
      </c>
      <c r="M1605" s="1" t="s">
        <v>1658</v>
      </c>
      <c r="N1605" s="1" t="s">
        <v>1658</v>
      </c>
      <c r="O1605" s="1" t="s">
        <v>1658</v>
      </c>
      <c r="P1605" s="1">
        <v>1</v>
      </c>
      <c r="Q1605" s="1" t="s">
        <v>1658</v>
      </c>
      <c r="R1605" s="1">
        <v>0</v>
      </c>
      <c r="S1605" s="6" t="s">
        <v>8878</v>
      </c>
      <c r="T1605" s="6" t="s">
        <v>8878</v>
      </c>
      <c r="W1605" s="1" t="s">
        <v>8879</v>
      </c>
      <c r="X1605" s="1" t="str">
        <f>IF(COUNTIF('MyWells Drilling Comp'!F:F,E1605)=0,"Missing","Exist")</f>
        <v>Exist</v>
      </c>
    </row>
    <row r="1606" hidden="1" spans="1:24">
      <c r="A1606" s="1" t="s">
        <v>5265</v>
      </c>
      <c r="B1606" s="1" t="s">
        <v>90</v>
      </c>
      <c r="C1606" s="1" t="s">
        <v>6833</v>
      </c>
      <c r="D1606" s="1" t="s">
        <v>6834</v>
      </c>
      <c r="E1606" s="1" t="s">
        <v>617</v>
      </c>
      <c r="F1606" s="1" t="s">
        <v>8880</v>
      </c>
      <c r="G1606" s="1">
        <v>1</v>
      </c>
      <c r="H1606" s="1" t="s">
        <v>1663</v>
      </c>
      <c r="I1606" s="1" t="s">
        <v>1657</v>
      </c>
      <c r="J1606" s="1" t="s">
        <v>1658</v>
      </c>
      <c r="K1606" s="1" t="s">
        <v>1658</v>
      </c>
      <c r="L1606" s="1" t="s">
        <v>1658</v>
      </c>
      <c r="M1606" s="1" t="s">
        <v>1658</v>
      </c>
      <c r="N1606" s="1" t="s">
        <v>1658</v>
      </c>
      <c r="O1606" s="1" t="s">
        <v>1658</v>
      </c>
      <c r="P1606" s="1">
        <v>1</v>
      </c>
      <c r="Q1606" s="1" t="s">
        <v>1658</v>
      </c>
      <c r="R1606" s="1">
        <v>0</v>
      </c>
      <c r="S1606" s="1" t="s">
        <v>6836</v>
      </c>
      <c r="T1606" s="6"/>
      <c r="W1606" s="1" t="s">
        <v>8881</v>
      </c>
      <c r="X1606" s="1" t="str">
        <f>IF(COUNTIF('MyWells Drilling Comp'!F:F,E1606)=0,"Missing","Exist")</f>
        <v>Exist</v>
      </c>
    </row>
    <row r="1607" hidden="1" spans="1:24">
      <c r="A1607" s="1" t="s">
        <v>5265</v>
      </c>
      <c r="B1607" s="1" t="s">
        <v>90</v>
      </c>
      <c r="C1607" s="1" t="s">
        <v>8882</v>
      </c>
      <c r="D1607" s="1" t="s">
        <v>8883</v>
      </c>
      <c r="E1607" s="1" t="s">
        <v>1165</v>
      </c>
      <c r="F1607" s="1" t="s">
        <v>8884</v>
      </c>
      <c r="G1607" s="1">
        <v>1</v>
      </c>
      <c r="H1607" s="1" t="s">
        <v>1656</v>
      </c>
      <c r="I1607" s="1" t="s">
        <v>1657</v>
      </c>
      <c r="J1607" s="1" t="s">
        <v>1658</v>
      </c>
      <c r="K1607" s="1" t="s">
        <v>1658</v>
      </c>
      <c r="L1607" s="1" t="s">
        <v>1658</v>
      </c>
      <c r="M1607" s="1" t="s">
        <v>1658</v>
      </c>
      <c r="N1607" s="1" t="s">
        <v>1658</v>
      </c>
      <c r="O1607" s="1" t="s">
        <v>1658</v>
      </c>
      <c r="P1607" s="1">
        <v>1</v>
      </c>
      <c r="Q1607" s="1" t="s">
        <v>1658</v>
      </c>
      <c r="R1607" s="1">
        <v>0</v>
      </c>
      <c r="S1607" s="1" t="s">
        <v>8885</v>
      </c>
      <c r="T1607" s="6"/>
      <c r="W1607" s="1" t="s">
        <v>8886</v>
      </c>
      <c r="X1607" s="1" t="str">
        <f>IF(COUNTIF('MyWells Drilling Comp'!F:F,E1607)=0,"Missing","Exist")</f>
        <v>Exist</v>
      </c>
    </row>
    <row r="1608" hidden="1" spans="1:24">
      <c r="A1608" s="1" t="s">
        <v>5265</v>
      </c>
      <c r="B1608" s="1" t="s">
        <v>90</v>
      </c>
      <c r="C1608" s="1" t="s">
        <v>8887</v>
      </c>
      <c r="D1608" s="1" t="s">
        <v>8883</v>
      </c>
      <c r="E1608" s="1" t="s">
        <v>1165</v>
      </c>
      <c r="F1608" s="1" t="s">
        <v>8888</v>
      </c>
      <c r="G1608" s="1">
        <v>1</v>
      </c>
      <c r="H1608" s="1" t="s">
        <v>1663</v>
      </c>
      <c r="I1608" s="1" t="s">
        <v>1657</v>
      </c>
      <c r="J1608" s="1" t="s">
        <v>1658</v>
      </c>
      <c r="K1608" s="1" t="s">
        <v>1658</v>
      </c>
      <c r="L1608" s="1" t="s">
        <v>1658</v>
      </c>
      <c r="M1608" s="1" t="s">
        <v>1658</v>
      </c>
      <c r="N1608" s="1" t="s">
        <v>1658</v>
      </c>
      <c r="O1608" s="1" t="s">
        <v>1658</v>
      </c>
      <c r="P1608" s="1">
        <v>1</v>
      </c>
      <c r="Q1608" s="1" t="s">
        <v>1658</v>
      </c>
      <c r="R1608" s="1">
        <v>0</v>
      </c>
      <c r="S1608" s="1" t="s">
        <v>8889</v>
      </c>
      <c r="T1608" s="6"/>
      <c r="W1608" s="1" t="s">
        <v>8890</v>
      </c>
      <c r="X1608" s="1" t="str">
        <f>IF(COUNTIF('MyWells Drilling Comp'!F:F,E1608)=0,"Missing","Exist")</f>
        <v>Exist</v>
      </c>
    </row>
    <row r="1609" hidden="1" spans="1:24">
      <c r="A1609" s="1" t="s">
        <v>5265</v>
      </c>
      <c r="B1609" s="1" t="s">
        <v>90</v>
      </c>
      <c r="C1609" s="1" t="s">
        <v>8891</v>
      </c>
      <c r="D1609" s="1" t="s">
        <v>8892</v>
      </c>
      <c r="E1609" s="1" t="s">
        <v>1621</v>
      </c>
      <c r="F1609" s="1" t="s">
        <v>8893</v>
      </c>
      <c r="G1609" s="1">
        <v>1</v>
      </c>
      <c r="H1609" s="1" t="s">
        <v>1656</v>
      </c>
      <c r="I1609" s="1" t="s">
        <v>1657</v>
      </c>
      <c r="J1609" s="1" t="s">
        <v>1658</v>
      </c>
      <c r="K1609" s="1" t="s">
        <v>1658</v>
      </c>
      <c r="L1609" s="1" t="s">
        <v>1658</v>
      </c>
      <c r="M1609" s="1" t="s">
        <v>1658</v>
      </c>
      <c r="N1609" s="1" t="s">
        <v>1658</v>
      </c>
      <c r="O1609" s="1" t="s">
        <v>1658</v>
      </c>
      <c r="P1609" s="1">
        <v>1</v>
      </c>
      <c r="Q1609" s="1" t="s">
        <v>1658</v>
      </c>
      <c r="R1609" s="1">
        <v>0</v>
      </c>
      <c r="S1609" s="1" t="s">
        <v>8894</v>
      </c>
      <c r="T1609" s="6"/>
      <c r="W1609" s="1" t="s">
        <v>8895</v>
      </c>
      <c r="X1609" s="1" t="str">
        <f>IF(COUNTIF('MyWells Drilling Comp'!F:F,E1609)=0,"Missing","Exist")</f>
        <v>Exist</v>
      </c>
    </row>
    <row r="1610" hidden="1" spans="1:24">
      <c r="A1610" s="1" t="s">
        <v>5265</v>
      </c>
      <c r="B1610" s="1" t="s">
        <v>90</v>
      </c>
      <c r="C1610" s="1" t="s">
        <v>8896</v>
      </c>
      <c r="D1610" s="1" t="s">
        <v>8892</v>
      </c>
      <c r="E1610" s="1" t="s">
        <v>1621</v>
      </c>
      <c r="F1610" s="1" t="s">
        <v>8897</v>
      </c>
      <c r="G1610" s="1">
        <v>1</v>
      </c>
      <c r="H1610" s="1" t="s">
        <v>1663</v>
      </c>
      <c r="I1610" s="1" t="s">
        <v>1657</v>
      </c>
      <c r="J1610" s="1" t="s">
        <v>1658</v>
      </c>
      <c r="K1610" s="1" t="s">
        <v>1658</v>
      </c>
      <c r="L1610" s="1" t="s">
        <v>1658</v>
      </c>
      <c r="M1610" s="1" t="s">
        <v>1658</v>
      </c>
      <c r="N1610" s="1" t="s">
        <v>1658</v>
      </c>
      <c r="O1610" s="1" t="s">
        <v>1658</v>
      </c>
      <c r="P1610" s="1">
        <v>1</v>
      </c>
      <c r="Q1610" s="1" t="s">
        <v>1658</v>
      </c>
      <c r="R1610" s="1">
        <v>0</v>
      </c>
      <c r="S1610" s="1" t="s">
        <v>8898</v>
      </c>
      <c r="T1610" s="6"/>
      <c r="W1610" s="1" t="s">
        <v>8899</v>
      </c>
      <c r="X1610" s="1" t="str">
        <f>IF(COUNTIF('MyWells Drilling Comp'!F:F,E1610)=0,"Missing","Exist")</f>
        <v>Exist</v>
      </c>
    </row>
    <row r="1611" hidden="1" spans="1:24">
      <c r="A1611" s="1" t="s">
        <v>5265</v>
      </c>
      <c r="B1611" s="1" t="s">
        <v>90</v>
      </c>
      <c r="C1611" s="1" t="s">
        <v>8900</v>
      </c>
      <c r="D1611" s="1" t="s">
        <v>8901</v>
      </c>
      <c r="E1611" s="1" t="s">
        <v>676</v>
      </c>
      <c r="F1611" s="1" t="s">
        <v>8902</v>
      </c>
      <c r="G1611" s="1">
        <v>1</v>
      </c>
      <c r="H1611" s="1" t="s">
        <v>1656</v>
      </c>
      <c r="I1611" s="1" t="s">
        <v>1657</v>
      </c>
      <c r="J1611" s="1" t="s">
        <v>1658</v>
      </c>
      <c r="K1611" s="1" t="s">
        <v>1658</v>
      </c>
      <c r="L1611" s="1" t="s">
        <v>1658</v>
      </c>
      <c r="M1611" s="1" t="s">
        <v>1658</v>
      </c>
      <c r="N1611" s="1" t="s">
        <v>1658</v>
      </c>
      <c r="O1611" s="1" t="s">
        <v>1658</v>
      </c>
      <c r="P1611" s="1">
        <v>1</v>
      </c>
      <c r="Q1611" s="1" t="s">
        <v>1658</v>
      </c>
      <c r="R1611" s="1">
        <v>0</v>
      </c>
      <c r="S1611" s="6" t="s">
        <v>8903</v>
      </c>
      <c r="T1611" s="6" t="s">
        <v>8903</v>
      </c>
      <c r="W1611" s="1" t="s">
        <v>8904</v>
      </c>
      <c r="X1611" s="1" t="str">
        <f>IF(COUNTIF('MyWells Drilling Comp'!F:F,E1611)=0,"Missing","Exist")</f>
        <v>Exist</v>
      </c>
    </row>
    <row r="1612" hidden="1" spans="1:24">
      <c r="A1612" s="1" t="s">
        <v>5265</v>
      </c>
      <c r="B1612" s="1" t="s">
        <v>90</v>
      </c>
      <c r="C1612" s="1" t="s">
        <v>8905</v>
      </c>
      <c r="D1612" s="1" t="s">
        <v>8901</v>
      </c>
      <c r="E1612" s="1" t="s">
        <v>676</v>
      </c>
      <c r="F1612" s="7" t="s">
        <v>8906</v>
      </c>
      <c r="G1612" s="1">
        <v>1</v>
      </c>
      <c r="H1612" s="1" t="s">
        <v>1663</v>
      </c>
      <c r="I1612" s="1" t="s">
        <v>1657</v>
      </c>
      <c r="J1612" s="1" t="s">
        <v>1658</v>
      </c>
      <c r="K1612" s="1" t="s">
        <v>1658</v>
      </c>
      <c r="L1612" s="1" t="s">
        <v>1658</v>
      </c>
      <c r="M1612" s="1" t="s">
        <v>1658</v>
      </c>
      <c r="N1612" s="1" t="s">
        <v>1658</v>
      </c>
      <c r="O1612" s="1" t="s">
        <v>1658</v>
      </c>
      <c r="P1612" s="1">
        <v>1</v>
      </c>
      <c r="Q1612" s="1" t="s">
        <v>1658</v>
      </c>
      <c r="R1612" s="1">
        <v>0</v>
      </c>
      <c r="S1612" s="6" t="s">
        <v>8907</v>
      </c>
      <c r="T1612" s="6" t="s">
        <v>8907</v>
      </c>
      <c r="W1612" s="1" t="s">
        <v>8908</v>
      </c>
      <c r="X1612" s="1" t="str">
        <f>IF(COUNTIF('MyWells Drilling Comp'!F:F,E1612)=0,"Missing","Exist")</f>
        <v>Exist</v>
      </c>
    </row>
    <row r="1613" hidden="1" spans="1:24">
      <c r="A1613" s="1" t="s">
        <v>1652</v>
      </c>
      <c r="B1613" s="1" t="s">
        <v>90</v>
      </c>
      <c r="C1613" s="1" t="s">
        <v>8909</v>
      </c>
      <c r="D1613" s="1" t="s">
        <v>8910</v>
      </c>
      <c r="E1613" s="1" t="s">
        <v>1208</v>
      </c>
      <c r="F1613" s="1" t="s">
        <v>8911</v>
      </c>
      <c r="G1613" s="1">
        <v>1</v>
      </c>
      <c r="H1613" s="1" t="s">
        <v>1663</v>
      </c>
      <c r="I1613" s="1" t="s">
        <v>1657</v>
      </c>
      <c r="J1613" s="1" t="s">
        <v>1658</v>
      </c>
      <c r="K1613" s="1" t="s">
        <v>1658</v>
      </c>
      <c r="L1613" s="1" t="s">
        <v>1658</v>
      </c>
      <c r="M1613" s="1" t="s">
        <v>1658</v>
      </c>
      <c r="N1613" s="1" t="s">
        <v>1658</v>
      </c>
      <c r="O1613" s="1" t="s">
        <v>1658</v>
      </c>
      <c r="P1613" s="1">
        <v>1</v>
      </c>
      <c r="Q1613" s="1" t="s">
        <v>1658</v>
      </c>
      <c r="R1613" s="1">
        <v>0</v>
      </c>
      <c r="S1613" s="1" t="s">
        <v>8912</v>
      </c>
      <c r="T1613" s="6"/>
      <c r="W1613" s="1" t="s">
        <v>8913</v>
      </c>
      <c r="X1613" s="1" t="str">
        <f>IF(COUNTIF('MyWells Drilling Comp'!F:F,E1613)=0,"Missing","Exist")</f>
        <v>Exist</v>
      </c>
    </row>
    <row r="1614" hidden="1" spans="1:24">
      <c r="A1614" s="1" t="s">
        <v>1652</v>
      </c>
      <c r="B1614" s="1" t="s">
        <v>90</v>
      </c>
      <c r="C1614" s="1" t="s">
        <v>8914</v>
      </c>
      <c r="D1614" s="1" t="s">
        <v>8910</v>
      </c>
      <c r="E1614" s="1" t="s">
        <v>1208</v>
      </c>
      <c r="F1614" s="1" t="s">
        <v>8915</v>
      </c>
      <c r="G1614" s="1">
        <v>1</v>
      </c>
      <c r="H1614" s="1" t="s">
        <v>1656</v>
      </c>
      <c r="I1614" s="1" t="s">
        <v>1657</v>
      </c>
      <c r="J1614" s="1" t="s">
        <v>1658</v>
      </c>
      <c r="K1614" s="1" t="s">
        <v>1658</v>
      </c>
      <c r="L1614" s="1" t="s">
        <v>1658</v>
      </c>
      <c r="M1614" s="1" t="s">
        <v>1658</v>
      </c>
      <c r="N1614" s="1" t="s">
        <v>1658</v>
      </c>
      <c r="O1614" s="1" t="s">
        <v>1658</v>
      </c>
      <c r="P1614" s="1">
        <v>1</v>
      </c>
      <c r="Q1614" s="1" t="s">
        <v>1658</v>
      </c>
      <c r="R1614" s="1">
        <v>0</v>
      </c>
      <c r="S1614" s="6" t="s">
        <v>8916</v>
      </c>
      <c r="T1614" s="6" t="s">
        <v>8916</v>
      </c>
      <c r="W1614" s="1" t="s">
        <v>8917</v>
      </c>
      <c r="X1614" s="1" t="str">
        <f>IF(COUNTIF('MyWells Drilling Comp'!F:F,E1614)=0,"Missing","Exist")</f>
        <v>Exist</v>
      </c>
    </row>
    <row r="1615" hidden="1" spans="1:24">
      <c r="A1615" s="1" t="s">
        <v>5265</v>
      </c>
      <c r="B1615" s="1" t="s">
        <v>90</v>
      </c>
      <c r="C1615" s="1" t="s">
        <v>8918</v>
      </c>
      <c r="D1615" s="1" t="s">
        <v>8919</v>
      </c>
      <c r="E1615" s="1" t="s">
        <v>1360</v>
      </c>
      <c r="F1615" s="1" t="s">
        <v>8920</v>
      </c>
      <c r="G1615" s="1">
        <v>1</v>
      </c>
      <c r="H1615" s="1" t="s">
        <v>1656</v>
      </c>
      <c r="I1615" s="1" t="s">
        <v>1657</v>
      </c>
      <c r="J1615" s="1" t="s">
        <v>1658</v>
      </c>
      <c r="K1615" s="1" t="s">
        <v>1658</v>
      </c>
      <c r="L1615" s="1" t="s">
        <v>1658</v>
      </c>
      <c r="M1615" s="1" t="s">
        <v>1658</v>
      </c>
      <c r="N1615" s="1" t="s">
        <v>1658</v>
      </c>
      <c r="O1615" s="1" t="s">
        <v>1658</v>
      </c>
      <c r="P1615" s="1">
        <v>1</v>
      </c>
      <c r="Q1615" s="1" t="s">
        <v>1658</v>
      </c>
      <c r="R1615" s="1">
        <v>0</v>
      </c>
      <c r="S1615" s="1" t="s">
        <v>8921</v>
      </c>
      <c r="T1615" s="6" t="s">
        <v>3340</v>
      </c>
      <c r="W1615" s="1" t="s">
        <v>8922</v>
      </c>
      <c r="X1615" s="1" t="str">
        <f>IF(COUNTIF('MyWells Drilling Comp'!F:F,E1615)=0,"Missing","Exist")</f>
        <v>Exist</v>
      </c>
    </row>
    <row r="1616" hidden="1" spans="1:24">
      <c r="A1616" s="1" t="s">
        <v>5265</v>
      </c>
      <c r="B1616" s="1" t="s">
        <v>90</v>
      </c>
      <c r="C1616" s="1" t="s">
        <v>8923</v>
      </c>
      <c r="D1616" s="1" t="s">
        <v>8919</v>
      </c>
      <c r="E1616" s="1" t="s">
        <v>1360</v>
      </c>
      <c r="F1616" s="1" t="s">
        <v>8924</v>
      </c>
      <c r="G1616" s="1">
        <v>1</v>
      </c>
      <c r="H1616" s="1" t="s">
        <v>1663</v>
      </c>
      <c r="I1616" s="1" t="s">
        <v>1657</v>
      </c>
      <c r="J1616" s="1" t="s">
        <v>1658</v>
      </c>
      <c r="K1616" s="1" t="s">
        <v>1658</v>
      </c>
      <c r="L1616" s="1" t="s">
        <v>1658</v>
      </c>
      <c r="M1616" s="1" t="s">
        <v>1658</v>
      </c>
      <c r="N1616" s="1" t="s">
        <v>1658</v>
      </c>
      <c r="O1616" s="1" t="s">
        <v>1658</v>
      </c>
      <c r="P1616" s="1">
        <v>1</v>
      </c>
      <c r="Q1616" s="1" t="s">
        <v>1658</v>
      </c>
      <c r="R1616" s="1">
        <v>0</v>
      </c>
      <c r="S1616" s="6" t="s">
        <v>8925</v>
      </c>
      <c r="T1616" s="6" t="s">
        <v>8925</v>
      </c>
      <c r="W1616" s="1" t="s">
        <v>8926</v>
      </c>
      <c r="X1616" s="1" t="str">
        <f>IF(COUNTIF('MyWells Drilling Comp'!F:F,E1616)=0,"Missing","Exist")</f>
        <v>Exist</v>
      </c>
    </row>
    <row r="1617" hidden="1" spans="1:24">
      <c r="A1617" s="1" t="s">
        <v>5265</v>
      </c>
      <c r="B1617" s="1" t="s">
        <v>90</v>
      </c>
      <c r="C1617" s="1" t="s">
        <v>8927</v>
      </c>
      <c r="D1617" s="1" t="s">
        <v>8928</v>
      </c>
      <c r="E1617" s="1" t="s">
        <v>1602</v>
      </c>
      <c r="F1617" s="1" t="s">
        <v>8929</v>
      </c>
      <c r="G1617" s="1">
        <v>1</v>
      </c>
      <c r="H1617" s="1" t="s">
        <v>1663</v>
      </c>
      <c r="I1617" s="1" t="s">
        <v>1657</v>
      </c>
      <c r="J1617" s="1" t="s">
        <v>1658</v>
      </c>
      <c r="K1617" s="1" t="s">
        <v>1658</v>
      </c>
      <c r="L1617" s="1" t="s">
        <v>1658</v>
      </c>
      <c r="M1617" s="1" t="s">
        <v>1658</v>
      </c>
      <c r="N1617" s="1" t="s">
        <v>1658</v>
      </c>
      <c r="O1617" s="1" t="s">
        <v>1658</v>
      </c>
      <c r="P1617" s="1">
        <v>1</v>
      </c>
      <c r="Q1617" s="1" t="s">
        <v>1658</v>
      </c>
      <c r="R1617" s="1">
        <v>0</v>
      </c>
      <c r="S1617" s="1" t="s">
        <v>8930</v>
      </c>
      <c r="T1617" s="6"/>
      <c r="W1617" s="1" t="s">
        <v>8931</v>
      </c>
      <c r="X1617" s="1" t="str">
        <f>IF(COUNTIF('MyWells Drilling Comp'!F:F,E1617)=0,"Missing","Exist")</f>
        <v>Exist</v>
      </c>
    </row>
    <row r="1618" hidden="1" spans="1:24">
      <c r="A1618" s="1" t="s">
        <v>5265</v>
      </c>
      <c r="B1618" s="1" t="s">
        <v>90</v>
      </c>
      <c r="C1618" s="1" t="s">
        <v>8932</v>
      </c>
      <c r="D1618" s="1" t="s">
        <v>8928</v>
      </c>
      <c r="E1618" s="1" t="s">
        <v>1602</v>
      </c>
      <c r="F1618" s="1" t="s">
        <v>8933</v>
      </c>
      <c r="G1618" s="1">
        <v>1</v>
      </c>
      <c r="H1618" s="1" t="s">
        <v>1656</v>
      </c>
      <c r="I1618" s="1" t="s">
        <v>1657</v>
      </c>
      <c r="J1618" s="1" t="s">
        <v>1658</v>
      </c>
      <c r="K1618" s="1" t="s">
        <v>1658</v>
      </c>
      <c r="L1618" s="1" t="s">
        <v>1658</v>
      </c>
      <c r="M1618" s="1" t="s">
        <v>1658</v>
      </c>
      <c r="N1618" s="1" t="s">
        <v>1658</v>
      </c>
      <c r="O1618" s="1" t="s">
        <v>1658</v>
      </c>
      <c r="P1618" s="1">
        <v>1</v>
      </c>
      <c r="Q1618" s="1" t="s">
        <v>1658</v>
      </c>
      <c r="R1618" s="1">
        <v>0</v>
      </c>
      <c r="S1618" s="1" t="s">
        <v>8934</v>
      </c>
      <c r="T1618" s="6"/>
      <c r="W1618" s="1" t="s">
        <v>8935</v>
      </c>
      <c r="X1618" s="1" t="str">
        <f>IF(COUNTIF('MyWells Drilling Comp'!F:F,E1618)=0,"Missing","Exist")</f>
        <v>Exist</v>
      </c>
    </row>
    <row r="1619" hidden="1" spans="1:24">
      <c r="A1619" s="1" t="s">
        <v>1652</v>
      </c>
      <c r="B1619" s="1" t="s">
        <v>90</v>
      </c>
      <c r="C1619" s="1" t="s">
        <v>8936</v>
      </c>
      <c r="D1619" s="1" t="s">
        <v>8937</v>
      </c>
      <c r="E1619" s="1" t="s">
        <v>960</v>
      </c>
      <c r="F1619" s="1" t="s">
        <v>8938</v>
      </c>
      <c r="G1619" s="1">
        <v>1</v>
      </c>
      <c r="H1619" s="1" t="s">
        <v>1663</v>
      </c>
      <c r="I1619" s="1" t="s">
        <v>1657</v>
      </c>
      <c r="J1619" s="1" t="s">
        <v>1658</v>
      </c>
      <c r="K1619" s="1" t="s">
        <v>1658</v>
      </c>
      <c r="L1619" s="1" t="s">
        <v>1658</v>
      </c>
      <c r="M1619" s="1" t="s">
        <v>1658</v>
      </c>
      <c r="N1619" s="1" t="s">
        <v>1658</v>
      </c>
      <c r="O1619" s="1" t="s">
        <v>1658</v>
      </c>
      <c r="P1619" s="1">
        <v>1</v>
      </c>
      <c r="Q1619" s="1" t="s">
        <v>1658</v>
      </c>
      <c r="R1619" s="1">
        <v>0</v>
      </c>
      <c r="S1619" s="6" t="s">
        <v>3448</v>
      </c>
      <c r="T1619" s="6" t="s">
        <v>3448</v>
      </c>
      <c r="W1619" s="1" t="s">
        <v>8939</v>
      </c>
      <c r="X1619" s="1" t="str">
        <f>IF(COUNTIF('MyWells Drilling Comp'!F:F,E1619)=0,"Missing","Exist")</f>
        <v>Exist</v>
      </c>
    </row>
    <row r="1620" hidden="1" spans="1:24">
      <c r="A1620" s="1" t="s">
        <v>1652</v>
      </c>
      <c r="B1620" s="1" t="s">
        <v>90</v>
      </c>
      <c r="C1620" s="1" t="s">
        <v>8940</v>
      </c>
      <c r="D1620" s="1" t="s">
        <v>8937</v>
      </c>
      <c r="E1620" s="1" t="s">
        <v>960</v>
      </c>
      <c r="F1620" s="1" t="s">
        <v>8941</v>
      </c>
      <c r="G1620" s="1">
        <v>1</v>
      </c>
      <c r="H1620" s="1" t="s">
        <v>1656</v>
      </c>
      <c r="I1620" s="1" t="s">
        <v>1657</v>
      </c>
      <c r="J1620" s="1" t="s">
        <v>1658</v>
      </c>
      <c r="K1620" s="1" t="s">
        <v>1658</v>
      </c>
      <c r="L1620" s="1" t="s">
        <v>1658</v>
      </c>
      <c r="M1620" s="1" t="s">
        <v>1658</v>
      </c>
      <c r="N1620" s="1" t="s">
        <v>1658</v>
      </c>
      <c r="O1620" s="1" t="s">
        <v>1658</v>
      </c>
      <c r="P1620" s="1">
        <v>1</v>
      </c>
      <c r="Q1620" s="1" t="s">
        <v>1658</v>
      </c>
      <c r="R1620" s="1">
        <v>0</v>
      </c>
      <c r="S1620" s="6" t="s">
        <v>8942</v>
      </c>
      <c r="T1620" s="6" t="s">
        <v>8942</v>
      </c>
      <c r="W1620" s="1" t="s">
        <v>8943</v>
      </c>
      <c r="X1620" s="1" t="str">
        <f>IF(COUNTIF('MyWells Drilling Comp'!F:F,E1620)=0,"Missing","Exist")</f>
        <v>Exist</v>
      </c>
    </row>
    <row r="1621" hidden="1" spans="1:24">
      <c r="A1621" s="1" t="s">
        <v>1652</v>
      </c>
      <c r="B1621" s="1" t="s">
        <v>90</v>
      </c>
      <c r="C1621" s="1" t="s">
        <v>8944</v>
      </c>
      <c r="D1621" s="1" t="s">
        <v>8945</v>
      </c>
      <c r="E1621" s="1" t="s">
        <v>1029</v>
      </c>
      <c r="F1621" s="1" t="s">
        <v>8946</v>
      </c>
      <c r="G1621" s="1">
        <v>1</v>
      </c>
      <c r="H1621" s="1" t="s">
        <v>1656</v>
      </c>
      <c r="I1621" s="1" t="s">
        <v>1657</v>
      </c>
      <c r="J1621" s="1" t="s">
        <v>1658</v>
      </c>
      <c r="K1621" s="1" t="s">
        <v>1658</v>
      </c>
      <c r="L1621" s="1" t="s">
        <v>1658</v>
      </c>
      <c r="M1621" s="1" t="s">
        <v>1658</v>
      </c>
      <c r="N1621" s="1" t="s">
        <v>1658</v>
      </c>
      <c r="O1621" s="1" t="s">
        <v>1658</v>
      </c>
      <c r="P1621" s="1">
        <v>1</v>
      </c>
      <c r="Q1621" s="1" t="s">
        <v>1658</v>
      </c>
      <c r="R1621" s="1">
        <v>0</v>
      </c>
      <c r="S1621" s="6" t="s">
        <v>8947</v>
      </c>
      <c r="T1621" s="6" t="s">
        <v>8947</v>
      </c>
      <c r="W1621" s="1" t="s">
        <v>8948</v>
      </c>
      <c r="X1621" s="1" t="str">
        <f>IF(COUNTIF('MyWells Drilling Comp'!F:F,E1621)=0,"Missing","Exist")</f>
        <v>Exist</v>
      </c>
    </row>
    <row r="1622" hidden="1" spans="1:24">
      <c r="A1622" s="1" t="s">
        <v>1652</v>
      </c>
      <c r="B1622" s="1" t="s">
        <v>90</v>
      </c>
      <c r="C1622" s="1" t="s">
        <v>8949</v>
      </c>
      <c r="D1622" s="1" t="s">
        <v>8945</v>
      </c>
      <c r="E1622" s="1" t="s">
        <v>1029</v>
      </c>
      <c r="F1622" s="1" t="s">
        <v>8950</v>
      </c>
      <c r="G1622" s="1">
        <v>1</v>
      </c>
      <c r="H1622" s="1" t="s">
        <v>1663</v>
      </c>
      <c r="I1622" s="1" t="s">
        <v>1657</v>
      </c>
      <c r="J1622" s="1" t="s">
        <v>1658</v>
      </c>
      <c r="K1622" s="1" t="s">
        <v>1658</v>
      </c>
      <c r="L1622" s="1" t="s">
        <v>1658</v>
      </c>
      <c r="M1622" s="1" t="s">
        <v>1658</v>
      </c>
      <c r="N1622" s="1" t="s">
        <v>1658</v>
      </c>
      <c r="O1622" s="1" t="s">
        <v>1658</v>
      </c>
      <c r="P1622" s="1">
        <v>1</v>
      </c>
      <c r="Q1622" s="1" t="s">
        <v>1658</v>
      </c>
      <c r="R1622" s="1">
        <v>0</v>
      </c>
      <c r="S1622" s="1" t="s">
        <v>8951</v>
      </c>
      <c r="T1622" s="6"/>
      <c r="W1622" s="1" t="s">
        <v>8952</v>
      </c>
      <c r="X1622" s="1" t="str">
        <f>IF(COUNTIF('MyWells Drilling Comp'!F:F,E1622)=0,"Missing","Exist")</f>
        <v>Exist</v>
      </c>
    </row>
    <row r="1623" hidden="1" spans="1:24">
      <c r="A1623" s="1" t="s">
        <v>5265</v>
      </c>
      <c r="B1623" s="1" t="s">
        <v>90</v>
      </c>
      <c r="C1623" s="1" t="s">
        <v>8953</v>
      </c>
      <c r="D1623" s="1" t="s">
        <v>8954</v>
      </c>
      <c r="E1623" s="1" t="s">
        <v>1615</v>
      </c>
      <c r="F1623" s="1" t="s">
        <v>8955</v>
      </c>
      <c r="G1623" s="1">
        <v>1</v>
      </c>
      <c r="H1623" s="1" t="s">
        <v>1663</v>
      </c>
      <c r="I1623" s="1" t="s">
        <v>1657</v>
      </c>
      <c r="J1623" s="1" t="s">
        <v>1658</v>
      </c>
      <c r="K1623" s="1" t="s">
        <v>1658</v>
      </c>
      <c r="L1623" s="1" t="s">
        <v>1658</v>
      </c>
      <c r="M1623" s="1" t="s">
        <v>1658</v>
      </c>
      <c r="N1623" s="1" t="s">
        <v>1658</v>
      </c>
      <c r="O1623" s="1" t="s">
        <v>1658</v>
      </c>
      <c r="P1623" s="1">
        <v>1</v>
      </c>
      <c r="Q1623" s="1" t="s">
        <v>1658</v>
      </c>
      <c r="R1623" s="1">
        <v>0</v>
      </c>
      <c r="S1623" s="6" t="s">
        <v>2432</v>
      </c>
      <c r="T1623" s="6" t="s">
        <v>2432</v>
      </c>
      <c r="W1623" s="1" t="s">
        <v>8956</v>
      </c>
      <c r="X1623" s="1" t="str">
        <f>IF(COUNTIF('MyWells Drilling Comp'!F:F,E1623)=0,"Missing","Exist")</f>
        <v>Exist</v>
      </c>
    </row>
    <row r="1624" hidden="1" spans="1:24">
      <c r="A1624" s="1" t="s">
        <v>5265</v>
      </c>
      <c r="B1624" s="1" t="s">
        <v>90</v>
      </c>
      <c r="C1624" s="1" t="s">
        <v>8957</v>
      </c>
      <c r="D1624" s="1" t="s">
        <v>8954</v>
      </c>
      <c r="E1624" s="1" t="s">
        <v>1615</v>
      </c>
      <c r="F1624" s="1" t="s">
        <v>8958</v>
      </c>
      <c r="G1624" s="1">
        <v>1</v>
      </c>
      <c r="H1624" s="1" t="s">
        <v>1656</v>
      </c>
      <c r="I1624" s="1" t="s">
        <v>1657</v>
      </c>
      <c r="J1624" s="1" t="s">
        <v>1658</v>
      </c>
      <c r="K1624" s="1" t="s">
        <v>1658</v>
      </c>
      <c r="L1624" s="1" t="s">
        <v>1658</v>
      </c>
      <c r="M1624" s="1" t="s">
        <v>1658</v>
      </c>
      <c r="N1624" s="1" t="s">
        <v>1658</v>
      </c>
      <c r="O1624" s="1" t="s">
        <v>1658</v>
      </c>
      <c r="P1624" s="1">
        <v>1</v>
      </c>
      <c r="Q1624" s="1" t="s">
        <v>1658</v>
      </c>
      <c r="R1624" s="1">
        <v>0</v>
      </c>
      <c r="S1624" s="6" t="s">
        <v>2428</v>
      </c>
      <c r="T1624" s="6" t="s">
        <v>2428</v>
      </c>
      <c r="W1624" s="1" t="s">
        <v>8959</v>
      </c>
      <c r="X1624" s="1" t="str">
        <f>IF(COUNTIF('MyWells Drilling Comp'!F:F,E1624)=0,"Missing","Exist")</f>
        <v>Exist</v>
      </c>
    </row>
    <row r="1625" hidden="1" spans="1:24">
      <c r="A1625" s="1" t="s">
        <v>1652</v>
      </c>
      <c r="C1625" s="1" t="s">
        <v>3144</v>
      </c>
      <c r="D1625" s="1" t="s">
        <v>3145</v>
      </c>
      <c r="E1625" s="9" t="s">
        <v>469</v>
      </c>
      <c r="F1625" s="1" t="s">
        <v>8960</v>
      </c>
      <c r="G1625" s="1">
        <v>1</v>
      </c>
      <c r="H1625" s="1" t="s">
        <v>1656</v>
      </c>
      <c r="I1625" s="1" t="s">
        <v>1657</v>
      </c>
      <c r="J1625" s="1" t="s">
        <v>1658</v>
      </c>
      <c r="K1625" s="1" t="s">
        <v>1658</v>
      </c>
      <c r="L1625" s="1" t="s">
        <v>1658</v>
      </c>
      <c r="M1625" s="1" t="s">
        <v>1658</v>
      </c>
      <c r="N1625" s="1" t="s">
        <v>1658</v>
      </c>
      <c r="O1625" s="1" t="s">
        <v>1658</v>
      </c>
      <c r="P1625" s="1">
        <v>1</v>
      </c>
      <c r="Q1625" s="1" t="s">
        <v>1658</v>
      </c>
      <c r="R1625" s="1">
        <v>0</v>
      </c>
      <c r="S1625" s="6"/>
      <c r="T1625" s="6"/>
      <c r="W1625" s="1" t="s">
        <v>8961</v>
      </c>
      <c r="X1625" s="1" t="str">
        <f>IF(COUNTIF('MyWells Drilling Comp'!F:F,E1625)=0,"Missing","Exist")</f>
        <v>Exist</v>
      </c>
    </row>
    <row r="1626" hidden="1" spans="1:24">
      <c r="A1626" s="1" t="s">
        <v>5265</v>
      </c>
      <c r="C1626" s="1" t="s">
        <v>8962</v>
      </c>
      <c r="D1626" s="1" t="s">
        <v>8963</v>
      </c>
      <c r="E1626" s="9" t="s">
        <v>169</v>
      </c>
      <c r="F1626" s="1" t="s">
        <v>8964</v>
      </c>
      <c r="G1626" s="1">
        <v>1</v>
      </c>
      <c r="H1626" s="1" t="s">
        <v>1656</v>
      </c>
      <c r="I1626" s="1" t="s">
        <v>1657</v>
      </c>
      <c r="J1626" s="1" t="s">
        <v>1658</v>
      </c>
      <c r="K1626" s="1" t="s">
        <v>1658</v>
      </c>
      <c r="L1626" s="1" t="s">
        <v>1658</v>
      </c>
      <c r="M1626" s="1" t="s">
        <v>1658</v>
      </c>
      <c r="N1626" s="1" t="s">
        <v>1658</v>
      </c>
      <c r="O1626" s="1" t="s">
        <v>1658</v>
      </c>
      <c r="P1626" s="1">
        <v>1</v>
      </c>
      <c r="Q1626" s="1" t="s">
        <v>1658</v>
      </c>
      <c r="R1626" s="1">
        <v>0</v>
      </c>
      <c r="T1626" s="6"/>
      <c r="W1626" s="1" t="s">
        <v>8965</v>
      </c>
      <c r="X1626" s="1" t="str">
        <f>IF(COUNTIF('MyWells Drilling Comp'!F:F,E1626)=0,"Missing","Exist")</f>
        <v>Exist</v>
      </c>
    </row>
    <row r="1627" hidden="1" spans="1:24">
      <c r="A1627" s="1" t="s">
        <v>5265</v>
      </c>
      <c r="B1627" s="1" t="s">
        <v>90</v>
      </c>
      <c r="C1627" s="1" t="s">
        <v>8966</v>
      </c>
      <c r="D1627" s="1" t="s">
        <v>8963</v>
      </c>
      <c r="E1627" s="1" t="s">
        <v>169</v>
      </c>
      <c r="F1627" s="1" t="s">
        <v>8967</v>
      </c>
      <c r="G1627" s="1">
        <v>1</v>
      </c>
      <c r="H1627" s="1" t="s">
        <v>1663</v>
      </c>
      <c r="I1627" s="1" t="s">
        <v>1657</v>
      </c>
      <c r="J1627" s="1" t="s">
        <v>1658</v>
      </c>
      <c r="K1627" s="1" t="s">
        <v>1658</v>
      </c>
      <c r="L1627" s="1" t="s">
        <v>1658</v>
      </c>
      <c r="M1627" s="1" t="s">
        <v>1658</v>
      </c>
      <c r="N1627" s="1" t="s">
        <v>1658</v>
      </c>
      <c r="O1627" s="1" t="s">
        <v>1658</v>
      </c>
      <c r="P1627" s="1">
        <v>1</v>
      </c>
      <c r="Q1627" s="1" t="s">
        <v>1658</v>
      </c>
      <c r="R1627" s="1">
        <v>0</v>
      </c>
      <c r="S1627" s="6" t="s">
        <v>8968</v>
      </c>
      <c r="T1627" s="6" t="s">
        <v>8968</v>
      </c>
      <c r="W1627" s="1" t="s">
        <v>8969</v>
      </c>
      <c r="X1627" s="1" t="str">
        <f>IF(COUNTIF('MyWells Drilling Comp'!F:F,E1627)=0,"Missing","Exist")</f>
        <v>Exist</v>
      </c>
    </row>
    <row r="1628" hidden="1" spans="1:24">
      <c r="A1628" s="1" t="s">
        <v>5265</v>
      </c>
      <c r="B1628" s="1" t="s">
        <v>90</v>
      </c>
      <c r="C1628" s="1" t="s">
        <v>8970</v>
      </c>
      <c r="D1628" s="1" t="s">
        <v>8971</v>
      </c>
      <c r="E1628" s="1" t="s">
        <v>1084</v>
      </c>
      <c r="F1628" s="1" t="s">
        <v>8972</v>
      </c>
      <c r="G1628" s="1">
        <v>1</v>
      </c>
      <c r="H1628" s="1" t="s">
        <v>1663</v>
      </c>
      <c r="I1628" s="1" t="s">
        <v>1657</v>
      </c>
      <c r="J1628" s="1" t="s">
        <v>1658</v>
      </c>
      <c r="K1628" s="1" t="s">
        <v>1658</v>
      </c>
      <c r="L1628" s="1" t="s">
        <v>1658</v>
      </c>
      <c r="M1628" s="1" t="s">
        <v>1658</v>
      </c>
      <c r="N1628" s="1" t="s">
        <v>1658</v>
      </c>
      <c r="O1628" s="1" t="s">
        <v>1658</v>
      </c>
      <c r="P1628" s="1">
        <v>1</v>
      </c>
      <c r="Q1628" s="1" t="s">
        <v>1658</v>
      </c>
      <c r="R1628" s="1">
        <v>0</v>
      </c>
      <c r="S1628" s="1" t="s">
        <v>8973</v>
      </c>
      <c r="T1628" s="6"/>
      <c r="W1628" s="1" t="s">
        <v>8974</v>
      </c>
      <c r="X1628" s="1" t="str">
        <f>IF(COUNTIF('MyWells Drilling Comp'!F:F,E1628)=0,"Missing","Exist")</f>
        <v>Exist</v>
      </c>
    </row>
    <row r="1629" hidden="1" spans="1:24">
      <c r="A1629" s="1" t="s">
        <v>5265</v>
      </c>
      <c r="B1629" s="1" t="s">
        <v>90</v>
      </c>
      <c r="C1629" s="1" t="s">
        <v>8975</v>
      </c>
      <c r="D1629" s="1" t="s">
        <v>8971</v>
      </c>
      <c r="E1629" s="1" t="s">
        <v>1084</v>
      </c>
      <c r="F1629" s="1" t="s">
        <v>8976</v>
      </c>
      <c r="G1629" s="1">
        <v>1</v>
      </c>
      <c r="H1629" s="1" t="s">
        <v>1656</v>
      </c>
      <c r="I1629" s="1" t="s">
        <v>1657</v>
      </c>
      <c r="J1629" s="1" t="s">
        <v>1658</v>
      </c>
      <c r="K1629" s="1" t="s">
        <v>1658</v>
      </c>
      <c r="L1629" s="1" t="s">
        <v>1658</v>
      </c>
      <c r="M1629" s="1" t="s">
        <v>1658</v>
      </c>
      <c r="N1629" s="1" t="s">
        <v>1658</v>
      </c>
      <c r="O1629" s="1" t="s">
        <v>1658</v>
      </c>
      <c r="P1629" s="1">
        <v>1</v>
      </c>
      <c r="Q1629" s="1" t="s">
        <v>1658</v>
      </c>
      <c r="R1629" s="1">
        <v>0</v>
      </c>
      <c r="S1629" s="1" t="s">
        <v>8977</v>
      </c>
      <c r="T1629" s="6"/>
      <c r="W1629" s="1" t="s">
        <v>8978</v>
      </c>
      <c r="X1629" s="1" t="str">
        <f>IF(COUNTIF('MyWells Drilling Comp'!F:F,E1629)=0,"Missing","Exist")</f>
        <v>Exist</v>
      </c>
    </row>
    <row r="1630" hidden="1" spans="1:24">
      <c r="A1630" s="1" t="s">
        <v>1652</v>
      </c>
      <c r="B1630" s="1" t="s">
        <v>90</v>
      </c>
      <c r="C1630" s="1" t="s">
        <v>8979</v>
      </c>
      <c r="D1630" s="1" t="s">
        <v>8980</v>
      </c>
      <c r="E1630" s="1" t="s">
        <v>1077</v>
      </c>
      <c r="F1630" s="1" t="s">
        <v>8981</v>
      </c>
      <c r="G1630" s="1">
        <v>1</v>
      </c>
      <c r="H1630" s="1" t="s">
        <v>1656</v>
      </c>
      <c r="I1630" s="1" t="s">
        <v>1657</v>
      </c>
      <c r="J1630" s="1" t="s">
        <v>1658</v>
      </c>
      <c r="K1630" s="1" t="s">
        <v>1658</v>
      </c>
      <c r="L1630" s="1" t="s">
        <v>1658</v>
      </c>
      <c r="M1630" s="1" t="s">
        <v>1658</v>
      </c>
      <c r="N1630" s="1" t="s">
        <v>1658</v>
      </c>
      <c r="O1630" s="1" t="s">
        <v>1658</v>
      </c>
      <c r="P1630" s="1">
        <v>1</v>
      </c>
      <c r="Q1630" s="1" t="s">
        <v>1658</v>
      </c>
      <c r="R1630" s="1">
        <v>0</v>
      </c>
      <c r="S1630" s="6" t="s">
        <v>8982</v>
      </c>
      <c r="T1630" s="6" t="s">
        <v>8982</v>
      </c>
      <c r="W1630" s="1" t="s">
        <v>8983</v>
      </c>
      <c r="X1630" s="1" t="str">
        <f>IF(COUNTIF('MyWells Drilling Comp'!F:F,E1630)=0,"Missing","Exist")</f>
        <v>Exist</v>
      </c>
    </row>
    <row r="1631" hidden="1" spans="1:24">
      <c r="A1631" s="1" t="s">
        <v>1652</v>
      </c>
      <c r="B1631" s="1" t="s">
        <v>90</v>
      </c>
      <c r="C1631" s="1" t="s">
        <v>8984</v>
      </c>
      <c r="D1631" s="1" t="s">
        <v>8980</v>
      </c>
      <c r="E1631" s="1" t="s">
        <v>1077</v>
      </c>
      <c r="F1631" s="1" t="s">
        <v>8985</v>
      </c>
      <c r="G1631" s="1">
        <v>1</v>
      </c>
      <c r="H1631" s="1" t="s">
        <v>1663</v>
      </c>
      <c r="I1631" s="1" t="s">
        <v>1657</v>
      </c>
      <c r="J1631" s="1" t="s">
        <v>1658</v>
      </c>
      <c r="K1631" s="1" t="s">
        <v>1658</v>
      </c>
      <c r="L1631" s="1" t="s">
        <v>1658</v>
      </c>
      <c r="M1631" s="1" t="s">
        <v>1658</v>
      </c>
      <c r="N1631" s="1" t="s">
        <v>1658</v>
      </c>
      <c r="O1631" s="1" t="s">
        <v>1658</v>
      </c>
      <c r="P1631" s="1">
        <v>1</v>
      </c>
      <c r="Q1631" s="1" t="s">
        <v>1658</v>
      </c>
      <c r="R1631" s="1">
        <v>0</v>
      </c>
      <c r="S1631" s="6" t="s">
        <v>8986</v>
      </c>
      <c r="T1631" s="6" t="s">
        <v>8986</v>
      </c>
      <c r="W1631" s="1" t="s">
        <v>8987</v>
      </c>
      <c r="X1631" s="1" t="str">
        <f>IF(COUNTIF('MyWells Drilling Comp'!F:F,E1631)=0,"Missing","Exist")</f>
        <v>Exist</v>
      </c>
    </row>
    <row r="1632" hidden="1" spans="1:24">
      <c r="A1632" s="1" t="s">
        <v>5265</v>
      </c>
      <c r="B1632" s="1" t="s">
        <v>90</v>
      </c>
      <c r="C1632" s="1" t="s">
        <v>8988</v>
      </c>
      <c r="D1632" s="1" t="s">
        <v>8989</v>
      </c>
      <c r="E1632" s="1" t="s">
        <v>1359</v>
      </c>
      <c r="F1632" s="1" t="s">
        <v>8990</v>
      </c>
      <c r="G1632" s="1">
        <v>1</v>
      </c>
      <c r="H1632" s="1" t="s">
        <v>1663</v>
      </c>
      <c r="I1632" s="1" t="s">
        <v>1657</v>
      </c>
      <c r="J1632" s="1" t="s">
        <v>1658</v>
      </c>
      <c r="K1632" s="1" t="s">
        <v>1658</v>
      </c>
      <c r="L1632" s="1" t="s">
        <v>1658</v>
      </c>
      <c r="M1632" s="1" t="s">
        <v>1658</v>
      </c>
      <c r="N1632" s="1" t="s">
        <v>1658</v>
      </c>
      <c r="O1632" s="1" t="s">
        <v>1658</v>
      </c>
      <c r="P1632" s="1">
        <v>1</v>
      </c>
      <c r="Q1632" s="1" t="s">
        <v>1658</v>
      </c>
      <c r="R1632" s="1">
        <v>0</v>
      </c>
      <c r="S1632" s="6" t="s">
        <v>8991</v>
      </c>
      <c r="T1632" s="6" t="s">
        <v>8991</v>
      </c>
      <c r="W1632" s="1" t="s">
        <v>8992</v>
      </c>
      <c r="X1632" s="1" t="str">
        <f>IF(COUNTIF('MyWells Drilling Comp'!F:F,E1632)=0,"Missing","Exist")</f>
        <v>Exist</v>
      </c>
    </row>
    <row r="1633" hidden="1" spans="1:24">
      <c r="A1633" s="1" t="s">
        <v>5265</v>
      </c>
      <c r="B1633" s="1" t="s">
        <v>90</v>
      </c>
      <c r="C1633" s="1" t="s">
        <v>8993</v>
      </c>
      <c r="D1633" s="1" t="s">
        <v>8989</v>
      </c>
      <c r="E1633" s="1" t="s">
        <v>1359</v>
      </c>
      <c r="F1633" s="1" t="s">
        <v>8994</v>
      </c>
      <c r="G1633" s="1">
        <v>1</v>
      </c>
      <c r="H1633" s="1" t="s">
        <v>1656</v>
      </c>
      <c r="I1633" s="1" t="s">
        <v>1657</v>
      </c>
      <c r="J1633" s="1" t="s">
        <v>1658</v>
      </c>
      <c r="K1633" s="1" t="s">
        <v>1658</v>
      </c>
      <c r="L1633" s="1" t="s">
        <v>1658</v>
      </c>
      <c r="M1633" s="1" t="s">
        <v>1658</v>
      </c>
      <c r="N1633" s="1" t="s">
        <v>1658</v>
      </c>
      <c r="O1633" s="1" t="s">
        <v>1658</v>
      </c>
      <c r="P1633" s="1">
        <v>1</v>
      </c>
      <c r="Q1633" s="1" t="s">
        <v>1658</v>
      </c>
      <c r="R1633" s="1">
        <v>0</v>
      </c>
      <c r="S1633" s="6" t="s">
        <v>8995</v>
      </c>
      <c r="T1633" s="6" t="s">
        <v>8995</v>
      </c>
      <c r="W1633" s="1" t="s">
        <v>8996</v>
      </c>
      <c r="X1633" s="1" t="str">
        <f>IF(COUNTIF('MyWells Drilling Comp'!F:F,E1633)=0,"Missing","Exist")</f>
        <v>Exist</v>
      </c>
    </row>
    <row r="1634" hidden="1" spans="1:24">
      <c r="A1634" s="1" t="s">
        <v>5265</v>
      </c>
      <c r="B1634" s="1" t="s">
        <v>90</v>
      </c>
      <c r="C1634" s="1" t="s">
        <v>8997</v>
      </c>
      <c r="D1634" s="1" t="s">
        <v>8998</v>
      </c>
      <c r="E1634" s="1" t="s">
        <v>1261</v>
      </c>
      <c r="F1634" s="1" t="s">
        <v>8999</v>
      </c>
      <c r="G1634" s="1">
        <v>1</v>
      </c>
      <c r="H1634" s="1" t="s">
        <v>1656</v>
      </c>
      <c r="I1634" s="1" t="s">
        <v>1657</v>
      </c>
      <c r="J1634" s="1" t="s">
        <v>1658</v>
      </c>
      <c r="K1634" s="1" t="s">
        <v>1658</v>
      </c>
      <c r="L1634" s="1" t="s">
        <v>1658</v>
      </c>
      <c r="M1634" s="1" t="s">
        <v>1658</v>
      </c>
      <c r="N1634" s="1" t="s">
        <v>1658</v>
      </c>
      <c r="O1634" s="1" t="s">
        <v>1658</v>
      </c>
      <c r="P1634" s="1">
        <v>1</v>
      </c>
      <c r="Q1634" s="1" t="s">
        <v>1658</v>
      </c>
      <c r="R1634" s="1">
        <v>0</v>
      </c>
      <c r="S1634" s="6" t="s">
        <v>9000</v>
      </c>
      <c r="T1634" s="6" t="s">
        <v>9000</v>
      </c>
      <c r="W1634" s="1" t="s">
        <v>9001</v>
      </c>
      <c r="X1634" s="1" t="str">
        <f>IF(COUNTIF('MyWells Drilling Comp'!F:F,E1634)=0,"Missing","Exist")</f>
        <v>Exist</v>
      </c>
    </row>
    <row r="1635" hidden="1" spans="1:24">
      <c r="A1635" s="1" t="s">
        <v>5265</v>
      </c>
      <c r="B1635" s="1" t="s">
        <v>90</v>
      </c>
      <c r="C1635" s="1" t="s">
        <v>9002</v>
      </c>
      <c r="D1635" s="1" t="s">
        <v>8998</v>
      </c>
      <c r="E1635" s="1" t="s">
        <v>1261</v>
      </c>
      <c r="F1635" s="1" t="s">
        <v>9003</v>
      </c>
      <c r="G1635" s="1">
        <v>1</v>
      </c>
      <c r="H1635" s="1" t="s">
        <v>1663</v>
      </c>
      <c r="I1635" s="1" t="s">
        <v>1657</v>
      </c>
      <c r="J1635" s="1" t="s">
        <v>1658</v>
      </c>
      <c r="K1635" s="1" t="s">
        <v>1658</v>
      </c>
      <c r="L1635" s="1" t="s">
        <v>1658</v>
      </c>
      <c r="M1635" s="1" t="s">
        <v>1658</v>
      </c>
      <c r="N1635" s="1" t="s">
        <v>1658</v>
      </c>
      <c r="O1635" s="1" t="s">
        <v>1658</v>
      </c>
      <c r="P1635" s="1">
        <v>1</v>
      </c>
      <c r="Q1635" s="1" t="s">
        <v>1658</v>
      </c>
      <c r="R1635" s="1">
        <v>0</v>
      </c>
      <c r="S1635" s="6" t="s">
        <v>9004</v>
      </c>
      <c r="T1635" s="6" t="s">
        <v>9004</v>
      </c>
      <c r="W1635" s="1" t="s">
        <v>9005</v>
      </c>
      <c r="X1635" s="1" t="str">
        <f>IF(COUNTIF('MyWells Drilling Comp'!F:F,E1635)=0,"Missing","Exist")</f>
        <v>Exist</v>
      </c>
    </row>
    <row r="1636" hidden="1" spans="1:24">
      <c r="A1636" s="1" t="s">
        <v>1652</v>
      </c>
      <c r="B1636" s="1" t="s">
        <v>90</v>
      </c>
      <c r="C1636" s="1" t="s">
        <v>9006</v>
      </c>
      <c r="D1636" s="1" t="s">
        <v>9007</v>
      </c>
      <c r="E1636" s="1" t="s">
        <v>225</v>
      </c>
      <c r="F1636" s="1" t="s">
        <v>9008</v>
      </c>
      <c r="G1636" s="1">
        <v>1</v>
      </c>
      <c r="H1636" s="1" t="s">
        <v>1656</v>
      </c>
      <c r="I1636" s="1" t="s">
        <v>1657</v>
      </c>
      <c r="J1636" s="1" t="s">
        <v>1658</v>
      </c>
      <c r="K1636" s="1" t="s">
        <v>1658</v>
      </c>
      <c r="L1636" s="1" t="s">
        <v>1658</v>
      </c>
      <c r="M1636" s="1" t="s">
        <v>1658</v>
      </c>
      <c r="N1636" s="1" t="s">
        <v>1658</v>
      </c>
      <c r="O1636" s="1" t="s">
        <v>1658</v>
      </c>
      <c r="P1636" s="1">
        <v>1</v>
      </c>
      <c r="Q1636" s="1" t="s">
        <v>1658</v>
      </c>
      <c r="R1636" s="1">
        <v>0</v>
      </c>
      <c r="S1636" s="1" t="s">
        <v>9009</v>
      </c>
      <c r="T1636" s="6"/>
      <c r="W1636" s="1" t="s">
        <v>9010</v>
      </c>
      <c r="X1636" s="1" t="str">
        <f>IF(COUNTIF('MyWells Drilling Comp'!F:F,E1636)=0,"Missing","Exist")</f>
        <v>Exist</v>
      </c>
    </row>
    <row r="1637" hidden="1" spans="1:24">
      <c r="A1637" s="1" t="s">
        <v>1652</v>
      </c>
      <c r="B1637" s="1" t="s">
        <v>90</v>
      </c>
      <c r="C1637" s="1" t="s">
        <v>9011</v>
      </c>
      <c r="D1637" s="1" t="s">
        <v>9007</v>
      </c>
      <c r="E1637" s="1" t="s">
        <v>225</v>
      </c>
      <c r="F1637" s="7" t="s">
        <v>9012</v>
      </c>
      <c r="G1637" s="1">
        <v>1</v>
      </c>
      <c r="H1637" s="1" t="s">
        <v>1663</v>
      </c>
      <c r="I1637" s="1" t="s">
        <v>1657</v>
      </c>
      <c r="J1637" s="1" t="s">
        <v>1658</v>
      </c>
      <c r="K1637" s="1" t="s">
        <v>1658</v>
      </c>
      <c r="L1637" s="1" t="s">
        <v>1658</v>
      </c>
      <c r="M1637" s="1" t="s">
        <v>1658</v>
      </c>
      <c r="N1637" s="1" t="s">
        <v>1658</v>
      </c>
      <c r="O1637" s="1" t="s">
        <v>1658</v>
      </c>
      <c r="P1637" s="1">
        <v>1</v>
      </c>
      <c r="Q1637" s="1" t="s">
        <v>1658</v>
      </c>
      <c r="R1637" s="1">
        <v>0</v>
      </c>
      <c r="S1637" s="6" t="s">
        <v>9013</v>
      </c>
      <c r="T1637" s="6" t="s">
        <v>9013</v>
      </c>
      <c r="W1637" s="1" t="s">
        <v>9014</v>
      </c>
      <c r="X1637" s="1" t="str">
        <f>IF(COUNTIF('MyWells Drilling Comp'!F:F,E1637)=0,"Missing","Exist")</f>
        <v>Exist</v>
      </c>
    </row>
    <row r="1638" hidden="1" spans="1:24">
      <c r="A1638" s="1" t="s">
        <v>5265</v>
      </c>
      <c r="B1638" s="1" t="s">
        <v>90</v>
      </c>
      <c r="C1638" s="1" t="s">
        <v>9015</v>
      </c>
      <c r="D1638" s="1" t="s">
        <v>9016</v>
      </c>
      <c r="E1638" s="1" t="s">
        <v>889</v>
      </c>
      <c r="F1638" s="1" t="s">
        <v>9017</v>
      </c>
      <c r="G1638" s="1">
        <v>1</v>
      </c>
      <c r="H1638" s="1" t="s">
        <v>1663</v>
      </c>
      <c r="I1638" s="1" t="s">
        <v>1657</v>
      </c>
      <c r="J1638" s="1" t="s">
        <v>1658</v>
      </c>
      <c r="K1638" s="1" t="s">
        <v>1658</v>
      </c>
      <c r="L1638" s="1" t="s">
        <v>1658</v>
      </c>
      <c r="M1638" s="1" t="s">
        <v>1658</v>
      </c>
      <c r="N1638" s="1" t="s">
        <v>1658</v>
      </c>
      <c r="O1638" s="1" t="s">
        <v>1658</v>
      </c>
      <c r="P1638" s="1">
        <v>1</v>
      </c>
      <c r="Q1638" s="1" t="s">
        <v>1658</v>
      </c>
      <c r="R1638" s="1">
        <v>0</v>
      </c>
      <c r="S1638" s="6" t="s">
        <v>9018</v>
      </c>
      <c r="T1638" s="6" t="s">
        <v>9018</v>
      </c>
      <c r="W1638" s="1" t="s">
        <v>9019</v>
      </c>
      <c r="X1638" s="1" t="str">
        <f>IF(COUNTIF('MyWells Drilling Comp'!F:F,E1638)=0,"Missing","Exist")</f>
        <v>Exist</v>
      </c>
    </row>
    <row r="1639" hidden="1" spans="1:24">
      <c r="A1639" s="1" t="s">
        <v>5265</v>
      </c>
      <c r="B1639" s="1" t="s">
        <v>90</v>
      </c>
      <c r="C1639" s="1" t="s">
        <v>9020</v>
      </c>
      <c r="D1639" s="1" t="s">
        <v>9016</v>
      </c>
      <c r="E1639" s="1" t="s">
        <v>889</v>
      </c>
      <c r="F1639" s="1" t="s">
        <v>9021</v>
      </c>
      <c r="G1639" s="1">
        <v>1</v>
      </c>
      <c r="H1639" s="1" t="s">
        <v>1656</v>
      </c>
      <c r="I1639" s="1" t="s">
        <v>1657</v>
      </c>
      <c r="J1639" s="1" t="s">
        <v>1658</v>
      </c>
      <c r="K1639" s="1" t="s">
        <v>1658</v>
      </c>
      <c r="L1639" s="1" t="s">
        <v>1658</v>
      </c>
      <c r="M1639" s="1" t="s">
        <v>1658</v>
      </c>
      <c r="N1639" s="1" t="s">
        <v>1658</v>
      </c>
      <c r="O1639" s="1" t="s">
        <v>1658</v>
      </c>
      <c r="P1639" s="1">
        <v>1</v>
      </c>
      <c r="Q1639" s="1" t="s">
        <v>1658</v>
      </c>
      <c r="R1639" s="1">
        <v>0</v>
      </c>
      <c r="S1639" s="1" t="s">
        <v>9022</v>
      </c>
      <c r="T1639" s="6"/>
      <c r="W1639" s="1" t="s">
        <v>9023</v>
      </c>
      <c r="X1639" s="1" t="str">
        <f>IF(COUNTIF('MyWells Drilling Comp'!F:F,E1639)=0,"Missing","Exist")</f>
        <v>Exist</v>
      </c>
    </row>
    <row r="1640" hidden="1" spans="1:24">
      <c r="A1640" s="1" t="s">
        <v>1652</v>
      </c>
      <c r="B1640" s="1" t="s">
        <v>90</v>
      </c>
      <c r="C1640" s="1" t="s">
        <v>9024</v>
      </c>
      <c r="D1640" s="1" t="s">
        <v>9025</v>
      </c>
      <c r="E1640" s="1" t="s">
        <v>186</v>
      </c>
      <c r="F1640" s="1" t="s">
        <v>9026</v>
      </c>
      <c r="G1640" s="1">
        <v>1</v>
      </c>
      <c r="H1640" s="1" t="s">
        <v>1656</v>
      </c>
      <c r="I1640" s="1" t="s">
        <v>1657</v>
      </c>
      <c r="J1640" s="1" t="s">
        <v>1658</v>
      </c>
      <c r="K1640" s="1" t="s">
        <v>1658</v>
      </c>
      <c r="L1640" s="1" t="s">
        <v>1658</v>
      </c>
      <c r="M1640" s="1" t="s">
        <v>1658</v>
      </c>
      <c r="N1640" s="1" t="s">
        <v>1658</v>
      </c>
      <c r="O1640" s="1" t="s">
        <v>1658</v>
      </c>
      <c r="P1640" s="1">
        <v>1</v>
      </c>
      <c r="Q1640" s="1" t="s">
        <v>1658</v>
      </c>
      <c r="R1640" s="1">
        <v>0</v>
      </c>
      <c r="S1640" s="1" t="s">
        <v>9027</v>
      </c>
      <c r="T1640" s="6"/>
      <c r="W1640" s="1" t="s">
        <v>9028</v>
      </c>
      <c r="X1640" s="1" t="str">
        <f>IF(COUNTIF('MyWells Drilling Comp'!F:F,E1640)=0,"Missing","Exist")</f>
        <v>Exist</v>
      </c>
    </row>
    <row r="1641" hidden="1" spans="1:24">
      <c r="A1641" s="1" t="s">
        <v>1652</v>
      </c>
      <c r="B1641" s="1" t="s">
        <v>90</v>
      </c>
      <c r="C1641" s="1" t="s">
        <v>9029</v>
      </c>
      <c r="D1641" s="1" t="s">
        <v>9025</v>
      </c>
      <c r="E1641" s="1" t="s">
        <v>186</v>
      </c>
      <c r="F1641" s="1" t="s">
        <v>9030</v>
      </c>
      <c r="G1641" s="1">
        <v>1</v>
      </c>
      <c r="H1641" s="1" t="s">
        <v>1663</v>
      </c>
      <c r="I1641" s="1" t="s">
        <v>1657</v>
      </c>
      <c r="J1641" s="1" t="s">
        <v>1658</v>
      </c>
      <c r="K1641" s="1" t="s">
        <v>1658</v>
      </c>
      <c r="L1641" s="1" t="s">
        <v>1658</v>
      </c>
      <c r="M1641" s="1" t="s">
        <v>1658</v>
      </c>
      <c r="N1641" s="1" t="s">
        <v>1658</v>
      </c>
      <c r="O1641" s="1" t="s">
        <v>1658</v>
      </c>
      <c r="P1641" s="1">
        <v>1</v>
      </c>
      <c r="Q1641" s="1" t="s">
        <v>1658</v>
      </c>
      <c r="R1641" s="1">
        <v>0</v>
      </c>
      <c r="S1641" s="6" t="s">
        <v>9031</v>
      </c>
      <c r="T1641" s="6" t="s">
        <v>9031</v>
      </c>
      <c r="W1641" s="1" t="s">
        <v>9032</v>
      </c>
      <c r="X1641" s="1" t="str">
        <f>IF(COUNTIF('MyWells Drilling Comp'!F:F,E1641)=0,"Missing","Exist")</f>
        <v>Exist</v>
      </c>
    </row>
    <row r="1642" hidden="1" spans="1:24">
      <c r="A1642" s="1" t="s">
        <v>1652</v>
      </c>
      <c r="B1642" s="1" t="s">
        <v>90</v>
      </c>
      <c r="C1642" s="1" t="s">
        <v>9033</v>
      </c>
      <c r="D1642" s="1" t="s">
        <v>9034</v>
      </c>
      <c r="E1642" s="1" t="s">
        <v>1051</v>
      </c>
      <c r="F1642" s="1" t="s">
        <v>9035</v>
      </c>
      <c r="G1642" s="1">
        <v>1</v>
      </c>
      <c r="H1642" s="1" t="s">
        <v>1663</v>
      </c>
      <c r="I1642" s="1" t="s">
        <v>1657</v>
      </c>
      <c r="J1642" s="1" t="s">
        <v>1658</v>
      </c>
      <c r="K1642" s="1" t="s">
        <v>1658</v>
      </c>
      <c r="L1642" s="1" t="s">
        <v>1658</v>
      </c>
      <c r="M1642" s="1" t="s">
        <v>1658</v>
      </c>
      <c r="N1642" s="1" t="s">
        <v>1658</v>
      </c>
      <c r="O1642" s="1" t="s">
        <v>1658</v>
      </c>
      <c r="P1642" s="1">
        <v>1</v>
      </c>
      <c r="Q1642" s="1" t="s">
        <v>1658</v>
      </c>
      <c r="R1642" s="1">
        <v>0</v>
      </c>
      <c r="S1642" s="1" t="s">
        <v>9036</v>
      </c>
      <c r="T1642" s="6"/>
      <c r="W1642" s="1" t="s">
        <v>9037</v>
      </c>
      <c r="X1642" s="1" t="str">
        <f>IF(COUNTIF('MyWells Drilling Comp'!F:F,E1642)=0,"Missing","Exist")</f>
        <v>Exist</v>
      </c>
    </row>
    <row r="1643" hidden="1" spans="1:24">
      <c r="A1643" s="1" t="s">
        <v>1652</v>
      </c>
      <c r="B1643" s="1" t="s">
        <v>90</v>
      </c>
      <c r="C1643" s="1" t="s">
        <v>9038</v>
      </c>
      <c r="D1643" s="1" t="s">
        <v>9034</v>
      </c>
      <c r="E1643" s="1" t="s">
        <v>1051</v>
      </c>
      <c r="F1643" s="1" t="s">
        <v>9039</v>
      </c>
      <c r="G1643" s="1">
        <v>1</v>
      </c>
      <c r="H1643" s="1" t="s">
        <v>1656</v>
      </c>
      <c r="I1643" s="1" t="s">
        <v>1657</v>
      </c>
      <c r="J1643" s="1" t="s">
        <v>1658</v>
      </c>
      <c r="K1643" s="1" t="s">
        <v>1658</v>
      </c>
      <c r="L1643" s="1" t="s">
        <v>1658</v>
      </c>
      <c r="M1643" s="1" t="s">
        <v>1658</v>
      </c>
      <c r="N1643" s="1" t="s">
        <v>1658</v>
      </c>
      <c r="O1643" s="1" t="s">
        <v>1658</v>
      </c>
      <c r="P1643" s="1">
        <v>1</v>
      </c>
      <c r="Q1643" s="1" t="s">
        <v>1658</v>
      </c>
      <c r="R1643" s="1">
        <v>0</v>
      </c>
      <c r="S1643" s="6" t="s">
        <v>9040</v>
      </c>
      <c r="T1643" s="6" t="s">
        <v>9040</v>
      </c>
      <c r="W1643" s="1" t="s">
        <v>9041</v>
      </c>
      <c r="X1643" s="1" t="str">
        <f>IF(COUNTIF('MyWells Drilling Comp'!F:F,E1643)=0,"Missing","Exist")</f>
        <v>Exist</v>
      </c>
    </row>
    <row r="1644" hidden="1" spans="1:24">
      <c r="A1644" s="1" t="s">
        <v>5265</v>
      </c>
      <c r="B1644" s="1" t="s">
        <v>90</v>
      </c>
      <c r="C1644" s="1" t="s">
        <v>9042</v>
      </c>
      <c r="D1644" s="1" t="s">
        <v>9043</v>
      </c>
      <c r="E1644" s="2" t="s">
        <v>1049</v>
      </c>
      <c r="F1644" s="2" t="s">
        <v>9044</v>
      </c>
      <c r="G1644" s="1">
        <v>1</v>
      </c>
      <c r="H1644" s="1" t="s">
        <v>1656</v>
      </c>
      <c r="I1644" s="1" t="s">
        <v>1657</v>
      </c>
      <c r="J1644" s="1" t="s">
        <v>1658</v>
      </c>
      <c r="K1644" s="1" t="s">
        <v>1658</v>
      </c>
      <c r="L1644" s="1" t="s">
        <v>1658</v>
      </c>
      <c r="M1644" s="1" t="s">
        <v>1658</v>
      </c>
      <c r="N1644" s="1" t="s">
        <v>1658</v>
      </c>
      <c r="O1644" s="1" t="s">
        <v>1658</v>
      </c>
      <c r="P1644" s="1">
        <v>1</v>
      </c>
      <c r="Q1644" s="1" t="s">
        <v>1658</v>
      </c>
      <c r="R1644" s="1">
        <v>0</v>
      </c>
      <c r="S1644" s="1" t="s">
        <v>9045</v>
      </c>
      <c r="T1644" s="6"/>
      <c r="W1644" s="1" t="s">
        <v>9046</v>
      </c>
      <c r="X1644" s="1" t="str">
        <f>IF(COUNTIF('MyWells Drilling Comp'!F:F,E1644)=0,"Missing","Exist")</f>
        <v>Exist</v>
      </c>
    </row>
    <row r="1645" hidden="1" spans="1:24">
      <c r="A1645" s="1" t="s">
        <v>5265</v>
      </c>
      <c r="B1645" s="1" t="s">
        <v>90</v>
      </c>
      <c r="C1645" s="1" t="s">
        <v>9047</v>
      </c>
      <c r="D1645" s="1" t="s">
        <v>9043</v>
      </c>
      <c r="E1645" s="2" t="s">
        <v>1049</v>
      </c>
      <c r="F1645" s="2" t="s">
        <v>9048</v>
      </c>
      <c r="G1645" s="1">
        <v>1</v>
      </c>
      <c r="H1645" s="1" t="s">
        <v>1663</v>
      </c>
      <c r="I1645" s="1" t="s">
        <v>1657</v>
      </c>
      <c r="J1645" s="1" t="s">
        <v>1658</v>
      </c>
      <c r="K1645" s="1" t="s">
        <v>1658</v>
      </c>
      <c r="L1645" s="1" t="s">
        <v>1658</v>
      </c>
      <c r="M1645" s="1" t="s">
        <v>1658</v>
      </c>
      <c r="N1645" s="1" t="s">
        <v>1658</v>
      </c>
      <c r="O1645" s="1" t="s">
        <v>1658</v>
      </c>
      <c r="P1645" s="1">
        <v>1</v>
      </c>
      <c r="Q1645" s="1" t="s">
        <v>1658</v>
      </c>
      <c r="R1645" s="1">
        <v>0</v>
      </c>
      <c r="S1645" s="1" t="s">
        <v>9049</v>
      </c>
      <c r="T1645" s="6"/>
      <c r="W1645" s="1" t="s">
        <v>9050</v>
      </c>
      <c r="X1645" s="1" t="str">
        <f>IF(COUNTIF('MyWells Drilling Comp'!F:F,E1645)=0,"Missing","Exist")</f>
        <v>Exist</v>
      </c>
    </row>
    <row r="1646" hidden="1" spans="1:24">
      <c r="A1646" s="1" t="s">
        <v>5265</v>
      </c>
      <c r="B1646" s="1" t="s">
        <v>90</v>
      </c>
      <c r="C1646" s="1" t="s">
        <v>9051</v>
      </c>
      <c r="D1646" s="1" t="s">
        <v>9052</v>
      </c>
      <c r="E1646" s="1" t="s">
        <v>1420</v>
      </c>
      <c r="F1646" s="1" t="s">
        <v>9053</v>
      </c>
      <c r="G1646" s="1">
        <v>1</v>
      </c>
      <c r="H1646" s="1" t="s">
        <v>1656</v>
      </c>
      <c r="I1646" s="1" t="s">
        <v>1657</v>
      </c>
      <c r="J1646" s="1" t="s">
        <v>1658</v>
      </c>
      <c r="K1646" s="1" t="s">
        <v>1658</v>
      </c>
      <c r="L1646" s="1" t="s">
        <v>1658</v>
      </c>
      <c r="M1646" s="1" t="s">
        <v>1658</v>
      </c>
      <c r="N1646" s="1" t="s">
        <v>1658</v>
      </c>
      <c r="O1646" s="1" t="s">
        <v>1658</v>
      </c>
      <c r="P1646" s="1">
        <v>1</v>
      </c>
      <c r="Q1646" s="1" t="s">
        <v>1658</v>
      </c>
      <c r="R1646" s="1">
        <v>0</v>
      </c>
      <c r="S1646" s="6" t="s">
        <v>9054</v>
      </c>
      <c r="T1646" s="6" t="s">
        <v>9054</v>
      </c>
      <c r="W1646" s="1" t="s">
        <v>9055</v>
      </c>
      <c r="X1646" s="1" t="str">
        <f>IF(COUNTIF('MyWells Drilling Comp'!F:F,E1646)=0,"Missing","Exist")</f>
        <v>Exist</v>
      </c>
    </row>
    <row r="1647" hidden="1" spans="1:24">
      <c r="A1647" s="1" t="s">
        <v>5265</v>
      </c>
      <c r="B1647" s="1" t="s">
        <v>90</v>
      </c>
      <c r="C1647" s="1" t="s">
        <v>9056</v>
      </c>
      <c r="D1647" s="1" t="s">
        <v>9052</v>
      </c>
      <c r="E1647" s="1" t="s">
        <v>1420</v>
      </c>
      <c r="F1647" s="1" t="s">
        <v>9057</v>
      </c>
      <c r="G1647" s="1">
        <v>1</v>
      </c>
      <c r="H1647" s="1" t="s">
        <v>1663</v>
      </c>
      <c r="I1647" s="1" t="s">
        <v>1657</v>
      </c>
      <c r="J1647" s="1" t="s">
        <v>1658</v>
      </c>
      <c r="K1647" s="1" t="s">
        <v>1658</v>
      </c>
      <c r="L1647" s="1" t="s">
        <v>1658</v>
      </c>
      <c r="M1647" s="1" t="s">
        <v>1658</v>
      </c>
      <c r="N1647" s="1" t="s">
        <v>1658</v>
      </c>
      <c r="O1647" s="1" t="s">
        <v>1658</v>
      </c>
      <c r="P1647" s="1">
        <v>1</v>
      </c>
      <c r="Q1647" s="1" t="s">
        <v>1658</v>
      </c>
      <c r="R1647" s="1">
        <v>0</v>
      </c>
      <c r="S1647" s="1" t="s">
        <v>9058</v>
      </c>
      <c r="T1647" s="6"/>
      <c r="W1647" s="1" t="s">
        <v>9059</v>
      </c>
      <c r="X1647" s="1" t="str">
        <f>IF(COUNTIF('MyWells Drilling Comp'!F:F,E1647)=0,"Missing","Exist")</f>
        <v>Exist</v>
      </c>
    </row>
    <row r="1648" hidden="1" spans="1:24">
      <c r="A1648" s="1" t="s">
        <v>1652</v>
      </c>
      <c r="B1648" s="1" t="s">
        <v>90</v>
      </c>
      <c r="C1648" s="1" t="s">
        <v>9060</v>
      </c>
      <c r="D1648" s="1" t="s">
        <v>9061</v>
      </c>
      <c r="E1648" s="1" t="s">
        <v>1617</v>
      </c>
      <c r="F1648" s="1" t="s">
        <v>9062</v>
      </c>
      <c r="G1648" s="1">
        <v>1</v>
      </c>
      <c r="H1648" s="1" t="s">
        <v>1663</v>
      </c>
      <c r="I1648" s="1" t="s">
        <v>1657</v>
      </c>
      <c r="J1648" s="1" t="s">
        <v>1658</v>
      </c>
      <c r="K1648" s="1" t="s">
        <v>1658</v>
      </c>
      <c r="L1648" s="1" t="s">
        <v>1658</v>
      </c>
      <c r="M1648" s="1" t="s">
        <v>1658</v>
      </c>
      <c r="N1648" s="1" t="s">
        <v>1658</v>
      </c>
      <c r="O1648" s="1" t="s">
        <v>1658</v>
      </c>
      <c r="P1648" s="1">
        <v>1</v>
      </c>
      <c r="Q1648" s="1" t="s">
        <v>1658</v>
      </c>
      <c r="R1648" s="1">
        <v>0</v>
      </c>
      <c r="S1648" s="6" t="s">
        <v>9063</v>
      </c>
      <c r="T1648" s="6" t="s">
        <v>9063</v>
      </c>
      <c r="W1648" s="1" t="s">
        <v>9064</v>
      </c>
      <c r="X1648" s="1" t="str">
        <f>IF(COUNTIF('MyWells Drilling Comp'!F:F,E1648)=0,"Missing","Exist")</f>
        <v>Exist</v>
      </c>
    </row>
    <row r="1649" hidden="1" spans="1:24">
      <c r="A1649" s="1" t="s">
        <v>1652</v>
      </c>
      <c r="B1649" s="1" t="s">
        <v>90</v>
      </c>
      <c r="C1649" s="1" t="s">
        <v>9065</v>
      </c>
      <c r="D1649" s="1" t="s">
        <v>9061</v>
      </c>
      <c r="E1649" s="1" t="s">
        <v>1617</v>
      </c>
      <c r="F1649" s="1" t="s">
        <v>9066</v>
      </c>
      <c r="G1649" s="1">
        <v>1</v>
      </c>
      <c r="H1649" s="1" t="s">
        <v>1656</v>
      </c>
      <c r="I1649" s="1" t="s">
        <v>1657</v>
      </c>
      <c r="J1649" s="1" t="s">
        <v>1658</v>
      </c>
      <c r="K1649" s="1" t="s">
        <v>1658</v>
      </c>
      <c r="L1649" s="1" t="s">
        <v>1658</v>
      </c>
      <c r="M1649" s="1" t="s">
        <v>1658</v>
      </c>
      <c r="N1649" s="1" t="s">
        <v>1658</v>
      </c>
      <c r="O1649" s="1" t="s">
        <v>1658</v>
      </c>
      <c r="P1649" s="1">
        <v>1</v>
      </c>
      <c r="Q1649" s="1" t="s">
        <v>1658</v>
      </c>
      <c r="R1649" s="1">
        <v>0</v>
      </c>
      <c r="S1649" s="6" t="s">
        <v>9067</v>
      </c>
      <c r="T1649" s="6" t="s">
        <v>9067</v>
      </c>
      <c r="W1649" s="1" t="s">
        <v>9068</v>
      </c>
      <c r="X1649" s="1" t="str">
        <f>IF(COUNTIF('MyWells Drilling Comp'!F:F,E1649)=0,"Missing","Exist")</f>
        <v>Exist</v>
      </c>
    </row>
    <row r="1650" hidden="1" spans="1:24">
      <c r="A1650" s="1" t="s">
        <v>5265</v>
      </c>
      <c r="B1650" s="1" t="s">
        <v>90</v>
      </c>
      <c r="C1650" s="1" t="s">
        <v>9069</v>
      </c>
      <c r="D1650" s="1" t="s">
        <v>9070</v>
      </c>
      <c r="E1650" s="1" t="s">
        <v>1422</v>
      </c>
      <c r="F1650" s="1" t="s">
        <v>9071</v>
      </c>
      <c r="G1650" s="1">
        <v>1</v>
      </c>
      <c r="H1650" s="1" t="s">
        <v>1656</v>
      </c>
      <c r="I1650" s="1" t="s">
        <v>1657</v>
      </c>
      <c r="J1650" s="1" t="s">
        <v>1658</v>
      </c>
      <c r="K1650" s="1" t="s">
        <v>1658</v>
      </c>
      <c r="L1650" s="1" t="s">
        <v>1658</v>
      </c>
      <c r="M1650" s="1" t="s">
        <v>1658</v>
      </c>
      <c r="N1650" s="1" t="s">
        <v>1658</v>
      </c>
      <c r="O1650" s="1" t="s">
        <v>1658</v>
      </c>
      <c r="P1650" s="1">
        <v>1</v>
      </c>
      <c r="Q1650" s="1" t="s">
        <v>1658</v>
      </c>
      <c r="R1650" s="1">
        <v>0</v>
      </c>
      <c r="S1650" s="6" t="s">
        <v>9072</v>
      </c>
      <c r="T1650" s="6" t="s">
        <v>9072</v>
      </c>
      <c r="W1650" s="1" t="s">
        <v>9073</v>
      </c>
      <c r="X1650" s="1" t="str">
        <f>IF(COUNTIF('MyWells Drilling Comp'!F:F,E1650)=0,"Missing","Exist")</f>
        <v>Exist</v>
      </c>
    </row>
    <row r="1651" hidden="1" spans="1:24">
      <c r="A1651" s="1" t="s">
        <v>5265</v>
      </c>
      <c r="B1651" s="1" t="s">
        <v>90</v>
      </c>
      <c r="C1651" s="1" t="s">
        <v>9074</v>
      </c>
      <c r="D1651" s="1" t="s">
        <v>9070</v>
      </c>
      <c r="E1651" s="1" t="s">
        <v>1422</v>
      </c>
      <c r="F1651" s="1" t="s">
        <v>9075</v>
      </c>
      <c r="G1651" s="1">
        <v>1</v>
      </c>
      <c r="H1651" s="1" t="s">
        <v>1663</v>
      </c>
      <c r="I1651" s="1" t="s">
        <v>1657</v>
      </c>
      <c r="J1651" s="1" t="s">
        <v>1658</v>
      </c>
      <c r="K1651" s="1" t="s">
        <v>1658</v>
      </c>
      <c r="L1651" s="1" t="s">
        <v>1658</v>
      </c>
      <c r="M1651" s="1" t="s">
        <v>1658</v>
      </c>
      <c r="N1651" s="1" t="s">
        <v>1658</v>
      </c>
      <c r="O1651" s="1" t="s">
        <v>1658</v>
      </c>
      <c r="P1651" s="1">
        <v>1</v>
      </c>
      <c r="Q1651" s="1" t="s">
        <v>1658</v>
      </c>
      <c r="R1651" s="1">
        <v>0</v>
      </c>
      <c r="S1651" s="6" t="s">
        <v>9076</v>
      </c>
      <c r="T1651" s="6" t="s">
        <v>9076</v>
      </c>
      <c r="W1651" s="1" t="s">
        <v>9077</v>
      </c>
      <c r="X1651" s="1" t="str">
        <f>IF(COUNTIF('MyWells Drilling Comp'!F:F,E1651)=0,"Missing","Exist")</f>
        <v>Exist</v>
      </c>
    </row>
    <row r="1652" hidden="1" spans="1:24">
      <c r="A1652" s="1" t="s">
        <v>5265</v>
      </c>
      <c r="B1652" s="1" t="s">
        <v>90</v>
      </c>
      <c r="C1652" s="1" t="s">
        <v>9078</v>
      </c>
      <c r="D1652" s="1" t="s">
        <v>9079</v>
      </c>
      <c r="E1652" s="1" t="s">
        <v>872</v>
      </c>
      <c r="F1652" s="1" t="s">
        <v>9080</v>
      </c>
      <c r="G1652" s="1">
        <v>1</v>
      </c>
      <c r="H1652" s="1" t="s">
        <v>1663</v>
      </c>
      <c r="I1652" s="1" t="s">
        <v>1657</v>
      </c>
      <c r="J1652" s="1" t="s">
        <v>1658</v>
      </c>
      <c r="K1652" s="1" t="s">
        <v>1658</v>
      </c>
      <c r="L1652" s="1" t="s">
        <v>1658</v>
      </c>
      <c r="M1652" s="1" t="s">
        <v>1658</v>
      </c>
      <c r="N1652" s="1" t="s">
        <v>1658</v>
      </c>
      <c r="O1652" s="1" t="s">
        <v>1658</v>
      </c>
      <c r="P1652" s="1">
        <v>1</v>
      </c>
      <c r="Q1652" s="1" t="s">
        <v>1658</v>
      </c>
      <c r="R1652" s="1">
        <v>0</v>
      </c>
      <c r="S1652" s="1" t="s">
        <v>9081</v>
      </c>
      <c r="T1652" s="6"/>
      <c r="W1652" s="1" t="s">
        <v>9082</v>
      </c>
      <c r="X1652" s="1" t="str">
        <f>IF(COUNTIF('MyWells Drilling Comp'!F:F,E1652)=0,"Missing","Exist")</f>
        <v>Exist</v>
      </c>
    </row>
    <row r="1653" hidden="1" spans="1:24">
      <c r="A1653" s="1" t="s">
        <v>5265</v>
      </c>
      <c r="B1653" s="1" t="s">
        <v>90</v>
      </c>
      <c r="C1653" s="1" t="s">
        <v>9083</v>
      </c>
      <c r="D1653" s="1" t="s">
        <v>9079</v>
      </c>
      <c r="E1653" s="1" t="s">
        <v>872</v>
      </c>
      <c r="F1653" s="1" t="s">
        <v>9084</v>
      </c>
      <c r="G1653" s="1">
        <v>1</v>
      </c>
      <c r="H1653" s="1" t="s">
        <v>1656</v>
      </c>
      <c r="I1653" s="1" t="s">
        <v>1657</v>
      </c>
      <c r="J1653" s="1" t="s">
        <v>1658</v>
      </c>
      <c r="K1653" s="1" t="s">
        <v>1658</v>
      </c>
      <c r="L1653" s="1" t="s">
        <v>1658</v>
      </c>
      <c r="M1653" s="1" t="s">
        <v>1658</v>
      </c>
      <c r="N1653" s="1" t="s">
        <v>1658</v>
      </c>
      <c r="O1653" s="1" t="s">
        <v>1658</v>
      </c>
      <c r="P1653" s="1">
        <v>1</v>
      </c>
      <c r="Q1653" s="1" t="s">
        <v>1658</v>
      </c>
      <c r="R1653" s="1">
        <v>0</v>
      </c>
      <c r="S1653" s="1" t="s">
        <v>9085</v>
      </c>
      <c r="T1653" s="6"/>
      <c r="W1653" s="1" t="s">
        <v>9086</v>
      </c>
      <c r="X1653" s="1" t="str">
        <f>IF(COUNTIF('MyWells Drilling Comp'!F:F,E1653)=0,"Missing","Exist")</f>
        <v>Exist</v>
      </c>
    </row>
    <row r="1654" hidden="1" spans="1:24">
      <c r="A1654" s="1" t="s">
        <v>1652</v>
      </c>
      <c r="B1654" s="1" t="s">
        <v>90</v>
      </c>
      <c r="C1654" s="1" t="s">
        <v>9087</v>
      </c>
      <c r="D1654" s="1" t="s">
        <v>9088</v>
      </c>
      <c r="E1654" s="1" t="s">
        <v>651</v>
      </c>
      <c r="F1654" s="1" t="s">
        <v>9089</v>
      </c>
      <c r="G1654" s="1">
        <v>1</v>
      </c>
      <c r="H1654" s="1" t="s">
        <v>1663</v>
      </c>
      <c r="I1654" s="1" t="s">
        <v>1657</v>
      </c>
      <c r="J1654" s="1" t="s">
        <v>1658</v>
      </c>
      <c r="K1654" s="1" t="s">
        <v>1658</v>
      </c>
      <c r="L1654" s="1" t="s">
        <v>1658</v>
      </c>
      <c r="M1654" s="1" t="s">
        <v>1658</v>
      </c>
      <c r="N1654" s="1" t="s">
        <v>1658</v>
      </c>
      <c r="O1654" s="1" t="s">
        <v>1658</v>
      </c>
      <c r="P1654" s="1">
        <v>1</v>
      </c>
      <c r="Q1654" s="1" t="s">
        <v>1658</v>
      </c>
      <c r="R1654" s="1">
        <v>0</v>
      </c>
      <c r="S1654" s="1" t="s">
        <v>9090</v>
      </c>
      <c r="T1654" s="6"/>
      <c r="W1654" s="1" t="s">
        <v>9091</v>
      </c>
      <c r="X1654" s="1" t="str">
        <f>IF(COUNTIF('MyWells Drilling Comp'!F:F,E1654)=0,"Missing","Exist")</f>
        <v>Exist</v>
      </c>
    </row>
    <row r="1655" hidden="1" spans="1:24">
      <c r="A1655" s="1" t="s">
        <v>1652</v>
      </c>
      <c r="B1655" s="1" t="s">
        <v>90</v>
      </c>
      <c r="C1655" s="1" t="s">
        <v>9092</v>
      </c>
      <c r="D1655" s="1" t="s">
        <v>9088</v>
      </c>
      <c r="E1655" s="1" t="s">
        <v>651</v>
      </c>
      <c r="F1655" s="1" t="s">
        <v>9093</v>
      </c>
      <c r="G1655" s="1">
        <v>1</v>
      </c>
      <c r="H1655" s="1" t="s">
        <v>1656</v>
      </c>
      <c r="I1655" s="1" t="s">
        <v>1657</v>
      </c>
      <c r="J1655" s="1" t="s">
        <v>1658</v>
      </c>
      <c r="K1655" s="1" t="s">
        <v>1658</v>
      </c>
      <c r="L1655" s="1" t="s">
        <v>1658</v>
      </c>
      <c r="M1655" s="1" t="s">
        <v>1658</v>
      </c>
      <c r="N1655" s="1" t="s">
        <v>1658</v>
      </c>
      <c r="O1655" s="1" t="s">
        <v>1658</v>
      </c>
      <c r="P1655" s="1">
        <v>1</v>
      </c>
      <c r="Q1655" s="1" t="s">
        <v>1658</v>
      </c>
      <c r="R1655" s="1">
        <v>0</v>
      </c>
      <c r="S1655" s="6" t="s">
        <v>9094</v>
      </c>
      <c r="T1655" s="6" t="s">
        <v>9094</v>
      </c>
      <c r="W1655" s="1" t="s">
        <v>9095</v>
      </c>
      <c r="X1655" s="1" t="str">
        <f>IF(COUNTIF('MyWells Drilling Comp'!F:F,E1655)=0,"Missing","Exist")</f>
        <v>Exist</v>
      </c>
    </row>
    <row r="1656" hidden="1" spans="1:24">
      <c r="A1656" s="1" t="s">
        <v>5265</v>
      </c>
      <c r="B1656" s="1" t="s">
        <v>90</v>
      </c>
      <c r="C1656" s="1" t="s">
        <v>9096</v>
      </c>
      <c r="D1656" s="1" t="s">
        <v>9097</v>
      </c>
      <c r="E1656" s="1" t="s">
        <v>1625</v>
      </c>
      <c r="F1656" s="1" t="s">
        <v>9098</v>
      </c>
      <c r="G1656" s="1">
        <v>1</v>
      </c>
      <c r="H1656" s="1" t="s">
        <v>1663</v>
      </c>
      <c r="I1656" s="1" t="s">
        <v>1657</v>
      </c>
      <c r="J1656" s="1" t="s">
        <v>1658</v>
      </c>
      <c r="K1656" s="1" t="s">
        <v>1658</v>
      </c>
      <c r="L1656" s="1" t="s">
        <v>1658</v>
      </c>
      <c r="M1656" s="1" t="s">
        <v>1658</v>
      </c>
      <c r="N1656" s="1" t="s">
        <v>1658</v>
      </c>
      <c r="O1656" s="1" t="s">
        <v>1658</v>
      </c>
      <c r="P1656" s="1">
        <v>1</v>
      </c>
      <c r="Q1656" s="1" t="s">
        <v>1658</v>
      </c>
      <c r="R1656" s="1">
        <v>0</v>
      </c>
      <c r="S1656" s="6" t="s">
        <v>9099</v>
      </c>
      <c r="T1656" s="6" t="s">
        <v>9099</v>
      </c>
      <c r="W1656" s="1" t="s">
        <v>9100</v>
      </c>
      <c r="X1656" s="1" t="str">
        <f>IF(COUNTIF('MyWells Drilling Comp'!F:F,E1656)=0,"Missing","Exist")</f>
        <v>Exist</v>
      </c>
    </row>
    <row r="1657" hidden="1" spans="1:24">
      <c r="A1657" s="1" t="s">
        <v>5265</v>
      </c>
      <c r="B1657" s="1" t="s">
        <v>90</v>
      </c>
      <c r="C1657" s="1" t="s">
        <v>9101</v>
      </c>
      <c r="D1657" s="1" t="s">
        <v>9097</v>
      </c>
      <c r="E1657" s="1" t="s">
        <v>1625</v>
      </c>
      <c r="F1657" s="7" t="s">
        <v>9102</v>
      </c>
      <c r="G1657" s="1">
        <v>1</v>
      </c>
      <c r="H1657" s="1" t="s">
        <v>1656</v>
      </c>
      <c r="I1657" s="1" t="s">
        <v>1657</v>
      </c>
      <c r="J1657" s="1" t="s">
        <v>1658</v>
      </c>
      <c r="K1657" s="1" t="s">
        <v>1658</v>
      </c>
      <c r="L1657" s="1" t="s">
        <v>1658</v>
      </c>
      <c r="M1657" s="1" t="s">
        <v>1658</v>
      </c>
      <c r="N1657" s="1" t="s">
        <v>1658</v>
      </c>
      <c r="O1657" s="1" t="s">
        <v>1658</v>
      </c>
      <c r="P1657" s="1">
        <v>1</v>
      </c>
      <c r="Q1657" s="1" t="s">
        <v>1658</v>
      </c>
      <c r="R1657" s="1">
        <v>0</v>
      </c>
      <c r="S1657" s="6" t="s">
        <v>9103</v>
      </c>
      <c r="T1657" s="6" t="s">
        <v>9103</v>
      </c>
      <c r="W1657" s="1" t="s">
        <v>9104</v>
      </c>
      <c r="X1657" s="1" t="str">
        <f>IF(COUNTIF('MyWells Drilling Comp'!F:F,E1657)=0,"Missing","Exist")</f>
        <v>Exist</v>
      </c>
    </row>
    <row r="1658" hidden="1" spans="1:24">
      <c r="A1658" s="1" t="s">
        <v>5265</v>
      </c>
      <c r="B1658" s="1" t="s">
        <v>90</v>
      </c>
      <c r="C1658" s="1" t="s">
        <v>9105</v>
      </c>
      <c r="D1658" s="1" t="s">
        <v>9106</v>
      </c>
      <c r="E1658" s="1" t="s">
        <v>1118</v>
      </c>
      <c r="F1658" s="1" t="s">
        <v>9107</v>
      </c>
      <c r="G1658" s="1">
        <v>1</v>
      </c>
      <c r="H1658" s="1" t="s">
        <v>1663</v>
      </c>
      <c r="I1658" s="1" t="s">
        <v>1657</v>
      </c>
      <c r="J1658" s="1" t="s">
        <v>1658</v>
      </c>
      <c r="K1658" s="1" t="s">
        <v>1658</v>
      </c>
      <c r="L1658" s="1" t="s">
        <v>1658</v>
      </c>
      <c r="M1658" s="1" t="s">
        <v>1658</v>
      </c>
      <c r="N1658" s="1" t="s">
        <v>1658</v>
      </c>
      <c r="O1658" s="1" t="s">
        <v>1658</v>
      </c>
      <c r="P1658" s="1">
        <v>1</v>
      </c>
      <c r="Q1658" s="1" t="s">
        <v>1658</v>
      </c>
      <c r="R1658" s="1">
        <v>0</v>
      </c>
      <c r="S1658" s="6" t="s">
        <v>9108</v>
      </c>
      <c r="T1658" s="6" t="s">
        <v>9108</v>
      </c>
      <c r="W1658" s="1" t="s">
        <v>9109</v>
      </c>
      <c r="X1658" s="1" t="str">
        <f>IF(COUNTIF('MyWells Drilling Comp'!F:F,E1658)=0,"Missing","Exist")</f>
        <v>Exist</v>
      </c>
    </row>
    <row r="1659" hidden="1" spans="1:24">
      <c r="A1659" s="1" t="s">
        <v>5265</v>
      </c>
      <c r="B1659" s="1" t="s">
        <v>90</v>
      </c>
      <c r="C1659" s="1" t="s">
        <v>9110</v>
      </c>
      <c r="D1659" s="1" t="s">
        <v>9106</v>
      </c>
      <c r="E1659" s="1" t="s">
        <v>1118</v>
      </c>
      <c r="F1659" s="1" t="s">
        <v>9111</v>
      </c>
      <c r="G1659" s="1">
        <v>1</v>
      </c>
      <c r="H1659" s="1" t="s">
        <v>1656</v>
      </c>
      <c r="I1659" s="1" t="s">
        <v>1657</v>
      </c>
      <c r="J1659" s="1" t="s">
        <v>1658</v>
      </c>
      <c r="K1659" s="1" t="s">
        <v>1658</v>
      </c>
      <c r="L1659" s="1" t="s">
        <v>1658</v>
      </c>
      <c r="M1659" s="1" t="s">
        <v>1658</v>
      </c>
      <c r="N1659" s="1" t="s">
        <v>1658</v>
      </c>
      <c r="O1659" s="1" t="s">
        <v>1658</v>
      </c>
      <c r="P1659" s="1">
        <v>1</v>
      </c>
      <c r="Q1659" s="1" t="s">
        <v>1658</v>
      </c>
      <c r="R1659" s="1">
        <v>0</v>
      </c>
      <c r="S1659" s="6" t="s">
        <v>9112</v>
      </c>
      <c r="T1659" s="6" t="s">
        <v>9112</v>
      </c>
      <c r="W1659" s="1" t="s">
        <v>9113</v>
      </c>
      <c r="X1659" s="1" t="str">
        <f>IF(COUNTIF('MyWells Drilling Comp'!F:F,E1659)=0,"Missing","Exist")</f>
        <v>Exist</v>
      </c>
    </row>
    <row r="1660" hidden="1" spans="1:24">
      <c r="A1660" s="1" t="s">
        <v>1652</v>
      </c>
      <c r="B1660" s="1" t="s">
        <v>90</v>
      </c>
      <c r="C1660" s="1" t="s">
        <v>9114</v>
      </c>
      <c r="D1660" s="1" t="s">
        <v>9115</v>
      </c>
      <c r="E1660" s="1" t="s">
        <v>1341</v>
      </c>
      <c r="F1660" s="1" t="s">
        <v>9116</v>
      </c>
      <c r="G1660" s="1">
        <v>1</v>
      </c>
      <c r="H1660" s="1" t="s">
        <v>1656</v>
      </c>
      <c r="I1660" s="1" t="s">
        <v>1657</v>
      </c>
      <c r="J1660" s="1" t="s">
        <v>1658</v>
      </c>
      <c r="K1660" s="1" t="s">
        <v>1658</v>
      </c>
      <c r="L1660" s="1" t="s">
        <v>1658</v>
      </c>
      <c r="M1660" s="1" t="s">
        <v>1658</v>
      </c>
      <c r="N1660" s="1" t="s">
        <v>1658</v>
      </c>
      <c r="O1660" s="1" t="s">
        <v>1658</v>
      </c>
      <c r="P1660" s="1">
        <v>1</v>
      </c>
      <c r="Q1660" s="1" t="s">
        <v>1658</v>
      </c>
      <c r="R1660" s="1">
        <v>0</v>
      </c>
      <c r="S1660" s="1" t="s">
        <v>9117</v>
      </c>
      <c r="T1660" s="6"/>
      <c r="W1660" s="1" t="s">
        <v>9118</v>
      </c>
      <c r="X1660" s="1" t="str">
        <f>IF(COUNTIF('MyWells Drilling Comp'!F:F,E1660)=0,"Missing","Exist")</f>
        <v>Exist</v>
      </c>
    </row>
    <row r="1661" hidden="1" spans="1:24">
      <c r="A1661" s="1" t="s">
        <v>1652</v>
      </c>
      <c r="B1661" s="1" t="s">
        <v>90</v>
      </c>
      <c r="C1661" s="1" t="s">
        <v>9119</v>
      </c>
      <c r="D1661" s="1" t="s">
        <v>9115</v>
      </c>
      <c r="E1661" s="1" t="s">
        <v>1341</v>
      </c>
      <c r="F1661" s="1" t="s">
        <v>9120</v>
      </c>
      <c r="G1661" s="1">
        <v>1</v>
      </c>
      <c r="H1661" s="1" t="s">
        <v>1663</v>
      </c>
      <c r="I1661" s="1" t="s">
        <v>1657</v>
      </c>
      <c r="J1661" s="1" t="s">
        <v>1658</v>
      </c>
      <c r="K1661" s="1" t="s">
        <v>1658</v>
      </c>
      <c r="L1661" s="1" t="s">
        <v>1658</v>
      </c>
      <c r="M1661" s="1" t="s">
        <v>1658</v>
      </c>
      <c r="N1661" s="1" t="s">
        <v>1658</v>
      </c>
      <c r="O1661" s="1" t="s">
        <v>1658</v>
      </c>
      <c r="P1661" s="1">
        <v>1</v>
      </c>
      <c r="Q1661" s="1" t="s">
        <v>1658</v>
      </c>
      <c r="R1661" s="1">
        <v>0</v>
      </c>
      <c r="S1661" s="1" t="s">
        <v>9121</v>
      </c>
      <c r="T1661" s="6"/>
      <c r="W1661" s="1" t="s">
        <v>9122</v>
      </c>
      <c r="X1661" s="1" t="str">
        <f>IF(COUNTIF('MyWells Drilling Comp'!F:F,E1661)=0,"Missing","Exist")</f>
        <v>Exist</v>
      </c>
    </row>
    <row r="1662" hidden="1" spans="1:24">
      <c r="A1662" s="1" t="s">
        <v>5265</v>
      </c>
      <c r="B1662" s="1" t="s">
        <v>90</v>
      </c>
      <c r="C1662" s="1" t="s">
        <v>9123</v>
      </c>
      <c r="D1662" s="1" t="s">
        <v>9124</v>
      </c>
      <c r="E1662" s="1" t="s">
        <v>1227</v>
      </c>
      <c r="F1662" s="1" t="s">
        <v>9125</v>
      </c>
      <c r="G1662" s="1">
        <v>1</v>
      </c>
      <c r="H1662" s="1" t="s">
        <v>1656</v>
      </c>
      <c r="I1662" s="1" t="s">
        <v>1657</v>
      </c>
      <c r="J1662" s="1" t="s">
        <v>1658</v>
      </c>
      <c r="K1662" s="1" t="s">
        <v>1658</v>
      </c>
      <c r="L1662" s="1" t="s">
        <v>1658</v>
      </c>
      <c r="M1662" s="1" t="s">
        <v>1658</v>
      </c>
      <c r="N1662" s="1" t="s">
        <v>1658</v>
      </c>
      <c r="O1662" s="1" t="s">
        <v>1658</v>
      </c>
      <c r="P1662" s="1">
        <v>1</v>
      </c>
      <c r="Q1662" s="1" t="s">
        <v>1658</v>
      </c>
      <c r="R1662" s="1">
        <v>0</v>
      </c>
      <c r="S1662" s="6" t="s">
        <v>9126</v>
      </c>
      <c r="T1662" s="6" t="s">
        <v>9126</v>
      </c>
      <c r="W1662" s="1" t="s">
        <v>9127</v>
      </c>
      <c r="X1662" s="1" t="str">
        <f>IF(COUNTIF('MyWells Drilling Comp'!F:F,E1662)=0,"Missing","Exist")</f>
        <v>Exist</v>
      </c>
    </row>
    <row r="1663" hidden="1" spans="1:24">
      <c r="A1663" s="1" t="s">
        <v>5265</v>
      </c>
      <c r="B1663" s="1" t="s">
        <v>90</v>
      </c>
      <c r="C1663" s="1" t="s">
        <v>9128</v>
      </c>
      <c r="D1663" s="1" t="s">
        <v>9124</v>
      </c>
      <c r="E1663" s="1" t="s">
        <v>1227</v>
      </c>
      <c r="F1663" s="1" t="s">
        <v>9129</v>
      </c>
      <c r="G1663" s="1">
        <v>1</v>
      </c>
      <c r="H1663" s="1" t="s">
        <v>1663</v>
      </c>
      <c r="I1663" s="1" t="s">
        <v>1657</v>
      </c>
      <c r="J1663" s="1" t="s">
        <v>1658</v>
      </c>
      <c r="K1663" s="1" t="s">
        <v>1658</v>
      </c>
      <c r="L1663" s="1" t="s">
        <v>1658</v>
      </c>
      <c r="M1663" s="1" t="s">
        <v>1658</v>
      </c>
      <c r="N1663" s="1" t="s">
        <v>1658</v>
      </c>
      <c r="O1663" s="1" t="s">
        <v>1658</v>
      </c>
      <c r="P1663" s="1">
        <v>1</v>
      </c>
      <c r="Q1663" s="1" t="s">
        <v>1658</v>
      </c>
      <c r="R1663" s="1">
        <v>0</v>
      </c>
      <c r="S1663" s="6" t="s">
        <v>9130</v>
      </c>
      <c r="T1663" s="6" t="s">
        <v>9130</v>
      </c>
      <c r="W1663" s="1" t="s">
        <v>9131</v>
      </c>
      <c r="X1663" s="1" t="str">
        <f>IF(COUNTIF('MyWells Drilling Comp'!F:F,E1663)=0,"Missing","Exist")</f>
        <v>Exist</v>
      </c>
    </row>
    <row r="1664" hidden="1" spans="1:24">
      <c r="A1664" s="1" t="s">
        <v>1652</v>
      </c>
      <c r="B1664" s="1" t="s">
        <v>90</v>
      </c>
      <c r="C1664" s="1" t="s">
        <v>9132</v>
      </c>
      <c r="D1664" s="1" t="s">
        <v>9133</v>
      </c>
      <c r="E1664" s="1" t="s">
        <v>1212</v>
      </c>
      <c r="F1664" s="1" t="s">
        <v>9134</v>
      </c>
      <c r="G1664" s="1">
        <v>1</v>
      </c>
      <c r="H1664" s="1" t="s">
        <v>1663</v>
      </c>
      <c r="I1664" s="1" t="s">
        <v>1657</v>
      </c>
      <c r="J1664" s="1" t="s">
        <v>1658</v>
      </c>
      <c r="K1664" s="1" t="s">
        <v>1658</v>
      </c>
      <c r="L1664" s="1" t="s">
        <v>1658</v>
      </c>
      <c r="M1664" s="1" t="s">
        <v>1658</v>
      </c>
      <c r="N1664" s="1" t="s">
        <v>1658</v>
      </c>
      <c r="O1664" s="1" t="s">
        <v>1658</v>
      </c>
      <c r="P1664" s="1">
        <v>1</v>
      </c>
      <c r="Q1664" s="1" t="s">
        <v>1658</v>
      </c>
      <c r="R1664" s="1">
        <v>0</v>
      </c>
      <c r="S1664" s="6" t="s">
        <v>9135</v>
      </c>
      <c r="T1664" s="6" t="s">
        <v>9135</v>
      </c>
      <c r="W1664" s="1" t="s">
        <v>9136</v>
      </c>
      <c r="X1664" s="1" t="str">
        <f>IF(COUNTIF('MyWells Drilling Comp'!F:F,E1664)=0,"Missing","Exist")</f>
        <v>Exist</v>
      </c>
    </row>
    <row r="1665" hidden="1" spans="1:24">
      <c r="A1665" s="1" t="s">
        <v>1652</v>
      </c>
      <c r="B1665" s="1" t="s">
        <v>90</v>
      </c>
      <c r="C1665" s="1" t="s">
        <v>9137</v>
      </c>
      <c r="D1665" s="1" t="s">
        <v>9133</v>
      </c>
      <c r="E1665" s="1" t="s">
        <v>1212</v>
      </c>
      <c r="F1665" s="1" t="s">
        <v>9138</v>
      </c>
      <c r="G1665" s="1">
        <v>1</v>
      </c>
      <c r="H1665" s="1" t="s">
        <v>1656</v>
      </c>
      <c r="I1665" s="1" t="s">
        <v>1657</v>
      </c>
      <c r="J1665" s="1" t="s">
        <v>1658</v>
      </c>
      <c r="K1665" s="1" t="s">
        <v>1658</v>
      </c>
      <c r="L1665" s="1" t="s">
        <v>1658</v>
      </c>
      <c r="M1665" s="1" t="s">
        <v>1658</v>
      </c>
      <c r="N1665" s="1" t="s">
        <v>1658</v>
      </c>
      <c r="O1665" s="1" t="s">
        <v>1658</v>
      </c>
      <c r="P1665" s="1">
        <v>1</v>
      </c>
      <c r="Q1665" s="1" t="s">
        <v>1658</v>
      </c>
      <c r="R1665" s="1">
        <v>0</v>
      </c>
      <c r="S1665" s="6" t="s">
        <v>9139</v>
      </c>
      <c r="T1665" s="6" t="s">
        <v>9139</v>
      </c>
      <c r="W1665" s="1" t="s">
        <v>9140</v>
      </c>
      <c r="X1665" s="1" t="str">
        <f>IF(COUNTIF('MyWells Drilling Comp'!F:F,E1665)=0,"Missing","Exist")</f>
        <v>Exist</v>
      </c>
    </row>
    <row r="1666" hidden="1" spans="1:24">
      <c r="A1666" s="1" t="s">
        <v>5265</v>
      </c>
      <c r="B1666" s="1" t="s">
        <v>90</v>
      </c>
      <c r="C1666" s="1" t="s">
        <v>9141</v>
      </c>
      <c r="D1666" s="1" t="s">
        <v>9142</v>
      </c>
      <c r="E1666" s="1" t="s">
        <v>964</v>
      </c>
      <c r="F1666" s="1" t="s">
        <v>9143</v>
      </c>
      <c r="G1666" s="1">
        <v>1</v>
      </c>
      <c r="H1666" s="1" t="s">
        <v>1663</v>
      </c>
      <c r="I1666" s="1" t="s">
        <v>1657</v>
      </c>
      <c r="J1666" s="1" t="s">
        <v>1658</v>
      </c>
      <c r="K1666" s="1" t="s">
        <v>1658</v>
      </c>
      <c r="L1666" s="1" t="s">
        <v>1658</v>
      </c>
      <c r="M1666" s="1" t="s">
        <v>1658</v>
      </c>
      <c r="N1666" s="1" t="s">
        <v>1658</v>
      </c>
      <c r="O1666" s="1" t="s">
        <v>1658</v>
      </c>
      <c r="P1666" s="1">
        <v>1</v>
      </c>
      <c r="Q1666" s="1" t="s">
        <v>1658</v>
      </c>
      <c r="R1666" s="1">
        <v>0</v>
      </c>
      <c r="S1666" s="1" t="s">
        <v>9144</v>
      </c>
      <c r="T1666" s="6"/>
      <c r="W1666" s="1" t="s">
        <v>9145</v>
      </c>
      <c r="X1666" s="1" t="str">
        <f>IF(COUNTIF('MyWells Drilling Comp'!F:F,E1666)=0,"Missing","Exist")</f>
        <v>Exist</v>
      </c>
    </row>
    <row r="1667" hidden="1" spans="1:24">
      <c r="A1667" s="1" t="s">
        <v>5265</v>
      </c>
      <c r="B1667" s="1" t="s">
        <v>90</v>
      </c>
      <c r="C1667" s="1" t="s">
        <v>9146</v>
      </c>
      <c r="D1667" s="1" t="s">
        <v>9142</v>
      </c>
      <c r="E1667" s="1" t="s">
        <v>964</v>
      </c>
      <c r="F1667" s="1" t="s">
        <v>9147</v>
      </c>
      <c r="G1667" s="1">
        <v>1</v>
      </c>
      <c r="H1667" s="1" t="s">
        <v>1656</v>
      </c>
      <c r="I1667" s="1" t="s">
        <v>1657</v>
      </c>
      <c r="J1667" s="1" t="s">
        <v>1658</v>
      </c>
      <c r="K1667" s="1" t="s">
        <v>1658</v>
      </c>
      <c r="L1667" s="1" t="s">
        <v>1658</v>
      </c>
      <c r="M1667" s="1" t="s">
        <v>1658</v>
      </c>
      <c r="N1667" s="1" t="s">
        <v>1658</v>
      </c>
      <c r="O1667" s="1" t="s">
        <v>1658</v>
      </c>
      <c r="P1667" s="1">
        <v>1</v>
      </c>
      <c r="Q1667" s="1" t="s">
        <v>1658</v>
      </c>
      <c r="R1667" s="1">
        <v>0</v>
      </c>
      <c r="S1667" s="1" t="s">
        <v>9148</v>
      </c>
      <c r="T1667" s="6"/>
      <c r="W1667" s="1" t="s">
        <v>9149</v>
      </c>
      <c r="X1667" s="1" t="str">
        <f>IF(COUNTIF('MyWells Drilling Comp'!F:F,E1667)=0,"Missing","Exist")</f>
        <v>Exist</v>
      </c>
    </row>
    <row r="1668" hidden="1" spans="1:24">
      <c r="A1668" s="1" t="s">
        <v>1652</v>
      </c>
      <c r="B1668" s="1" t="s">
        <v>90</v>
      </c>
      <c r="C1668" s="1" t="s">
        <v>4295</v>
      </c>
      <c r="D1668" s="1" t="s">
        <v>4291</v>
      </c>
      <c r="E1668" s="1" t="s">
        <v>965</v>
      </c>
      <c r="F1668" s="1" t="s">
        <v>9150</v>
      </c>
      <c r="G1668" s="1">
        <v>1</v>
      </c>
      <c r="H1668" s="1" t="s">
        <v>1656</v>
      </c>
      <c r="I1668" s="1" t="s">
        <v>1657</v>
      </c>
      <c r="J1668" s="1" t="s">
        <v>1658</v>
      </c>
      <c r="K1668" s="1" t="s">
        <v>1658</v>
      </c>
      <c r="L1668" s="1" t="s">
        <v>1658</v>
      </c>
      <c r="M1668" s="1" t="s">
        <v>1658</v>
      </c>
      <c r="N1668" s="1" t="s">
        <v>1658</v>
      </c>
      <c r="O1668" s="1" t="s">
        <v>1658</v>
      </c>
      <c r="P1668" s="1">
        <v>1</v>
      </c>
      <c r="Q1668" s="1" t="s">
        <v>1658</v>
      </c>
      <c r="R1668" s="1">
        <v>0</v>
      </c>
      <c r="S1668" s="6" t="s">
        <v>4297</v>
      </c>
      <c r="T1668" s="6" t="s">
        <v>4297</v>
      </c>
      <c r="W1668" s="1" t="s">
        <v>9151</v>
      </c>
      <c r="X1668" s="1" t="str">
        <f>IF(COUNTIF('MyWells Drilling Comp'!F:F,E1668)=0,"Missing","Exist")</f>
        <v>Exist</v>
      </c>
    </row>
    <row r="1669" hidden="1" spans="1:24">
      <c r="A1669" s="1" t="s">
        <v>1652</v>
      </c>
      <c r="B1669" s="1" t="s">
        <v>90</v>
      </c>
      <c r="C1669" s="1" t="s">
        <v>4290</v>
      </c>
      <c r="D1669" s="1" t="s">
        <v>4291</v>
      </c>
      <c r="E1669" s="1" t="s">
        <v>965</v>
      </c>
      <c r="F1669" s="1" t="s">
        <v>9152</v>
      </c>
      <c r="G1669" s="1">
        <v>1</v>
      </c>
      <c r="H1669" s="1" t="s">
        <v>1663</v>
      </c>
      <c r="I1669" s="1" t="s">
        <v>1657</v>
      </c>
      <c r="J1669" s="1" t="s">
        <v>1658</v>
      </c>
      <c r="K1669" s="1" t="s">
        <v>1658</v>
      </c>
      <c r="L1669" s="1" t="s">
        <v>1658</v>
      </c>
      <c r="M1669" s="1" t="s">
        <v>1658</v>
      </c>
      <c r="N1669" s="1" t="s">
        <v>1658</v>
      </c>
      <c r="O1669" s="1" t="s">
        <v>1658</v>
      </c>
      <c r="P1669" s="1">
        <v>1</v>
      </c>
      <c r="Q1669" s="1" t="s">
        <v>1658</v>
      </c>
      <c r="R1669" s="1">
        <v>0</v>
      </c>
      <c r="S1669" s="6" t="s">
        <v>4293</v>
      </c>
      <c r="T1669" s="6" t="s">
        <v>4293</v>
      </c>
      <c r="W1669" s="1" t="s">
        <v>9153</v>
      </c>
      <c r="X1669" s="1" t="str">
        <f>IF(COUNTIF('MyWells Drilling Comp'!F:F,E1669)=0,"Missing","Exist")</f>
        <v>Exist</v>
      </c>
    </row>
    <row r="1670" hidden="1" spans="1:24">
      <c r="A1670" s="1" t="s">
        <v>5265</v>
      </c>
      <c r="B1670" s="1" t="s">
        <v>90</v>
      </c>
      <c r="C1670" s="1" t="s">
        <v>9154</v>
      </c>
      <c r="D1670" s="1" t="s">
        <v>9155</v>
      </c>
      <c r="E1670" s="1" t="s">
        <v>1455</v>
      </c>
      <c r="F1670" s="1" t="s">
        <v>9156</v>
      </c>
      <c r="G1670" s="1">
        <v>1</v>
      </c>
      <c r="H1670" s="1" t="s">
        <v>1663</v>
      </c>
      <c r="I1670" s="1" t="s">
        <v>1657</v>
      </c>
      <c r="J1670" s="1" t="s">
        <v>1658</v>
      </c>
      <c r="K1670" s="1" t="s">
        <v>1658</v>
      </c>
      <c r="L1670" s="1" t="s">
        <v>1658</v>
      </c>
      <c r="M1670" s="1" t="s">
        <v>1658</v>
      </c>
      <c r="N1670" s="1" t="s">
        <v>1658</v>
      </c>
      <c r="O1670" s="1" t="s">
        <v>1658</v>
      </c>
      <c r="P1670" s="1">
        <v>1</v>
      </c>
      <c r="Q1670" s="1" t="s">
        <v>1658</v>
      </c>
      <c r="R1670" s="1">
        <v>0</v>
      </c>
      <c r="S1670" s="6" t="s">
        <v>9157</v>
      </c>
      <c r="T1670" s="6" t="s">
        <v>9157</v>
      </c>
      <c r="W1670" s="1" t="s">
        <v>9158</v>
      </c>
      <c r="X1670" s="1" t="str">
        <f>IF(COUNTIF('MyWells Drilling Comp'!F:F,E1670)=0,"Missing","Exist")</f>
        <v>Exist</v>
      </c>
    </row>
    <row r="1671" hidden="1" spans="1:24">
      <c r="A1671" s="1" t="s">
        <v>5265</v>
      </c>
      <c r="B1671" s="1" t="s">
        <v>90</v>
      </c>
      <c r="C1671" s="1" t="s">
        <v>9159</v>
      </c>
      <c r="D1671" s="1" t="s">
        <v>9155</v>
      </c>
      <c r="E1671" s="1" t="s">
        <v>1455</v>
      </c>
      <c r="F1671" s="1" t="s">
        <v>9160</v>
      </c>
      <c r="G1671" s="1">
        <v>1</v>
      </c>
      <c r="H1671" s="1" t="s">
        <v>1656</v>
      </c>
      <c r="I1671" s="1" t="s">
        <v>1657</v>
      </c>
      <c r="J1671" s="1" t="s">
        <v>1658</v>
      </c>
      <c r="K1671" s="1" t="s">
        <v>1658</v>
      </c>
      <c r="L1671" s="1" t="s">
        <v>1658</v>
      </c>
      <c r="M1671" s="1" t="s">
        <v>1658</v>
      </c>
      <c r="N1671" s="1" t="s">
        <v>1658</v>
      </c>
      <c r="O1671" s="1" t="s">
        <v>1658</v>
      </c>
      <c r="P1671" s="1">
        <v>1</v>
      </c>
      <c r="Q1671" s="1" t="s">
        <v>1658</v>
      </c>
      <c r="R1671" s="1">
        <v>0</v>
      </c>
      <c r="S1671" s="6" t="s">
        <v>9161</v>
      </c>
      <c r="T1671" s="6" t="s">
        <v>9161</v>
      </c>
      <c r="W1671" s="1" t="s">
        <v>9162</v>
      </c>
      <c r="X1671" s="1" t="str">
        <f>IF(COUNTIF('MyWells Drilling Comp'!F:F,E1671)=0,"Missing","Exist")</f>
        <v>Exist</v>
      </c>
    </row>
    <row r="1672" hidden="1" spans="1:24">
      <c r="A1672" s="1" t="s">
        <v>5265</v>
      </c>
      <c r="B1672" s="1" t="s">
        <v>90</v>
      </c>
      <c r="C1672" s="1" t="s">
        <v>9163</v>
      </c>
      <c r="D1672" s="1" t="s">
        <v>9164</v>
      </c>
      <c r="E1672" s="1" t="s">
        <v>536</v>
      </c>
      <c r="F1672" s="1" t="s">
        <v>9165</v>
      </c>
      <c r="G1672" s="1">
        <v>1</v>
      </c>
      <c r="H1672" s="1" t="s">
        <v>1656</v>
      </c>
      <c r="I1672" s="1" t="s">
        <v>1657</v>
      </c>
      <c r="J1672" s="1" t="s">
        <v>1658</v>
      </c>
      <c r="K1672" s="1" t="s">
        <v>1658</v>
      </c>
      <c r="L1672" s="1" t="s">
        <v>1658</v>
      </c>
      <c r="M1672" s="1" t="s">
        <v>1658</v>
      </c>
      <c r="N1672" s="1" t="s">
        <v>1658</v>
      </c>
      <c r="O1672" s="1" t="s">
        <v>1658</v>
      </c>
      <c r="P1672" s="1">
        <v>1</v>
      </c>
      <c r="Q1672" s="1" t="s">
        <v>1658</v>
      </c>
      <c r="R1672" s="1">
        <v>0</v>
      </c>
      <c r="S1672" s="6" t="s">
        <v>9166</v>
      </c>
      <c r="T1672" s="6" t="s">
        <v>9166</v>
      </c>
      <c r="W1672" s="1" t="s">
        <v>9167</v>
      </c>
      <c r="X1672" s="1" t="str">
        <f>IF(COUNTIF('MyWells Drilling Comp'!F:F,E1672)=0,"Missing","Exist")</f>
        <v>Exist</v>
      </c>
    </row>
    <row r="1673" hidden="1" spans="1:24">
      <c r="A1673" s="1" t="s">
        <v>5265</v>
      </c>
      <c r="B1673" s="1" t="s">
        <v>90</v>
      </c>
      <c r="C1673" s="1" t="s">
        <v>9168</v>
      </c>
      <c r="D1673" s="1" t="s">
        <v>9164</v>
      </c>
      <c r="E1673" s="1" t="s">
        <v>536</v>
      </c>
      <c r="F1673" s="1" t="s">
        <v>9169</v>
      </c>
      <c r="G1673" s="1">
        <v>1</v>
      </c>
      <c r="H1673" s="1" t="s">
        <v>1663</v>
      </c>
      <c r="I1673" s="1" t="s">
        <v>1657</v>
      </c>
      <c r="J1673" s="1" t="s">
        <v>1658</v>
      </c>
      <c r="K1673" s="1" t="s">
        <v>1658</v>
      </c>
      <c r="L1673" s="1" t="s">
        <v>1658</v>
      </c>
      <c r="M1673" s="1" t="s">
        <v>1658</v>
      </c>
      <c r="N1673" s="1" t="s">
        <v>1658</v>
      </c>
      <c r="O1673" s="1" t="s">
        <v>1658</v>
      </c>
      <c r="P1673" s="1">
        <v>1</v>
      </c>
      <c r="Q1673" s="1" t="s">
        <v>1658</v>
      </c>
      <c r="R1673" s="1">
        <v>0</v>
      </c>
      <c r="S1673" s="6" t="s">
        <v>9170</v>
      </c>
      <c r="T1673" s="6" t="s">
        <v>9170</v>
      </c>
      <c r="W1673" s="1" t="s">
        <v>9171</v>
      </c>
      <c r="X1673" s="1" t="str">
        <f>IF(COUNTIF('MyWells Drilling Comp'!F:F,E1673)=0,"Missing","Exist")</f>
        <v>Exist</v>
      </c>
    </row>
    <row r="1674" hidden="1" spans="1:24">
      <c r="A1674" s="1" t="s">
        <v>5265</v>
      </c>
      <c r="B1674" s="1" t="s">
        <v>90</v>
      </c>
      <c r="C1674" s="7" t="s">
        <v>9172</v>
      </c>
      <c r="D1674" s="1" t="s">
        <v>9173</v>
      </c>
      <c r="E1674" s="1" t="s">
        <v>1245</v>
      </c>
      <c r="F1674" s="1" t="s">
        <v>9174</v>
      </c>
      <c r="G1674" s="1">
        <v>1</v>
      </c>
      <c r="H1674" s="1" t="s">
        <v>1663</v>
      </c>
      <c r="I1674" s="1" t="s">
        <v>1657</v>
      </c>
      <c r="J1674" s="1" t="s">
        <v>1658</v>
      </c>
      <c r="K1674" s="1" t="s">
        <v>1658</v>
      </c>
      <c r="L1674" s="1" t="s">
        <v>1658</v>
      </c>
      <c r="M1674" s="1" t="s">
        <v>1658</v>
      </c>
      <c r="N1674" s="1" t="s">
        <v>1658</v>
      </c>
      <c r="O1674" s="1" t="s">
        <v>1658</v>
      </c>
      <c r="P1674" s="1">
        <v>1</v>
      </c>
      <c r="Q1674" s="1" t="s">
        <v>1658</v>
      </c>
      <c r="R1674" s="1">
        <v>0</v>
      </c>
      <c r="S1674" s="6" t="s">
        <v>9175</v>
      </c>
      <c r="T1674" s="6" t="s">
        <v>9175</v>
      </c>
      <c r="W1674" s="1" t="s">
        <v>9176</v>
      </c>
      <c r="X1674" s="1" t="str">
        <f>IF(COUNTIF('MyWells Drilling Comp'!F:F,E1674)=0,"Missing","Exist")</f>
        <v>Exist</v>
      </c>
    </row>
    <row r="1675" hidden="1" spans="1:24">
      <c r="A1675" s="1" t="s">
        <v>5265</v>
      </c>
      <c r="B1675" s="1" t="s">
        <v>90</v>
      </c>
      <c r="C1675" s="1" t="s">
        <v>9177</v>
      </c>
      <c r="D1675" s="1" t="s">
        <v>9173</v>
      </c>
      <c r="E1675" s="1" t="s">
        <v>1245</v>
      </c>
      <c r="F1675" s="1" t="s">
        <v>9178</v>
      </c>
      <c r="G1675" s="1">
        <v>1</v>
      </c>
      <c r="H1675" s="1" t="s">
        <v>1656</v>
      </c>
      <c r="I1675" s="1" t="s">
        <v>1657</v>
      </c>
      <c r="J1675" s="1" t="s">
        <v>1658</v>
      </c>
      <c r="K1675" s="1" t="s">
        <v>1658</v>
      </c>
      <c r="L1675" s="1" t="s">
        <v>1658</v>
      </c>
      <c r="M1675" s="1" t="s">
        <v>1658</v>
      </c>
      <c r="N1675" s="1" t="s">
        <v>1658</v>
      </c>
      <c r="O1675" s="1" t="s">
        <v>1658</v>
      </c>
      <c r="P1675" s="1">
        <v>1</v>
      </c>
      <c r="Q1675" s="1" t="s">
        <v>1658</v>
      </c>
      <c r="R1675" s="1">
        <v>0</v>
      </c>
      <c r="S1675" s="6" t="s">
        <v>9179</v>
      </c>
      <c r="T1675" s="6" t="s">
        <v>9179</v>
      </c>
      <c r="W1675" s="1" t="s">
        <v>9180</v>
      </c>
      <c r="X1675" s="1" t="str">
        <f>IF(COUNTIF('MyWells Drilling Comp'!F:F,E1675)=0,"Missing","Exist")</f>
        <v>Exist</v>
      </c>
    </row>
    <row r="1676" hidden="1" spans="1:24">
      <c r="A1676" s="1" t="s">
        <v>1652</v>
      </c>
      <c r="B1676" s="1" t="s">
        <v>90</v>
      </c>
      <c r="C1676" s="1" t="s">
        <v>9181</v>
      </c>
      <c r="D1676" s="1" t="s">
        <v>9182</v>
      </c>
      <c r="E1676" s="1" t="s">
        <v>500</v>
      </c>
      <c r="F1676" s="1" t="s">
        <v>9183</v>
      </c>
      <c r="G1676" s="1">
        <v>1</v>
      </c>
      <c r="H1676" s="1" t="s">
        <v>1663</v>
      </c>
      <c r="I1676" s="1" t="s">
        <v>1657</v>
      </c>
      <c r="J1676" s="1" t="s">
        <v>1658</v>
      </c>
      <c r="K1676" s="1" t="s">
        <v>1658</v>
      </c>
      <c r="L1676" s="1" t="s">
        <v>1658</v>
      </c>
      <c r="M1676" s="1" t="s">
        <v>1658</v>
      </c>
      <c r="N1676" s="1" t="s">
        <v>1658</v>
      </c>
      <c r="O1676" s="1" t="s">
        <v>1658</v>
      </c>
      <c r="P1676" s="1">
        <v>1</v>
      </c>
      <c r="Q1676" s="1" t="s">
        <v>1658</v>
      </c>
      <c r="R1676" s="1">
        <v>0</v>
      </c>
      <c r="S1676" s="6" t="s">
        <v>9184</v>
      </c>
      <c r="T1676" s="6" t="s">
        <v>9184</v>
      </c>
      <c r="W1676" s="1" t="s">
        <v>9185</v>
      </c>
      <c r="X1676" s="1" t="str">
        <f>IF(COUNTIF('MyWells Drilling Comp'!F:F,E1676)=0,"Missing","Exist")</f>
        <v>Exist</v>
      </c>
    </row>
    <row r="1677" hidden="1" spans="1:24">
      <c r="A1677" s="1" t="s">
        <v>1652</v>
      </c>
      <c r="B1677" s="1" t="s">
        <v>90</v>
      </c>
      <c r="C1677" s="1" t="s">
        <v>9186</v>
      </c>
      <c r="D1677" s="1" t="s">
        <v>9182</v>
      </c>
      <c r="E1677" s="1" t="s">
        <v>500</v>
      </c>
      <c r="F1677" s="1" t="s">
        <v>9187</v>
      </c>
      <c r="G1677" s="1">
        <v>1</v>
      </c>
      <c r="H1677" s="1" t="s">
        <v>1656</v>
      </c>
      <c r="I1677" s="1" t="s">
        <v>1657</v>
      </c>
      <c r="J1677" s="1" t="s">
        <v>1658</v>
      </c>
      <c r="K1677" s="1" t="s">
        <v>1658</v>
      </c>
      <c r="L1677" s="1" t="s">
        <v>1658</v>
      </c>
      <c r="M1677" s="1" t="s">
        <v>1658</v>
      </c>
      <c r="N1677" s="1" t="s">
        <v>1658</v>
      </c>
      <c r="O1677" s="1" t="s">
        <v>1658</v>
      </c>
      <c r="P1677" s="1">
        <v>1</v>
      </c>
      <c r="Q1677" s="1" t="s">
        <v>1658</v>
      </c>
      <c r="R1677" s="1">
        <v>0</v>
      </c>
      <c r="S1677" s="6" t="s">
        <v>9188</v>
      </c>
      <c r="T1677" s="6" t="s">
        <v>9188</v>
      </c>
      <c r="W1677" s="1" t="s">
        <v>9189</v>
      </c>
      <c r="X1677" s="1" t="str">
        <f>IF(COUNTIF('MyWells Drilling Comp'!F:F,E1677)=0,"Missing","Exist")</f>
        <v>Exist</v>
      </c>
    </row>
    <row r="1678" hidden="1" spans="1:24">
      <c r="A1678" s="1" t="s">
        <v>1652</v>
      </c>
      <c r="B1678" s="1" t="s">
        <v>90</v>
      </c>
      <c r="C1678" s="1" t="s">
        <v>9190</v>
      </c>
      <c r="D1678" s="1" t="s">
        <v>9191</v>
      </c>
      <c r="E1678" s="1" t="s">
        <v>1018</v>
      </c>
      <c r="F1678" s="1" t="s">
        <v>9192</v>
      </c>
      <c r="G1678" s="1">
        <v>1</v>
      </c>
      <c r="H1678" s="1" t="s">
        <v>1663</v>
      </c>
      <c r="I1678" s="1" t="s">
        <v>1657</v>
      </c>
      <c r="J1678" s="1" t="s">
        <v>1658</v>
      </c>
      <c r="K1678" s="1" t="s">
        <v>1658</v>
      </c>
      <c r="L1678" s="1" t="s">
        <v>1658</v>
      </c>
      <c r="M1678" s="1" t="s">
        <v>1658</v>
      </c>
      <c r="N1678" s="1" t="s">
        <v>1658</v>
      </c>
      <c r="O1678" s="1" t="s">
        <v>1658</v>
      </c>
      <c r="P1678" s="1">
        <v>1</v>
      </c>
      <c r="Q1678" s="1" t="s">
        <v>1658</v>
      </c>
      <c r="R1678" s="1">
        <v>0</v>
      </c>
      <c r="S1678" s="6" t="s">
        <v>9193</v>
      </c>
      <c r="T1678" s="6" t="s">
        <v>9193</v>
      </c>
      <c r="W1678" s="1" t="s">
        <v>9194</v>
      </c>
      <c r="X1678" s="1" t="str">
        <f>IF(COUNTIF('MyWells Drilling Comp'!F:F,E1678)=0,"Missing","Exist")</f>
        <v>Exist</v>
      </c>
    </row>
    <row r="1679" hidden="1" spans="1:24">
      <c r="A1679" s="1" t="s">
        <v>1652</v>
      </c>
      <c r="B1679" s="1" t="s">
        <v>90</v>
      </c>
      <c r="C1679" s="1" t="s">
        <v>9195</v>
      </c>
      <c r="D1679" s="1" t="s">
        <v>9191</v>
      </c>
      <c r="E1679" s="1" t="s">
        <v>1018</v>
      </c>
      <c r="F1679" s="1" t="s">
        <v>9196</v>
      </c>
      <c r="G1679" s="1">
        <v>1</v>
      </c>
      <c r="H1679" s="1" t="s">
        <v>1656</v>
      </c>
      <c r="I1679" s="1" t="s">
        <v>1657</v>
      </c>
      <c r="J1679" s="1" t="s">
        <v>1658</v>
      </c>
      <c r="K1679" s="1" t="s">
        <v>1658</v>
      </c>
      <c r="L1679" s="1" t="s">
        <v>1658</v>
      </c>
      <c r="M1679" s="1" t="s">
        <v>1658</v>
      </c>
      <c r="N1679" s="1" t="s">
        <v>1658</v>
      </c>
      <c r="O1679" s="1" t="s">
        <v>1658</v>
      </c>
      <c r="P1679" s="1">
        <v>1</v>
      </c>
      <c r="Q1679" s="1" t="s">
        <v>1658</v>
      </c>
      <c r="R1679" s="1">
        <v>0</v>
      </c>
      <c r="S1679" s="1" t="s">
        <v>9197</v>
      </c>
      <c r="T1679" s="6"/>
      <c r="W1679" s="1" t="s">
        <v>9198</v>
      </c>
      <c r="X1679" s="1" t="str">
        <f>IF(COUNTIF('MyWells Drilling Comp'!F:F,E1679)=0,"Missing","Exist")</f>
        <v>Exist</v>
      </c>
    </row>
    <row r="1680" hidden="1" spans="1:24">
      <c r="A1680" s="1" t="s">
        <v>1652</v>
      </c>
      <c r="B1680" s="1" t="s">
        <v>90</v>
      </c>
      <c r="C1680" s="1" t="s">
        <v>9199</v>
      </c>
      <c r="D1680" s="1" t="s">
        <v>9200</v>
      </c>
      <c r="E1680" s="1" t="s">
        <v>199</v>
      </c>
      <c r="F1680" s="1" t="s">
        <v>9201</v>
      </c>
      <c r="G1680" s="1">
        <v>1</v>
      </c>
      <c r="H1680" s="1" t="s">
        <v>1663</v>
      </c>
      <c r="I1680" s="1" t="s">
        <v>1657</v>
      </c>
      <c r="J1680" s="1" t="s">
        <v>1658</v>
      </c>
      <c r="K1680" s="1" t="s">
        <v>1658</v>
      </c>
      <c r="L1680" s="1" t="s">
        <v>1658</v>
      </c>
      <c r="M1680" s="1" t="s">
        <v>1658</v>
      </c>
      <c r="N1680" s="1" t="s">
        <v>1658</v>
      </c>
      <c r="O1680" s="1" t="s">
        <v>1658</v>
      </c>
      <c r="P1680" s="1">
        <v>1</v>
      </c>
      <c r="Q1680" s="1" t="s">
        <v>1658</v>
      </c>
      <c r="R1680" s="1">
        <v>0</v>
      </c>
      <c r="S1680" s="6" t="s">
        <v>9202</v>
      </c>
      <c r="T1680" s="6" t="s">
        <v>9202</v>
      </c>
      <c r="W1680" s="1" t="s">
        <v>9203</v>
      </c>
      <c r="X1680" s="1" t="str">
        <f>IF(COUNTIF('MyWells Drilling Comp'!F:F,E1680)=0,"Missing","Exist")</f>
        <v>Exist</v>
      </c>
    </row>
    <row r="1681" hidden="1" spans="1:24">
      <c r="A1681" s="1" t="s">
        <v>1652</v>
      </c>
      <c r="B1681" s="1" t="s">
        <v>90</v>
      </c>
      <c r="C1681" s="1" t="s">
        <v>9204</v>
      </c>
      <c r="D1681" s="1" t="s">
        <v>9200</v>
      </c>
      <c r="E1681" s="1" t="s">
        <v>199</v>
      </c>
      <c r="F1681" s="1" t="s">
        <v>9205</v>
      </c>
      <c r="G1681" s="1">
        <v>1</v>
      </c>
      <c r="H1681" s="1" t="s">
        <v>1656</v>
      </c>
      <c r="I1681" s="1" t="s">
        <v>1657</v>
      </c>
      <c r="J1681" s="1" t="s">
        <v>1658</v>
      </c>
      <c r="K1681" s="1" t="s">
        <v>1658</v>
      </c>
      <c r="L1681" s="1" t="s">
        <v>1658</v>
      </c>
      <c r="M1681" s="1" t="s">
        <v>1658</v>
      </c>
      <c r="N1681" s="1" t="s">
        <v>1658</v>
      </c>
      <c r="O1681" s="1" t="s">
        <v>1658</v>
      </c>
      <c r="P1681" s="1">
        <v>1</v>
      </c>
      <c r="Q1681" s="1" t="s">
        <v>1658</v>
      </c>
      <c r="R1681" s="1">
        <v>0</v>
      </c>
      <c r="S1681" s="1" t="s">
        <v>9206</v>
      </c>
      <c r="T1681" s="6"/>
      <c r="W1681" s="1" t="s">
        <v>9207</v>
      </c>
      <c r="X1681" s="1" t="str">
        <f>IF(COUNTIF('MyWells Drilling Comp'!F:F,E1681)=0,"Missing","Exist")</f>
        <v>Exist</v>
      </c>
    </row>
    <row r="1682" hidden="1" spans="1:24">
      <c r="A1682" s="1" t="s">
        <v>5265</v>
      </c>
      <c r="B1682" s="1" t="s">
        <v>90</v>
      </c>
      <c r="C1682" s="1" t="s">
        <v>9208</v>
      </c>
      <c r="D1682" s="1" t="s">
        <v>9209</v>
      </c>
      <c r="E1682" s="1" t="s">
        <v>200</v>
      </c>
      <c r="F1682" s="1" t="s">
        <v>9210</v>
      </c>
      <c r="G1682" s="1">
        <v>1</v>
      </c>
      <c r="H1682" s="1" t="s">
        <v>1656</v>
      </c>
      <c r="I1682" s="1" t="s">
        <v>1657</v>
      </c>
      <c r="J1682" s="1" t="s">
        <v>1658</v>
      </c>
      <c r="K1682" s="1" t="s">
        <v>1658</v>
      </c>
      <c r="L1682" s="1" t="s">
        <v>1658</v>
      </c>
      <c r="M1682" s="1" t="s">
        <v>1658</v>
      </c>
      <c r="N1682" s="1" t="s">
        <v>1658</v>
      </c>
      <c r="O1682" s="1" t="s">
        <v>1658</v>
      </c>
      <c r="P1682" s="1">
        <v>1</v>
      </c>
      <c r="Q1682" s="1" t="s">
        <v>1658</v>
      </c>
      <c r="R1682" s="1">
        <v>0</v>
      </c>
      <c r="S1682" s="1" t="s">
        <v>9211</v>
      </c>
      <c r="T1682" s="6"/>
      <c r="W1682" s="1" t="s">
        <v>9212</v>
      </c>
      <c r="X1682" s="1" t="str">
        <f>IF(COUNTIF('MyWells Drilling Comp'!F:F,E1682)=0,"Missing","Exist")</f>
        <v>Exist</v>
      </c>
    </row>
    <row r="1683" hidden="1" spans="1:24">
      <c r="A1683" s="1" t="s">
        <v>5265</v>
      </c>
      <c r="B1683" s="1" t="s">
        <v>90</v>
      </c>
      <c r="C1683" s="1" t="s">
        <v>9213</v>
      </c>
      <c r="D1683" s="1" t="s">
        <v>9209</v>
      </c>
      <c r="E1683" s="1" t="s">
        <v>200</v>
      </c>
      <c r="F1683" s="1" t="s">
        <v>9214</v>
      </c>
      <c r="G1683" s="1">
        <v>1</v>
      </c>
      <c r="H1683" s="1" t="s">
        <v>1663</v>
      </c>
      <c r="I1683" s="1" t="s">
        <v>1657</v>
      </c>
      <c r="J1683" s="1" t="s">
        <v>1658</v>
      </c>
      <c r="K1683" s="1" t="s">
        <v>1658</v>
      </c>
      <c r="L1683" s="1" t="s">
        <v>1658</v>
      </c>
      <c r="M1683" s="1" t="s">
        <v>1658</v>
      </c>
      <c r="N1683" s="1" t="s">
        <v>1658</v>
      </c>
      <c r="O1683" s="1" t="s">
        <v>1658</v>
      </c>
      <c r="P1683" s="1">
        <v>1</v>
      </c>
      <c r="Q1683" s="1" t="s">
        <v>1658</v>
      </c>
      <c r="R1683" s="1">
        <v>0</v>
      </c>
      <c r="S1683" s="6" t="s">
        <v>9215</v>
      </c>
      <c r="T1683" s="6" t="s">
        <v>9215</v>
      </c>
      <c r="W1683" s="1" t="s">
        <v>9216</v>
      </c>
      <c r="X1683" s="1" t="str">
        <f>IF(COUNTIF('MyWells Drilling Comp'!F:F,E1683)=0,"Missing","Exist")</f>
        <v>Exist</v>
      </c>
    </row>
    <row r="1684" hidden="1" spans="1:24">
      <c r="A1684" s="1" t="s">
        <v>5265</v>
      </c>
      <c r="B1684" s="1" t="s">
        <v>90</v>
      </c>
      <c r="C1684" s="1" t="s">
        <v>9217</v>
      </c>
      <c r="D1684" s="1" t="s">
        <v>9218</v>
      </c>
      <c r="E1684" s="1" t="s">
        <v>180</v>
      </c>
      <c r="F1684" s="1" t="s">
        <v>9219</v>
      </c>
      <c r="G1684" s="1">
        <v>1</v>
      </c>
      <c r="H1684" s="1" t="s">
        <v>1663</v>
      </c>
      <c r="I1684" s="1" t="s">
        <v>1657</v>
      </c>
      <c r="J1684" s="1" t="s">
        <v>1658</v>
      </c>
      <c r="K1684" s="1" t="s">
        <v>1658</v>
      </c>
      <c r="L1684" s="1" t="s">
        <v>1658</v>
      </c>
      <c r="M1684" s="1" t="s">
        <v>1658</v>
      </c>
      <c r="N1684" s="1" t="s">
        <v>1658</v>
      </c>
      <c r="O1684" s="1" t="s">
        <v>1658</v>
      </c>
      <c r="P1684" s="1">
        <v>1</v>
      </c>
      <c r="Q1684" s="1" t="s">
        <v>1658</v>
      </c>
      <c r="R1684" s="1">
        <v>0</v>
      </c>
      <c r="S1684" s="6" t="s">
        <v>9220</v>
      </c>
      <c r="T1684" s="6" t="s">
        <v>9220</v>
      </c>
      <c r="W1684" s="1" t="s">
        <v>9221</v>
      </c>
      <c r="X1684" s="1" t="str">
        <f>IF(COUNTIF('MyWells Drilling Comp'!F:F,E1684)=0,"Missing","Exist")</f>
        <v>Exist</v>
      </c>
    </row>
    <row r="1685" hidden="1" spans="1:24">
      <c r="A1685" s="1" t="s">
        <v>5265</v>
      </c>
      <c r="B1685" s="1" t="s">
        <v>90</v>
      </c>
      <c r="C1685" s="1" t="s">
        <v>9222</v>
      </c>
      <c r="D1685" s="1" t="s">
        <v>9218</v>
      </c>
      <c r="E1685" s="1" t="s">
        <v>180</v>
      </c>
      <c r="F1685" s="1" t="s">
        <v>9223</v>
      </c>
      <c r="G1685" s="1">
        <v>1</v>
      </c>
      <c r="H1685" s="1" t="s">
        <v>1656</v>
      </c>
      <c r="I1685" s="1" t="s">
        <v>1657</v>
      </c>
      <c r="J1685" s="1" t="s">
        <v>1658</v>
      </c>
      <c r="K1685" s="1" t="s">
        <v>1658</v>
      </c>
      <c r="L1685" s="1" t="s">
        <v>1658</v>
      </c>
      <c r="M1685" s="1" t="s">
        <v>1658</v>
      </c>
      <c r="N1685" s="1" t="s">
        <v>1658</v>
      </c>
      <c r="O1685" s="1" t="s">
        <v>1658</v>
      </c>
      <c r="P1685" s="1">
        <v>1</v>
      </c>
      <c r="Q1685" s="1" t="s">
        <v>1658</v>
      </c>
      <c r="R1685" s="1">
        <v>0</v>
      </c>
      <c r="S1685" s="6" t="s">
        <v>9224</v>
      </c>
      <c r="T1685" s="6" t="s">
        <v>9224</v>
      </c>
      <c r="W1685" s="1" t="s">
        <v>9225</v>
      </c>
      <c r="X1685" s="1" t="str">
        <f>IF(COUNTIF('MyWells Drilling Comp'!F:F,E1685)=0,"Missing","Exist")</f>
        <v>Exist</v>
      </c>
    </row>
    <row r="1686" hidden="1" spans="1:24">
      <c r="A1686" s="1" t="s">
        <v>5265</v>
      </c>
      <c r="B1686" s="1" t="s">
        <v>90</v>
      </c>
      <c r="C1686" s="1" t="s">
        <v>9226</v>
      </c>
      <c r="D1686" s="1" t="s">
        <v>9227</v>
      </c>
      <c r="E1686" s="1" t="s">
        <v>1252</v>
      </c>
      <c r="F1686" s="1" t="s">
        <v>9228</v>
      </c>
      <c r="G1686" s="1">
        <v>1</v>
      </c>
      <c r="H1686" s="1" t="s">
        <v>1663</v>
      </c>
      <c r="I1686" s="1" t="s">
        <v>1657</v>
      </c>
      <c r="J1686" s="1" t="s">
        <v>1658</v>
      </c>
      <c r="K1686" s="1" t="s">
        <v>1658</v>
      </c>
      <c r="L1686" s="1" t="s">
        <v>1658</v>
      </c>
      <c r="M1686" s="1" t="s">
        <v>1658</v>
      </c>
      <c r="N1686" s="1" t="s">
        <v>1658</v>
      </c>
      <c r="O1686" s="1" t="s">
        <v>1658</v>
      </c>
      <c r="P1686" s="1">
        <v>1</v>
      </c>
      <c r="Q1686" s="1" t="s">
        <v>1658</v>
      </c>
      <c r="R1686" s="1">
        <v>0</v>
      </c>
      <c r="S1686" s="6" t="s">
        <v>9229</v>
      </c>
      <c r="T1686" s="6" t="s">
        <v>9229</v>
      </c>
      <c r="W1686" s="1" t="s">
        <v>9230</v>
      </c>
      <c r="X1686" s="1" t="str">
        <f>IF(COUNTIF('MyWells Drilling Comp'!F:F,E1686)=0,"Missing","Exist")</f>
        <v>Exist</v>
      </c>
    </row>
    <row r="1687" hidden="1" spans="1:24">
      <c r="A1687" s="1" t="s">
        <v>5265</v>
      </c>
      <c r="B1687" s="1" t="s">
        <v>90</v>
      </c>
      <c r="C1687" s="1" t="s">
        <v>9231</v>
      </c>
      <c r="D1687" s="1" t="s">
        <v>9227</v>
      </c>
      <c r="E1687" s="1" t="s">
        <v>1252</v>
      </c>
      <c r="F1687" s="1" t="s">
        <v>9232</v>
      </c>
      <c r="G1687" s="1">
        <v>1</v>
      </c>
      <c r="H1687" s="1" t="s">
        <v>1656</v>
      </c>
      <c r="I1687" s="1" t="s">
        <v>1657</v>
      </c>
      <c r="J1687" s="1" t="s">
        <v>1658</v>
      </c>
      <c r="K1687" s="1" t="s">
        <v>1658</v>
      </c>
      <c r="L1687" s="1" t="s">
        <v>1658</v>
      </c>
      <c r="M1687" s="1" t="s">
        <v>1658</v>
      </c>
      <c r="N1687" s="1" t="s">
        <v>1658</v>
      </c>
      <c r="O1687" s="1" t="s">
        <v>1658</v>
      </c>
      <c r="P1687" s="1">
        <v>1</v>
      </c>
      <c r="Q1687" s="1" t="s">
        <v>1658</v>
      </c>
      <c r="R1687" s="1">
        <v>0</v>
      </c>
      <c r="S1687" s="6" t="s">
        <v>9233</v>
      </c>
      <c r="T1687" s="6" t="s">
        <v>9233</v>
      </c>
      <c r="W1687" s="1" t="s">
        <v>9234</v>
      </c>
      <c r="X1687" s="1" t="str">
        <f>IF(COUNTIF('MyWells Drilling Comp'!F:F,E1687)=0,"Missing","Exist")</f>
        <v>Exist</v>
      </c>
    </row>
    <row r="1688" hidden="1" spans="1:24">
      <c r="A1688" s="1" t="s">
        <v>1652</v>
      </c>
      <c r="B1688" s="1" t="s">
        <v>90</v>
      </c>
      <c r="C1688" s="1" t="s">
        <v>9235</v>
      </c>
      <c r="D1688" s="1" t="s">
        <v>9236</v>
      </c>
      <c r="E1688" s="1" t="s">
        <v>1474</v>
      </c>
      <c r="F1688" s="1" t="s">
        <v>9237</v>
      </c>
      <c r="G1688" s="1">
        <v>1</v>
      </c>
      <c r="H1688" s="1" t="s">
        <v>1663</v>
      </c>
      <c r="I1688" s="1" t="s">
        <v>1657</v>
      </c>
      <c r="J1688" s="1" t="s">
        <v>1658</v>
      </c>
      <c r="K1688" s="1" t="s">
        <v>1658</v>
      </c>
      <c r="L1688" s="1" t="s">
        <v>1658</v>
      </c>
      <c r="M1688" s="1" t="s">
        <v>1658</v>
      </c>
      <c r="N1688" s="1" t="s">
        <v>1658</v>
      </c>
      <c r="O1688" s="1" t="s">
        <v>1658</v>
      </c>
      <c r="P1688" s="1">
        <v>1</v>
      </c>
      <c r="Q1688" s="1" t="s">
        <v>1658</v>
      </c>
      <c r="R1688" s="1">
        <v>0</v>
      </c>
      <c r="S1688" s="6" t="s">
        <v>9238</v>
      </c>
      <c r="T1688" s="6" t="s">
        <v>9238</v>
      </c>
      <c r="W1688" s="1" t="s">
        <v>9239</v>
      </c>
      <c r="X1688" s="1" t="str">
        <f>IF(COUNTIF('MyWells Drilling Comp'!F:F,E1688)=0,"Missing","Exist")</f>
        <v>Exist</v>
      </c>
    </row>
    <row r="1689" hidden="1" spans="1:24">
      <c r="A1689" s="1" t="s">
        <v>1652</v>
      </c>
      <c r="B1689" s="1" t="s">
        <v>90</v>
      </c>
      <c r="C1689" s="1" t="s">
        <v>9240</v>
      </c>
      <c r="D1689" s="1" t="s">
        <v>9236</v>
      </c>
      <c r="E1689" s="1" t="s">
        <v>1474</v>
      </c>
      <c r="F1689" s="1" t="s">
        <v>9241</v>
      </c>
      <c r="G1689" s="1">
        <v>1</v>
      </c>
      <c r="H1689" s="1" t="s">
        <v>1656</v>
      </c>
      <c r="I1689" s="1" t="s">
        <v>1657</v>
      </c>
      <c r="J1689" s="1" t="s">
        <v>1658</v>
      </c>
      <c r="K1689" s="1" t="s">
        <v>1658</v>
      </c>
      <c r="L1689" s="1" t="s">
        <v>1658</v>
      </c>
      <c r="M1689" s="1" t="s">
        <v>1658</v>
      </c>
      <c r="N1689" s="1" t="s">
        <v>1658</v>
      </c>
      <c r="O1689" s="1" t="s">
        <v>1658</v>
      </c>
      <c r="P1689" s="1">
        <v>1</v>
      </c>
      <c r="Q1689" s="1" t="s">
        <v>1658</v>
      </c>
      <c r="R1689" s="1">
        <v>0</v>
      </c>
      <c r="S1689" s="1" t="s">
        <v>9242</v>
      </c>
      <c r="T1689" s="6"/>
      <c r="W1689" s="1" t="s">
        <v>9243</v>
      </c>
      <c r="X1689" s="1" t="str">
        <f>IF(COUNTIF('MyWells Drilling Comp'!F:F,E1689)=0,"Missing","Exist")</f>
        <v>Exist</v>
      </c>
    </row>
    <row r="1690" hidden="1" spans="1:24">
      <c r="A1690" s="1" t="s">
        <v>5265</v>
      </c>
      <c r="B1690" s="1" t="s">
        <v>90</v>
      </c>
      <c r="C1690" s="1" t="s">
        <v>9244</v>
      </c>
      <c r="D1690" s="1" t="s">
        <v>9245</v>
      </c>
      <c r="E1690" s="1" t="s">
        <v>1477</v>
      </c>
      <c r="F1690" s="1" t="s">
        <v>9246</v>
      </c>
      <c r="G1690" s="1">
        <v>1</v>
      </c>
      <c r="H1690" s="1" t="s">
        <v>1656</v>
      </c>
      <c r="I1690" s="1" t="s">
        <v>1657</v>
      </c>
      <c r="J1690" s="1" t="s">
        <v>1658</v>
      </c>
      <c r="K1690" s="1" t="s">
        <v>1658</v>
      </c>
      <c r="L1690" s="1" t="s">
        <v>1658</v>
      </c>
      <c r="M1690" s="1" t="s">
        <v>1658</v>
      </c>
      <c r="N1690" s="1" t="s">
        <v>1658</v>
      </c>
      <c r="O1690" s="1" t="s">
        <v>1658</v>
      </c>
      <c r="P1690" s="1">
        <v>1</v>
      </c>
      <c r="Q1690" s="1" t="s">
        <v>1658</v>
      </c>
      <c r="R1690" s="1">
        <v>0</v>
      </c>
      <c r="S1690" s="1" t="s">
        <v>9242</v>
      </c>
      <c r="T1690" s="6"/>
      <c r="W1690" s="1" t="s">
        <v>9247</v>
      </c>
      <c r="X1690" s="1" t="str">
        <f>IF(COUNTIF('MyWells Drilling Comp'!F:F,E1690)=0,"Missing","Exist")</f>
        <v>Exist</v>
      </c>
    </row>
    <row r="1691" hidden="1" spans="1:24">
      <c r="A1691" s="1" t="s">
        <v>5265</v>
      </c>
      <c r="B1691" s="1" t="s">
        <v>90</v>
      </c>
      <c r="C1691" s="1" t="s">
        <v>9248</v>
      </c>
      <c r="D1691" s="1" t="s">
        <v>9245</v>
      </c>
      <c r="E1691" s="1" t="s">
        <v>1477</v>
      </c>
      <c r="F1691" s="1" t="s">
        <v>9249</v>
      </c>
      <c r="G1691" s="1">
        <v>1</v>
      </c>
      <c r="H1691" s="1" t="s">
        <v>1663</v>
      </c>
      <c r="I1691" s="1" t="s">
        <v>1657</v>
      </c>
      <c r="J1691" s="1" t="s">
        <v>1658</v>
      </c>
      <c r="K1691" s="1" t="s">
        <v>1658</v>
      </c>
      <c r="L1691" s="1" t="s">
        <v>1658</v>
      </c>
      <c r="M1691" s="1" t="s">
        <v>1658</v>
      </c>
      <c r="N1691" s="1" t="s">
        <v>1658</v>
      </c>
      <c r="O1691" s="1" t="s">
        <v>1658</v>
      </c>
      <c r="P1691" s="1">
        <v>1</v>
      </c>
      <c r="Q1691" s="1" t="s">
        <v>1658</v>
      </c>
      <c r="R1691" s="1">
        <v>0</v>
      </c>
      <c r="S1691" s="6" t="s">
        <v>9250</v>
      </c>
      <c r="T1691" s="6" t="s">
        <v>9250</v>
      </c>
      <c r="W1691" s="1" t="s">
        <v>9251</v>
      </c>
      <c r="X1691" s="1" t="str">
        <f>IF(COUNTIF('MyWells Drilling Comp'!F:F,E1691)=0,"Missing","Exist")</f>
        <v>Exist</v>
      </c>
    </row>
    <row r="1692" hidden="1" spans="1:24">
      <c r="A1692" s="1" t="s">
        <v>1652</v>
      </c>
      <c r="B1692" s="1" t="s">
        <v>90</v>
      </c>
      <c r="C1692" s="1" t="s">
        <v>9252</v>
      </c>
      <c r="D1692" s="1" t="s">
        <v>9253</v>
      </c>
      <c r="E1692" s="1" t="s">
        <v>1476</v>
      </c>
      <c r="F1692" s="1" t="s">
        <v>9254</v>
      </c>
      <c r="G1692" s="1">
        <v>1</v>
      </c>
      <c r="H1692" s="1" t="s">
        <v>1656</v>
      </c>
      <c r="I1692" s="1" t="s">
        <v>1657</v>
      </c>
      <c r="J1692" s="1" t="s">
        <v>1658</v>
      </c>
      <c r="K1692" s="1" t="s">
        <v>1658</v>
      </c>
      <c r="L1692" s="1" t="s">
        <v>1658</v>
      </c>
      <c r="M1692" s="1" t="s">
        <v>1658</v>
      </c>
      <c r="N1692" s="1" t="s">
        <v>1658</v>
      </c>
      <c r="O1692" s="1" t="s">
        <v>1658</v>
      </c>
      <c r="P1692" s="1">
        <v>1</v>
      </c>
      <c r="Q1692" s="1" t="s">
        <v>1658</v>
      </c>
      <c r="R1692" s="1">
        <v>0</v>
      </c>
      <c r="S1692" s="1" t="s">
        <v>9255</v>
      </c>
      <c r="T1692" s="6"/>
      <c r="W1692" s="1" t="s">
        <v>9256</v>
      </c>
      <c r="X1692" s="1" t="str">
        <f>IF(COUNTIF('MyWells Drilling Comp'!F:F,E1692)=0,"Missing","Exist")</f>
        <v>Exist</v>
      </c>
    </row>
    <row r="1693" hidden="1" spans="1:24">
      <c r="A1693" s="1" t="s">
        <v>1652</v>
      </c>
      <c r="B1693" s="1" t="s">
        <v>90</v>
      </c>
      <c r="C1693" s="1" t="s">
        <v>9257</v>
      </c>
      <c r="D1693" s="1" t="s">
        <v>9253</v>
      </c>
      <c r="E1693" s="1" t="s">
        <v>1476</v>
      </c>
      <c r="F1693" s="1" t="s">
        <v>9258</v>
      </c>
      <c r="G1693" s="1">
        <v>1</v>
      </c>
      <c r="H1693" s="1" t="s">
        <v>1663</v>
      </c>
      <c r="I1693" s="1" t="s">
        <v>1657</v>
      </c>
      <c r="J1693" s="1" t="s">
        <v>1658</v>
      </c>
      <c r="K1693" s="1" t="s">
        <v>1658</v>
      </c>
      <c r="L1693" s="1" t="s">
        <v>1658</v>
      </c>
      <c r="M1693" s="1" t="s">
        <v>1658</v>
      </c>
      <c r="N1693" s="1" t="s">
        <v>1658</v>
      </c>
      <c r="O1693" s="1" t="s">
        <v>1658</v>
      </c>
      <c r="P1693" s="1">
        <v>1</v>
      </c>
      <c r="Q1693" s="1" t="s">
        <v>1658</v>
      </c>
      <c r="R1693" s="1">
        <v>0</v>
      </c>
      <c r="S1693" s="6" t="s">
        <v>9259</v>
      </c>
      <c r="T1693" s="6" t="s">
        <v>9259</v>
      </c>
      <c r="W1693" s="1" t="s">
        <v>9260</v>
      </c>
      <c r="X1693" s="1" t="str">
        <f>IF(COUNTIF('MyWells Drilling Comp'!F:F,E1693)=0,"Missing","Exist")</f>
        <v>Exist</v>
      </c>
    </row>
    <row r="1694" hidden="1" spans="1:24">
      <c r="A1694" s="1" t="s">
        <v>5265</v>
      </c>
      <c r="B1694" s="1" t="s">
        <v>90</v>
      </c>
      <c r="C1694" s="1" t="s">
        <v>9261</v>
      </c>
      <c r="D1694" s="1" t="s">
        <v>9262</v>
      </c>
      <c r="E1694" s="1" t="s">
        <v>1472</v>
      </c>
      <c r="F1694" s="1" t="s">
        <v>9263</v>
      </c>
      <c r="G1694" s="1">
        <v>1</v>
      </c>
      <c r="H1694" s="1" t="s">
        <v>1663</v>
      </c>
      <c r="I1694" s="1" t="s">
        <v>1657</v>
      </c>
      <c r="J1694" s="1" t="s">
        <v>1658</v>
      </c>
      <c r="K1694" s="1" t="s">
        <v>1658</v>
      </c>
      <c r="L1694" s="1" t="s">
        <v>1658</v>
      </c>
      <c r="M1694" s="1" t="s">
        <v>1658</v>
      </c>
      <c r="N1694" s="1" t="s">
        <v>1658</v>
      </c>
      <c r="O1694" s="1" t="s">
        <v>1658</v>
      </c>
      <c r="P1694" s="1">
        <v>1</v>
      </c>
      <c r="Q1694" s="1" t="s">
        <v>1658</v>
      </c>
      <c r="R1694" s="1">
        <v>0</v>
      </c>
      <c r="S1694" s="6" t="s">
        <v>9264</v>
      </c>
      <c r="T1694" s="6" t="s">
        <v>9264</v>
      </c>
      <c r="W1694" s="1" t="s">
        <v>9265</v>
      </c>
      <c r="X1694" s="1" t="str">
        <f>IF(COUNTIF('MyWells Drilling Comp'!F:F,E1694)=0,"Missing","Exist")</f>
        <v>Exist</v>
      </c>
    </row>
    <row r="1695" hidden="1" spans="1:24">
      <c r="A1695" s="1" t="s">
        <v>5265</v>
      </c>
      <c r="B1695" s="1" t="s">
        <v>90</v>
      </c>
      <c r="C1695" s="1" t="s">
        <v>9266</v>
      </c>
      <c r="D1695" s="1" t="s">
        <v>9262</v>
      </c>
      <c r="E1695" s="1" t="s">
        <v>1472</v>
      </c>
      <c r="F1695" s="1" t="s">
        <v>9267</v>
      </c>
      <c r="G1695" s="1">
        <v>1</v>
      </c>
      <c r="H1695" s="1" t="s">
        <v>1656</v>
      </c>
      <c r="I1695" s="1" t="s">
        <v>1657</v>
      </c>
      <c r="J1695" s="1" t="s">
        <v>1658</v>
      </c>
      <c r="K1695" s="1" t="s">
        <v>1658</v>
      </c>
      <c r="L1695" s="1" t="s">
        <v>1658</v>
      </c>
      <c r="M1695" s="1" t="s">
        <v>1658</v>
      </c>
      <c r="N1695" s="1" t="s">
        <v>1658</v>
      </c>
      <c r="O1695" s="1" t="s">
        <v>1658</v>
      </c>
      <c r="P1695" s="1">
        <v>1</v>
      </c>
      <c r="Q1695" s="1" t="s">
        <v>1658</v>
      </c>
      <c r="R1695" s="1">
        <v>0</v>
      </c>
      <c r="S1695" s="1" t="s">
        <v>9242</v>
      </c>
      <c r="T1695" s="6"/>
      <c r="W1695" s="1" t="s">
        <v>9268</v>
      </c>
      <c r="X1695" s="1" t="str">
        <f>IF(COUNTIF('MyWells Drilling Comp'!F:F,E1695)=0,"Missing","Exist")</f>
        <v>Exist</v>
      </c>
    </row>
    <row r="1696" hidden="1" spans="1:24">
      <c r="A1696" s="1" t="s">
        <v>5265</v>
      </c>
      <c r="B1696" s="1" t="s">
        <v>90</v>
      </c>
      <c r="C1696" s="1" t="s">
        <v>9269</v>
      </c>
      <c r="D1696" s="1" t="s">
        <v>9270</v>
      </c>
      <c r="E1696" s="1" t="s">
        <v>1471</v>
      </c>
      <c r="F1696" s="1" t="s">
        <v>9271</v>
      </c>
      <c r="G1696" s="1">
        <v>1</v>
      </c>
      <c r="H1696" s="1" t="s">
        <v>1656</v>
      </c>
      <c r="I1696" s="1" t="s">
        <v>1657</v>
      </c>
      <c r="J1696" s="1" t="s">
        <v>1658</v>
      </c>
      <c r="K1696" s="1" t="s">
        <v>1658</v>
      </c>
      <c r="L1696" s="1" t="s">
        <v>1658</v>
      </c>
      <c r="M1696" s="1" t="s">
        <v>1658</v>
      </c>
      <c r="N1696" s="1" t="s">
        <v>1658</v>
      </c>
      <c r="O1696" s="1" t="s">
        <v>1658</v>
      </c>
      <c r="P1696" s="1">
        <v>1</v>
      </c>
      <c r="Q1696" s="1" t="s">
        <v>1658</v>
      </c>
      <c r="R1696" s="1">
        <v>0</v>
      </c>
      <c r="S1696" s="1" t="s">
        <v>9242</v>
      </c>
      <c r="T1696" s="6"/>
      <c r="W1696" s="1" t="s">
        <v>9272</v>
      </c>
      <c r="X1696" s="1" t="str">
        <f>IF(COUNTIF('MyWells Drilling Comp'!F:F,E1696)=0,"Missing","Exist")</f>
        <v>Exist</v>
      </c>
    </row>
    <row r="1697" hidden="1" spans="1:24">
      <c r="A1697" s="1" t="s">
        <v>5265</v>
      </c>
      <c r="B1697" s="1" t="s">
        <v>90</v>
      </c>
      <c r="C1697" s="1" t="s">
        <v>9273</v>
      </c>
      <c r="D1697" s="1" t="s">
        <v>9270</v>
      </c>
      <c r="E1697" s="1" t="s">
        <v>1471</v>
      </c>
      <c r="F1697" s="1" t="s">
        <v>9274</v>
      </c>
      <c r="G1697" s="1">
        <v>1</v>
      </c>
      <c r="H1697" s="1" t="s">
        <v>1663</v>
      </c>
      <c r="I1697" s="1" t="s">
        <v>1657</v>
      </c>
      <c r="J1697" s="1" t="s">
        <v>1658</v>
      </c>
      <c r="K1697" s="1" t="s">
        <v>1658</v>
      </c>
      <c r="L1697" s="1" t="s">
        <v>1658</v>
      </c>
      <c r="M1697" s="1" t="s">
        <v>1658</v>
      </c>
      <c r="N1697" s="1" t="s">
        <v>1658</v>
      </c>
      <c r="O1697" s="1" t="s">
        <v>1658</v>
      </c>
      <c r="P1697" s="1">
        <v>1</v>
      </c>
      <c r="Q1697" s="1" t="s">
        <v>1658</v>
      </c>
      <c r="R1697" s="1">
        <v>0</v>
      </c>
      <c r="S1697" s="6" t="s">
        <v>9275</v>
      </c>
      <c r="T1697" s="6" t="s">
        <v>9275</v>
      </c>
      <c r="W1697" s="1" t="s">
        <v>9276</v>
      </c>
      <c r="X1697" s="1" t="str">
        <f>IF(COUNTIF('MyWells Drilling Comp'!F:F,E1697)=0,"Missing","Exist")</f>
        <v>Exist</v>
      </c>
    </row>
    <row r="1698" hidden="1" spans="1:24">
      <c r="A1698" s="1" t="s">
        <v>1652</v>
      </c>
      <c r="B1698" s="1" t="s">
        <v>90</v>
      </c>
      <c r="C1698" s="1" t="s">
        <v>9277</v>
      </c>
      <c r="D1698" s="1" t="s">
        <v>9278</v>
      </c>
      <c r="E1698" s="1" t="s">
        <v>1473</v>
      </c>
      <c r="F1698" s="1" t="s">
        <v>9279</v>
      </c>
      <c r="G1698" s="1">
        <v>1</v>
      </c>
      <c r="H1698" s="1" t="s">
        <v>1663</v>
      </c>
      <c r="I1698" s="1" t="s">
        <v>1657</v>
      </c>
      <c r="J1698" s="1" t="s">
        <v>1658</v>
      </c>
      <c r="K1698" s="1" t="s">
        <v>1658</v>
      </c>
      <c r="L1698" s="1" t="s">
        <v>1658</v>
      </c>
      <c r="M1698" s="1" t="s">
        <v>1658</v>
      </c>
      <c r="N1698" s="1" t="s">
        <v>1658</v>
      </c>
      <c r="O1698" s="1" t="s">
        <v>1658</v>
      </c>
      <c r="P1698" s="1">
        <v>1</v>
      </c>
      <c r="Q1698" s="1" t="s">
        <v>1658</v>
      </c>
      <c r="R1698" s="1">
        <v>0</v>
      </c>
      <c r="S1698" s="6" t="s">
        <v>9280</v>
      </c>
      <c r="T1698" s="6" t="s">
        <v>9280</v>
      </c>
      <c r="W1698" s="1" t="s">
        <v>9281</v>
      </c>
      <c r="X1698" s="1" t="str">
        <f>IF(COUNTIF('MyWells Drilling Comp'!F:F,E1698)=0,"Missing","Exist")</f>
        <v>Exist</v>
      </c>
    </row>
    <row r="1699" hidden="1" spans="1:24">
      <c r="A1699" s="1" t="s">
        <v>1652</v>
      </c>
      <c r="B1699" s="1" t="s">
        <v>90</v>
      </c>
      <c r="C1699" s="1" t="s">
        <v>9282</v>
      </c>
      <c r="D1699" s="1" t="s">
        <v>9278</v>
      </c>
      <c r="E1699" s="1" t="s">
        <v>1473</v>
      </c>
      <c r="F1699" s="1" t="s">
        <v>9283</v>
      </c>
      <c r="G1699" s="1">
        <v>1</v>
      </c>
      <c r="H1699" s="1" t="s">
        <v>1656</v>
      </c>
      <c r="I1699" s="1" t="s">
        <v>1657</v>
      </c>
      <c r="J1699" s="1" t="s">
        <v>1658</v>
      </c>
      <c r="K1699" s="1" t="s">
        <v>1658</v>
      </c>
      <c r="L1699" s="1" t="s">
        <v>1658</v>
      </c>
      <c r="M1699" s="1" t="s">
        <v>1658</v>
      </c>
      <c r="N1699" s="1" t="s">
        <v>1658</v>
      </c>
      <c r="O1699" s="1" t="s">
        <v>1658</v>
      </c>
      <c r="P1699" s="1">
        <v>1</v>
      </c>
      <c r="Q1699" s="1" t="s">
        <v>1658</v>
      </c>
      <c r="R1699" s="1">
        <v>0</v>
      </c>
      <c r="S1699" s="1" t="s">
        <v>9242</v>
      </c>
      <c r="T1699" s="6"/>
      <c r="W1699" s="1" t="s">
        <v>9284</v>
      </c>
      <c r="X1699" s="1" t="str">
        <f>IF(COUNTIF('MyWells Drilling Comp'!F:F,E1699)=0,"Missing","Exist")</f>
        <v>Exist</v>
      </c>
    </row>
    <row r="1700" hidden="1" spans="1:24">
      <c r="A1700" s="1" t="s">
        <v>1652</v>
      </c>
      <c r="B1700" s="1" t="s">
        <v>90</v>
      </c>
      <c r="C1700" s="1" t="s">
        <v>9285</v>
      </c>
      <c r="D1700" s="1" t="s">
        <v>9286</v>
      </c>
      <c r="E1700" s="1" t="s">
        <v>1475</v>
      </c>
      <c r="F1700" s="1" t="s">
        <v>9287</v>
      </c>
      <c r="G1700" s="1">
        <v>1</v>
      </c>
      <c r="H1700" s="1" t="s">
        <v>1663</v>
      </c>
      <c r="I1700" s="1" t="s">
        <v>1657</v>
      </c>
      <c r="J1700" s="1" t="s">
        <v>1658</v>
      </c>
      <c r="K1700" s="1" t="s">
        <v>1658</v>
      </c>
      <c r="L1700" s="1" t="s">
        <v>1658</v>
      </c>
      <c r="M1700" s="1" t="s">
        <v>1658</v>
      </c>
      <c r="N1700" s="1" t="s">
        <v>1658</v>
      </c>
      <c r="O1700" s="1" t="s">
        <v>1658</v>
      </c>
      <c r="P1700" s="1">
        <v>1</v>
      </c>
      <c r="Q1700" s="1" t="s">
        <v>1658</v>
      </c>
      <c r="R1700" s="1">
        <v>0</v>
      </c>
      <c r="S1700" s="6" t="s">
        <v>9288</v>
      </c>
      <c r="T1700" s="6" t="s">
        <v>9288</v>
      </c>
      <c r="W1700" s="1" t="s">
        <v>9289</v>
      </c>
      <c r="X1700" s="1" t="str">
        <f>IF(COUNTIF('MyWells Drilling Comp'!F:F,E1700)=0,"Missing","Exist")</f>
        <v>Exist</v>
      </c>
    </row>
    <row r="1701" hidden="1" spans="1:24">
      <c r="A1701" s="1" t="s">
        <v>1652</v>
      </c>
      <c r="B1701" s="1" t="s">
        <v>90</v>
      </c>
      <c r="C1701" s="1" t="s">
        <v>9290</v>
      </c>
      <c r="D1701" s="1" t="s">
        <v>9286</v>
      </c>
      <c r="E1701" s="1" t="s">
        <v>1475</v>
      </c>
      <c r="F1701" s="1" t="s">
        <v>9291</v>
      </c>
      <c r="G1701" s="1">
        <v>1</v>
      </c>
      <c r="H1701" s="1" t="s">
        <v>1656</v>
      </c>
      <c r="I1701" s="1" t="s">
        <v>1657</v>
      </c>
      <c r="J1701" s="1" t="s">
        <v>1658</v>
      </c>
      <c r="K1701" s="1" t="s">
        <v>1658</v>
      </c>
      <c r="L1701" s="1" t="s">
        <v>1658</v>
      </c>
      <c r="M1701" s="1" t="s">
        <v>1658</v>
      </c>
      <c r="N1701" s="1" t="s">
        <v>1658</v>
      </c>
      <c r="O1701" s="1" t="s">
        <v>1658</v>
      </c>
      <c r="P1701" s="1">
        <v>1</v>
      </c>
      <c r="Q1701" s="1" t="s">
        <v>1658</v>
      </c>
      <c r="R1701" s="1">
        <v>0</v>
      </c>
      <c r="S1701" s="1" t="s">
        <v>9242</v>
      </c>
      <c r="T1701" s="6"/>
      <c r="W1701" s="1" t="s">
        <v>9292</v>
      </c>
      <c r="X1701" s="1" t="str">
        <f>IF(COUNTIF('MyWells Drilling Comp'!F:F,E1701)=0,"Missing","Exist")</f>
        <v>Exist</v>
      </c>
    </row>
    <row r="1702" hidden="1" spans="1:24">
      <c r="A1702" s="1" t="s">
        <v>5265</v>
      </c>
      <c r="B1702" s="1" t="s">
        <v>90</v>
      </c>
      <c r="C1702" s="1" t="s">
        <v>9293</v>
      </c>
      <c r="D1702" s="1" t="s">
        <v>9294</v>
      </c>
      <c r="E1702" s="1" t="s">
        <v>584</v>
      </c>
      <c r="F1702" s="7" t="s">
        <v>9295</v>
      </c>
      <c r="G1702" s="1">
        <v>1</v>
      </c>
      <c r="H1702" s="1" t="s">
        <v>1656</v>
      </c>
      <c r="I1702" s="1" t="s">
        <v>1657</v>
      </c>
      <c r="J1702" s="1" t="s">
        <v>1658</v>
      </c>
      <c r="K1702" s="1" t="s">
        <v>1658</v>
      </c>
      <c r="L1702" s="1" t="s">
        <v>1658</v>
      </c>
      <c r="M1702" s="1" t="s">
        <v>1658</v>
      </c>
      <c r="N1702" s="1" t="s">
        <v>1658</v>
      </c>
      <c r="O1702" s="1" t="s">
        <v>1658</v>
      </c>
      <c r="P1702" s="1">
        <v>1</v>
      </c>
      <c r="Q1702" s="1" t="s">
        <v>1658</v>
      </c>
      <c r="R1702" s="1">
        <v>0</v>
      </c>
      <c r="S1702" s="6" t="s">
        <v>9296</v>
      </c>
      <c r="T1702" s="6" t="s">
        <v>9296</v>
      </c>
      <c r="W1702" s="1" t="s">
        <v>9297</v>
      </c>
      <c r="X1702" s="1" t="str">
        <f>IF(COUNTIF('MyWells Drilling Comp'!F:F,E1702)=0,"Missing","Exist")</f>
        <v>Exist</v>
      </c>
    </row>
    <row r="1703" hidden="1" spans="1:24">
      <c r="A1703" s="1" t="s">
        <v>5265</v>
      </c>
      <c r="B1703" s="1" t="s">
        <v>90</v>
      </c>
      <c r="C1703" s="1" t="s">
        <v>9298</v>
      </c>
      <c r="D1703" s="1" t="s">
        <v>9294</v>
      </c>
      <c r="E1703" s="1" t="s">
        <v>584</v>
      </c>
      <c r="F1703" s="1" t="s">
        <v>9299</v>
      </c>
      <c r="G1703" s="1">
        <v>1</v>
      </c>
      <c r="H1703" s="1" t="s">
        <v>1663</v>
      </c>
      <c r="I1703" s="1" t="s">
        <v>1657</v>
      </c>
      <c r="J1703" s="1" t="s">
        <v>1658</v>
      </c>
      <c r="K1703" s="1" t="s">
        <v>1658</v>
      </c>
      <c r="L1703" s="1" t="s">
        <v>1658</v>
      </c>
      <c r="M1703" s="1" t="s">
        <v>1658</v>
      </c>
      <c r="N1703" s="1" t="s">
        <v>1658</v>
      </c>
      <c r="O1703" s="1" t="s">
        <v>1658</v>
      </c>
      <c r="P1703" s="1">
        <v>1</v>
      </c>
      <c r="Q1703" s="1" t="s">
        <v>1658</v>
      </c>
      <c r="R1703" s="1">
        <v>0</v>
      </c>
      <c r="S1703" s="6" t="s">
        <v>9300</v>
      </c>
      <c r="T1703" s="6" t="s">
        <v>9300</v>
      </c>
      <c r="W1703" s="1" t="s">
        <v>9301</v>
      </c>
      <c r="X1703" s="1" t="str">
        <f>IF(COUNTIF('MyWells Drilling Comp'!F:F,E1703)=0,"Missing","Exist")</f>
        <v>Exist</v>
      </c>
    </row>
    <row r="1704" hidden="1" spans="1:24">
      <c r="A1704" s="1" t="s">
        <v>5265</v>
      </c>
      <c r="B1704" s="1" t="s">
        <v>90</v>
      </c>
      <c r="C1704" s="1" t="s">
        <v>9302</v>
      </c>
      <c r="D1704" s="1" t="s">
        <v>9303</v>
      </c>
      <c r="E1704" s="1" t="s">
        <v>1353</v>
      </c>
      <c r="F1704" s="1" t="s">
        <v>9304</v>
      </c>
      <c r="G1704" s="1">
        <v>1</v>
      </c>
      <c r="H1704" s="1" t="s">
        <v>1656</v>
      </c>
      <c r="I1704" s="1" t="s">
        <v>1657</v>
      </c>
      <c r="J1704" s="1" t="s">
        <v>1658</v>
      </c>
      <c r="K1704" s="1" t="s">
        <v>1658</v>
      </c>
      <c r="L1704" s="1" t="s">
        <v>1658</v>
      </c>
      <c r="M1704" s="1" t="s">
        <v>1658</v>
      </c>
      <c r="N1704" s="1" t="s">
        <v>1658</v>
      </c>
      <c r="O1704" s="1" t="s">
        <v>1658</v>
      </c>
      <c r="P1704" s="1">
        <v>1</v>
      </c>
      <c r="Q1704" s="1" t="s">
        <v>1658</v>
      </c>
      <c r="R1704" s="1">
        <v>0</v>
      </c>
      <c r="S1704" s="6" t="s">
        <v>9305</v>
      </c>
      <c r="T1704" s="6" t="s">
        <v>9305</v>
      </c>
      <c r="W1704" s="1" t="s">
        <v>9306</v>
      </c>
      <c r="X1704" s="1" t="str">
        <f>IF(COUNTIF('MyWells Drilling Comp'!F:F,E1704)=0,"Missing","Exist")</f>
        <v>Exist</v>
      </c>
    </row>
    <row r="1705" hidden="1" spans="1:24">
      <c r="A1705" s="1" t="s">
        <v>5265</v>
      </c>
      <c r="B1705" s="1" t="s">
        <v>90</v>
      </c>
      <c r="C1705" s="1" t="s">
        <v>9307</v>
      </c>
      <c r="D1705" s="1" t="s">
        <v>9303</v>
      </c>
      <c r="E1705" s="1" t="s">
        <v>1353</v>
      </c>
      <c r="F1705" s="1" t="s">
        <v>9308</v>
      </c>
      <c r="G1705" s="1">
        <v>1</v>
      </c>
      <c r="H1705" s="1" t="s">
        <v>1663</v>
      </c>
      <c r="I1705" s="1" t="s">
        <v>1657</v>
      </c>
      <c r="J1705" s="1" t="s">
        <v>1658</v>
      </c>
      <c r="K1705" s="1" t="s">
        <v>1658</v>
      </c>
      <c r="L1705" s="1" t="s">
        <v>1658</v>
      </c>
      <c r="M1705" s="1" t="s">
        <v>1658</v>
      </c>
      <c r="N1705" s="1" t="s">
        <v>1658</v>
      </c>
      <c r="O1705" s="1" t="s">
        <v>1658</v>
      </c>
      <c r="P1705" s="1">
        <v>1</v>
      </c>
      <c r="Q1705" s="1" t="s">
        <v>1658</v>
      </c>
      <c r="R1705" s="1">
        <v>0</v>
      </c>
      <c r="S1705" s="6" t="s">
        <v>9309</v>
      </c>
      <c r="T1705" s="6" t="s">
        <v>9309</v>
      </c>
      <c r="W1705" s="1" t="s">
        <v>9310</v>
      </c>
      <c r="X1705" s="1" t="str">
        <f>IF(COUNTIF('MyWells Drilling Comp'!F:F,E1705)=0,"Missing","Exist")</f>
        <v>Exist</v>
      </c>
    </row>
    <row r="1706" hidden="1" spans="1:24">
      <c r="A1706" s="1" t="s">
        <v>5265</v>
      </c>
      <c r="B1706" s="1" t="s">
        <v>90</v>
      </c>
      <c r="C1706" s="1" t="s">
        <v>9311</v>
      </c>
      <c r="D1706" s="1" t="s">
        <v>9312</v>
      </c>
      <c r="E1706" s="1" t="s">
        <v>229</v>
      </c>
      <c r="F1706" s="1" t="s">
        <v>9313</v>
      </c>
      <c r="G1706" s="1">
        <v>1</v>
      </c>
      <c r="H1706" s="1" t="s">
        <v>1656</v>
      </c>
      <c r="I1706" s="1" t="s">
        <v>1657</v>
      </c>
      <c r="J1706" s="1" t="s">
        <v>1658</v>
      </c>
      <c r="K1706" s="1" t="s">
        <v>1658</v>
      </c>
      <c r="L1706" s="1" t="s">
        <v>1658</v>
      </c>
      <c r="M1706" s="1" t="s">
        <v>1658</v>
      </c>
      <c r="N1706" s="1" t="s">
        <v>1658</v>
      </c>
      <c r="O1706" s="1" t="s">
        <v>1658</v>
      </c>
      <c r="P1706" s="1">
        <v>1</v>
      </c>
      <c r="Q1706" s="1" t="s">
        <v>1658</v>
      </c>
      <c r="R1706" s="1">
        <v>0</v>
      </c>
      <c r="S1706" s="6" t="s">
        <v>9314</v>
      </c>
      <c r="T1706" s="6" t="s">
        <v>9314</v>
      </c>
      <c r="W1706" s="1" t="s">
        <v>9315</v>
      </c>
      <c r="X1706" s="1" t="str">
        <f>IF(COUNTIF('MyWells Drilling Comp'!F:F,E1706)=0,"Missing","Exist")</f>
        <v>Exist</v>
      </c>
    </row>
    <row r="1707" hidden="1" spans="1:24">
      <c r="A1707" s="1" t="s">
        <v>5265</v>
      </c>
      <c r="B1707" s="1" t="s">
        <v>90</v>
      </c>
      <c r="C1707" s="1" t="s">
        <v>9316</v>
      </c>
      <c r="D1707" s="1" t="s">
        <v>9312</v>
      </c>
      <c r="E1707" s="1" t="s">
        <v>229</v>
      </c>
      <c r="F1707" s="1" t="s">
        <v>9317</v>
      </c>
      <c r="G1707" s="1">
        <v>1</v>
      </c>
      <c r="H1707" s="1" t="s">
        <v>1663</v>
      </c>
      <c r="I1707" s="1" t="s">
        <v>1657</v>
      </c>
      <c r="J1707" s="1" t="s">
        <v>1658</v>
      </c>
      <c r="K1707" s="1" t="s">
        <v>1658</v>
      </c>
      <c r="L1707" s="1" t="s">
        <v>1658</v>
      </c>
      <c r="M1707" s="1" t="s">
        <v>1658</v>
      </c>
      <c r="N1707" s="1" t="s">
        <v>1658</v>
      </c>
      <c r="O1707" s="1" t="s">
        <v>1658</v>
      </c>
      <c r="P1707" s="1">
        <v>1</v>
      </c>
      <c r="Q1707" s="1" t="s">
        <v>1658</v>
      </c>
      <c r="R1707" s="1">
        <v>0</v>
      </c>
      <c r="S1707" s="6" t="s">
        <v>9318</v>
      </c>
      <c r="T1707" s="6" t="s">
        <v>9318</v>
      </c>
      <c r="W1707" s="1" t="s">
        <v>9319</v>
      </c>
      <c r="X1707" s="1" t="str">
        <f>IF(COUNTIF('MyWells Drilling Comp'!F:F,E1707)=0,"Missing","Exist")</f>
        <v>Exist</v>
      </c>
    </row>
    <row r="1708" hidden="1" spans="1:24">
      <c r="A1708" s="1" t="s">
        <v>1652</v>
      </c>
      <c r="B1708" s="1" t="s">
        <v>90</v>
      </c>
      <c r="C1708" s="1" t="s">
        <v>9320</v>
      </c>
      <c r="D1708" s="1" t="s">
        <v>9321</v>
      </c>
      <c r="E1708" s="1" t="s">
        <v>1395</v>
      </c>
      <c r="F1708" s="1" t="s">
        <v>9322</v>
      </c>
      <c r="G1708" s="1">
        <v>1</v>
      </c>
      <c r="H1708" s="1" t="s">
        <v>1656</v>
      </c>
      <c r="I1708" s="1" t="s">
        <v>1657</v>
      </c>
      <c r="J1708" s="1" t="s">
        <v>1658</v>
      </c>
      <c r="K1708" s="1" t="s">
        <v>1658</v>
      </c>
      <c r="L1708" s="1" t="s">
        <v>1658</v>
      </c>
      <c r="M1708" s="1" t="s">
        <v>1658</v>
      </c>
      <c r="N1708" s="1" t="s">
        <v>1658</v>
      </c>
      <c r="O1708" s="1" t="s">
        <v>1658</v>
      </c>
      <c r="P1708" s="1">
        <v>1</v>
      </c>
      <c r="Q1708" s="1" t="s">
        <v>1658</v>
      </c>
      <c r="R1708" s="1">
        <v>0</v>
      </c>
      <c r="S1708" s="6" t="s">
        <v>9323</v>
      </c>
      <c r="T1708" s="6" t="s">
        <v>9323</v>
      </c>
      <c r="W1708" s="1" t="s">
        <v>9324</v>
      </c>
      <c r="X1708" s="1" t="str">
        <f>IF(COUNTIF('MyWells Drilling Comp'!F:F,E1708)=0,"Missing","Exist")</f>
        <v>Exist</v>
      </c>
    </row>
    <row r="1709" hidden="1" spans="1:24">
      <c r="A1709" s="1" t="s">
        <v>1652</v>
      </c>
      <c r="B1709" s="1" t="s">
        <v>90</v>
      </c>
      <c r="C1709" s="1" t="s">
        <v>9325</v>
      </c>
      <c r="D1709" s="1" t="s">
        <v>9321</v>
      </c>
      <c r="E1709" s="1" t="s">
        <v>1395</v>
      </c>
      <c r="F1709" s="1" t="s">
        <v>9326</v>
      </c>
      <c r="G1709" s="1">
        <v>1</v>
      </c>
      <c r="H1709" s="1" t="s">
        <v>1663</v>
      </c>
      <c r="I1709" s="1" t="s">
        <v>1657</v>
      </c>
      <c r="J1709" s="1" t="s">
        <v>1658</v>
      </c>
      <c r="K1709" s="1" t="s">
        <v>1658</v>
      </c>
      <c r="L1709" s="1" t="s">
        <v>1658</v>
      </c>
      <c r="M1709" s="1" t="s">
        <v>1658</v>
      </c>
      <c r="N1709" s="1" t="s">
        <v>1658</v>
      </c>
      <c r="O1709" s="1" t="s">
        <v>1658</v>
      </c>
      <c r="P1709" s="1">
        <v>1</v>
      </c>
      <c r="Q1709" s="1" t="s">
        <v>1658</v>
      </c>
      <c r="R1709" s="1">
        <v>0</v>
      </c>
      <c r="S1709" s="6" t="s">
        <v>9327</v>
      </c>
      <c r="T1709" s="6" t="s">
        <v>9327</v>
      </c>
      <c r="W1709" s="1" t="s">
        <v>9328</v>
      </c>
      <c r="X1709" s="1" t="str">
        <f>IF(COUNTIF('MyWells Drilling Comp'!F:F,E1709)=0,"Missing","Exist")</f>
        <v>Exist</v>
      </c>
    </row>
    <row r="1710" hidden="1" spans="1:24">
      <c r="A1710" s="1" t="s">
        <v>5265</v>
      </c>
      <c r="B1710" s="1" t="s">
        <v>90</v>
      </c>
      <c r="C1710" s="1" t="s">
        <v>9329</v>
      </c>
      <c r="D1710" s="1" t="s">
        <v>9330</v>
      </c>
      <c r="E1710" s="1" t="s">
        <v>1394</v>
      </c>
      <c r="F1710" s="1" t="s">
        <v>9331</v>
      </c>
      <c r="G1710" s="1">
        <v>1</v>
      </c>
      <c r="H1710" s="1" t="s">
        <v>1656</v>
      </c>
      <c r="I1710" s="1" t="s">
        <v>1657</v>
      </c>
      <c r="J1710" s="1" t="s">
        <v>1658</v>
      </c>
      <c r="K1710" s="1" t="s">
        <v>1658</v>
      </c>
      <c r="L1710" s="1" t="s">
        <v>1658</v>
      </c>
      <c r="M1710" s="1" t="s">
        <v>1658</v>
      </c>
      <c r="N1710" s="1" t="s">
        <v>1658</v>
      </c>
      <c r="O1710" s="1" t="s">
        <v>1658</v>
      </c>
      <c r="P1710" s="1">
        <v>1</v>
      </c>
      <c r="Q1710" s="1" t="s">
        <v>1658</v>
      </c>
      <c r="R1710" s="1">
        <v>0</v>
      </c>
      <c r="S1710" s="6" t="s">
        <v>9332</v>
      </c>
      <c r="T1710" s="6" t="s">
        <v>9332</v>
      </c>
      <c r="W1710" s="1" t="s">
        <v>9333</v>
      </c>
      <c r="X1710" s="1" t="str">
        <f>IF(COUNTIF('MyWells Drilling Comp'!F:F,E1710)=0,"Missing","Exist")</f>
        <v>Exist</v>
      </c>
    </row>
    <row r="1711" hidden="1" spans="1:24">
      <c r="A1711" s="1" t="s">
        <v>5265</v>
      </c>
      <c r="B1711" s="1" t="s">
        <v>90</v>
      </c>
      <c r="C1711" s="1" t="s">
        <v>9334</v>
      </c>
      <c r="D1711" s="1" t="s">
        <v>9330</v>
      </c>
      <c r="E1711" s="1" t="s">
        <v>1394</v>
      </c>
      <c r="F1711" s="7" t="s">
        <v>9335</v>
      </c>
      <c r="G1711" s="1">
        <v>1</v>
      </c>
      <c r="H1711" s="1" t="s">
        <v>1663</v>
      </c>
      <c r="I1711" s="1" t="s">
        <v>1657</v>
      </c>
      <c r="J1711" s="1" t="s">
        <v>1658</v>
      </c>
      <c r="K1711" s="1" t="s">
        <v>1658</v>
      </c>
      <c r="L1711" s="1" t="s">
        <v>1658</v>
      </c>
      <c r="M1711" s="1" t="s">
        <v>1658</v>
      </c>
      <c r="N1711" s="1" t="s">
        <v>1658</v>
      </c>
      <c r="O1711" s="1" t="s">
        <v>1658</v>
      </c>
      <c r="P1711" s="1">
        <v>1</v>
      </c>
      <c r="Q1711" s="1" t="s">
        <v>1658</v>
      </c>
      <c r="R1711" s="1">
        <v>0</v>
      </c>
      <c r="S1711" s="6" t="s">
        <v>9336</v>
      </c>
      <c r="T1711" s="6" t="s">
        <v>9336</v>
      </c>
      <c r="W1711" s="1" t="s">
        <v>9337</v>
      </c>
      <c r="X1711" s="1" t="str">
        <f>IF(COUNTIF('MyWells Drilling Comp'!F:F,E1711)=0,"Missing","Exist")</f>
        <v>Exist</v>
      </c>
    </row>
    <row r="1712" hidden="1" spans="1:24">
      <c r="A1712" s="1" t="s">
        <v>5265</v>
      </c>
      <c r="B1712" s="1" t="s">
        <v>90</v>
      </c>
      <c r="C1712" s="1" t="s">
        <v>9338</v>
      </c>
      <c r="D1712" s="1" t="s">
        <v>9339</v>
      </c>
      <c r="E1712" s="1" t="s">
        <v>194</v>
      </c>
      <c r="F1712" s="1" t="s">
        <v>9340</v>
      </c>
      <c r="G1712" s="1">
        <v>1</v>
      </c>
      <c r="H1712" s="1" t="s">
        <v>1656</v>
      </c>
      <c r="I1712" s="1" t="s">
        <v>1657</v>
      </c>
      <c r="J1712" s="1" t="s">
        <v>1658</v>
      </c>
      <c r="K1712" s="1" t="s">
        <v>1658</v>
      </c>
      <c r="L1712" s="1" t="s">
        <v>1658</v>
      </c>
      <c r="M1712" s="1" t="s">
        <v>1658</v>
      </c>
      <c r="N1712" s="1" t="s">
        <v>1658</v>
      </c>
      <c r="O1712" s="1" t="s">
        <v>1658</v>
      </c>
      <c r="P1712" s="1">
        <v>1</v>
      </c>
      <c r="Q1712" s="1" t="s">
        <v>1658</v>
      </c>
      <c r="R1712" s="1">
        <v>0</v>
      </c>
      <c r="S1712" s="1" t="s">
        <v>9341</v>
      </c>
      <c r="T1712" s="6"/>
      <c r="W1712" s="1" t="s">
        <v>9342</v>
      </c>
      <c r="X1712" s="1" t="str">
        <f>IF(COUNTIF('MyWells Drilling Comp'!F:F,E1712)=0,"Missing","Exist")</f>
        <v>Exist</v>
      </c>
    </row>
    <row r="1713" hidden="1" spans="1:24">
      <c r="A1713" s="1" t="s">
        <v>5265</v>
      </c>
      <c r="B1713" s="1" t="s">
        <v>90</v>
      </c>
      <c r="C1713" s="1" t="s">
        <v>9343</v>
      </c>
      <c r="D1713" s="1" t="s">
        <v>9339</v>
      </c>
      <c r="E1713" s="1" t="s">
        <v>194</v>
      </c>
      <c r="F1713" s="1" t="s">
        <v>9344</v>
      </c>
      <c r="G1713" s="1">
        <v>1</v>
      </c>
      <c r="H1713" s="1" t="s">
        <v>1663</v>
      </c>
      <c r="I1713" s="1" t="s">
        <v>1657</v>
      </c>
      <c r="J1713" s="1" t="s">
        <v>1658</v>
      </c>
      <c r="K1713" s="1" t="s">
        <v>1658</v>
      </c>
      <c r="L1713" s="1" t="s">
        <v>1658</v>
      </c>
      <c r="M1713" s="1" t="s">
        <v>1658</v>
      </c>
      <c r="N1713" s="1" t="s">
        <v>1658</v>
      </c>
      <c r="O1713" s="1" t="s">
        <v>1658</v>
      </c>
      <c r="P1713" s="1">
        <v>1</v>
      </c>
      <c r="Q1713" s="1" t="s">
        <v>1658</v>
      </c>
      <c r="R1713" s="1">
        <v>0</v>
      </c>
      <c r="S1713" s="6" t="s">
        <v>9345</v>
      </c>
      <c r="T1713" s="6" t="s">
        <v>9345</v>
      </c>
      <c r="W1713" s="1" t="s">
        <v>9346</v>
      </c>
      <c r="X1713" s="1" t="str">
        <f>IF(COUNTIF('MyWells Drilling Comp'!F:F,E1713)=0,"Missing","Exist")</f>
        <v>Exist</v>
      </c>
    </row>
    <row r="1714" hidden="1" spans="1:24">
      <c r="A1714" s="1" t="s">
        <v>1652</v>
      </c>
      <c r="B1714" s="1" t="s">
        <v>90</v>
      </c>
      <c r="C1714" s="1" t="s">
        <v>9347</v>
      </c>
      <c r="D1714" s="1" t="s">
        <v>9348</v>
      </c>
      <c r="E1714" s="1" t="s">
        <v>1286</v>
      </c>
      <c r="F1714" s="1" t="s">
        <v>9349</v>
      </c>
      <c r="G1714" s="1">
        <v>1</v>
      </c>
      <c r="H1714" s="1" t="s">
        <v>1656</v>
      </c>
      <c r="I1714" s="1" t="s">
        <v>1657</v>
      </c>
      <c r="J1714" s="1" t="s">
        <v>1658</v>
      </c>
      <c r="K1714" s="1" t="s">
        <v>1658</v>
      </c>
      <c r="L1714" s="1" t="s">
        <v>1658</v>
      </c>
      <c r="M1714" s="1" t="s">
        <v>1658</v>
      </c>
      <c r="N1714" s="1" t="s">
        <v>1658</v>
      </c>
      <c r="O1714" s="1" t="s">
        <v>1658</v>
      </c>
      <c r="P1714" s="1">
        <v>1</v>
      </c>
      <c r="Q1714" s="1" t="s">
        <v>1658</v>
      </c>
      <c r="R1714" s="1">
        <v>0</v>
      </c>
      <c r="S1714" s="1" t="s">
        <v>9350</v>
      </c>
      <c r="T1714" s="6"/>
      <c r="W1714" s="1" t="s">
        <v>9351</v>
      </c>
      <c r="X1714" s="1" t="str">
        <f>IF(COUNTIF('MyWells Drilling Comp'!F:F,E1714)=0,"Missing","Exist")</f>
        <v>Exist</v>
      </c>
    </row>
    <row r="1715" hidden="1" spans="1:24">
      <c r="A1715" s="1" t="s">
        <v>1652</v>
      </c>
      <c r="B1715" s="1" t="s">
        <v>90</v>
      </c>
      <c r="C1715" s="1" t="s">
        <v>9352</v>
      </c>
      <c r="D1715" s="1" t="s">
        <v>9348</v>
      </c>
      <c r="E1715" s="1" t="s">
        <v>1286</v>
      </c>
      <c r="F1715" s="1" t="s">
        <v>9353</v>
      </c>
      <c r="G1715" s="1">
        <v>1</v>
      </c>
      <c r="H1715" s="1" t="s">
        <v>1663</v>
      </c>
      <c r="I1715" s="1" t="s">
        <v>1657</v>
      </c>
      <c r="J1715" s="1" t="s">
        <v>1658</v>
      </c>
      <c r="K1715" s="1" t="s">
        <v>1658</v>
      </c>
      <c r="L1715" s="1" t="s">
        <v>1658</v>
      </c>
      <c r="M1715" s="1" t="s">
        <v>1658</v>
      </c>
      <c r="N1715" s="1" t="s">
        <v>1658</v>
      </c>
      <c r="O1715" s="1" t="s">
        <v>1658</v>
      </c>
      <c r="P1715" s="1">
        <v>1</v>
      </c>
      <c r="Q1715" s="1" t="s">
        <v>1658</v>
      </c>
      <c r="R1715" s="1">
        <v>0</v>
      </c>
      <c r="S1715" s="6" t="s">
        <v>9354</v>
      </c>
      <c r="T1715" s="6" t="s">
        <v>9354</v>
      </c>
      <c r="W1715" s="1" t="s">
        <v>9355</v>
      </c>
      <c r="X1715" s="1" t="str">
        <f>IF(COUNTIF('MyWells Drilling Comp'!F:F,E1715)=0,"Missing","Exist")</f>
        <v>Exist</v>
      </c>
    </row>
    <row r="1716" hidden="1" spans="1:24">
      <c r="A1716" s="1" t="s">
        <v>1652</v>
      </c>
      <c r="B1716" s="1" t="s">
        <v>90</v>
      </c>
      <c r="C1716" s="1" t="s">
        <v>9356</v>
      </c>
      <c r="D1716" s="1" t="s">
        <v>9357</v>
      </c>
      <c r="E1716" s="1" t="s">
        <v>1611</v>
      </c>
      <c r="F1716" s="1" t="s">
        <v>9358</v>
      </c>
      <c r="G1716" s="1">
        <v>1</v>
      </c>
      <c r="H1716" s="1" t="s">
        <v>1656</v>
      </c>
      <c r="I1716" s="1" t="s">
        <v>1657</v>
      </c>
      <c r="J1716" s="1" t="s">
        <v>1658</v>
      </c>
      <c r="K1716" s="1" t="s">
        <v>1658</v>
      </c>
      <c r="L1716" s="1" t="s">
        <v>1658</v>
      </c>
      <c r="M1716" s="1" t="s">
        <v>1658</v>
      </c>
      <c r="N1716" s="1" t="s">
        <v>1658</v>
      </c>
      <c r="O1716" s="1" t="s">
        <v>1658</v>
      </c>
      <c r="P1716" s="1">
        <v>1</v>
      </c>
      <c r="Q1716" s="1" t="s">
        <v>1658</v>
      </c>
      <c r="R1716" s="1">
        <v>0</v>
      </c>
      <c r="S1716" s="6" t="s">
        <v>9359</v>
      </c>
      <c r="T1716" s="6" t="s">
        <v>9359</v>
      </c>
      <c r="W1716" s="1" t="s">
        <v>9360</v>
      </c>
      <c r="X1716" s="1" t="str">
        <f>IF(COUNTIF('MyWells Drilling Comp'!F:F,E1716)=0,"Missing","Exist")</f>
        <v>Exist</v>
      </c>
    </row>
    <row r="1717" hidden="1" spans="1:24">
      <c r="A1717" s="1" t="s">
        <v>1652</v>
      </c>
      <c r="B1717" s="1" t="s">
        <v>90</v>
      </c>
      <c r="C1717" s="1" t="s">
        <v>9361</v>
      </c>
      <c r="D1717" s="1" t="s">
        <v>9357</v>
      </c>
      <c r="E1717" s="1" t="s">
        <v>1611</v>
      </c>
      <c r="F1717" s="1" t="s">
        <v>9362</v>
      </c>
      <c r="G1717" s="1">
        <v>1</v>
      </c>
      <c r="H1717" s="1" t="s">
        <v>1663</v>
      </c>
      <c r="I1717" s="1" t="s">
        <v>1657</v>
      </c>
      <c r="J1717" s="1" t="s">
        <v>1658</v>
      </c>
      <c r="K1717" s="1" t="s">
        <v>1658</v>
      </c>
      <c r="L1717" s="1" t="s">
        <v>1658</v>
      </c>
      <c r="M1717" s="1" t="s">
        <v>1658</v>
      </c>
      <c r="N1717" s="1" t="s">
        <v>1658</v>
      </c>
      <c r="O1717" s="1" t="s">
        <v>1658</v>
      </c>
      <c r="P1717" s="1">
        <v>1</v>
      </c>
      <c r="Q1717" s="1" t="s">
        <v>1658</v>
      </c>
      <c r="R1717" s="1">
        <v>0</v>
      </c>
      <c r="S1717" s="6" t="s">
        <v>9363</v>
      </c>
      <c r="T1717" s="6" t="s">
        <v>9363</v>
      </c>
      <c r="W1717" s="1" t="s">
        <v>9364</v>
      </c>
      <c r="X1717" s="1" t="str">
        <f>IF(COUNTIF('MyWells Drilling Comp'!F:F,E1717)=0,"Missing","Exist")</f>
        <v>Exist</v>
      </c>
    </row>
    <row r="1718" hidden="1" spans="1:24">
      <c r="A1718" s="1" t="s">
        <v>1652</v>
      </c>
      <c r="B1718" s="1" t="s">
        <v>90</v>
      </c>
      <c r="C1718" s="1" t="s">
        <v>9365</v>
      </c>
      <c r="D1718" s="1" t="s">
        <v>9366</v>
      </c>
      <c r="E1718" s="1" t="s">
        <v>9367</v>
      </c>
      <c r="F1718" s="1" t="s">
        <v>9368</v>
      </c>
      <c r="G1718" s="1">
        <v>1</v>
      </c>
      <c r="H1718" s="1" t="s">
        <v>1656</v>
      </c>
      <c r="I1718" s="1" t="s">
        <v>1657</v>
      </c>
      <c r="J1718" s="1" t="s">
        <v>1658</v>
      </c>
      <c r="K1718" s="1" t="s">
        <v>1658</v>
      </c>
      <c r="L1718" s="1" t="s">
        <v>1658</v>
      </c>
      <c r="M1718" s="1" t="s">
        <v>1658</v>
      </c>
      <c r="N1718" s="1" t="s">
        <v>1658</v>
      </c>
      <c r="O1718" s="1" t="s">
        <v>1658</v>
      </c>
      <c r="P1718" s="1">
        <v>1</v>
      </c>
      <c r="Q1718" s="1" t="s">
        <v>1658</v>
      </c>
      <c r="R1718" s="1">
        <v>0</v>
      </c>
      <c r="S1718" s="6" t="s">
        <v>9369</v>
      </c>
      <c r="T1718" s="6" t="s">
        <v>9369</v>
      </c>
      <c r="W1718" s="1" t="s">
        <v>9370</v>
      </c>
      <c r="X1718" s="1" t="str">
        <f>IF(COUNTIF('MyWells Drilling Comp'!F:F,E1718)=0,"Missing","Exist")</f>
        <v>Missing</v>
      </c>
    </row>
    <row r="1719" spans="1:24">
      <c r="A1719" s="1" t="s">
        <v>1652</v>
      </c>
      <c r="B1719" s="1" t="s">
        <v>90</v>
      </c>
      <c r="C1719" s="1" t="s">
        <v>9371</v>
      </c>
      <c r="D1719" s="1" t="s">
        <v>9366</v>
      </c>
      <c r="E1719" s="1" t="s">
        <v>9367</v>
      </c>
      <c r="F1719" s="1" t="s">
        <v>9372</v>
      </c>
      <c r="G1719" s="1">
        <v>1</v>
      </c>
      <c r="H1719" s="1" t="s">
        <v>1663</v>
      </c>
      <c r="I1719" s="1" t="s">
        <v>1657</v>
      </c>
      <c r="J1719" s="1" t="s">
        <v>1658</v>
      </c>
      <c r="K1719" s="1" t="s">
        <v>1658</v>
      </c>
      <c r="L1719" s="1" t="s">
        <v>1658</v>
      </c>
      <c r="M1719" s="1" t="s">
        <v>1658</v>
      </c>
      <c r="N1719" s="1" t="s">
        <v>1658</v>
      </c>
      <c r="O1719" s="1" t="s">
        <v>1658</v>
      </c>
      <c r="P1719" s="1">
        <v>1</v>
      </c>
      <c r="Q1719" s="1" t="s">
        <v>1658</v>
      </c>
      <c r="R1719" s="1">
        <v>0</v>
      </c>
      <c r="S1719" s="1" t="s">
        <v>9373</v>
      </c>
      <c r="T1719" s="6"/>
      <c r="W1719" s="1" t="s">
        <v>9374</v>
      </c>
      <c r="X1719" s="1" t="str">
        <f>IF(COUNTIF('MyWells Drilling Comp'!F:F,E1719)=0,"Missing","Exist")</f>
        <v>Missing</v>
      </c>
    </row>
    <row r="1720" hidden="1" spans="1:24">
      <c r="A1720" s="1" t="s">
        <v>1652</v>
      </c>
      <c r="B1720" s="1" t="s">
        <v>90</v>
      </c>
      <c r="C1720" s="1" t="s">
        <v>9375</v>
      </c>
      <c r="D1720" s="1" t="s">
        <v>9376</v>
      </c>
      <c r="E1720" s="1" t="s">
        <v>768</v>
      </c>
      <c r="F1720" s="1" t="s">
        <v>9377</v>
      </c>
      <c r="G1720" s="1">
        <v>1</v>
      </c>
      <c r="H1720" s="1" t="s">
        <v>1663</v>
      </c>
      <c r="I1720" s="1" t="s">
        <v>1657</v>
      </c>
      <c r="J1720" s="1" t="s">
        <v>1658</v>
      </c>
      <c r="K1720" s="1" t="s">
        <v>1658</v>
      </c>
      <c r="L1720" s="1" t="s">
        <v>1658</v>
      </c>
      <c r="M1720" s="1" t="s">
        <v>1658</v>
      </c>
      <c r="N1720" s="1" t="s">
        <v>1658</v>
      </c>
      <c r="O1720" s="1" t="s">
        <v>1658</v>
      </c>
      <c r="P1720" s="1">
        <v>1</v>
      </c>
      <c r="Q1720" s="1" t="s">
        <v>1658</v>
      </c>
      <c r="R1720" s="1">
        <v>0</v>
      </c>
      <c r="S1720" s="1" t="s">
        <v>9378</v>
      </c>
      <c r="T1720" s="6"/>
      <c r="W1720" s="1" t="s">
        <v>9379</v>
      </c>
      <c r="X1720" s="1" t="str">
        <f>IF(COUNTIF('MyWells Drilling Comp'!F:F,E1720)=0,"Missing","Exist")</f>
        <v>Exist</v>
      </c>
    </row>
    <row r="1721" hidden="1" spans="1:24">
      <c r="A1721" s="1" t="s">
        <v>1652</v>
      </c>
      <c r="B1721" s="1" t="s">
        <v>90</v>
      </c>
      <c r="C1721" s="1" t="s">
        <v>9380</v>
      </c>
      <c r="D1721" s="1" t="s">
        <v>9376</v>
      </c>
      <c r="E1721" s="1" t="s">
        <v>768</v>
      </c>
      <c r="F1721" s="1" t="s">
        <v>9381</v>
      </c>
      <c r="G1721" s="1">
        <v>1</v>
      </c>
      <c r="H1721" s="1" t="s">
        <v>1656</v>
      </c>
      <c r="I1721" s="1" t="s">
        <v>1657</v>
      </c>
      <c r="J1721" s="1" t="s">
        <v>1658</v>
      </c>
      <c r="K1721" s="1" t="s">
        <v>1658</v>
      </c>
      <c r="L1721" s="1" t="s">
        <v>1658</v>
      </c>
      <c r="M1721" s="1" t="s">
        <v>1658</v>
      </c>
      <c r="N1721" s="1" t="s">
        <v>1658</v>
      </c>
      <c r="O1721" s="1" t="s">
        <v>1658</v>
      </c>
      <c r="P1721" s="1">
        <v>1</v>
      </c>
      <c r="Q1721" s="1" t="s">
        <v>1658</v>
      </c>
      <c r="R1721" s="1">
        <v>0</v>
      </c>
      <c r="S1721" s="6" t="s">
        <v>9382</v>
      </c>
      <c r="T1721" s="6" t="s">
        <v>9382</v>
      </c>
      <c r="W1721" s="1" t="s">
        <v>9383</v>
      </c>
      <c r="X1721" s="1" t="str">
        <f>IF(COUNTIF('MyWells Drilling Comp'!F:F,E1721)=0,"Missing","Exist")</f>
        <v>Exist</v>
      </c>
    </row>
    <row r="1722" hidden="1" spans="1:24">
      <c r="A1722" s="1" t="s">
        <v>1652</v>
      </c>
      <c r="B1722" s="1" t="s">
        <v>90</v>
      </c>
      <c r="C1722" s="1" t="s">
        <v>9384</v>
      </c>
      <c r="D1722" s="1" t="s">
        <v>9385</v>
      </c>
      <c r="E1722" s="1" t="s">
        <v>9386</v>
      </c>
      <c r="F1722" s="1" t="s">
        <v>9387</v>
      </c>
      <c r="G1722" s="1">
        <v>1</v>
      </c>
      <c r="H1722" s="1" t="s">
        <v>1656</v>
      </c>
      <c r="I1722" s="1" t="s">
        <v>1657</v>
      </c>
      <c r="J1722" s="1" t="s">
        <v>1658</v>
      </c>
      <c r="K1722" s="1" t="s">
        <v>1658</v>
      </c>
      <c r="L1722" s="1" t="s">
        <v>1658</v>
      </c>
      <c r="M1722" s="1" t="s">
        <v>1658</v>
      </c>
      <c r="N1722" s="1" t="s">
        <v>1658</v>
      </c>
      <c r="O1722" s="1" t="s">
        <v>1658</v>
      </c>
      <c r="P1722" s="1">
        <v>1</v>
      </c>
      <c r="Q1722" s="1" t="s">
        <v>1658</v>
      </c>
      <c r="R1722" s="1">
        <v>0</v>
      </c>
      <c r="S1722" s="6" t="s">
        <v>9388</v>
      </c>
      <c r="T1722" s="6" t="s">
        <v>9388</v>
      </c>
      <c r="W1722" s="1" t="s">
        <v>9389</v>
      </c>
      <c r="X1722" s="1" t="str">
        <f>IF(COUNTIF('MyWells Drilling Comp'!F:F,E1722)=0,"Missing","Exist")</f>
        <v>Missing</v>
      </c>
    </row>
    <row r="1723" spans="1:24">
      <c r="A1723" s="1" t="s">
        <v>1652</v>
      </c>
      <c r="B1723" s="1" t="s">
        <v>90</v>
      </c>
      <c r="C1723" s="1" t="s">
        <v>9390</v>
      </c>
      <c r="D1723" s="1" t="s">
        <v>9385</v>
      </c>
      <c r="E1723" s="1" t="s">
        <v>9386</v>
      </c>
      <c r="F1723" s="1" t="s">
        <v>9391</v>
      </c>
      <c r="G1723" s="1">
        <v>1</v>
      </c>
      <c r="H1723" s="1" t="s">
        <v>1663</v>
      </c>
      <c r="I1723" s="1" t="s">
        <v>1657</v>
      </c>
      <c r="J1723" s="1" t="s">
        <v>1658</v>
      </c>
      <c r="K1723" s="1" t="s">
        <v>1658</v>
      </c>
      <c r="L1723" s="1" t="s">
        <v>1658</v>
      </c>
      <c r="M1723" s="1" t="s">
        <v>1658</v>
      </c>
      <c r="N1723" s="1" t="s">
        <v>1658</v>
      </c>
      <c r="O1723" s="1" t="s">
        <v>1658</v>
      </c>
      <c r="P1723" s="1">
        <v>1</v>
      </c>
      <c r="Q1723" s="1" t="s">
        <v>1658</v>
      </c>
      <c r="R1723" s="1">
        <v>0</v>
      </c>
      <c r="S1723" s="1" t="s">
        <v>9392</v>
      </c>
      <c r="T1723" s="6"/>
      <c r="W1723" s="1" t="s">
        <v>9393</v>
      </c>
      <c r="X1723" s="1" t="str">
        <f>IF(COUNTIF('MyWells Drilling Comp'!F:F,E1723)=0,"Missing","Exist")</f>
        <v>Missing</v>
      </c>
    </row>
    <row r="1724" hidden="1" spans="1:24">
      <c r="A1724" s="1" t="s">
        <v>5265</v>
      </c>
      <c r="B1724" s="1" t="s">
        <v>90</v>
      </c>
      <c r="C1724" s="1" t="s">
        <v>9394</v>
      </c>
      <c r="D1724" s="1" t="s">
        <v>9395</v>
      </c>
      <c r="E1724" s="1" t="s">
        <v>766</v>
      </c>
      <c r="F1724" s="1" t="s">
        <v>9396</v>
      </c>
      <c r="G1724" s="1">
        <v>1</v>
      </c>
      <c r="H1724" s="1" t="s">
        <v>1656</v>
      </c>
      <c r="I1724" s="1" t="s">
        <v>1657</v>
      </c>
      <c r="J1724" s="1" t="s">
        <v>1658</v>
      </c>
      <c r="K1724" s="1" t="s">
        <v>1658</v>
      </c>
      <c r="L1724" s="1" t="s">
        <v>1658</v>
      </c>
      <c r="M1724" s="1" t="s">
        <v>1658</v>
      </c>
      <c r="N1724" s="1" t="s">
        <v>1658</v>
      </c>
      <c r="O1724" s="1" t="s">
        <v>1658</v>
      </c>
      <c r="P1724" s="1">
        <v>1</v>
      </c>
      <c r="Q1724" s="1" t="s">
        <v>1658</v>
      </c>
      <c r="R1724" s="1">
        <v>0</v>
      </c>
      <c r="S1724" s="6" t="s">
        <v>8667</v>
      </c>
      <c r="T1724" s="6" t="s">
        <v>8667</v>
      </c>
      <c r="W1724" s="1" t="s">
        <v>9397</v>
      </c>
      <c r="X1724" s="1" t="str">
        <f>IF(COUNTIF('MyWells Drilling Comp'!F:F,E1724)=0,"Missing","Exist")</f>
        <v>Exist</v>
      </c>
    </row>
    <row r="1725" hidden="1" spans="1:24">
      <c r="A1725" s="1" t="s">
        <v>5265</v>
      </c>
      <c r="B1725" s="1" t="s">
        <v>90</v>
      </c>
      <c r="C1725" s="1" t="s">
        <v>9398</v>
      </c>
      <c r="D1725" s="1" t="s">
        <v>9395</v>
      </c>
      <c r="E1725" s="1" t="s">
        <v>766</v>
      </c>
      <c r="F1725" s="1" t="s">
        <v>9399</v>
      </c>
      <c r="G1725" s="1">
        <v>1</v>
      </c>
      <c r="H1725" s="1" t="s">
        <v>1663</v>
      </c>
      <c r="I1725" s="1" t="s">
        <v>1657</v>
      </c>
      <c r="J1725" s="1" t="s">
        <v>1658</v>
      </c>
      <c r="K1725" s="1" t="s">
        <v>1658</v>
      </c>
      <c r="L1725" s="1" t="s">
        <v>1658</v>
      </c>
      <c r="M1725" s="1" t="s">
        <v>1658</v>
      </c>
      <c r="N1725" s="1" t="s">
        <v>1658</v>
      </c>
      <c r="O1725" s="1" t="s">
        <v>1658</v>
      </c>
      <c r="P1725" s="1">
        <v>1</v>
      </c>
      <c r="Q1725" s="1" t="s">
        <v>1658</v>
      </c>
      <c r="R1725" s="1">
        <v>0</v>
      </c>
      <c r="S1725" s="1" t="s">
        <v>8663</v>
      </c>
      <c r="T1725" s="6"/>
      <c r="W1725" s="1" t="s">
        <v>9400</v>
      </c>
      <c r="X1725" s="1" t="str">
        <f>IF(COUNTIF('MyWells Drilling Comp'!F:F,E1725)=0,"Missing","Exist")</f>
        <v>Exist</v>
      </c>
    </row>
    <row r="1726" hidden="1" spans="1:24">
      <c r="A1726" s="1" t="s">
        <v>5265</v>
      </c>
      <c r="B1726" s="1" t="s">
        <v>90</v>
      </c>
      <c r="C1726" s="1" t="s">
        <v>9401</v>
      </c>
      <c r="D1726" s="1" t="s">
        <v>9402</v>
      </c>
      <c r="E1726" s="1" t="s">
        <v>1185</v>
      </c>
      <c r="F1726" s="1" t="s">
        <v>9403</v>
      </c>
      <c r="G1726" s="1">
        <v>1</v>
      </c>
      <c r="H1726" s="1" t="s">
        <v>1663</v>
      </c>
      <c r="I1726" s="1" t="s">
        <v>1657</v>
      </c>
      <c r="J1726" s="1" t="s">
        <v>1658</v>
      </c>
      <c r="K1726" s="1" t="s">
        <v>1658</v>
      </c>
      <c r="L1726" s="1" t="s">
        <v>1658</v>
      </c>
      <c r="M1726" s="1" t="s">
        <v>1658</v>
      </c>
      <c r="N1726" s="1" t="s">
        <v>1658</v>
      </c>
      <c r="O1726" s="1" t="s">
        <v>1658</v>
      </c>
      <c r="P1726" s="1">
        <v>1</v>
      </c>
      <c r="Q1726" s="1" t="s">
        <v>1658</v>
      </c>
      <c r="R1726" s="1">
        <v>0</v>
      </c>
      <c r="S1726" s="6" t="s">
        <v>9404</v>
      </c>
      <c r="T1726" s="6" t="s">
        <v>9404</v>
      </c>
      <c r="W1726" s="1" t="s">
        <v>9405</v>
      </c>
      <c r="X1726" s="1" t="str">
        <f>IF(COUNTIF('MyWells Drilling Comp'!F:F,E1726)=0,"Missing","Exist")</f>
        <v>Exist</v>
      </c>
    </row>
    <row r="1727" hidden="1" spans="1:24">
      <c r="A1727" s="1" t="s">
        <v>5265</v>
      </c>
      <c r="B1727" s="1" t="s">
        <v>90</v>
      </c>
      <c r="C1727" s="1" t="s">
        <v>9406</v>
      </c>
      <c r="D1727" s="1" t="s">
        <v>9402</v>
      </c>
      <c r="E1727" s="1" t="s">
        <v>1185</v>
      </c>
      <c r="F1727" s="1" t="s">
        <v>9407</v>
      </c>
      <c r="G1727" s="1">
        <v>1</v>
      </c>
      <c r="H1727" s="1" t="s">
        <v>1656</v>
      </c>
      <c r="I1727" s="1" t="s">
        <v>1657</v>
      </c>
      <c r="J1727" s="1" t="s">
        <v>1658</v>
      </c>
      <c r="K1727" s="1" t="s">
        <v>1658</v>
      </c>
      <c r="L1727" s="1" t="s">
        <v>1658</v>
      </c>
      <c r="M1727" s="1" t="s">
        <v>1658</v>
      </c>
      <c r="N1727" s="1" t="s">
        <v>1658</v>
      </c>
      <c r="O1727" s="1" t="s">
        <v>1658</v>
      </c>
      <c r="P1727" s="1">
        <v>1</v>
      </c>
      <c r="Q1727" s="1" t="s">
        <v>1658</v>
      </c>
      <c r="R1727" s="1">
        <v>0</v>
      </c>
      <c r="S1727" s="1" t="s">
        <v>9408</v>
      </c>
      <c r="T1727" s="6" t="s">
        <v>9404</v>
      </c>
      <c r="W1727" s="1" t="s">
        <v>9409</v>
      </c>
      <c r="X1727" s="1" t="str">
        <f>IF(COUNTIF('MyWells Drilling Comp'!F:F,E1727)=0,"Missing","Exist")</f>
        <v>Exist</v>
      </c>
    </row>
    <row r="1728" hidden="1" spans="1:24">
      <c r="A1728" s="1" t="s">
        <v>5265</v>
      </c>
      <c r="B1728" s="1" t="s">
        <v>90</v>
      </c>
      <c r="C1728" s="1" t="s">
        <v>9410</v>
      </c>
      <c r="D1728" s="1" t="s">
        <v>9411</v>
      </c>
      <c r="E1728" s="1" t="s">
        <v>930</v>
      </c>
      <c r="F1728" s="1" t="s">
        <v>9412</v>
      </c>
      <c r="G1728" s="1">
        <v>1</v>
      </c>
      <c r="H1728" s="1" t="s">
        <v>1656</v>
      </c>
      <c r="I1728" s="1" t="s">
        <v>1657</v>
      </c>
      <c r="J1728" s="1" t="s">
        <v>1658</v>
      </c>
      <c r="K1728" s="1" t="s">
        <v>1658</v>
      </c>
      <c r="L1728" s="1" t="s">
        <v>1658</v>
      </c>
      <c r="M1728" s="1" t="s">
        <v>1658</v>
      </c>
      <c r="N1728" s="1" t="s">
        <v>1658</v>
      </c>
      <c r="O1728" s="1" t="s">
        <v>1658</v>
      </c>
      <c r="P1728" s="1">
        <v>1</v>
      </c>
      <c r="Q1728" s="1" t="s">
        <v>1658</v>
      </c>
      <c r="R1728" s="1">
        <v>0</v>
      </c>
      <c r="S1728" s="6" t="s">
        <v>9413</v>
      </c>
      <c r="T1728" s="6" t="s">
        <v>9413</v>
      </c>
      <c r="W1728" s="1" t="s">
        <v>9414</v>
      </c>
      <c r="X1728" s="1" t="str">
        <f>IF(COUNTIF('MyWells Drilling Comp'!F:F,E1728)=0,"Missing","Exist")</f>
        <v>Exist</v>
      </c>
    </row>
    <row r="1729" hidden="1" spans="1:24">
      <c r="A1729" s="1" t="s">
        <v>5265</v>
      </c>
      <c r="B1729" s="1" t="s">
        <v>90</v>
      </c>
      <c r="C1729" s="1" t="s">
        <v>9415</v>
      </c>
      <c r="D1729" s="1" t="s">
        <v>9411</v>
      </c>
      <c r="E1729" s="1" t="s">
        <v>930</v>
      </c>
      <c r="F1729" s="1" t="s">
        <v>9416</v>
      </c>
      <c r="G1729" s="1">
        <v>1</v>
      </c>
      <c r="H1729" s="1" t="s">
        <v>1663</v>
      </c>
      <c r="I1729" s="1" t="s">
        <v>1657</v>
      </c>
      <c r="J1729" s="1" t="s">
        <v>1658</v>
      </c>
      <c r="K1729" s="1" t="s">
        <v>1658</v>
      </c>
      <c r="L1729" s="1" t="s">
        <v>1658</v>
      </c>
      <c r="M1729" s="1" t="s">
        <v>1658</v>
      </c>
      <c r="N1729" s="1" t="s">
        <v>1658</v>
      </c>
      <c r="O1729" s="1" t="s">
        <v>1658</v>
      </c>
      <c r="P1729" s="1">
        <v>1</v>
      </c>
      <c r="Q1729" s="1" t="s">
        <v>1658</v>
      </c>
      <c r="R1729" s="1">
        <v>0</v>
      </c>
      <c r="S1729" s="6" t="s">
        <v>9417</v>
      </c>
      <c r="T1729" s="6" t="s">
        <v>9417</v>
      </c>
      <c r="W1729" s="1" t="s">
        <v>9418</v>
      </c>
      <c r="X1729" s="1" t="str">
        <f>IF(COUNTIF('MyWells Drilling Comp'!F:F,E1729)=0,"Missing","Exist")</f>
        <v>Exist</v>
      </c>
    </row>
    <row r="1730" hidden="1" spans="1:24">
      <c r="A1730" s="1" t="s">
        <v>1652</v>
      </c>
      <c r="B1730" s="1" t="s">
        <v>90</v>
      </c>
      <c r="C1730" s="1" t="s">
        <v>9419</v>
      </c>
      <c r="D1730" s="1" t="s">
        <v>9420</v>
      </c>
      <c r="E1730" s="1" t="s">
        <v>1606</v>
      </c>
      <c r="F1730" s="1" t="s">
        <v>9421</v>
      </c>
      <c r="G1730" s="1">
        <v>1</v>
      </c>
      <c r="H1730" s="1" t="s">
        <v>1663</v>
      </c>
      <c r="I1730" s="1" t="s">
        <v>1657</v>
      </c>
      <c r="J1730" s="1" t="s">
        <v>1658</v>
      </c>
      <c r="K1730" s="1" t="s">
        <v>1658</v>
      </c>
      <c r="L1730" s="1" t="s">
        <v>1658</v>
      </c>
      <c r="M1730" s="1" t="s">
        <v>1658</v>
      </c>
      <c r="N1730" s="1" t="s">
        <v>1658</v>
      </c>
      <c r="O1730" s="1" t="s">
        <v>1658</v>
      </c>
      <c r="P1730" s="1">
        <v>1</v>
      </c>
      <c r="Q1730" s="1" t="s">
        <v>1658</v>
      </c>
      <c r="R1730" s="1">
        <v>0</v>
      </c>
      <c r="S1730" s="6" t="s">
        <v>9422</v>
      </c>
      <c r="T1730" s="6" t="s">
        <v>9422</v>
      </c>
      <c r="W1730" s="1" t="s">
        <v>9423</v>
      </c>
      <c r="X1730" s="1" t="str">
        <f>IF(COUNTIF('MyWells Drilling Comp'!F:F,E1730)=0,"Missing","Exist")</f>
        <v>Exist</v>
      </c>
    </row>
    <row r="1731" hidden="1" spans="1:24">
      <c r="A1731" s="1" t="s">
        <v>1652</v>
      </c>
      <c r="B1731" s="1" t="s">
        <v>90</v>
      </c>
      <c r="C1731" s="1" t="s">
        <v>9424</v>
      </c>
      <c r="D1731" s="1" t="s">
        <v>9420</v>
      </c>
      <c r="E1731" s="1" t="s">
        <v>1606</v>
      </c>
      <c r="F1731" s="1" t="s">
        <v>9425</v>
      </c>
      <c r="G1731" s="1">
        <v>1</v>
      </c>
      <c r="H1731" s="1" t="s">
        <v>1656</v>
      </c>
      <c r="I1731" s="1" t="s">
        <v>1657</v>
      </c>
      <c r="J1731" s="1" t="s">
        <v>1658</v>
      </c>
      <c r="K1731" s="1" t="s">
        <v>1658</v>
      </c>
      <c r="L1731" s="1" t="s">
        <v>1658</v>
      </c>
      <c r="M1731" s="1" t="s">
        <v>1658</v>
      </c>
      <c r="N1731" s="1" t="s">
        <v>1658</v>
      </c>
      <c r="O1731" s="1" t="s">
        <v>1658</v>
      </c>
      <c r="P1731" s="1">
        <v>1</v>
      </c>
      <c r="Q1731" s="1" t="s">
        <v>1658</v>
      </c>
      <c r="R1731" s="1">
        <v>0</v>
      </c>
      <c r="S1731" s="6" t="s">
        <v>9426</v>
      </c>
      <c r="T1731" s="6" t="s">
        <v>9426</v>
      </c>
      <c r="W1731" s="1" t="s">
        <v>9427</v>
      </c>
      <c r="X1731" s="1" t="str">
        <f>IF(COUNTIF('MyWells Drilling Comp'!F:F,E1731)=0,"Missing","Exist")</f>
        <v>Exist</v>
      </c>
    </row>
    <row r="1732" hidden="1" spans="1:24">
      <c r="A1732" s="1" t="s">
        <v>5265</v>
      </c>
      <c r="B1732" s="1" t="s">
        <v>90</v>
      </c>
      <c r="C1732" s="1" t="s">
        <v>9428</v>
      </c>
      <c r="D1732" s="1" t="s">
        <v>9429</v>
      </c>
      <c r="E1732" s="1" t="s">
        <v>1272</v>
      </c>
      <c r="F1732" s="1" t="s">
        <v>9430</v>
      </c>
      <c r="G1732" s="1">
        <v>1</v>
      </c>
      <c r="H1732" s="1" t="s">
        <v>1663</v>
      </c>
      <c r="I1732" s="1" t="s">
        <v>1657</v>
      </c>
      <c r="J1732" s="1" t="s">
        <v>1658</v>
      </c>
      <c r="K1732" s="1" t="s">
        <v>1658</v>
      </c>
      <c r="L1732" s="1" t="s">
        <v>1658</v>
      </c>
      <c r="M1732" s="1" t="s">
        <v>1658</v>
      </c>
      <c r="N1732" s="1" t="s">
        <v>1658</v>
      </c>
      <c r="O1732" s="1" t="s">
        <v>1658</v>
      </c>
      <c r="P1732" s="1">
        <v>1</v>
      </c>
      <c r="Q1732" s="1" t="s">
        <v>1658</v>
      </c>
      <c r="R1732" s="1">
        <v>0</v>
      </c>
      <c r="S1732" s="6" t="s">
        <v>9431</v>
      </c>
      <c r="T1732" s="6" t="s">
        <v>9431</v>
      </c>
      <c r="W1732" s="1" t="s">
        <v>9432</v>
      </c>
      <c r="X1732" s="1" t="str">
        <f>IF(COUNTIF('MyWells Drilling Comp'!F:F,E1732)=0,"Missing","Exist")</f>
        <v>Exist</v>
      </c>
    </row>
    <row r="1733" hidden="1" spans="1:24">
      <c r="A1733" s="1" t="s">
        <v>5265</v>
      </c>
      <c r="B1733" s="1" t="s">
        <v>90</v>
      </c>
      <c r="C1733" s="1" t="s">
        <v>9433</v>
      </c>
      <c r="D1733" s="1" t="s">
        <v>9429</v>
      </c>
      <c r="E1733" s="1" t="s">
        <v>1272</v>
      </c>
      <c r="F1733" s="1" t="s">
        <v>9434</v>
      </c>
      <c r="G1733" s="1">
        <v>1</v>
      </c>
      <c r="H1733" s="1" t="s">
        <v>1656</v>
      </c>
      <c r="I1733" s="1" t="s">
        <v>1657</v>
      </c>
      <c r="J1733" s="1" t="s">
        <v>1658</v>
      </c>
      <c r="K1733" s="1" t="s">
        <v>1658</v>
      </c>
      <c r="L1733" s="1" t="s">
        <v>1658</v>
      </c>
      <c r="M1733" s="1" t="s">
        <v>1658</v>
      </c>
      <c r="N1733" s="1" t="s">
        <v>1658</v>
      </c>
      <c r="O1733" s="1" t="s">
        <v>1658</v>
      </c>
      <c r="P1733" s="1">
        <v>1</v>
      </c>
      <c r="Q1733" s="1" t="s">
        <v>1658</v>
      </c>
      <c r="R1733" s="1">
        <v>0</v>
      </c>
      <c r="S1733" s="1" t="s">
        <v>5405</v>
      </c>
      <c r="T1733" s="6"/>
      <c r="W1733" s="1" t="s">
        <v>9435</v>
      </c>
      <c r="X1733" s="1" t="str">
        <f>IF(COUNTIF('MyWells Drilling Comp'!F:F,E1733)=0,"Missing","Exist")</f>
        <v>Exist</v>
      </c>
    </row>
    <row r="1734" hidden="1" spans="1:24">
      <c r="A1734" s="1" t="s">
        <v>1652</v>
      </c>
      <c r="B1734" s="1" t="s">
        <v>90</v>
      </c>
      <c r="C1734" s="1" t="s">
        <v>9436</v>
      </c>
      <c r="D1734" s="1" t="s">
        <v>9437</v>
      </c>
      <c r="E1734" s="1" t="s">
        <v>1196</v>
      </c>
      <c r="F1734" s="1" t="s">
        <v>9438</v>
      </c>
      <c r="G1734" s="1">
        <v>1</v>
      </c>
      <c r="H1734" s="1" t="s">
        <v>1663</v>
      </c>
      <c r="I1734" s="1" t="s">
        <v>1657</v>
      </c>
      <c r="J1734" s="1" t="s">
        <v>1658</v>
      </c>
      <c r="K1734" s="1" t="s">
        <v>1658</v>
      </c>
      <c r="L1734" s="1" t="s">
        <v>1658</v>
      </c>
      <c r="M1734" s="1" t="s">
        <v>1658</v>
      </c>
      <c r="N1734" s="1" t="s">
        <v>1658</v>
      </c>
      <c r="O1734" s="1" t="s">
        <v>1658</v>
      </c>
      <c r="P1734" s="1">
        <v>1</v>
      </c>
      <c r="Q1734" s="1" t="s">
        <v>1658</v>
      </c>
      <c r="R1734" s="1">
        <v>0</v>
      </c>
      <c r="S1734" s="6" t="s">
        <v>4845</v>
      </c>
      <c r="T1734" s="6" t="s">
        <v>4845</v>
      </c>
      <c r="W1734" s="1" t="s">
        <v>9439</v>
      </c>
      <c r="X1734" s="1" t="str">
        <f>IF(COUNTIF('MyWells Drilling Comp'!F:F,E1734)=0,"Missing","Exist")</f>
        <v>Exist</v>
      </c>
    </row>
    <row r="1735" hidden="1" spans="1:24">
      <c r="A1735" s="1" t="s">
        <v>1652</v>
      </c>
      <c r="B1735" s="1" t="s">
        <v>90</v>
      </c>
      <c r="C1735" s="1" t="s">
        <v>9440</v>
      </c>
      <c r="D1735" s="1" t="s">
        <v>9437</v>
      </c>
      <c r="E1735" s="1" t="s">
        <v>1196</v>
      </c>
      <c r="F1735" s="1" t="s">
        <v>9441</v>
      </c>
      <c r="G1735" s="1">
        <v>1</v>
      </c>
      <c r="H1735" s="1" t="s">
        <v>1656</v>
      </c>
      <c r="I1735" s="1" t="s">
        <v>1657</v>
      </c>
      <c r="J1735" s="1" t="s">
        <v>1658</v>
      </c>
      <c r="K1735" s="1" t="s">
        <v>1658</v>
      </c>
      <c r="L1735" s="1" t="s">
        <v>1658</v>
      </c>
      <c r="M1735" s="1" t="s">
        <v>1658</v>
      </c>
      <c r="N1735" s="1" t="s">
        <v>1658</v>
      </c>
      <c r="O1735" s="1" t="s">
        <v>1658</v>
      </c>
      <c r="P1735" s="1">
        <v>1</v>
      </c>
      <c r="Q1735" s="1" t="s">
        <v>1658</v>
      </c>
      <c r="R1735" s="1">
        <v>0</v>
      </c>
      <c r="S1735" s="1" t="s">
        <v>4849</v>
      </c>
      <c r="T1735" s="6"/>
      <c r="W1735" s="1" t="s">
        <v>9442</v>
      </c>
      <c r="X1735" s="1" t="str">
        <f>IF(COUNTIF('MyWells Drilling Comp'!F:F,E1735)=0,"Missing","Exist")</f>
        <v>Exist</v>
      </c>
    </row>
    <row r="1736" hidden="1" spans="1:24">
      <c r="A1736" s="1" t="s">
        <v>1652</v>
      </c>
      <c r="B1736" s="1" t="s">
        <v>90</v>
      </c>
      <c r="C1736" s="1" t="s">
        <v>9443</v>
      </c>
      <c r="D1736" s="1" t="s">
        <v>9444</v>
      </c>
      <c r="E1736" s="1" t="s">
        <v>1129</v>
      </c>
      <c r="F1736" s="1" t="s">
        <v>9445</v>
      </c>
      <c r="G1736" s="1">
        <v>1</v>
      </c>
      <c r="H1736" s="1" t="s">
        <v>1663</v>
      </c>
      <c r="I1736" s="1" t="s">
        <v>1657</v>
      </c>
      <c r="J1736" s="1" t="s">
        <v>1658</v>
      </c>
      <c r="K1736" s="1" t="s">
        <v>1658</v>
      </c>
      <c r="L1736" s="1" t="s">
        <v>1658</v>
      </c>
      <c r="M1736" s="1" t="s">
        <v>1658</v>
      </c>
      <c r="N1736" s="1" t="s">
        <v>1658</v>
      </c>
      <c r="O1736" s="1" t="s">
        <v>1658</v>
      </c>
      <c r="P1736" s="1">
        <v>1</v>
      </c>
      <c r="Q1736" s="1" t="s">
        <v>1658</v>
      </c>
      <c r="R1736" s="1">
        <v>0</v>
      </c>
      <c r="S1736" s="1" t="s">
        <v>9446</v>
      </c>
      <c r="T1736" s="6"/>
      <c r="W1736" s="1" t="s">
        <v>9447</v>
      </c>
      <c r="X1736" s="1" t="str">
        <f>IF(COUNTIF('MyWells Drilling Comp'!F:F,E1736)=0,"Missing","Exist")</f>
        <v>Exist</v>
      </c>
    </row>
    <row r="1737" hidden="1" spans="1:24">
      <c r="A1737" s="1" t="s">
        <v>1652</v>
      </c>
      <c r="B1737" s="1" t="s">
        <v>90</v>
      </c>
      <c r="C1737" s="1" t="s">
        <v>9448</v>
      </c>
      <c r="D1737" s="1" t="s">
        <v>9444</v>
      </c>
      <c r="E1737" s="1" t="s">
        <v>1129</v>
      </c>
      <c r="F1737" s="1" t="s">
        <v>9449</v>
      </c>
      <c r="G1737" s="1">
        <v>1</v>
      </c>
      <c r="H1737" s="1" t="s">
        <v>1656</v>
      </c>
      <c r="I1737" s="1" t="s">
        <v>1657</v>
      </c>
      <c r="J1737" s="1" t="s">
        <v>1658</v>
      </c>
      <c r="K1737" s="1" t="s">
        <v>1658</v>
      </c>
      <c r="L1737" s="1" t="s">
        <v>1658</v>
      </c>
      <c r="M1737" s="1" t="s">
        <v>1658</v>
      </c>
      <c r="N1737" s="1" t="s">
        <v>1658</v>
      </c>
      <c r="O1737" s="1" t="s">
        <v>1658</v>
      </c>
      <c r="P1737" s="1">
        <v>1</v>
      </c>
      <c r="Q1737" s="1" t="s">
        <v>1658</v>
      </c>
      <c r="R1737" s="1">
        <v>0</v>
      </c>
      <c r="S1737" s="1" t="s">
        <v>9450</v>
      </c>
      <c r="T1737" s="6"/>
      <c r="W1737" s="1" t="s">
        <v>9451</v>
      </c>
      <c r="X1737" s="1" t="str">
        <f>IF(COUNTIF('MyWells Drilling Comp'!F:F,E1737)=0,"Missing","Exist")</f>
        <v>Exist</v>
      </c>
    </row>
    <row r="1738" hidden="1" spans="1:24">
      <c r="A1738" s="1" t="s">
        <v>5265</v>
      </c>
      <c r="B1738" s="1" t="s">
        <v>90</v>
      </c>
      <c r="C1738" s="1" t="s">
        <v>9452</v>
      </c>
      <c r="D1738" s="1" t="s">
        <v>9453</v>
      </c>
      <c r="E1738" s="1" t="s">
        <v>1572</v>
      </c>
      <c r="F1738" s="1" t="s">
        <v>9454</v>
      </c>
      <c r="G1738" s="1">
        <v>1</v>
      </c>
      <c r="H1738" s="1" t="s">
        <v>1656</v>
      </c>
      <c r="I1738" s="1" t="s">
        <v>1657</v>
      </c>
      <c r="J1738" s="1" t="s">
        <v>1658</v>
      </c>
      <c r="K1738" s="1" t="s">
        <v>1658</v>
      </c>
      <c r="L1738" s="1" t="s">
        <v>1658</v>
      </c>
      <c r="M1738" s="1" t="s">
        <v>1658</v>
      </c>
      <c r="N1738" s="1" t="s">
        <v>1658</v>
      </c>
      <c r="O1738" s="1" t="s">
        <v>1658</v>
      </c>
      <c r="P1738" s="1">
        <v>1</v>
      </c>
      <c r="Q1738" s="1" t="s">
        <v>1658</v>
      </c>
      <c r="R1738" s="1">
        <v>0</v>
      </c>
      <c r="S1738" s="6" t="s">
        <v>9455</v>
      </c>
      <c r="T1738" s="6" t="s">
        <v>9455</v>
      </c>
      <c r="W1738" s="1" t="s">
        <v>9456</v>
      </c>
      <c r="X1738" s="1" t="str">
        <f>IF(COUNTIF('MyWells Drilling Comp'!F:F,E1738)=0,"Missing","Exist")</f>
        <v>Exist</v>
      </c>
    </row>
    <row r="1739" hidden="1" spans="1:24">
      <c r="A1739" s="1" t="s">
        <v>5265</v>
      </c>
      <c r="B1739" s="1" t="s">
        <v>90</v>
      </c>
      <c r="C1739" s="1" t="s">
        <v>9457</v>
      </c>
      <c r="D1739" s="1" t="s">
        <v>9453</v>
      </c>
      <c r="E1739" s="1" t="s">
        <v>1572</v>
      </c>
      <c r="F1739" s="1" t="s">
        <v>9458</v>
      </c>
      <c r="G1739" s="1">
        <v>1</v>
      </c>
      <c r="H1739" s="1" t="s">
        <v>1663</v>
      </c>
      <c r="I1739" s="1" t="s">
        <v>1657</v>
      </c>
      <c r="J1739" s="1" t="s">
        <v>1658</v>
      </c>
      <c r="K1739" s="1" t="s">
        <v>1658</v>
      </c>
      <c r="L1739" s="1" t="s">
        <v>1658</v>
      </c>
      <c r="M1739" s="1" t="s">
        <v>1658</v>
      </c>
      <c r="N1739" s="1" t="s">
        <v>1658</v>
      </c>
      <c r="O1739" s="1" t="s">
        <v>1658</v>
      </c>
      <c r="P1739" s="1">
        <v>1</v>
      </c>
      <c r="Q1739" s="1" t="s">
        <v>1658</v>
      </c>
      <c r="R1739" s="1">
        <v>0</v>
      </c>
      <c r="S1739" s="6" t="s">
        <v>9459</v>
      </c>
      <c r="T1739" s="6" t="s">
        <v>9459</v>
      </c>
      <c r="W1739" s="1" t="s">
        <v>9460</v>
      </c>
      <c r="X1739" s="1" t="str">
        <f>IF(COUNTIF('MyWells Drilling Comp'!F:F,E1739)=0,"Missing","Exist")</f>
        <v>Exist</v>
      </c>
    </row>
    <row r="1740" hidden="1" spans="1:24">
      <c r="A1740" s="1" t="s">
        <v>1652</v>
      </c>
      <c r="B1740" s="1" t="s">
        <v>90</v>
      </c>
      <c r="C1740" s="1" t="s">
        <v>9461</v>
      </c>
      <c r="D1740" s="1" t="s">
        <v>9462</v>
      </c>
      <c r="E1740" s="1" t="s">
        <v>1256</v>
      </c>
      <c r="F1740" s="1" t="s">
        <v>9463</v>
      </c>
      <c r="G1740" s="1">
        <v>1</v>
      </c>
      <c r="H1740" s="1" t="s">
        <v>1656</v>
      </c>
      <c r="I1740" s="1" t="s">
        <v>1657</v>
      </c>
      <c r="J1740" s="1" t="s">
        <v>1658</v>
      </c>
      <c r="K1740" s="1" t="s">
        <v>1658</v>
      </c>
      <c r="L1740" s="1" t="s">
        <v>1658</v>
      </c>
      <c r="M1740" s="1" t="s">
        <v>1658</v>
      </c>
      <c r="N1740" s="1" t="s">
        <v>1658</v>
      </c>
      <c r="O1740" s="1" t="s">
        <v>1658</v>
      </c>
      <c r="P1740" s="1">
        <v>1</v>
      </c>
      <c r="Q1740" s="1" t="s">
        <v>1658</v>
      </c>
      <c r="R1740" s="1">
        <v>0</v>
      </c>
      <c r="S1740" s="6" t="s">
        <v>9464</v>
      </c>
      <c r="T1740" s="6" t="s">
        <v>9464</v>
      </c>
      <c r="W1740" s="1" t="s">
        <v>9465</v>
      </c>
      <c r="X1740" s="1" t="str">
        <f>IF(COUNTIF('MyWells Drilling Comp'!F:F,E1740)=0,"Missing","Exist")</f>
        <v>Exist</v>
      </c>
    </row>
    <row r="1741" hidden="1" spans="1:24">
      <c r="A1741" s="1" t="s">
        <v>1652</v>
      </c>
      <c r="B1741" s="1" t="s">
        <v>90</v>
      </c>
      <c r="C1741" s="1" t="s">
        <v>9466</v>
      </c>
      <c r="D1741" s="1" t="s">
        <v>9462</v>
      </c>
      <c r="E1741" s="1" t="s">
        <v>1256</v>
      </c>
      <c r="F1741" s="1" t="s">
        <v>9467</v>
      </c>
      <c r="G1741" s="1">
        <v>1</v>
      </c>
      <c r="H1741" s="1" t="s">
        <v>1663</v>
      </c>
      <c r="I1741" s="1" t="s">
        <v>1657</v>
      </c>
      <c r="J1741" s="1" t="s">
        <v>1658</v>
      </c>
      <c r="K1741" s="1" t="s">
        <v>1658</v>
      </c>
      <c r="L1741" s="1" t="s">
        <v>1658</v>
      </c>
      <c r="M1741" s="1" t="s">
        <v>1658</v>
      </c>
      <c r="N1741" s="1" t="s">
        <v>1658</v>
      </c>
      <c r="O1741" s="1" t="s">
        <v>1658</v>
      </c>
      <c r="P1741" s="1">
        <v>1</v>
      </c>
      <c r="Q1741" s="1" t="s">
        <v>1658</v>
      </c>
      <c r="R1741" s="1">
        <v>0</v>
      </c>
      <c r="S1741" s="6" t="s">
        <v>9468</v>
      </c>
      <c r="T1741" s="6" t="s">
        <v>9468</v>
      </c>
      <c r="W1741" s="1" t="s">
        <v>9469</v>
      </c>
      <c r="X1741" s="1" t="str">
        <f>IF(COUNTIF('MyWells Drilling Comp'!F:F,E1741)=0,"Missing","Exist")</f>
        <v>Exist</v>
      </c>
    </row>
    <row r="1742" hidden="1" spans="1:24">
      <c r="A1742" s="1" t="s">
        <v>1652</v>
      </c>
      <c r="B1742" s="1" t="s">
        <v>90</v>
      </c>
      <c r="C1742" s="1" t="s">
        <v>9470</v>
      </c>
      <c r="D1742" s="1" t="s">
        <v>9471</v>
      </c>
      <c r="E1742" s="1" t="s">
        <v>1276</v>
      </c>
      <c r="F1742" s="1" t="s">
        <v>9472</v>
      </c>
      <c r="G1742" s="1">
        <v>1</v>
      </c>
      <c r="H1742" s="1" t="s">
        <v>1663</v>
      </c>
      <c r="I1742" s="1" t="s">
        <v>1657</v>
      </c>
      <c r="J1742" s="1" t="s">
        <v>1658</v>
      </c>
      <c r="K1742" s="1" t="s">
        <v>1658</v>
      </c>
      <c r="L1742" s="1" t="s">
        <v>1658</v>
      </c>
      <c r="M1742" s="1" t="s">
        <v>1658</v>
      </c>
      <c r="N1742" s="1" t="s">
        <v>1658</v>
      </c>
      <c r="O1742" s="1" t="s">
        <v>1658</v>
      </c>
      <c r="P1742" s="1">
        <v>1</v>
      </c>
      <c r="Q1742" s="1" t="s">
        <v>1658</v>
      </c>
      <c r="R1742" s="1">
        <v>0</v>
      </c>
      <c r="S1742" s="6" t="s">
        <v>9473</v>
      </c>
      <c r="T1742" s="6" t="s">
        <v>9473</v>
      </c>
      <c r="W1742" s="1" t="s">
        <v>9474</v>
      </c>
      <c r="X1742" s="1" t="str">
        <f>IF(COUNTIF('MyWells Drilling Comp'!F:F,E1742)=0,"Missing","Exist")</f>
        <v>Exist</v>
      </c>
    </row>
    <row r="1743" hidden="1" spans="1:24">
      <c r="A1743" s="1" t="s">
        <v>1652</v>
      </c>
      <c r="B1743" s="1" t="s">
        <v>90</v>
      </c>
      <c r="C1743" s="1" t="s">
        <v>9475</v>
      </c>
      <c r="D1743" s="1" t="s">
        <v>9471</v>
      </c>
      <c r="E1743" s="1" t="s">
        <v>1276</v>
      </c>
      <c r="F1743" s="1" t="s">
        <v>9476</v>
      </c>
      <c r="G1743" s="1">
        <v>1</v>
      </c>
      <c r="H1743" s="1" t="s">
        <v>1656</v>
      </c>
      <c r="I1743" s="1" t="s">
        <v>1657</v>
      </c>
      <c r="J1743" s="1" t="s">
        <v>1658</v>
      </c>
      <c r="K1743" s="1" t="s">
        <v>1658</v>
      </c>
      <c r="L1743" s="1" t="s">
        <v>1658</v>
      </c>
      <c r="M1743" s="1" t="s">
        <v>1658</v>
      </c>
      <c r="N1743" s="1" t="s">
        <v>1658</v>
      </c>
      <c r="O1743" s="1" t="s">
        <v>1658</v>
      </c>
      <c r="P1743" s="1">
        <v>1</v>
      </c>
      <c r="Q1743" s="1" t="s">
        <v>1658</v>
      </c>
      <c r="R1743" s="1">
        <v>0</v>
      </c>
      <c r="S1743" s="6" t="s">
        <v>9477</v>
      </c>
      <c r="T1743" s="10" t="s">
        <v>9478</v>
      </c>
      <c r="W1743" s="1" t="s">
        <v>9479</v>
      </c>
      <c r="X1743" s="1" t="str">
        <f>IF(COUNTIF('MyWells Drilling Comp'!F:F,E1743)=0,"Missing","Exist")</f>
        <v>Exist</v>
      </c>
    </row>
    <row r="1744" hidden="1" spans="1:24">
      <c r="A1744" s="1" t="s">
        <v>5265</v>
      </c>
      <c r="B1744" s="1" t="s">
        <v>90</v>
      </c>
      <c r="C1744" s="1" t="s">
        <v>9480</v>
      </c>
      <c r="D1744" s="1" t="s">
        <v>9481</v>
      </c>
      <c r="E1744" s="1" t="s">
        <v>1065</v>
      </c>
      <c r="F1744" s="1" t="s">
        <v>9482</v>
      </c>
      <c r="G1744" s="1">
        <v>1</v>
      </c>
      <c r="H1744" s="1" t="s">
        <v>1656</v>
      </c>
      <c r="I1744" s="1" t="s">
        <v>1657</v>
      </c>
      <c r="J1744" s="1" t="s">
        <v>1658</v>
      </c>
      <c r="K1744" s="1" t="s">
        <v>1658</v>
      </c>
      <c r="L1744" s="1" t="s">
        <v>1658</v>
      </c>
      <c r="M1744" s="1" t="s">
        <v>1658</v>
      </c>
      <c r="N1744" s="1" t="s">
        <v>1658</v>
      </c>
      <c r="O1744" s="1" t="s">
        <v>1658</v>
      </c>
      <c r="P1744" s="1">
        <v>1</v>
      </c>
      <c r="Q1744" s="1" t="s">
        <v>1658</v>
      </c>
      <c r="R1744" s="1">
        <v>0</v>
      </c>
      <c r="S1744" s="1" t="s">
        <v>9483</v>
      </c>
      <c r="T1744" s="6"/>
      <c r="W1744" s="1" t="s">
        <v>9484</v>
      </c>
      <c r="X1744" s="1" t="str">
        <f>IF(COUNTIF('MyWells Drilling Comp'!F:F,E1744)=0,"Missing","Exist")</f>
        <v>Exist</v>
      </c>
    </row>
    <row r="1745" hidden="1" spans="1:24">
      <c r="A1745" s="1" t="s">
        <v>5265</v>
      </c>
      <c r="B1745" s="1" t="s">
        <v>90</v>
      </c>
      <c r="C1745" s="1" t="s">
        <v>9485</v>
      </c>
      <c r="D1745" s="1" t="s">
        <v>9481</v>
      </c>
      <c r="E1745" s="1" t="s">
        <v>1065</v>
      </c>
      <c r="F1745" s="1" t="s">
        <v>9486</v>
      </c>
      <c r="G1745" s="1">
        <v>1</v>
      </c>
      <c r="H1745" s="1" t="s">
        <v>1663</v>
      </c>
      <c r="I1745" s="1" t="s">
        <v>1657</v>
      </c>
      <c r="J1745" s="1" t="s">
        <v>1658</v>
      </c>
      <c r="K1745" s="1" t="s">
        <v>1658</v>
      </c>
      <c r="L1745" s="1" t="s">
        <v>1658</v>
      </c>
      <c r="M1745" s="1" t="s">
        <v>1658</v>
      </c>
      <c r="N1745" s="1" t="s">
        <v>1658</v>
      </c>
      <c r="O1745" s="1" t="s">
        <v>1658</v>
      </c>
      <c r="P1745" s="1">
        <v>1</v>
      </c>
      <c r="Q1745" s="1" t="s">
        <v>1658</v>
      </c>
      <c r="R1745" s="1">
        <v>0</v>
      </c>
      <c r="S1745" s="1" t="s">
        <v>9487</v>
      </c>
      <c r="T1745" s="6" t="s">
        <v>9488</v>
      </c>
      <c r="W1745" s="1" t="s">
        <v>9489</v>
      </c>
      <c r="X1745" s="1" t="str">
        <f>IF(COUNTIF('MyWells Drilling Comp'!F:F,E1745)=0,"Missing","Exist")</f>
        <v>Exist</v>
      </c>
    </row>
    <row r="1746" hidden="1" spans="1:24">
      <c r="A1746" s="1" t="s">
        <v>1652</v>
      </c>
      <c r="B1746" s="1" t="s">
        <v>90</v>
      </c>
      <c r="C1746" s="1" t="s">
        <v>9490</v>
      </c>
      <c r="D1746" s="1" t="s">
        <v>9491</v>
      </c>
      <c r="E1746" s="1" t="s">
        <v>1067</v>
      </c>
      <c r="F1746" s="1" t="s">
        <v>9492</v>
      </c>
      <c r="G1746" s="1">
        <v>1</v>
      </c>
      <c r="H1746" s="1" t="s">
        <v>1656</v>
      </c>
      <c r="I1746" s="1" t="s">
        <v>1657</v>
      </c>
      <c r="J1746" s="1" t="s">
        <v>1658</v>
      </c>
      <c r="K1746" s="1" t="s">
        <v>1658</v>
      </c>
      <c r="L1746" s="1" t="s">
        <v>1658</v>
      </c>
      <c r="M1746" s="1" t="s">
        <v>1658</v>
      </c>
      <c r="N1746" s="1" t="s">
        <v>1658</v>
      </c>
      <c r="O1746" s="1" t="s">
        <v>1658</v>
      </c>
      <c r="P1746" s="1">
        <v>1</v>
      </c>
      <c r="Q1746" s="1" t="s">
        <v>1658</v>
      </c>
      <c r="R1746" s="1">
        <v>0</v>
      </c>
      <c r="S1746" s="6" t="s">
        <v>9483</v>
      </c>
      <c r="T1746" s="6" t="s">
        <v>9483</v>
      </c>
      <c r="W1746" s="1" t="s">
        <v>9493</v>
      </c>
      <c r="X1746" s="1" t="str">
        <f>IF(COUNTIF('MyWells Drilling Comp'!F:F,E1746)=0,"Missing","Exist")</f>
        <v>Exist</v>
      </c>
    </row>
    <row r="1747" hidden="1" spans="1:24">
      <c r="A1747" s="1" t="s">
        <v>1652</v>
      </c>
      <c r="B1747" s="1" t="s">
        <v>90</v>
      </c>
      <c r="C1747" s="1" t="s">
        <v>9494</v>
      </c>
      <c r="D1747" s="1" t="s">
        <v>9491</v>
      </c>
      <c r="E1747" s="1" t="s">
        <v>1067</v>
      </c>
      <c r="F1747" s="1" t="s">
        <v>9495</v>
      </c>
      <c r="G1747" s="1">
        <v>1</v>
      </c>
      <c r="H1747" s="1" t="s">
        <v>1663</v>
      </c>
      <c r="I1747" s="1" t="s">
        <v>1657</v>
      </c>
      <c r="J1747" s="1" t="s">
        <v>1658</v>
      </c>
      <c r="K1747" s="1" t="s">
        <v>1658</v>
      </c>
      <c r="L1747" s="1" t="s">
        <v>1658</v>
      </c>
      <c r="M1747" s="1" t="s">
        <v>1658</v>
      </c>
      <c r="N1747" s="1" t="s">
        <v>1658</v>
      </c>
      <c r="O1747" s="1" t="s">
        <v>1658</v>
      </c>
      <c r="P1747" s="1">
        <v>1</v>
      </c>
      <c r="Q1747" s="1" t="s">
        <v>1658</v>
      </c>
      <c r="R1747" s="1">
        <v>0</v>
      </c>
      <c r="S1747" s="6" t="s">
        <v>9496</v>
      </c>
      <c r="T1747" s="6" t="s">
        <v>9496</v>
      </c>
      <c r="W1747" s="1" t="s">
        <v>9497</v>
      </c>
      <c r="X1747" s="1" t="str">
        <f>IF(COUNTIF('MyWells Drilling Comp'!F:F,E1747)=0,"Missing","Exist")</f>
        <v>Exist</v>
      </c>
    </row>
    <row r="1748" spans="1:24">
      <c r="A1748" s="1" t="s">
        <v>1652</v>
      </c>
      <c r="B1748" s="1" t="s">
        <v>90</v>
      </c>
      <c r="C1748" s="1" t="s">
        <v>9498</v>
      </c>
      <c r="D1748" s="1" t="s">
        <v>9499</v>
      </c>
      <c r="E1748" s="1" t="s">
        <v>9500</v>
      </c>
      <c r="F1748" s="1" t="s">
        <v>9501</v>
      </c>
      <c r="G1748" s="1">
        <v>1</v>
      </c>
      <c r="H1748" s="1" t="s">
        <v>1663</v>
      </c>
      <c r="I1748" s="1" t="s">
        <v>1657</v>
      </c>
      <c r="J1748" s="1" t="s">
        <v>1658</v>
      </c>
      <c r="K1748" s="1" t="s">
        <v>1658</v>
      </c>
      <c r="L1748" s="1" t="s">
        <v>1658</v>
      </c>
      <c r="M1748" s="1" t="s">
        <v>1658</v>
      </c>
      <c r="N1748" s="1" t="s">
        <v>1658</v>
      </c>
      <c r="O1748" s="1" t="s">
        <v>1658</v>
      </c>
      <c r="P1748" s="1">
        <v>1</v>
      </c>
      <c r="Q1748" s="1" t="s">
        <v>1658</v>
      </c>
      <c r="R1748" s="1">
        <v>0</v>
      </c>
      <c r="S1748" s="6" t="s">
        <v>9502</v>
      </c>
      <c r="T1748" s="6" t="s">
        <v>9502</v>
      </c>
      <c r="W1748" s="1" t="s">
        <v>9503</v>
      </c>
      <c r="X1748" s="1" t="str">
        <f>IF(COUNTIF('MyWells Drilling Comp'!F:F,E1748)=0,"Missing","Exist")</f>
        <v>Missing</v>
      </c>
    </row>
    <row r="1749" hidden="1" spans="1:24">
      <c r="A1749" s="1" t="s">
        <v>1652</v>
      </c>
      <c r="B1749" s="1" t="s">
        <v>90</v>
      </c>
      <c r="C1749" s="1" t="s">
        <v>9504</v>
      </c>
      <c r="D1749" s="1" t="s">
        <v>9499</v>
      </c>
      <c r="E1749" s="1" t="s">
        <v>9500</v>
      </c>
      <c r="F1749" s="1" t="s">
        <v>9505</v>
      </c>
      <c r="G1749" s="1">
        <v>1</v>
      </c>
      <c r="H1749" s="1" t="s">
        <v>1656</v>
      </c>
      <c r="I1749" s="1" t="s">
        <v>1657</v>
      </c>
      <c r="J1749" s="1" t="s">
        <v>1658</v>
      </c>
      <c r="K1749" s="1" t="s">
        <v>1658</v>
      </c>
      <c r="L1749" s="1" t="s">
        <v>1658</v>
      </c>
      <c r="M1749" s="1" t="s">
        <v>1658</v>
      </c>
      <c r="N1749" s="1" t="s">
        <v>1658</v>
      </c>
      <c r="O1749" s="1" t="s">
        <v>1658</v>
      </c>
      <c r="P1749" s="1">
        <v>1</v>
      </c>
      <c r="Q1749" s="1" t="s">
        <v>1658</v>
      </c>
      <c r="R1749" s="1">
        <v>0</v>
      </c>
      <c r="S1749" s="6" t="s">
        <v>2505</v>
      </c>
      <c r="T1749" s="6" t="s">
        <v>2505</v>
      </c>
      <c r="W1749" s="1" t="s">
        <v>9506</v>
      </c>
      <c r="X1749" s="1" t="str">
        <f>IF(COUNTIF('MyWells Drilling Comp'!F:F,E1749)=0,"Missing","Exist")</f>
        <v>Missing</v>
      </c>
    </row>
    <row r="1750" hidden="1" spans="1:24">
      <c r="A1750" s="1" t="s">
        <v>5265</v>
      </c>
      <c r="B1750" s="1" t="s">
        <v>90</v>
      </c>
      <c r="C1750" s="1" t="s">
        <v>9507</v>
      </c>
      <c r="D1750" s="1" t="s">
        <v>9508</v>
      </c>
      <c r="E1750" s="1" t="s">
        <v>1346</v>
      </c>
      <c r="F1750" s="1" t="s">
        <v>9509</v>
      </c>
      <c r="G1750" s="1">
        <v>1</v>
      </c>
      <c r="H1750" s="1" t="s">
        <v>1656</v>
      </c>
      <c r="I1750" s="1" t="s">
        <v>1657</v>
      </c>
      <c r="J1750" s="1" t="s">
        <v>1658</v>
      </c>
      <c r="K1750" s="1" t="s">
        <v>1658</v>
      </c>
      <c r="L1750" s="1" t="s">
        <v>1658</v>
      </c>
      <c r="M1750" s="1" t="s">
        <v>1658</v>
      </c>
      <c r="N1750" s="1" t="s">
        <v>1658</v>
      </c>
      <c r="O1750" s="1" t="s">
        <v>1658</v>
      </c>
      <c r="P1750" s="1">
        <v>1</v>
      </c>
      <c r="Q1750" s="1" t="s">
        <v>1658</v>
      </c>
      <c r="R1750" s="1">
        <v>0</v>
      </c>
      <c r="S1750" s="1" t="s">
        <v>6274</v>
      </c>
      <c r="T1750" s="6"/>
      <c r="W1750" s="1" t="s">
        <v>9510</v>
      </c>
      <c r="X1750" s="1" t="str">
        <f>IF(COUNTIF('MyWells Drilling Comp'!F:F,E1750)=0,"Missing","Exist")</f>
        <v>Exist</v>
      </c>
    </row>
    <row r="1751" hidden="1" spans="1:24">
      <c r="A1751" s="1" t="s">
        <v>5265</v>
      </c>
      <c r="B1751" s="1" t="s">
        <v>90</v>
      </c>
      <c r="C1751" s="1" t="s">
        <v>9511</v>
      </c>
      <c r="D1751" s="1" t="s">
        <v>9508</v>
      </c>
      <c r="E1751" s="1" t="s">
        <v>1346</v>
      </c>
      <c r="F1751" s="1" t="s">
        <v>9512</v>
      </c>
      <c r="G1751" s="1">
        <v>1</v>
      </c>
      <c r="H1751" s="1" t="s">
        <v>1663</v>
      </c>
      <c r="I1751" s="1" t="s">
        <v>1657</v>
      </c>
      <c r="J1751" s="1" t="s">
        <v>1658</v>
      </c>
      <c r="K1751" s="1" t="s">
        <v>1658</v>
      </c>
      <c r="L1751" s="1" t="s">
        <v>1658</v>
      </c>
      <c r="M1751" s="1" t="s">
        <v>1658</v>
      </c>
      <c r="N1751" s="1" t="s">
        <v>1658</v>
      </c>
      <c r="O1751" s="1" t="s">
        <v>1658</v>
      </c>
      <c r="P1751" s="1">
        <v>1</v>
      </c>
      <c r="Q1751" s="1" t="s">
        <v>1658</v>
      </c>
      <c r="R1751" s="1">
        <v>0</v>
      </c>
      <c r="S1751" s="6" t="s">
        <v>9513</v>
      </c>
      <c r="T1751" s="6" t="s">
        <v>9513</v>
      </c>
      <c r="W1751" s="1" t="s">
        <v>9514</v>
      </c>
      <c r="X1751" s="1" t="str">
        <f>IF(COUNTIF('MyWells Drilling Comp'!F:F,E1751)=0,"Missing","Exist")</f>
        <v>Exist</v>
      </c>
    </row>
    <row r="1752" hidden="1" spans="1:24">
      <c r="A1752" s="1" t="s">
        <v>5265</v>
      </c>
      <c r="B1752" s="1" t="s">
        <v>90</v>
      </c>
      <c r="C1752" s="1" t="s">
        <v>9515</v>
      </c>
      <c r="D1752" s="1" t="s">
        <v>9516</v>
      </c>
      <c r="E1752" s="1" t="s">
        <v>1348</v>
      </c>
      <c r="F1752" s="1" t="s">
        <v>9517</v>
      </c>
      <c r="G1752" s="1">
        <v>1</v>
      </c>
      <c r="H1752" s="1" t="s">
        <v>1663</v>
      </c>
      <c r="I1752" s="1" t="s">
        <v>1657</v>
      </c>
      <c r="J1752" s="1" t="s">
        <v>1658</v>
      </c>
      <c r="K1752" s="1" t="s">
        <v>1658</v>
      </c>
      <c r="L1752" s="1" t="s">
        <v>1658</v>
      </c>
      <c r="M1752" s="1" t="s">
        <v>1658</v>
      </c>
      <c r="N1752" s="1" t="s">
        <v>1658</v>
      </c>
      <c r="O1752" s="1" t="s">
        <v>1658</v>
      </c>
      <c r="P1752" s="1">
        <v>1</v>
      </c>
      <c r="Q1752" s="1" t="s">
        <v>1658</v>
      </c>
      <c r="R1752" s="1">
        <v>0</v>
      </c>
      <c r="S1752" s="6" t="s">
        <v>9518</v>
      </c>
      <c r="T1752" s="6" t="s">
        <v>9518</v>
      </c>
      <c r="W1752" s="1" t="s">
        <v>9519</v>
      </c>
      <c r="X1752" s="1" t="str">
        <f>IF(COUNTIF('MyWells Drilling Comp'!F:F,E1752)=0,"Missing","Exist")</f>
        <v>Exist</v>
      </c>
    </row>
    <row r="1753" hidden="1" spans="1:24">
      <c r="A1753" s="1" t="s">
        <v>5265</v>
      </c>
      <c r="B1753" s="1" t="s">
        <v>90</v>
      </c>
      <c r="C1753" s="1" t="s">
        <v>9520</v>
      </c>
      <c r="D1753" s="1" t="s">
        <v>9516</v>
      </c>
      <c r="E1753" s="1" t="s">
        <v>1348</v>
      </c>
      <c r="F1753" s="1" t="s">
        <v>9521</v>
      </c>
      <c r="G1753" s="1">
        <v>1</v>
      </c>
      <c r="H1753" s="1" t="s">
        <v>1656</v>
      </c>
      <c r="I1753" s="1" t="s">
        <v>1657</v>
      </c>
      <c r="J1753" s="1" t="s">
        <v>1658</v>
      </c>
      <c r="K1753" s="1" t="s">
        <v>1658</v>
      </c>
      <c r="L1753" s="1" t="s">
        <v>1658</v>
      </c>
      <c r="M1753" s="1" t="s">
        <v>1658</v>
      </c>
      <c r="N1753" s="1" t="s">
        <v>1658</v>
      </c>
      <c r="O1753" s="1" t="s">
        <v>1658</v>
      </c>
      <c r="P1753" s="1">
        <v>1</v>
      </c>
      <c r="Q1753" s="1" t="s">
        <v>1658</v>
      </c>
      <c r="R1753" s="1">
        <v>0</v>
      </c>
      <c r="S1753" s="1" t="s">
        <v>6274</v>
      </c>
      <c r="T1753" s="6"/>
      <c r="W1753" s="1" t="s">
        <v>9522</v>
      </c>
      <c r="X1753" s="1" t="str">
        <f>IF(COUNTIF('MyWells Drilling Comp'!F:F,E1753)=0,"Missing","Exist")</f>
        <v>Exist</v>
      </c>
    </row>
    <row r="1754" hidden="1" spans="1:24">
      <c r="A1754" s="1" t="s">
        <v>1652</v>
      </c>
      <c r="B1754" s="1" t="s">
        <v>90</v>
      </c>
      <c r="C1754" s="1" t="s">
        <v>9523</v>
      </c>
      <c r="D1754" s="1" t="s">
        <v>9524</v>
      </c>
      <c r="E1754" s="1" t="s">
        <v>1066</v>
      </c>
      <c r="F1754" s="1" t="s">
        <v>9525</v>
      </c>
      <c r="G1754" s="1">
        <v>1</v>
      </c>
      <c r="H1754" s="1" t="s">
        <v>1663</v>
      </c>
      <c r="I1754" s="1" t="s">
        <v>1657</v>
      </c>
      <c r="J1754" s="1" t="s">
        <v>1658</v>
      </c>
      <c r="K1754" s="1" t="s">
        <v>1658</v>
      </c>
      <c r="L1754" s="1" t="s">
        <v>1658</v>
      </c>
      <c r="M1754" s="1" t="s">
        <v>1658</v>
      </c>
      <c r="N1754" s="1" t="s">
        <v>1658</v>
      </c>
      <c r="O1754" s="1" t="s">
        <v>1658</v>
      </c>
      <c r="P1754" s="1">
        <v>1</v>
      </c>
      <c r="Q1754" s="1" t="s">
        <v>1658</v>
      </c>
      <c r="R1754" s="1">
        <v>0</v>
      </c>
      <c r="S1754" s="6" t="s">
        <v>9526</v>
      </c>
      <c r="T1754" s="6" t="s">
        <v>9526</v>
      </c>
      <c r="W1754" s="1" t="s">
        <v>9527</v>
      </c>
      <c r="X1754" s="1" t="str">
        <f>IF(COUNTIF('MyWells Drilling Comp'!F:F,E1754)=0,"Missing","Exist")</f>
        <v>Exist</v>
      </c>
    </row>
    <row r="1755" hidden="1" spans="1:24">
      <c r="A1755" s="1" t="s">
        <v>1652</v>
      </c>
      <c r="B1755" s="1" t="s">
        <v>90</v>
      </c>
      <c r="C1755" s="1" t="s">
        <v>9528</v>
      </c>
      <c r="D1755" s="1" t="s">
        <v>9524</v>
      </c>
      <c r="E1755" s="1" t="s">
        <v>1066</v>
      </c>
      <c r="F1755" s="1" t="s">
        <v>9529</v>
      </c>
      <c r="G1755" s="1">
        <v>1</v>
      </c>
      <c r="H1755" s="1" t="s">
        <v>1656</v>
      </c>
      <c r="I1755" s="1" t="s">
        <v>1657</v>
      </c>
      <c r="J1755" s="1" t="s">
        <v>1658</v>
      </c>
      <c r="K1755" s="1" t="s">
        <v>1658</v>
      </c>
      <c r="L1755" s="1" t="s">
        <v>1658</v>
      </c>
      <c r="M1755" s="1" t="s">
        <v>1658</v>
      </c>
      <c r="N1755" s="1" t="s">
        <v>1658</v>
      </c>
      <c r="O1755" s="1" t="s">
        <v>1658</v>
      </c>
      <c r="P1755" s="1">
        <v>1</v>
      </c>
      <c r="Q1755" s="1" t="s">
        <v>1658</v>
      </c>
      <c r="R1755" s="1">
        <v>0</v>
      </c>
      <c r="S1755" s="1" t="s">
        <v>9483</v>
      </c>
      <c r="T1755" s="6"/>
      <c r="W1755" s="1" t="s">
        <v>9530</v>
      </c>
      <c r="X1755" s="1" t="str">
        <f>IF(COUNTIF('MyWells Drilling Comp'!F:F,E1755)=0,"Missing","Exist")</f>
        <v>Exist</v>
      </c>
    </row>
    <row r="1756" hidden="1" spans="1:24">
      <c r="A1756" s="1" t="s">
        <v>5265</v>
      </c>
      <c r="B1756" s="1" t="s">
        <v>90</v>
      </c>
      <c r="C1756" s="1" t="s">
        <v>9531</v>
      </c>
      <c r="D1756" s="1" t="s">
        <v>9532</v>
      </c>
      <c r="E1756" s="1" t="s">
        <v>1387</v>
      </c>
      <c r="F1756" s="1" t="s">
        <v>9533</v>
      </c>
      <c r="G1756" s="1">
        <v>1</v>
      </c>
      <c r="H1756" s="1" t="s">
        <v>1656</v>
      </c>
      <c r="I1756" s="1" t="s">
        <v>1657</v>
      </c>
      <c r="J1756" s="1" t="s">
        <v>1658</v>
      </c>
      <c r="K1756" s="1" t="s">
        <v>1658</v>
      </c>
      <c r="L1756" s="1" t="s">
        <v>1658</v>
      </c>
      <c r="M1756" s="1" t="s">
        <v>1658</v>
      </c>
      <c r="N1756" s="1" t="s">
        <v>1658</v>
      </c>
      <c r="O1756" s="1" t="s">
        <v>1658</v>
      </c>
      <c r="P1756" s="1">
        <v>1</v>
      </c>
      <c r="Q1756" s="1" t="s">
        <v>1658</v>
      </c>
      <c r="R1756" s="1">
        <v>0</v>
      </c>
      <c r="S1756" s="1" t="s">
        <v>2557</v>
      </c>
      <c r="T1756" s="6"/>
      <c r="W1756" s="1" t="s">
        <v>9534</v>
      </c>
      <c r="X1756" s="1" t="str">
        <f>IF(COUNTIF('MyWells Drilling Comp'!F:F,E1756)=0,"Missing","Exist")</f>
        <v>Exist</v>
      </c>
    </row>
    <row r="1757" hidden="1" spans="1:24">
      <c r="A1757" s="1" t="s">
        <v>5265</v>
      </c>
      <c r="B1757" s="1" t="s">
        <v>90</v>
      </c>
      <c r="C1757" s="1" t="s">
        <v>9535</v>
      </c>
      <c r="D1757" s="1" t="s">
        <v>9532</v>
      </c>
      <c r="E1757" s="1" t="s">
        <v>1387</v>
      </c>
      <c r="F1757" s="1" t="s">
        <v>9536</v>
      </c>
      <c r="G1757" s="1">
        <v>1</v>
      </c>
      <c r="H1757" s="1" t="s">
        <v>1663</v>
      </c>
      <c r="I1757" s="1" t="s">
        <v>1657</v>
      </c>
      <c r="J1757" s="1" t="s">
        <v>1658</v>
      </c>
      <c r="K1757" s="1" t="s">
        <v>1658</v>
      </c>
      <c r="L1757" s="1" t="s">
        <v>1658</v>
      </c>
      <c r="M1757" s="1" t="s">
        <v>1658</v>
      </c>
      <c r="N1757" s="1" t="s">
        <v>1658</v>
      </c>
      <c r="O1757" s="1" t="s">
        <v>1658</v>
      </c>
      <c r="P1757" s="1">
        <v>1</v>
      </c>
      <c r="Q1757" s="1" t="s">
        <v>1658</v>
      </c>
      <c r="R1757" s="1">
        <v>0</v>
      </c>
      <c r="S1757" s="6" t="s">
        <v>9537</v>
      </c>
      <c r="T1757" s="6" t="s">
        <v>9537</v>
      </c>
      <c r="W1757" s="1" t="s">
        <v>9538</v>
      </c>
      <c r="X1757" s="1" t="str">
        <f>IF(COUNTIF('MyWells Drilling Comp'!F:F,E1757)=0,"Missing","Exist")</f>
        <v>Exist</v>
      </c>
    </row>
    <row r="1758" hidden="1" spans="1:24">
      <c r="A1758" s="1" t="s">
        <v>1652</v>
      </c>
      <c r="B1758" s="1" t="s">
        <v>90</v>
      </c>
      <c r="C1758" s="1" t="s">
        <v>9539</v>
      </c>
      <c r="D1758" s="1" t="s">
        <v>9540</v>
      </c>
      <c r="E1758" s="1" t="s">
        <v>1383</v>
      </c>
      <c r="F1758" s="1" t="s">
        <v>9541</v>
      </c>
      <c r="G1758" s="1">
        <v>1</v>
      </c>
      <c r="H1758" s="1" t="s">
        <v>1656</v>
      </c>
      <c r="I1758" s="1" t="s">
        <v>1657</v>
      </c>
      <c r="J1758" s="1" t="s">
        <v>1658</v>
      </c>
      <c r="K1758" s="1" t="s">
        <v>1658</v>
      </c>
      <c r="L1758" s="1" t="s">
        <v>1658</v>
      </c>
      <c r="M1758" s="1" t="s">
        <v>1658</v>
      </c>
      <c r="N1758" s="1" t="s">
        <v>1658</v>
      </c>
      <c r="O1758" s="1" t="s">
        <v>1658</v>
      </c>
      <c r="P1758" s="1">
        <v>1</v>
      </c>
      <c r="Q1758" s="1" t="s">
        <v>1658</v>
      </c>
      <c r="R1758" s="1">
        <v>0</v>
      </c>
      <c r="S1758" s="1" t="s">
        <v>2557</v>
      </c>
      <c r="T1758" s="6"/>
      <c r="W1758" s="1" t="s">
        <v>9542</v>
      </c>
      <c r="X1758" s="1" t="str">
        <f>IF(COUNTIF('MyWells Drilling Comp'!F:F,E1758)=0,"Missing","Exist")</f>
        <v>Exist</v>
      </c>
    </row>
    <row r="1759" hidden="1" spans="1:24">
      <c r="A1759" s="1" t="s">
        <v>1652</v>
      </c>
      <c r="B1759" s="1" t="s">
        <v>90</v>
      </c>
      <c r="C1759" s="1" t="s">
        <v>9543</v>
      </c>
      <c r="D1759" s="1" t="s">
        <v>9540</v>
      </c>
      <c r="E1759" s="1" t="s">
        <v>1383</v>
      </c>
      <c r="F1759" s="1" t="s">
        <v>9544</v>
      </c>
      <c r="G1759" s="1">
        <v>1</v>
      </c>
      <c r="H1759" s="1" t="s">
        <v>1663</v>
      </c>
      <c r="I1759" s="1" t="s">
        <v>1657</v>
      </c>
      <c r="J1759" s="1" t="s">
        <v>1658</v>
      </c>
      <c r="K1759" s="1" t="s">
        <v>1658</v>
      </c>
      <c r="L1759" s="1" t="s">
        <v>1658</v>
      </c>
      <c r="M1759" s="1" t="s">
        <v>1658</v>
      </c>
      <c r="N1759" s="1" t="s">
        <v>1658</v>
      </c>
      <c r="O1759" s="1" t="s">
        <v>1658</v>
      </c>
      <c r="P1759" s="1">
        <v>1</v>
      </c>
      <c r="Q1759" s="1" t="s">
        <v>1658</v>
      </c>
      <c r="R1759" s="1">
        <v>0</v>
      </c>
      <c r="S1759" s="6" t="s">
        <v>9545</v>
      </c>
      <c r="T1759" s="6" t="s">
        <v>9545</v>
      </c>
      <c r="W1759" s="1" t="s">
        <v>9546</v>
      </c>
      <c r="X1759" s="1" t="str">
        <f>IF(COUNTIF('MyWells Drilling Comp'!F:F,E1759)=0,"Missing","Exist")</f>
        <v>Exist</v>
      </c>
    </row>
    <row r="1760" hidden="1" spans="1:24">
      <c r="A1760" s="1" t="s">
        <v>5265</v>
      </c>
      <c r="B1760" s="1" t="s">
        <v>90</v>
      </c>
      <c r="C1760" s="1" t="s">
        <v>9547</v>
      </c>
      <c r="D1760" s="1" t="s">
        <v>9548</v>
      </c>
      <c r="E1760" s="1" t="s">
        <v>1386</v>
      </c>
      <c r="F1760" s="1" t="s">
        <v>9549</v>
      </c>
      <c r="G1760" s="1">
        <v>1</v>
      </c>
      <c r="H1760" s="1" t="s">
        <v>1663</v>
      </c>
      <c r="I1760" s="1" t="s">
        <v>1657</v>
      </c>
      <c r="J1760" s="1" t="s">
        <v>1658</v>
      </c>
      <c r="K1760" s="1" t="s">
        <v>1658</v>
      </c>
      <c r="L1760" s="1" t="s">
        <v>1658</v>
      </c>
      <c r="M1760" s="1" t="s">
        <v>1658</v>
      </c>
      <c r="N1760" s="1" t="s">
        <v>1658</v>
      </c>
      <c r="O1760" s="1" t="s">
        <v>1658</v>
      </c>
      <c r="P1760" s="1">
        <v>1</v>
      </c>
      <c r="Q1760" s="1" t="s">
        <v>1658</v>
      </c>
      <c r="R1760" s="1">
        <v>0</v>
      </c>
      <c r="S1760" s="6" t="s">
        <v>9550</v>
      </c>
      <c r="T1760" s="6" t="s">
        <v>9550</v>
      </c>
      <c r="W1760" s="1" t="s">
        <v>9551</v>
      </c>
      <c r="X1760" s="1" t="str">
        <f>IF(COUNTIF('MyWells Drilling Comp'!F:F,E1760)=0,"Missing","Exist")</f>
        <v>Exist</v>
      </c>
    </row>
    <row r="1761" hidden="1" spans="1:24">
      <c r="A1761" s="1" t="s">
        <v>5265</v>
      </c>
      <c r="B1761" s="1" t="s">
        <v>90</v>
      </c>
      <c r="C1761" s="1" t="s">
        <v>9552</v>
      </c>
      <c r="D1761" s="1" t="s">
        <v>9548</v>
      </c>
      <c r="E1761" s="1" t="s">
        <v>1386</v>
      </c>
      <c r="F1761" s="1" t="s">
        <v>9553</v>
      </c>
      <c r="G1761" s="1">
        <v>1</v>
      </c>
      <c r="H1761" s="1" t="s">
        <v>1656</v>
      </c>
      <c r="I1761" s="1" t="s">
        <v>1657</v>
      </c>
      <c r="J1761" s="1" t="s">
        <v>1658</v>
      </c>
      <c r="K1761" s="1" t="s">
        <v>1658</v>
      </c>
      <c r="L1761" s="1" t="s">
        <v>1658</v>
      </c>
      <c r="M1761" s="1" t="s">
        <v>1658</v>
      </c>
      <c r="N1761" s="1" t="s">
        <v>1658</v>
      </c>
      <c r="O1761" s="1" t="s">
        <v>1658</v>
      </c>
      <c r="P1761" s="1">
        <v>1</v>
      </c>
      <c r="Q1761" s="1" t="s">
        <v>1658</v>
      </c>
      <c r="R1761" s="1">
        <v>0</v>
      </c>
      <c r="S1761" s="1" t="s">
        <v>2557</v>
      </c>
      <c r="T1761" s="6"/>
      <c r="W1761" s="1" t="s">
        <v>9554</v>
      </c>
      <c r="X1761" s="1" t="str">
        <f>IF(COUNTIF('MyWells Drilling Comp'!F:F,E1761)=0,"Missing","Exist")</f>
        <v>Exist</v>
      </c>
    </row>
    <row r="1762" hidden="1" spans="1:24">
      <c r="A1762" s="1" t="s">
        <v>5265</v>
      </c>
      <c r="B1762" s="1" t="s">
        <v>90</v>
      </c>
      <c r="C1762" s="1" t="s">
        <v>9555</v>
      </c>
      <c r="D1762" s="1" t="s">
        <v>9556</v>
      </c>
      <c r="E1762" s="1" t="s">
        <v>1626</v>
      </c>
      <c r="F1762" s="1" t="s">
        <v>9557</v>
      </c>
      <c r="G1762" s="1">
        <v>1</v>
      </c>
      <c r="H1762" s="1" t="s">
        <v>1663</v>
      </c>
      <c r="I1762" s="1" t="s">
        <v>1657</v>
      </c>
      <c r="J1762" s="1" t="s">
        <v>1658</v>
      </c>
      <c r="K1762" s="1" t="s">
        <v>1658</v>
      </c>
      <c r="L1762" s="1" t="s">
        <v>1658</v>
      </c>
      <c r="M1762" s="1" t="s">
        <v>1658</v>
      </c>
      <c r="N1762" s="1" t="s">
        <v>1658</v>
      </c>
      <c r="O1762" s="1" t="s">
        <v>1658</v>
      </c>
      <c r="P1762" s="1">
        <v>1</v>
      </c>
      <c r="Q1762" s="1" t="s">
        <v>1658</v>
      </c>
      <c r="R1762" s="1">
        <v>0</v>
      </c>
      <c r="S1762" s="1" t="s">
        <v>3556</v>
      </c>
      <c r="T1762" s="6"/>
      <c r="W1762" s="1" t="s">
        <v>9558</v>
      </c>
      <c r="X1762" s="1" t="str">
        <f>IF(COUNTIF('MyWells Drilling Comp'!F:F,E1762)=0,"Missing","Exist")</f>
        <v>Exist</v>
      </c>
    </row>
    <row r="1763" hidden="1" spans="1:24">
      <c r="A1763" s="1" t="s">
        <v>5265</v>
      </c>
      <c r="B1763" s="1" t="s">
        <v>90</v>
      </c>
      <c r="C1763" s="1" t="s">
        <v>9559</v>
      </c>
      <c r="D1763" s="1" t="s">
        <v>9556</v>
      </c>
      <c r="E1763" s="1" t="s">
        <v>1626</v>
      </c>
      <c r="F1763" s="1" t="s">
        <v>9560</v>
      </c>
      <c r="G1763" s="1">
        <v>1</v>
      </c>
      <c r="H1763" s="1" t="s">
        <v>1656</v>
      </c>
      <c r="I1763" s="1" t="s">
        <v>1657</v>
      </c>
      <c r="J1763" s="1" t="s">
        <v>1658</v>
      </c>
      <c r="K1763" s="1" t="s">
        <v>1658</v>
      </c>
      <c r="L1763" s="1" t="s">
        <v>1658</v>
      </c>
      <c r="M1763" s="1" t="s">
        <v>1658</v>
      </c>
      <c r="N1763" s="1" t="s">
        <v>1658</v>
      </c>
      <c r="O1763" s="1" t="s">
        <v>1658</v>
      </c>
      <c r="P1763" s="1">
        <v>1</v>
      </c>
      <c r="Q1763" s="1" t="s">
        <v>1658</v>
      </c>
      <c r="R1763" s="1">
        <v>0</v>
      </c>
      <c r="S1763" s="1" t="s">
        <v>3552</v>
      </c>
      <c r="T1763" s="6"/>
      <c r="W1763" s="1" t="s">
        <v>9561</v>
      </c>
      <c r="X1763" s="1" t="str">
        <f>IF(COUNTIF('MyWells Drilling Comp'!F:F,E1763)=0,"Missing","Exist")</f>
        <v>Exist</v>
      </c>
    </row>
    <row r="1764" hidden="1" spans="1:24">
      <c r="A1764" s="1" t="s">
        <v>5265</v>
      </c>
      <c r="B1764" s="1" t="s">
        <v>90</v>
      </c>
      <c r="C1764" s="1" t="s">
        <v>6224</v>
      </c>
      <c r="D1764" s="1" t="s">
        <v>6225</v>
      </c>
      <c r="E1764" s="1" t="s">
        <v>729</v>
      </c>
      <c r="F1764" s="1" t="s">
        <v>9562</v>
      </c>
      <c r="G1764" s="1">
        <v>1</v>
      </c>
      <c r="H1764" s="1" t="s">
        <v>1656</v>
      </c>
      <c r="I1764" s="1" t="s">
        <v>1657</v>
      </c>
      <c r="J1764" s="1" t="s">
        <v>1658</v>
      </c>
      <c r="K1764" s="1" t="s">
        <v>1658</v>
      </c>
      <c r="L1764" s="1" t="s">
        <v>1658</v>
      </c>
      <c r="M1764" s="1" t="s">
        <v>1658</v>
      </c>
      <c r="N1764" s="1" t="s">
        <v>1658</v>
      </c>
      <c r="O1764" s="1" t="s">
        <v>1658</v>
      </c>
      <c r="P1764" s="1">
        <v>1</v>
      </c>
      <c r="Q1764" s="1" t="s">
        <v>1658</v>
      </c>
      <c r="R1764" s="1">
        <v>0</v>
      </c>
      <c r="S1764" s="1" t="s">
        <v>5948</v>
      </c>
      <c r="T1764" s="6"/>
      <c r="W1764" s="1" t="s">
        <v>9563</v>
      </c>
      <c r="X1764" s="1" t="str">
        <f>IF(COUNTIF('MyWells Drilling Comp'!F:F,E1764)=0,"Missing","Exist")</f>
        <v>Exist</v>
      </c>
    </row>
    <row r="1765" hidden="1" spans="1:24">
      <c r="A1765" s="1" t="s">
        <v>5265</v>
      </c>
      <c r="B1765" s="1" t="s">
        <v>90</v>
      </c>
      <c r="C1765" s="7" t="s">
        <v>9564</v>
      </c>
      <c r="D1765" s="1" t="s">
        <v>9565</v>
      </c>
      <c r="E1765" s="1" t="s">
        <v>925</v>
      </c>
      <c r="F1765" s="1" t="s">
        <v>9566</v>
      </c>
      <c r="G1765" s="1">
        <v>1</v>
      </c>
      <c r="H1765" s="1" t="s">
        <v>1656</v>
      </c>
      <c r="I1765" s="1" t="s">
        <v>1657</v>
      </c>
      <c r="J1765" s="1" t="s">
        <v>1658</v>
      </c>
      <c r="K1765" s="1" t="s">
        <v>1658</v>
      </c>
      <c r="L1765" s="1" t="s">
        <v>1658</v>
      </c>
      <c r="M1765" s="1" t="s">
        <v>1658</v>
      </c>
      <c r="N1765" s="1" t="s">
        <v>1658</v>
      </c>
      <c r="O1765" s="1" t="s">
        <v>1658</v>
      </c>
      <c r="P1765" s="1">
        <v>1</v>
      </c>
      <c r="Q1765" s="1" t="s">
        <v>1658</v>
      </c>
      <c r="R1765" s="1">
        <v>0</v>
      </c>
      <c r="S1765" s="6" t="s">
        <v>9567</v>
      </c>
      <c r="T1765" s="6" t="s">
        <v>9567</v>
      </c>
      <c r="W1765" s="1" t="s">
        <v>9568</v>
      </c>
      <c r="X1765" s="1" t="str">
        <f>IF(COUNTIF('MyWells Drilling Comp'!F:F,E1765)=0,"Missing","Exist")</f>
        <v>Exist</v>
      </c>
    </row>
    <row r="1766" hidden="1" spans="1:24">
      <c r="A1766" s="1" t="s">
        <v>5265</v>
      </c>
      <c r="B1766" s="1" t="s">
        <v>90</v>
      </c>
      <c r="C1766" s="1" t="s">
        <v>9569</v>
      </c>
      <c r="D1766" s="1" t="s">
        <v>9565</v>
      </c>
      <c r="E1766" s="1" t="s">
        <v>925</v>
      </c>
      <c r="F1766" s="1" t="s">
        <v>9570</v>
      </c>
      <c r="G1766" s="1">
        <v>1</v>
      </c>
      <c r="H1766" s="1" t="s">
        <v>1663</v>
      </c>
      <c r="I1766" s="1" t="s">
        <v>1657</v>
      </c>
      <c r="J1766" s="1" t="s">
        <v>1658</v>
      </c>
      <c r="K1766" s="1" t="s">
        <v>1658</v>
      </c>
      <c r="L1766" s="1" t="s">
        <v>1658</v>
      </c>
      <c r="M1766" s="1" t="s">
        <v>1658</v>
      </c>
      <c r="N1766" s="1" t="s">
        <v>1658</v>
      </c>
      <c r="O1766" s="1" t="s">
        <v>1658</v>
      </c>
      <c r="P1766" s="1">
        <v>1</v>
      </c>
      <c r="Q1766" s="1" t="s">
        <v>1658</v>
      </c>
      <c r="R1766" s="1">
        <v>0</v>
      </c>
      <c r="S1766" s="6" t="s">
        <v>9571</v>
      </c>
      <c r="T1766" s="6" t="s">
        <v>9571</v>
      </c>
      <c r="W1766" s="1" t="s">
        <v>9572</v>
      </c>
      <c r="X1766" s="1" t="str">
        <f>IF(COUNTIF('MyWells Drilling Comp'!F:F,E1766)=0,"Missing","Exist")</f>
        <v>Exist</v>
      </c>
    </row>
    <row r="1767" hidden="1" spans="1:24">
      <c r="A1767" s="1" t="s">
        <v>5265</v>
      </c>
      <c r="B1767" s="1" t="s">
        <v>90</v>
      </c>
      <c r="C1767" s="1" t="s">
        <v>9573</v>
      </c>
      <c r="D1767" s="1" t="s">
        <v>9574</v>
      </c>
      <c r="E1767" s="1" t="s">
        <v>928</v>
      </c>
      <c r="F1767" s="1" t="s">
        <v>9575</v>
      </c>
      <c r="G1767" s="1">
        <v>1</v>
      </c>
      <c r="H1767" s="1" t="s">
        <v>1663</v>
      </c>
      <c r="I1767" s="1" t="s">
        <v>1657</v>
      </c>
      <c r="J1767" s="1" t="s">
        <v>1658</v>
      </c>
      <c r="K1767" s="1" t="s">
        <v>1658</v>
      </c>
      <c r="L1767" s="1" t="s">
        <v>1658</v>
      </c>
      <c r="M1767" s="1" t="s">
        <v>1658</v>
      </c>
      <c r="N1767" s="1" t="s">
        <v>1658</v>
      </c>
      <c r="O1767" s="1" t="s">
        <v>1658</v>
      </c>
      <c r="P1767" s="1">
        <v>1</v>
      </c>
      <c r="Q1767" s="1" t="s">
        <v>1658</v>
      </c>
      <c r="R1767" s="1">
        <v>0</v>
      </c>
      <c r="S1767" s="6" t="s">
        <v>9576</v>
      </c>
      <c r="T1767" s="6" t="s">
        <v>9576</v>
      </c>
      <c r="W1767" s="1" t="s">
        <v>9577</v>
      </c>
      <c r="X1767" s="1" t="str">
        <f>IF(COUNTIF('MyWells Drilling Comp'!F:F,E1767)=0,"Missing","Exist")</f>
        <v>Exist</v>
      </c>
    </row>
    <row r="1768" hidden="1" spans="1:24">
      <c r="A1768" s="1" t="s">
        <v>5265</v>
      </c>
      <c r="B1768" s="1" t="s">
        <v>90</v>
      </c>
      <c r="C1768" s="1" t="s">
        <v>9578</v>
      </c>
      <c r="D1768" s="1" t="s">
        <v>9574</v>
      </c>
      <c r="E1768" s="1" t="s">
        <v>928</v>
      </c>
      <c r="F1768" s="1" t="s">
        <v>9579</v>
      </c>
      <c r="G1768" s="1">
        <v>1</v>
      </c>
      <c r="H1768" s="1" t="s">
        <v>1656</v>
      </c>
      <c r="I1768" s="1" t="s">
        <v>1657</v>
      </c>
      <c r="J1768" s="1" t="s">
        <v>1658</v>
      </c>
      <c r="K1768" s="1" t="s">
        <v>1658</v>
      </c>
      <c r="L1768" s="1" t="s">
        <v>1658</v>
      </c>
      <c r="M1768" s="1" t="s">
        <v>1658</v>
      </c>
      <c r="N1768" s="1" t="s">
        <v>1658</v>
      </c>
      <c r="O1768" s="1" t="s">
        <v>1658</v>
      </c>
      <c r="P1768" s="1">
        <v>1</v>
      </c>
      <c r="Q1768" s="1" t="s">
        <v>1658</v>
      </c>
      <c r="R1768" s="1">
        <v>0</v>
      </c>
      <c r="S1768" s="6" t="s">
        <v>9580</v>
      </c>
      <c r="T1768" s="6" t="s">
        <v>9580</v>
      </c>
      <c r="W1768" s="1" t="s">
        <v>9581</v>
      </c>
      <c r="X1768" s="1" t="str">
        <f>IF(COUNTIF('MyWells Drilling Comp'!F:F,E1768)=0,"Missing","Exist")</f>
        <v>Exist</v>
      </c>
    </row>
    <row r="1769" hidden="1" spans="1:24">
      <c r="A1769" s="1" t="s">
        <v>1652</v>
      </c>
      <c r="B1769" s="1" t="s">
        <v>90</v>
      </c>
      <c r="C1769" s="1" t="s">
        <v>9582</v>
      </c>
      <c r="D1769" s="1" t="s">
        <v>9583</v>
      </c>
      <c r="E1769" s="1" t="s">
        <v>649</v>
      </c>
      <c r="F1769" s="1" t="s">
        <v>9584</v>
      </c>
      <c r="G1769" s="1">
        <v>1</v>
      </c>
      <c r="H1769" s="1" t="s">
        <v>1656</v>
      </c>
      <c r="I1769" s="1" t="s">
        <v>1657</v>
      </c>
      <c r="J1769" s="1" t="s">
        <v>1658</v>
      </c>
      <c r="K1769" s="1" t="s">
        <v>1658</v>
      </c>
      <c r="L1769" s="1" t="s">
        <v>1658</v>
      </c>
      <c r="M1769" s="1" t="s">
        <v>1658</v>
      </c>
      <c r="N1769" s="1" t="s">
        <v>1658</v>
      </c>
      <c r="O1769" s="1" t="s">
        <v>1658</v>
      </c>
      <c r="P1769" s="1">
        <v>1</v>
      </c>
      <c r="Q1769" s="1" t="s">
        <v>1658</v>
      </c>
      <c r="R1769" s="1">
        <v>0</v>
      </c>
      <c r="S1769" s="1" t="s">
        <v>2252</v>
      </c>
      <c r="T1769" s="6"/>
      <c r="W1769" s="1" t="s">
        <v>9585</v>
      </c>
      <c r="X1769" s="1" t="str">
        <f>IF(COUNTIF('MyWells Drilling Comp'!F:F,E1769)=0,"Missing","Exist")</f>
        <v>Exist</v>
      </c>
    </row>
    <row r="1770" hidden="1" spans="1:24">
      <c r="A1770" s="1" t="s">
        <v>1652</v>
      </c>
      <c r="B1770" s="1" t="s">
        <v>90</v>
      </c>
      <c r="C1770" s="1" t="s">
        <v>9586</v>
      </c>
      <c r="D1770" s="1" t="s">
        <v>9583</v>
      </c>
      <c r="E1770" s="1" t="s">
        <v>649</v>
      </c>
      <c r="F1770" s="1" t="s">
        <v>9587</v>
      </c>
      <c r="G1770" s="1">
        <v>1</v>
      </c>
      <c r="H1770" s="1" t="s">
        <v>1663</v>
      </c>
      <c r="I1770" s="1" t="s">
        <v>1657</v>
      </c>
      <c r="J1770" s="1" t="s">
        <v>1658</v>
      </c>
      <c r="K1770" s="1" t="s">
        <v>1658</v>
      </c>
      <c r="L1770" s="1" t="s">
        <v>1658</v>
      </c>
      <c r="M1770" s="1" t="s">
        <v>1658</v>
      </c>
      <c r="N1770" s="1" t="s">
        <v>1658</v>
      </c>
      <c r="O1770" s="1" t="s">
        <v>1658</v>
      </c>
      <c r="P1770" s="1">
        <v>1</v>
      </c>
      <c r="Q1770" s="1" t="s">
        <v>1658</v>
      </c>
      <c r="R1770" s="1">
        <v>0</v>
      </c>
      <c r="S1770" s="1" t="s">
        <v>9588</v>
      </c>
      <c r="T1770" s="6"/>
      <c r="W1770" s="1" t="s">
        <v>9589</v>
      </c>
      <c r="X1770" s="1" t="str">
        <f>IF(COUNTIF('MyWells Drilling Comp'!F:F,E1770)=0,"Missing","Exist")</f>
        <v>Exist</v>
      </c>
    </row>
    <row r="1771" hidden="1" spans="1:24">
      <c r="A1771" s="1" t="s">
        <v>5265</v>
      </c>
      <c r="B1771" s="1" t="s">
        <v>90</v>
      </c>
      <c r="C1771" s="1" t="s">
        <v>9590</v>
      </c>
      <c r="D1771" s="1" t="s">
        <v>9591</v>
      </c>
      <c r="E1771" s="1" t="s">
        <v>918</v>
      </c>
      <c r="F1771" s="1" t="s">
        <v>9592</v>
      </c>
      <c r="G1771" s="1">
        <v>1</v>
      </c>
      <c r="H1771" s="1" t="s">
        <v>1663</v>
      </c>
      <c r="I1771" s="1" t="s">
        <v>1657</v>
      </c>
      <c r="J1771" s="1" t="s">
        <v>1658</v>
      </c>
      <c r="K1771" s="1" t="s">
        <v>1658</v>
      </c>
      <c r="L1771" s="1" t="s">
        <v>1658</v>
      </c>
      <c r="M1771" s="1" t="s">
        <v>1658</v>
      </c>
      <c r="N1771" s="1" t="s">
        <v>1658</v>
      </c>
      <c r="O1771" s="1" t="s">
        <v>1658</v>
      </c>
      <c r="P1771" s="1">
        <v>1</v>
      </c>
      <c r="Q1771" s="1" t="s">
        <v>1658</v>
      </c>
      <c r="R1771" s="1">
        <v>0</v>
      </c>
      <c r="S1771" s="6" t="s">
        <v>9593</v>
      </c>
      <c r="T1771" s="6" t="s">
        <v>9593</v>
      </c>
      <c r="W1771" s="1" t="s">
        <v>9594</v>
      </c>
      <c r="X1771" s="1" t="str">
        <f>IF(COUNTIF('MyWells Drilling Comp'!F:F,E1771)=0,"Missing","Exist")</f>
        <v>Exist</v>
      </c>
    </row>
    <row r="1772" hidden="1" spans="1:24">
      <c r="A1772" s="1" t="s">
        <v>5265</v>
      </c>
      <c r="B1772" s="1" t="s">
        <v>90</v>
      </c>
      <c r="C1772" s="1" t="s">
        <v>9595</v>
      </c>
      <c r="D1772" s="1" t="s">
        <v>9591</v>
      </c>
      <c r="E1772" s="1" t="s">
        <v>918</v>
      </c>
      <c r="F1772" s="1" t="s">
        <v>9596</v>
      </c>
      <c r="G1772" s="1">
        <v>1</v>
      </c>
      <c r="H1772" s="1" t="s">
        <v>1656</v>
      </c>
      <c r="I1772" s="1" t="s">
        <v>1657</v>
      </c>
      <c r="J1772" s="1" t="s">
        <v>1658</v>
      </c>
      <c r="K1772" s="1" t="s">
        <v>1658</v>
      </c>
      <c r="L1772" s="1" t="s">
        <v>1658</v>
      </c>
      <c r="M1772" s="1" t="s">
        <v>1658</v>
      </c>
      <c r="N1772" s="1" t="s">
        <v>1658</v>
      </c>
      <c r="O1772" s="1" t="s">
        <v>1658</v>
      </c>
      <c r="P1772" s="1">
        <v>1</v>
      </c>
      <c r="Q1772" s="1" t="s">
        <v>1658</v>
      </c>
      <c r="R1772" s="1">
        <v>0</v>
      </c>
      <c r="S1772" s="6" t="s">
        <v>9597</v>
      </c>
      <c r="T1772" s="6" t="s">
        <v>9597</v>
      </c>
      <c r="W1772" s="1" t="s">
        <v>9598</v>
      </c>
      <c r="X1772" s="1" t="str">
        <f>IF(COUNTIF('MyWells Drilling Comp'!F:F,E1772)=0,"Missing","Exist")</f>
        <v>Exist</v>
      </c>
    </row>
    <row r="1773" hidden="1" spans="1:24">
      <c r="A1773" s="1" t="s">
        <v>1652</v>
      </c>
      <c r="B1773" s="1" t="s">
        <v>90</v>
      </c>
      <c r="C1773" s="1" t="s">
        <v>9599</v>
      </c>
      <c r="D1773" s="1" t="s">
        <v>9600</v>
      </c>
      <c r="E1773" s="1" t="s">
        <v>843</v>
      </c>
      <c r="F1773" s="1" t="s">
        <v>9601</v>
      </c>
      <c r="G1773" s="1">
        <v>1</v>
      </c>
      <c r="H1773" s="1" t="s">
        <v>1656</v>
      </c>
      <c r="I1773" s="1" t="s">
        <v>1657</v>
      </c>
      <c r="J1773" s="1" t="s">
        <v>1658</v>
      </c>
      <c r="K1773" s="1" t="s">
        <v>1658</v>
      </c>
      <c r="L1773" s="1" t="s">
        <v>1658</v>
      </c>
      <c r="M1773" s="1" t="s">
        <v>1658</v>
      </c>
      <c r="N1773" s="1" t="s">
        <v>1658</v>
      </c>
      <c r="O1773" s="1" t="s">
        <v>1658</v>
      </c>
      <c r="P1773" s="1">
        <v>1</v>
      </c>
      <c r="Q1773" s="1" t="s">
        <v>1658</v>
      </c>
      <c r="R1773" s="1">
        <v>0</v>
      </c>
      <c r="S1773" s="6" t="s">
        <v>9602</v>
      </c>
      <c r="T1773" s="6" t="s">
        <v>9602</v>
      </c>
      <c r="W1773" s="1" t="s">
        <v>9603</v>
      </c>
      <c r="X1773" s="1" t="str">
        <f>IF(COUNTIF('MyWells Drilling Comp'!F:F,E1773)=0,"Missing","Exist")</f>
        <v>Exist</v>
      </c>
    </row>
    <row r="1774" hidden="1" spans="1:24">
      <c r="A1774" s="1" t="s">
        <v>1652</v>
      </c>
      <c r="B1774" s="1" t="s">
        <v>90</v>
      </c>
      <c r="C1774" s="1" t="s">
        <v>9604</v>
      </c>
      <c r="D1774" s="1" t="s">
        <v>9600</v>
      </c>
      <c r="E1774" s="1" t="s">
        <v>843</v>
      </c>
      <c r="F1774" s="1" t="s">
        <v>9605</v>
      </c>
      <c r="G1774" s="1">
        <v>1</v>
      </c>
      <c r="H1774" s="1" t="s">
        <v>1663</v>
      </c>
      <c r="I1774" s="1" t="s">
        <v>1657</v>
      </c>
      <c r="J1774" s="1" t="s">
        <v>1658</v>
      </c>
      <c r="K1774" s="1" t="s">
        <v>1658</v>
      </c>
      <c r="L1774" s="1" t="s">
        <v>1658</v>
      </c>
      <c r="M1774" s="1" t="s">
        <v>1658</v>
      </c>
      <c r="N1774" s="1" t="s">
        <v>1658</v>
      </c>
      <c r="O1774" s="1" t="s">
        <v>1658</v>
      </c>
      <c r="P1774" s="1">
        <v>1</v>
      </c>
      <c r="Q1774" s="1" t="s">
        <v>1658</v>
      </c>
      <c r="R1774" s="1">
        <v>0</v>
      </c>
      <c r="S1774" s="6" t="s">
        <v>9606</v>
      </c>
      <c r="T1774" s="6" t="s">
        <v>9606</v>
      </c>
      <c r="W1774" s="1" t="s">
        <v>9607</v>
      </c>
      <c r="X1774" s="1" t="str">
        <f>IF(COUNTIF('MyWells Drilling Comp'!F:F,E1774)=0,"Missing","Exist")</f>
        <v>Exist</v>
      </c>
    </row>
    <row r="1775" hidden="1" spans="1:24">
      <c r="A1775" s="1" t="s">
        <v>1652</v>
      </c>
      <c r="B1775" s="1" t="s">
        <v>90</v>
      </c>
      <c r="C1775" s="1" t="s">
        <v>9608</v>
      </c>
      <c r="D1775" s="1" t="s">
        <v>9609</v>
      </c>
      <c r="E1775" s="1" t="s">
        <v>1629</v>
      </c>
      <c r="F1775" s="1" t="s">
        <v>9610</v>
      </c>
      <c r="G1775" s="1">
        <v>1</v>
      </c>
      <c r="H1775" s="1" t="s">
        <v>1656</v>
      </c>
      <c r="I1775" s="1" t="s">
        <v>1657</v>
      </c>
      <c r="J1775" s="1" t="s">
        <v>1658</v>
      </c>
      <c r="K1775" s="1" t="s">
        <v>1658</v>
      </c>
      <c r="L1775" s="1" t="s">
        <v>1658</v>
      </c>
      <c r="M1775" s="1" t="s">
        <v>1658</v>
      </c>
      <c r="N1775" s="1" t="s">
        <v>1658</v>
      </c>
      <c r="O1775" s="1" t="s">
        <v>1658</v>
      </c>
      <c r="P1775" s="1">
        <v>1</v>
      </c>
      <c r="Q1775" s="1" t="s">
        <v>1658</v>
      </c>
      <c r="R1775" s="1">
        <v>0</v>
      </c>
      <c r="S1775" s="1" t="s">
        <v>9611</v>
      </c>
      <c r="T1775" s="6"/>
      <c r="W1775" s="1" t="s">
        <v>9612</v>
      </c>
      <c r="X1775" s="1" t="str">
        <f>IF(COUNTIF('MyWells Drilling Comp'!F:F,E1775)=0,"Missing","Exist")</f>
        <v>Exist</v>
      </c>
    </row>
    <row r="1776" hidden="1" spans="1:24">
      <c r="A1776" s="1" t="s">
        <v>1652</v>
      </c>
      <c r="B1776" s="1" t="s">
        <v>90</v>
      </c>
      <c r="C1776" s="1" t="s">
        <v>9613</v>
      </c>
      <c r="D1776" s="1" t="s">
        <v>9609</v>
      </c>
      <c r="E1776" s="1" t="s">
        <v>1629</v>
      </c>
      <c r="F1776" s="1" t="s">
        <v>9614</v>
      </c>
      <c r="G1776" s="1">
        <v>1</v>
      </c>
      <c r="H1776" s="1" t="s">
        <v>1663</v>
      </c>
      <c r="I1776" s="1" t="s">
        <v>1657</v>
      </c>
      <c r="J1776" s="1" t="s">
        <v>1658</v>
      </c>
      <c r="K1776" s="1" t="s">
        <v>1658</v>
      </c>
      <c r="L1776" s="1" t="s">
        <v>1658</v>
      </c>
      <c r="M1776" s="1" t="s">
        <v>1658</v>
      </c>
      <c r="N1776" s="1" t="s">
        <v>1658</v>
      </c>
      <c r="O1776" s="1" t="s">
        <v>1658</v>
      </c>
      <c r="P1776" s="1">
        <v>1</v>
      </c>
      <c r="Q1776" s="1" t="s">
        <v>1658</v>
      </c>
      <c r="R1776" s="1">
        <v>0</v>
      </c>
      <c r="S1776" s="6" t="s">
        <v>9615</v>
      </c>
      <c r="T1776" s="6" t="s">
        <v>9615</v>
      </c>
      <c r="W1776" s="1" t="s">
        <v>9616</v>
      </c>
      <c r="X1776" s="1" t="str">
        <f>IF(COUNTIF('MyWells Drilling Comp'!F:F,E1776)=0,"Missing","Exist")</f>
        <v>Exist</v>
      </c>
    </row>
    <row r="1777" hidden="1" spans="1:24">
      <c r="A1777" s="1" t="s">
        <v>1652</v>
      </c>
      <c r="B1777" s="1" t="s">
        <v>90</v>
      </c>
      <c r="C1777" s="1" t="s">
        <v>9617</v>
      </c>
      <c r="D1777" s="1" t="s">
        <v>9618</v>
      </c>
      <c r="E1777" s="1" t="s">
        <v>210</v>
      </c>
      <c r="F1777" s="1" t="s">
        <v>9619</v>
      </c>
      <c r="G1777" s="1">
        <v>1</v>
      </c>
      <c r="H1777" s="1" t="s">
        <v>1656</v>
      </c>
      <c r="I1777" s="1" t="s">
        <v>1657</v>
      </c>
      <c r="J1777" s="1" t="s">
        <v>1658</v>
      </c>
      <c r="K1777" s="1" t="s">
        <v>1658</v>
      </c>
      <c r="L1777" s="1" t="s">
        <v>1658</v>
      </c>
      <c r="M1777" s="1" t="s">
        <v>1658</v>
      </c>
      <c r="N1777" s="1" t="s">
        <v>1658</v>
      </c>
      <c r="O1777" s="1" t="s">
        <v>1658</v>
      </c>
      <c r="P1777" s="1">
        <v>1</v>
      </c>
      <c r="Q1777" s="1" t="s">
        <v>1658</v>
      </c>
      <c r="R1777" s="1">
        <v>0</v>
      </c>
      <c r="S1777" s="1" t="s">
        <v>9620</v>
      </c>
      <c r="T1777" s="6"/>
      <c r="W1777" s="1" t="s">
        <v>9621</v>
      </c>
      <c r="X1777" s="1" t="str">
        <f>IF(COUNTIF('MyWells Drilling Comp'!F:F,E1777)=0,"Missing","Exist")</f>
        <v>Exist</v>
      </c>
    </row>
    <row r="1778" hidden="1" spans="1:24">
      <c r="A1778" s="1" t="s">
        <v>1652</v>
      </c>
      <c r="B1778" s="1" t="s">
        <v>90</v>
      </c>
      <c r="C1778" s="1" t="s">
        <v>9622</v>
      </c>
      <c r="D1778" s="1" t="s">
        <v>9618</v>
      </c>
      <c r="E1778" s="1" t="s">
        <v>210</v>
      </c>
      <c r="F1778" s="1" t="s">
        <v>9623</v>
      </c>
      <c r="G1778" s="1">
        <v>1</v>
      </c>
      <c r="H1778" s="1" t="s">
        <v>1663</v>
      </c>
      <c r="I1778" s="1" t="s">
        <v>1657</v>
      </c>
      <c r="J1778" s="1" t="s">
        <v>1658</v>
      </c>
      <c r="K1778" s="1" t="s">
        <v>1658</v>
      </c>
      <c r="L1778" s="1" t="s">
        <v>1658</v>
      </c>
      <c r="M1778" s="1" t="s">
        <v>1658</v>
      </c>
      <c r="N1778" s="1" t="s">
        <v>1658</v>
      </c>
      <c r="O1778" s="1" t="s">
        <v>1658</v>
      </c>
      <c r="P1778" s="1">
        <v>1</v>
      </c>
      <c r="Q1778" s="1" t="s">
        <v>1658</v>
      </c>
      <c r="R1778" s="1">
        <v>0</v>
      </c>
      <c r="S1778" s="1" t="s">
        <v>9624</v>
      </c>
      <c r="T1778" s="6"/>
      <c r="W1778" s="1" t="s">
        <v>9625</v>
      </c>
      <c r="X1778" s="1" t="str">
        <f>IF(COUNTIF('MyWells Drilling Comp'!F:F,E1778)=0,"Missing","Exist")</f>
        <v>Exist</v>
      </c>
    </row>
    <row r="1779" hidden="1" spans="1:24">
      <c r="A1779" s="1" t="s">
        <v>1652</v>
      </c>
      <c r="B1779" s="1" t="s">
        <v>90</v>
      </c>
      <c r="C1779" s="1" t="s">
        <v>9626</v>
      </c>
      <c r="D1779" s="1" t="s">
        <v>9627</v>
      </c>
      <c r="E1779" s="1" t="s">
        <v>959</v>
      </c>
      <c r="F1779" s="1" t="s">
        <v>9628</v>
      </c>
      <c r="G1779" s="1">
        <v>1</v>
      </c>
      <c r="H1779" s="1" t="s">
        <v>1656</v>
      </c>
      <c r="I1779" s="1" t="s">
        <v>1657</v>
      </c>
      <c r="J1779" s="1" t="s">
        <v>1658</v>
      </c>
      <c r="K1779" s="1" t="s">
        <v>1658</v>
      </c>
      <c r="L1779" s="1" t="s">
        <v>1658</v>
      </c>
      <c r="M1779" s="1" t="s">
        <v>1658</v>
      </c>
      <c r="N1779" s="1" t="s">
        <v>1658</v>
      </c>
      <c r="O1779" s="1" t="s">
        <v>1658</v>
      </c>
      <c r="P1779" s="1">
        <v>1</v>
      </c>
      <c r="Q1779" s="1" t="s">
        <v>1658</v>
      </c>
      <c r="R1779" s="1">
        <v>0</v>
      </c>
      <c r="S1779" s="6" t="s">
        <v>9629</v>
      </c>
      <c r="T1779" s="6" t="s">
        <v>9629</v>
      </c>
      <c r="W1779" s="1" t="s">
        <v>9630</v>
      </c>
      <c r="X1779" s="1" t="str">
        <f>IF(COUNTIF('MyWells Drilling Comp'!F:F,E1779)=0,"Missing","Exist")</f>
        <v>Exist</v>
      </c>
    </row>
    <row r="1780" hidden="1" spans="1:24">
      <c r="A1780" s="1" t="s">
        <v>1652</v>
      </c>
      <c r="B1780" s="1" t="s">
        <v>90</v>
      </c>
      <c r="C1780" s="1" t="s">
        <v>9631</v>
      </c>
      <c r="D1780" s="1" t="s">
        <v>9627</v>
      </c>
      <c r="E1780" s="1" t="s">
        <v>959</v>
      </c>
      <c r="F1780" s="1" t="s">
        <v>9632</v>
      </c>
      <c r="G1780" s="1">
        <v>1</v>
      </c>
      <c r="H1780" s="1" t="s">
        <v>1663</v>
      </c>
      <c r="I1780" s="1" t="s">
        <v>1657</v>
      </c>
      <c r="J1780" s="1" t="s">
        <v>1658</v>
      </c>
      <c r="K1780" s="1" t="s">
        <v>1658</v>
      </c>
      <c r="L1780" s="1" t="s">
        <v>1658</v>
      </c>
      <c r="M1780" s="1" t="s">
        <v>1658</v>
      </c>
      <c r="N1780" s="1" t="s">
        <v>1658</v>
      </c>
      <c r="O1780" s="1" t="s">
        <v>1658</v>
      </c>
      <c r="P1780" s="1">
        <v>1</v>
      </c>
      <c r="Q1780" s="1" t="s">
        <v>1658</v>
      </c>
      <c r="R1780" s="1">
        <v>0</v>
      </c>
      <c r="S1780" s="6" t="s">
        <v>9633</v>
      </c>
      <c r="T1780" s="6" t="s">
        <v>9633</v>
      </c>
      <c r="W1780" s="1" t="s">
        <v>9634</v>
      </c>
      <c r="X1780" s="1" t="str">
        <f>IF(COUNTIF('MyWells Drilling Comp'!F:F,E1780)=0,"Missing","Exist")</f>
        <v>Exist</v>
      </c>
    </row>
    <row r="1781" hidden="1" spans="1:24">
      <c r="A1781" s="1" t="s">
        <v>1652</v>
      </c>
      <c r="B1781" s="1" t="s">
        <v>90</v>
      </c>
      <c r="C1781" s="1" t="s">
        <v>9635</v>
      </c>
      <c r="D1781" s="1" t="s">
        <v>9636</v>
      </c>
      <c r="E1781" s="1" t="s">
        <v>1085</v>
      </c>
      <c r="F1781" s="1" t="s">
        <v>9637</v>
      </c>
      <c r="G1781" s="1">
        <v>1</v>
      </c>
      <c r="H1781" s="1" t="s">
        <v>1656</v>
      </c>
      <c r="I1781" s="1" t="s">
        <v>1657</v>
      </c>
      <c r="J1781" s="1" t="s">
        <v>1658</v>
      </c>
      <c r="K1781" s="1" t="s">
        <v>1658</v>
      </c>
      <c r="L1781" s="1" t="s">
        <v>1658</v>
      </c>
      <c r="M1781" s="1" t="s">
        <v>1658</v>
      </c>
      <c r="N1781" s="1" t="s">
        <v>1658</v>
      </c>
      <c r="O1781" s="1" t="s">
        <v>1658</v>
      </c>
      <c r="P1781" s="1">
        <v>1</v>
      </c>
      <c r="Q1781" s="1" t="s">
        <v>1658</v>
      </c>
      <c r="R1781" s="1">
        <v>0</v>
      </c>
      <c r="S1781" s="6" t="s">
        <v>9638</v>
      </c>
      <c r="T1781" s="6" t="s">
        <v>9638</v>
      </c>
      <c r="W1781" s="1" t="s">
        <v>9639</v>
      </c>
      <c r="X1781" s="1" t="str">
        <f>IF(COUNTIF('MyWells Drilling Comp'!F:F,E1781)=0,"Missing","Exist")</f>
        <v>Exist</v>
      </c>
    </row>
    <row r="1782" hidden="1" spans="1:24">
      <c r="A1782" s="1" t="s">
        <v>1652</v>
      </c>
      <c r="B1782" s="1" t="s">
        <v>90</v>
      </c>
      <c r="C1782" s="1" t="s">
        <v>9640</v>
      </c>
      <c r="D1782" s="1" t="s">
        <v>9636</v>
      </c>
      <c r="E1782" s="1" t="s">
        <v>1085</v>
      </c>
      <c r="F1782" s="1" t="s">
        <v>9641</v>
      </c>
      <c r="G1782" s="1">
        <v>1</v>
      </c>
      <c r="H1782" s="1" t="s">
        <v>1663</v>
      </c>
      <c r="I1782" s="1" t="s">
        <v>1657</v>
      </c>
      <c r="J1782" s="1" t="s">
        <v>1658</v>
      </c>
      <c r="K1782" s="1" t="s">
        <v>1658</v>
      </c>
      <c r="L1782" s="1" t="s">
        <v>1658</v>
      </c>
      <c r="M1782" s="1" t="s">
        <v>1658</v>
      </c>
      <c r="N1782" s="1" t="s">
        <v>1658</v>
      </c>
      <c r="O1782" s="1" t="s">
        <v>1658</v>
      </c>
      <c r="P1782" s="1">
        <v>1</v>
      </c>
      <c r="Q1782" s="1" t="s">
        <v>1658</v>
      </c>
      <c r="R1782" s="1">
        <v>0</v>
      </c>
      <c r="S1782" s="1" t="s">
        <v>9642</v>
      </c>
      <c r="T1782" s="6"/>
      <c r="W1782" s="1" t="s">
        <v>9643</v>
      </c>
      <c r="X1782" s="1" t="str">
        <f>IF(COUNTIF('MyWells Drilling Comp'!F:F,E1782)=0,"Missing","Exist")</f>
        <v>Exist</v>
      </c>
    </row>
    <row r="1783" hidden="1" spans="1:24">
      <c r="A1783" s="1" t="s">
        <v>1652</v>
      </c>
      <c r="B1783" s="1" t="s">
        <v>90</v>
      </c>
      <c r="C1783" s="1" t="s">
        <v>9644</v>
      </c>
      <c r="D1783" s="1" t="s">
        <v>9645</v>
      </c>
      <c r="E1783" s="1" t="s">
        <v>1206</v>
      </c>
      <c r="F1783" s="1" t="s">
        <v>9646</v>
      </c>
      <c r="G1783" s="1">
        <v>1</v>
      </c>
      <c r="H1783" s="1" t="s">
        <v>1663</v>
      </c>
      <c r="I1783" s="1" t="s">
        <v>1657</v>
      </c>
      <c r="J1783" s="1" t="s">
        <v>1658</v>
      </c>
      <c r="K1783" s="1" t="s">
        <v>1658</v>
      </c>
      <c r="L1783" s="1" t="s">
        <v>1658</v>
      </c>
      <c r="M1783" s="1" t="s">
        <v>1658</v>
      </c>
      <c r="N1783" s="1" t="s">
        <v>1658</v>
      </c>
      <c r="O1783" s="1" t="s">
        <v>1658</v>
      </c>
      <c r="P1783" s="1">
        <v>1</v>
      </c>
      <c r="Q1783" s="1" t="s">
        <v>1658</v>
      </c>
      <c r="R1783" s="1">
        <v>0</v>
      </c>
      <c r="S1783" s="6" t="s">
        <v>9647</v>
      </c>
      <c r="T1783" s="6" t="s">
        <v>9647</v>
      </c>
      <c r="W1783" s="1" t="s">
        <v>9648</v>
      </c>
      <c r="X1783" s="1" t="str">
        <f>IF(COUNTIF('MyWells Drilling Comp'!F:F,E1783)=0,"Missing","Exist")</f>
        <v>Exist</v>
      </c>
    </row>
    <row r="1784" hidden="1" spans="1:24">
      <c r="A1784" s="1" t="s">
        <v>1652</v>
      </c>
      <c r="B1784" s="1" t="s">
        <v>90</v>
      </c>
      <c r="C1784" s="1" t="s">
        <v>9649</v>
      </c>
      <c r="D1784" s="1" t="s">
        <v>9645</v>
      </c>
      <c r="E1784" s="1" t="s">
        <v>1206</v>
      </c>
      <c r="F1784" s="1" t="s">
        <v>9650</v>
      </c>
      <c r="G1784" s="1">
        <v>1</v>
      </c>
      <c r="H1784" s="1" t="s">
        <v>1656</v>
      </c>
      <c r="I1784" s="1" t="s">
        <v>1657</v>
      </c>
      <c r="J1784" s="1" t="s">
        <v>1658</v>
      </c>
      <c r="K1784" s="1" t="s">
        <v>1658</v>
      </c>
      <c r="L1784" s="1" t="s">
        <v>1658</v>
      </c>
      <c r="M1784" s="1" t="s">
        <v>1658</v>
      </c>
      <c r="N1784" s="1" t="s">
        <v>1658</v>
      </c>
      <c r="O1784" s="1" t="s">
        <v>1658</v>
      </c>
      <c r="P1784" s="1">
        <v>1</v>
      </c>
      <c r="Q1784" s="1" t="s">
        <v>1658</v>
      </c>
      <c r="R1784" s="1">
        <v>0</v>
      </c>
      <c r="S1784" s="1" t="s">
        <v>9651</v>
      </c>
      <c r="T1784" s="6"/>
      <c r="W1784" s="1" t="s">
        <v>9652</v>
      </c>
      <c r="X1784" s="1" t="str">
        <f>IF(COUNTIF('MyWells Drilling Comp'!F:F,E1784)=0,"Missing","Exist")</f>
        <v>Exist</v>
      </c>
    </row>
    <row r="1785" hidden="1" spans="1:24">
      <c r="A1785" s="1" t="s">
        <v>1652</v>
      </c>
      <c r="B1785" s="1" t="s">
        <v>90</v>
      </c>
      <c r="C1785" s="1" t="s">
        <v>9653</v>
      </c>
      <c r="D1785" s="1" t="s">
        <v>9654</v>
      </c>
      <c r="E1785" s="1" t="s">
        <v>1086</v>
      </c>
      <c r="F1785" s="1" t="s">
        <v>9655</v>
      </c>
      <c r="G1785" s="1">
        <v>1</v>
      </c>
      <c r="H1785" s="1" t="s">
        <v>1656</v>
      </c>
      <c r="I1785" s="1" t="s">
        <v>1657</v>
      </c>
      <c r="J1785" s="1" t="s">
        <v>1658</v>
      </c>
      <c r="K1785" s="1" t="s">
        <v>1658</v>
      </c>
      <c r="L1785" s="1" t="s">
        <v>1658</v>
      </c>
      <c r="M1785" s="1" t="s">
        <v>1658</v>
      </c>
      <c r="N1785" s="1" t="s">
        <v>1658</v>
      </c>
      <c r="O1785" s="1" t="s">
        <v>1658</v>
      </c>
      <c r="P1785" s="1">
        <v>1</v>
      </c>
      <c r="Q1785" s="1" t="s">
        <v>1658</v>
      </c>
      <c r="R1785" s="1">
        <v>0</v>
      </c>
      <c r="S1785" s="6" t="s">
        <v>9656</v>
      </c>
      <c r="T1785" s="6" t="s">
        <v>9656</v>
      </c>
      <c r="W1785" s="1" t="s">
        <v>9657</v>
      </c>
      <c r="X1785" s="1" t="str">
        <f>IF(COUNTIF('MyWells Drilling Comp'!F:F,E1785)=0,"Missing","Exist")</f>
        <v>Exist</v>
      </c>
    </row>
    <row r="1786" hidden="1" spans="1:24">
      <c r="A1786" s="1" t="s">
        <v>1652</v>
      </c>
      <c r="B1786" s="1" t="s">
        <v>90</v>
      </c>
      <c r="C1786" s="1" t="s">
        <v>9658</v>
      </c>
      <c r="D1786" s="1" t="s">
        <v>9654</v>
      </c>
      <c r="E1786" s="1" t="s">
        <v>1086</v>
      </c>
      <c r="F1786" s="1" t="s">
        <v>9659</v>
      </c>
      <c r="G1786" s="1">
        <v>1</v>
      </c>
      <c r="H1786" s="1" t="s">
        <v>1663</v>
      </c>
      <c r="I1786" s="1" t="s">
        <v>1657</v>
      </c>
      <c r="J1786" s="1" t="s">
        <v>1658</v>
      </c>
      <c r="K1786" s="1" t="s">
        <v>1658</v>
      </c>
      <c r="L1786" s="1" t="s">
        <v>1658</v>
      </c>
      <c r="M1786" s="1" t="s">
        <v>1658</v>
      </c>
      <c r="N1786" s="1" t="s">
        <v>1658</v>
      </c>
      <c r="O1786" s="1" t="s">
        <v>1658</v>
      </c>
      <c r="P1786" s="1">
        <v>1</v>
      </c>
      <c r="Q1786" s="1" t="s">
        <v>1658</v>
      </c>
      <c r="R1786" s="1">
        <v>0</v>
      </c>
      <c r="S1786" s="1" t="s">
        <v>9660</v>
      </c>
      <c r="T1786" s="6"/>
      <c r="W1786" s="1" t="s">
        <v>9661</v>
      </c>
      <c r="X1786" s="1" t="str">
        <f>IF(COUNTIF('MyWells Drilling Comp'!F:F,E1786)=0,"Missing","Exist")</f>
        <v>Exist</v>
      </c>
    </row>
    <row r="1787" hidden="1" spans="1:24">
      <c r="A1787" s="1" t="s">
        <v>1652</v>
      </c>
      <c r="B1787" s="1" t="s">
        <v>90</v>
      </c>
      <c r="C1787" s="1" t="s">
        <v>9662</v>
      </c>
      <c r="D1787" s="1" t="s">
        <v>9663</v>
      </c>
      <c r="E1787" s="1" t="s">
        <v>1445</v>
      </c>
      <c r="F1787" s="1" t="s">
        <v>9664</v>
      </c>
      <c r="G1787" s="1">
        <v>1</v>
      </c>
      <c r="H1787" s="1" t="s">
        <v>1656</v>
      </c>
      <c r="I1787" s="1" t="s">
        <v>1657</v>
      </c>
      <c r="J1787" s="1" t="s">
        <v>1658</v>
      </c>
      <c r="K1787" s="1" t="s">
        <v>1658</v>
      </c>
      <c r="L1787" s="1" t="s">
        <v>1658</v>
      </c>
      <c r="M1787" s="1" t="s">
        <v>1658</v>
      </c>
      <c r="N1787" s="1" t="s">
        <v>1658</v>
      </c>
      <c r="O1787" s="1" t="s">
        <v>1658</v>
      </c>
      <c r="P1787" s="1">
        <v>1</v>
      </c>
      <c r="Q1787" s="1" t="s">
        <v>1658</v>
      </c>
      <c r="R1787" s="1">
        <v>0</v>
      </c>
      <c r="S1787" s="1" t="s">
        <v>2948</v>
      </c>
      <c r="T1787" s="6"/>
      <c r="W1787" s="1" t="s">
        <v>9665</v>
      </c>
      <c r="X1787" s="1" t="str">
        <f>IF(COUNTIF('MyWells Drilling Comp'!F:F,E1787)=0,"Missing","Exist")</f>
        <v>Exist</v>
      </c>
    </row>
    <row r="1788" hidden="1" spans="1:24">
      <c r="A1788" s="1" t="s">
        <v>1652</v>
      </c>
      <c r="B1788" s="1" t="s">
        <v>90</v>
      </c>
      <c r="C1788" s="1" t="s">
        <v>9666</v>
      </c>
      <c r="D1788" s="1" t="s">
        <v>9663</v>
      </c>
      <c r="E1788" s="1" t="s">
        <v>1445</v>
      </c>
      <c r="F1788" s="1" t="s">
        <v>9667</v>
      </c>
      <c r="G1788" s="1">
        <v>1</v>
      </c>
      <c r="H1788" s="1" t="s">
        <v>1663</v>
      </c>
      <c r="I1788" s="1" t="s">
        <v>1657</v>
      </c>
      <c r="J1788" s="1" t="s">
        <v>1658</v>
      </c>
      <c r="K1788" s="1" t="s">
        <v>1658</v>
      </c>
      <c r="L1788" s="1" t="s">
        <v>1658</v>
      </c>
      <c r="M1788" s="1" t="s">
        <v>1658</v>
      </c>
      <c r="N1788" s="1" t="s">
        <v>1658</v>
      </c>
      <c r="O1788" s="1" t="s">
        <v>1658</v>
      </c>
      <c r="P1788" s="1">
        <v>1</v>
      </c>
      <c r="Q1788" s="1" t="s">
        <v>1658</v>
      </c>
      <c r="R1788" s="1">
        <v>0</v>
      </c>
      <c r="S1788" s="6" t="s">
        <v>9668</v>
      </c>
      <c r="T1788" s="6" t="s">
        <v>9668</v>
      </c>
      <c r="W1788" s="1" t="s">
        <v>9669</v>
      </c>
      <c r="X1788" s="1" t="str">
        <f>IF(COUNTIF('MyWells Drilling Comp'!F:F,E1788)=0,"Missing","Exist")</f>
        <v>Exist</v>
      </c>
    </row>
    <row r="1789" hidden="1" spans="1:24">
      <c r="A1789" s="1" t="s">
        <v>1652</v>
      </c>
      <c r="B1789" s="1" t="s">
        <v>90</v>
      </c>
      <c r="C1789" s="1" t="s">
        <v>9670</v>
      </c>
      <c r="D1789" s="1" t="s">
        <v>9671</v>
      </c>
      <c r="E1789" s="1" t="s">
        <v>1447</v>
      </c>
      <c r="F1789" s="1" t="s">
        <v>9672</v>
      </c>
      <c r="G1789" s="1">
        <v>1</v>
      </c>
      <c r="H1789" s="1" t="s">
        <v>1663</v>
      </c>
      <c r="I1789" s="1" t="s">
        <v>1657</v>
      </c>
      <c r="J1789" s="1" t="s">
        <v>1658</v>
      </c>
      <c r="K1789" s="1" t="s">
        <v>1658</v>
      </c>
      <c r="L1789" s="1" t="s">
        <v>1658</v>
      </c>
      <c r="M1789" s="1" t="s">
        <v>1658</v>
      </c>
      <c r="N1789" s="1" t="s">
        <v>1658</v>
      </c>
      <c r="O1789" s="1" t="s">
        <v>1658</v>
      </c>
      <c r="P1789" s="1">
        <v>1</v>
      </c>
      <c r="Q1789" s="1" t="s">
        <v>1658</v>
      </c>
      <c r="R1789" s="1">
        <v>0</v>
      </c>
      <c r="S1789" s="6" t="s">
        <v>9673</v>
      </c>
      <c r="T1789" s="6" t="s">
        <v>9673</v>
      </c>
      <c r="W1789" s="1" t="s">
        <v>9674</v>
      </c>
      <c r="X1789" s="1" t="str">
        <f>IF(COUNTIF('MyWells Drilling Comp'!F:F,E1789)=0,"Missing","Exist")</f>
        <v>Exist</v>
      </c>
    </row>
    <row r="1790" hidden="1" spans="1:24">
      <c r="A1790" s="1" t="s">
        <v>1652</v>
      </c>
      <c r="B1790" s="1" t="s">
        <v>90</v>
      </c>
      <c r="C1790" s="1" t="s">
        <v>9675</v>
      </c>
      <c r="D1790" s="1" t="s">
        <v>9671</v>
      </c>
      <c r="E1790" s="1" t="s">
        <v>1447</v>
      </c>
      <c r="F1790" s="1" t="s">
        <v>9676</v>
      </c>
      <c r="G1790" s="1">
        <v>1</v>
      </c>
      <c r="H1790" s="1" t="s">
        <v>1656</v>
      </c>
      <c r="I1790" s="1" t="s">
        <v>1657</v>
      </c>
      <c r="J1790" s="1" t="s">
        <v>1658</v>
      </c>
      <c r="K1790" s="1" t="s">
        <v>1658</v>
      </c>
      <c r="L1790" s="1" t="s">
        <v>1658</v>
      </c>
      <c r="M1790" s="1" t="s">
        <v>1658</v>
      </c>
      <c r="N1790" s="1" t="s">
        <v>1658</v>
      </c>
      <c r="O1790" s="1" t="s">
        <v>1658</v>
      </c>
      <c r="P1790" s="1">
        <v>1</v>
      </c>
      <c r="Q1790" s="1" t="s">
        <v>1658</v>
      </c>
      <c r="R1790" s="1">
        <v>0</v>
      </c>
      <c r="S1790" s="1" t="s">
        <v>2948</v>
      </c>
      <c r="T1790" s="6"/>
      <c r="W1790" s="1" t="s">
        <v>9677</v>
      </c>
      <c r="X1790" s="1" t="str">
        <f>IF(COUNTIF('MyWells Drilling Comp'!F:F,E1790)=0,"Missing","Exist")</f>
        <v>Exist</v>
      </c>
    </row>
    <row r="1791" hidden="1" spans="1:24">
      <c r="A1791" s="1" t="s">
        <v>1652</v>
      </c>
      <c r="B1791" s="1" t="s">
        <v>90</v>
      </c>
      <c r="C1791" s="1" t="s">
        <v>9678</v>
      </c>
      <c r="D1791" s="1" t="s">
        <v>9679</v>
      </c>
      <c r="E1791" s="1" t="s">
        <v>1409</v>
      </c>
      <c r="F1791" s="1" t="s">
        <v>9680</v>
      </c>
      <c r="G1791" s="1">
        <v>1</v>
      </c>
      <c r="H1791" s="1" t="s">
        <v>1656</v>
      </c>
      <c r="I1791" s="1" t="s">
        <v>1657</v>
      </c>
      <c r="J1791" s="1" t="s">
        <v>1658</v>
      </c>
      <c r="K1791" s="1" t="s">
        <v>1658</v>
      </c>
      <c r="L1791" s="1" t="s">
        <v>1658</v>
      </c>
      <c r="M1791" s="1" t="s">
        <v>1658</v>
      </c>
      <c r="N1791" s="1" t="s">
        <v>1658</v>
      </c>
      <c r="O1791" s="1" t="s">
        <v>1658</v>
      </c>
      <c r="P1791" s="1">
        <v>1</v>
      </c>
      <c r="Q1791" s="1" t="s">
        <v>1658</v>
      </c>
      <c r="R1791" s="1">
        <v>0</v>
      </c>
      <c r="S1791" s="1" t="s">
        <v>2280</v>
      </c>
      <c r="T1791" s="6"/>
      <c r="W1791" s="1" t="s">
        <v>9681</v>
      </c>
      <c r="X1791" s="1" t="str">
        <f>IF(COUNTIF('MyWells Drilling Comp'!F:F,E1791)=0,"Missing","Exist")</f>
        <v>Exist</v>
      </c>
    </row>
    <row r="1792" hidden="1" spans="1:24">
      <c r="A1792" s="1" t="s">
        <v>1652</v>
      </c>
      <c r="B1792" s="1" t="s">
        <v>90</v>
      </c>
      <c r="C1792" s="1" t="s">
        <v>9682</v>
      </c>
      <c r="D1792" s="1" t="s">
        <v>9679</v>
      </c>
      <c r="E1792" s="1" t="s">
        <v>1409</v>
      </c>
      <c r="F1792" s="1" t="s">
        <v>9683</v>
      </c>
      <c r="G1792" s="1">
        <v>1</v>
      </c>
      <c r="H1792" s="1" t="s">
        <v>1663</v>
      </c>
      <c r="I1792" s="1" t="s">
        <v>1657</v>
      </c>
      <c r="J1792" s="1" t="s">
        <v>1658</v>
      </c>
      <c r="K1792" s="1" t="s">
        <v>1658</v>
      </c>
      <c r="L1792" s="1" t="s">
        <v>1658</v>
      </c>
      <c r="M1792" s="1" t="s">
        <v>1658</v>
      </c>
      <c r="N1792" s="1" t="s">
        <v>1658</v>
      </c>
      <c r="O1792" s="1" t="s">
        <v>1658</v>
      </c>
      <c r="P1792" s="1">
        <v>1</v>
      </c>
      <c r="Q1792" s="1" t="s">
        <v>1658</v>
      </c>
      <c r="R1792" s="1">
        <v>0</v>
      </c>
      <c r="S1792" s="6" t="s">
        <v>9684</v>
      </c>
      <c r="T1792" s="6" t="s">
        <v>9684</v>
      </c>
      <c r="W1792" s="1" t="s">
        <v>9685</v>
      </c>
      <c r="X1792" s="1" t="str">
        <f>IF(COUNTIF('MyWells Drilling Comp'!F:F,E1792)=0,"Missing","Exist")</f>
        <v>Exist</v>
      </c>
    </row>
    <row r="1793" hidden="1" spans="1:24">
      <c r="A1793" s="1" t="s">
        <v>1652</v>
      </c>
      <c r="B1793" s="1" t="s">
        <v>90</v>
      </c>
      <c r="C1793" s="1" t="s">
        <v>9686</v>
      </c>
      <c r="D1793" s="1" t="s">
        <v>9687</v>
      </c>
      <c r="E1793" s="1" t="s">
        <v>1407</v>
      </c>
      <c r="F1793" s="1" t="s">
        <v>9688</v>
      </c>
      <c r="G1793" s="1">
        <v>1</v>
      </c>
      <c r="H1793" s="1" t="s">
        <v>1656</v>
      </c>
      <c r="I1793" s="1" t="s">
        <v>1657</v>
      </c>
      <c r="J1793" s="1" t="s">
        <v>1658</v>
      </c>
      <c r="K1793" s="1" t="s">
        <v>1658</v>
      </c>
      <c r="L1793" s="1" t="s">
        <v>1658</v>
      </c>
      <c r="M1793" s="1" t="s">
        <v>1658</v>
      </c>
      <c r="N1793" s="1" t="s">
        <v>1658</v>
      </c>
      <c r="O1793" s="1" t="s">
        <v>1658</v>
      </c>
      <c r="P1793" s="1">
        <v>1</v>
      </c>
      <c r="Q1793" s="1" t="s">
        <v>1658</v>
      </c>
      <c r="R1793" s="1">
        <v>0</v>
      </c>
      <c r="S1793" s="1" t="s">
        <v>2280</v>
      </c>
      <c r="T1793" s="6"/>
      <c r="W1793" s="1" t="s">
        <v>9689</v>
      </c>
      <c r="X1793" s="1" t="str">
        <f>IF(COUNTIF('MyWells Drilling Comp'!F:F,E1793)=0,"Missing","Exist")</f>
        <v>Exist</v>
      </c>
    </row>
    <row r="1794" hidden="1" spans="1:24">
      <c r="A1794" s="1" t="s">
        <v>1652</v>
      </c>
      <c r="B1794" s="1" t="s">
        <v>90</v>
      </c>
      <c r="C1794" s="1" t="s">
        <v>9690</v>
      </c>
      <c r="D1794" s="1" t="s">
        <v>9687</v>
      </c>
      <c r="E1794" s="1" t="s">
        <v>1407</v>
      </c>
      <c r="F1794" s="1" t="s">
        <v>9691</v>
      </c>
      <c r="G1794" s="1">
        <v>1</v>
      </c>
      <c r="H1794" s="1" t="s">
        <v>1663</v>
      </c>
      <c r="I1794" s="1" t="s">
        <v>1657</v>
      </c>
      <c r="J1794" s="1" t="s">
        <v>1658</v>
      </c>
      <c r="K1794" s="1" t="s">
        <v>1658</v>
      </c>
      <c r="L1794" s="1" t="s">
        <v>1658</v>
      </c>
      <c r="M1794" s="1" t="s">
        <v>1658</v>
      </c>
      <c r="N1794" s="1" t="s">
        <v>1658</v>
      </c>
      <c r="O1794" s="1" t="s">
        <v>1658</v>
      </c>
      <c r="P1794" s="1">
        <v>1</v>
      </c>
      <c r="Q1794" s="1" t="s">
        <v>1658</v>
      </c>
      <c r="R1794" s="1">
        <v>0</v>
      </c>
      <c r="S1794" s="6" t="s">
        <v>9692</v>
      </c>
      <c r="T1794" s="6" t="s">
        <v>9692</v>
      </c>
      <c r="W1794" s="1" t="s">
        <v>9693</v>
      </c>
      <c r="X1794" s="1" t="str">
        <f>IF(COUNTIF('MyWells Drilling Comp'!F:F,E1794)=0,"Missing","Exist")</f>
        <v>Exist</v>
      </c>
    </row>
    <row r="1795" hidden="1" spans="1:24">
      <c r="A1795" s="1" t="s">
        <v>1652</v>
      </c>
      <c r="B1795" s="1" t="s">
        <v>90</v>
      </c>
      <c r="C1795" s="1" t="s">
        <v>9694</v>
      </c>
      <c r="D1795" s="1" t="s">
        <v>9695</v>
      </c>
      <c r="E1795" s="1" t="s">
        <v>1408</v>
      </c>
      <c r="F1795" s="1" t="s">
        <v>9696</v>
      </c>
      <c r="G1795" s="1">
        <v>1</v>
      </c>
      <c r="H1795" s="1" t="s">
        <v>1656</v>
      </c>
      <c r="I1795" s="1" t="s">
        <v>1657</v>
      </c>
      <c r="J1795" s="1" t="s">
        <v>1658</v>
      </c>
      <c r="K1795" s="1" t="s">
        <v>1658</v>
      </c>
      <c r="L1795" s="1" t="s">
        <v>1658</v>
      </c>
      <c r="M1795" s="1" t="s">
        <v>1658</v>
      </c>
      <c r="N1795" s="1" t="s">
        <v>1658</v>
      </c>
      <c r="O1795" s="1" t="s">
        <v>1658</v>
      </c>
      <c r="P1795" s="1">
        <v>1</v>
      </c>
      <c r="Q1795" s="1" t="s">
        <v>1658</v>
      </c>
      <c r="R1795" s="1">
        <v>0</v>
      </c>
      <c r="S1795" s="1" t="s">
        <v>2280</v>
      </c>
      <c r="T1795" s="6"/>
      <c r="W1795" s="1" t="s">
        <v>9697</v>
      </c>
      <c r="X1795" s="1" t="str">
        <f>IF(COUNTIF('MyWells Drilling Comp'!F:F,E1795)=0,"Missing","Exist")</f>
        <v>Exist</v>
      </c>
    </row>
    <row r="1796" hidden="1" spans="1:24">
      <c r="A1796" s="1" t="s">
        <v>1652</v>
      </c>
      <c r="B1796" s="1" t="s">
        <v>90</v>
      </c>
      <c r="C1796" s="1" t="s">
        <v>9698</v>
      </c>
      <c r="D1796" s="1" t="s">
        <v>9695</v>
      </c>
      <c r="E1796" s="1" t="s">
        <v>1408</v>
      </c>
      <c r="F1796" s="1" t="s">
        <v>9699</v>
      </c>
      <c r="G1796" s="1">
        <v>1</v>
      </c>
      <c r="H1796" s="1" t="s">
        <v>1663</v>
      </c>
      <c r="I1796" s="1" t="s">
        <v>1657</v>
      </c>
      <c r="J1796" s="1" t="s">
        <v>1658</v>
      </c>
      <c r="K1796" s="1" t="s">
        <v>1658</v>
      </c>
      <c r="L1796" s="1" t="s">
        <v>1658</v>
      </c>
      <c r="M1796" s="1" t="s">
        <v>1658</v>
      </c>
      <c r="N1796" s="1" t="s">
        <v>1658</v>
      </c>
      <c r="O1796" s="1" t="s">
        <v>1658</v>
      </c>
      <c r="P1796" s="1">
        <v>1</v>
      </c>
      <c r="Q1796" s="1" t="s">
        <v>1658</v>
      </c>
      <c r="R1796" s="1">
        <v>0</v>
      </c>
      <c r="S1796" s="6" t="s">
        <v>9700</v>
      </c>
      <c r="T1796" s="6" t="s">
        <v>9700</v>
      </c>
      <c r="W1796" s="1" t="s">
        <v>9701</v>
      </c>
      <c r="X1796" s="1" t="str">
        <f>IF(COUNTIF('MyWells Drilling Comp'!F:F,E1796)=0,"Missing","Exist")</f>
        <v>Exist</v>
      </c>
    </row>
    <row r="1797" hidden="1" spans="1:24">
      <c r="A1797" s="1" t="s">
        <v>5265</v>
      </c>
      <c r="B1797" s="1" t="s">
        <v>90</v>
      </c>
      <c r="C1797" s="1" t="s">
        <v>9702</v>
      </c>
      <c r="D1797" s="1" t="s">
        <v>9703</v>
      </c>
      <c r="E1797" s="1" t="s">
        <v>1392</v>
      </c>
      <c r="F1797" s="1" t="s">
        <v>9704</v>
      </c>
      <c r="G1797" s="1">
        <v>1</v>
      </c>
      <c r="H1797" s="1" t="s">
        <v>1656</v>
      </c>
      <c r="I1797" s="1" t="s">
        <v>1657</v>
      </c>
      <c r="J1797" s="1" t="s">
        <v>1658</v>
      </c>
      <c r="K1797" s="1" t="s">
        <v>1658</v>
      </c>
      <c r="L1797" s="1" t="s">
        <v>1658</v>
      </c>
      <c r="M1797" s="1" t="s">
        <v>1658</v>
      </c>
      <c r="N1797" s="1" t="s">
        <v>1658</v>
      </c>
      <c r="O1797" s="1" t="s">
        <v>1658</v>
      </c>
      <c r="P1797" s="1">
        <v>1</v>
      </c>
      <c r="Q1797" s="1" t="s">
        <v>1658</v>
      </c>
      <c r="R1797" s="1">
        <v>0</v>
      </c>
      <c r="S1797" s="1" t="s">
        <v>4090</v>
      </c>
      <c r="T1797" s="6"/>
      <c r="W1797" s="1" t="s">
        <v>9705</v>
      </c>
      <c r="X1797" s="1" t="str">
        <f>IF(COUNTIF('MyWells Drilling Comp'!F:F,E1797)=0,"Missing","Exist")</f>
        <v>Exist</v>
      </c>
    </row>
    <row r="1798" hidden="1" spans="1:24">
      <c r="A1798" s="1" t="s">
        <v>5265</v>
      </c>
      <c r="B1798" s="1" t="s">
        <v>90</v>
      </c>
      <c r="C1798" s="1" t="s">
        <v>9706</v>
      </c>
      <c r="D1798" s="1" t="s">
        <v>9703</v>
      </c>
      <c r="E1798" s="1" t="s">
        <v>1392</v>
      </c>
      <c r="F1798" s="1" t="s">
        <v>9707</v>
      </c>
      <c r="G1798" s="1">
        <v>1</v>
      </c>
      <c r="H1798" s="1" t="s">
        <v>1663</v>
      </c>
      <c r="I1798" s="1" t="s">
        <v>1657</v>
      </c>
      <c r="J1798" s="1" t="s">
        <v>1658</v>
      </c>
      <c r="K1798" s="1" t="s">
        <v>1658</v>
      </c>
      <c r="L1798" s="1" t="s">
        <v>1658</v>
      </c>
      <c r="M1798" s="1" t="s">
        <v>1658</v>
      </c>
      <c r="N1798" s="1" t="s">
        <v>1658</v>
      </c>
      <c r="O1798" s="1" t="s">
        <v>1658</v>
      </c>
      <c r="P1798" s="1">
        <v>1</v>
      </c>
      <c r="Q1798" s="1" t="s">
        <v>1658</v>
      </c>
      <c r="R1798" s="1">
        <v>0</v>
      </c>
      <c r="S1798" s="6" t="s">
        <v>9708</v>
      </c>
      <c r="T1798" s="6" t="s">
        <v>9708</v>
      </c>
      <c r="W1798" s="1" t="s">
        <v>9709</v>
      </c>
      <c r="X1798" s="1" t="str">
        <f>IF(COUNTIF('MyWells Drilling Comp'!F:F,E1798)=0,"Missing","Exist")</f>
        <v>Exist</v>
      </c>
    </row>
    <row r="1799" hidden="1" spans="1:24">
      <c r="A1799" s="1" t="s">
        <v>5265</v>
      </c>
      <c r="B1799" s="1" t="s">
        <v>90</v>
      </c>
      <c r="C1799" s="1" t="s">
        <v>7011</v>
      </c>
      <c r="D1799" s="1" t="s">
        <v>7007</v>
      </c>
      <c r="E1799" s="1" t="s">
        <v>726</v>
      </c>
      <c r="F1799" s="1" t="s">
        <v>9710</v>
      </c>
      <c r="G1799" s="1">
        <v>1</v>
      </c>
      <c r="H1799" s="1" t="s">
        <v>1656</v>
      </c>
      <c r="I1799" s="1" t="s">
        <v>1657</v>
      </c>
      <c r="J1799" s="1" t="s">
        <v>1658</v>
      </c>
      <c r="K1799" s="1" t="s">
        <v>1658</v>
      </c>
      <c r="L1799" s="1" t="s">
        <v>1658</v>
      </c>
      <c r="M1799" s="1" t="s">
        <v>1658</v>
      </c>
      <c r="N1799" s="1" t="s">
        <v>1658</v>
      </c>
      <c r="O1799" s="1" t="s">
        <v>1658</v>
      </c>
      <c r="P1799" s="1">
        <v>1</v>
      </c>
      <c r="Q1799" s="1" t="s">
        <v>1658</v>
      </c>
      <c r="R1799" s="1">
        <v>0</v>
      </c>
      <c r="S1799" s="1" t="s">
        <v>5948</v>
      </c>
      <c r="T1799" s="6"/>
      <c r="W1799" s="1" t="s">
        <v>9711</v>
      </c>
      <c r="X1799" s="1" t="str">
        <f>IF(COUNTIF('MyWells Drilling Comp'!F:F,E1799)=0,"Missing","Exist")</f>
        <v>Exist</v>
      </c>
    </row>
    <row r="1800" hidden="1" spans="1:24">
      <c r="A1800" s="1" t="s">
        <v>1652</v>
      </c>
      <c r="B1800" s="1" t="s">
        <v>90</v>
      </c>
      <c r="C1800" s="1" t="s">
        <v>9712</v>
      </c>
      <c r="D1800" s="1" t="s">
        <v>9713</v>
      </c>
      <c r="E1800" s="1" t="s">
        <v>1161</v>
      </c>
      <c r="F1800" s="1" t="s">
        <v>9714</v>
      </c>
      <c r="G1800" s="1">
        <v>1</v>
      </c>
      <c r="H1800" s="1" t="s">
        <v>1663</v>
      </c>
      <c r="I1800" s="1" t="s">
        <v>1657</v>
      </c>
      <c r="J1800" s="1" t="s">
        <v>1658</v>
      </c>
      <c r="K1800" s="1" t="s">
        <v>1658</v>
      </c>
      <c r="L1800" s="1" t="s">
        <v>1658</v>
      </c>
      <c r="M1800" s="1" t="s">
        <v>1658</v>
      </c>
      <c r="N1800" s="1" t="s">
        <v>1658</v>
      </c>
      <c r="O1800" s="1" t="s">
        <v>1658</v>
      </c>
      <c r="P1800" s="1">
        <v>1</v>
      </c>
      <c r="Q1800" s="1" t="s">
        <v>1658</v>
      </c>
      <c r="R1800" s="1">
        <v>0</v>
      </c>
      <c r="S1800" s="6" t="s">
        <v>9715</v>
      </c>
      <c r="T1800" s="6" t="s">
        <v>9715</v>
      </c>
      <c r="W1800" s="1" t="s">
        <v>9716</v>
      </c>
      <c r="X1800" s="1" t="str">
        <f>IF(COUNTIF('MyWells Drilling Comp'!F:F,E1800)=0,"Missing","Exist")</f>
        <v>Exist</v>
      </c>
    </row>
    <row r="1801" hidden="1" spans="1:24">
      <c r="A1801" s="1" t="s">
        <v>1652</v>
      </c>
      <c r="B1801" s="1" t="s">
        <v>90</v>
      </c>
      <c r="C1801" s="1" t="s">
        <v>9717</v>
      </c>
      <c r="D1801" s="1" t="s">
        <v>9713</v>
      </c>
      <c r="E1801" s="1" t="s">
        <v>1161</v>
      </c>
      <c r="F1801" s="1" t="s">
        <v>9718</v>
      </c>
      <c r="G1801" s="1">
        <v>1</v>
      </c>
      <c r="H1801" s="1" t="s">
        <v>1656</v>
      </c>
      <c r="I1801" s="1" t="s">
        <v>1657</v>
      </c>
      <c r="J1801" s="1" t="s">
        <v>1658</v>
      </c>
      <c r="K1801" s="1" t="s">
        <v>1658</v>
      </c>
      <c r="L1801" s="1" t="s">
        <v>1658</v>
      </c>
      <c r="M1801" s="1" t="s">
        <v>1658</v>
      </c>
      <c r="N1801" s="1" t="s">
        <v>1658</v>
      </c>
      <c r="O1801" s="1" t="s">
        <v>1658</v>
      </c>
      <c r="P1801" s="1">
        <v>1</v>
      </c>
      <c r="Q1801" s="1" t="s">
        <v>1658</v>
      </c>
      <c r="R1801" s="1">
        <v>0</v>
      </c>
      <c r="S1801" s="6" t="s">
        <v>9719</v>
      </c>
      <c r="T1801" s="6" t="s">
        <v>9719</v>
      </c>
      <c r="W1801" s="1" t="s">
        <v>9720</v>
      </c>
      <c r="X1801" s="1" t="str">
        <f>IF(COUNTIF('MyWells Drilling Comp'!F:F,E1801)=0,"Missing","Exist")</f>
        <v>Exist</v>
      </c>
    </row>
    <row r="1802" hidden="1" spans="1:24">
      <c r="A1802" s="1" t="s">
        <v>1652</v>
      </c>
      <c r="B1802" s="1" t="s">
        <v>90</v>
      </c>
      <c r="C1802" s="1" t="s">
        <v>9721</v>
      </c>
      <c r="D1802" s="1" t="s">
        <v>9722</v>
      </c>
      <c r="E1802" s="1" t="s">
        <v>217</v>
      </c>
      <c r="F1802" s="1" t="s">
        <v>9723</v>
      </c>
      <c r="G1802" s="1">
        <v>1</v>
      </c>
      <c r="H1802" s="1" t="s">
        <v>1656</v>
      </c>
      <c r="I1802" s="1" t="s">
        <v>1657</v>
      </c>
      <c r="J1802" s="1" t="s">
        <v>1658</v>
      </c>
      <c r="K1802" s="1" t="s">
        <v>1658</v>
      </c>
      <c r="L1802" s="1" t="s">
        <v>1658</v>
      </c>
      <c r="M1802" s="1" t="s">
        <v>1658</v>
      </c>
      <c r="N1802" s="1" t="s">
        <v>1658</v>
      </c>
      <c r="O1802" s="1" t="s">
        <v>1658</v>
      </c>
      <c r="P1802" s="1">
        <v>1</v>
      </c>
      <c r="Q1802" s="1" t="s">
        <v>1658</v>
      </c>
      <c r="R1802" s="1">
        <v>0</v>
      </c>
      <c r="S1802" s="6" t="s">
        <v>9724</v>
      </c>
      <c r="T1802" s="6" t="s">
        <v>9724</v>
      </c>
      <c r="W1802" s="1" t="s">
        <v>9725</v>
      </c>
      <c r="X1802" s="1" t="str">
        <f>IF(COUNTIF('MyWells Drilling Comp'!F:F,E1802)=0,"Missing","Exist")</f>
        <v>Exist</v>
      </c>
    </row>
    <row r="1803" hidden="1" spans="1:24">
      <c r="A1803" s="1" t="s">
        <v>1652</v>
      </c>
      <c r="B1803" s="1" t="s">
        <v>90</v>
      </c>
      <c r="C1803" s="1" t="s">
        <v>9726</v>
      </c>
      <c r="D1803" s="1" t="s">
        <v>9722</v>
      </c>
      <c r="E1803" s="1" t="s">
        <v>217</v>
      </c>
      <c r="F1803" s="1" t="s">
        <v>9727</v>
      </c>
      <c r="G1803" s="1">
        <v>1</v>
      </c>
      <c r="H1803" s="1" t="s">
        <v>1663</v>
      </c>
      <c r="I1803" s="1" t="s">
        <v>1657</v>
      </c>
      <c r="J1803" s="1" t="s">
        <v>1658</v>
      </c>
      <c r="K1803" s="1" t="s">
        <v>1658</v>
      </c>
      <c r="L1803" s="1" t="s">
        <v>1658</v>
      </c>
      <c r="M1803" s="1" t="s">
        <v>1658</v>
      </c>
      <c r="N1803" s="1" t="s">
        <v>1658</v>
      </c>
      <c r="O1803" s="1" t="s">
        <v>1658</v>
      </c>
      <c r="P1803" s="1">
        <v>1</v>
      </c>
      <c r="Q1803" s="1" t="s">
        <v>1658</v>
      </c>
      <c r="R1803" s="1">
        <v>0</v>
      </c>
      <c r="S1803" s="6" t="s">
        <v>9728</v>
      </c>
      <c r="T1803" s="6" t="s">
        <v>9728</v>
      </c>
      <c r="W1803" s="1" t="s">
        <v>9729</v>
      </c>
      <c r="X1803" s="1" t="str">
        <f>IF(COUNTIF('MyWells Drilling Comp'!F:F,E1803)=0,"Missing","Exist")</f>
        <v>Exist</v>
      </c>
    </row>
    <row r="1804" hidden="1" spans="1:24">
      <c r="A1804" s="1" t="s">
        <v>1652</v>
      </c>
      <c r="B1804" s="1" t="s">
        <v>90</v>
      </c>
      <c r="C1804" s="1" t="s">
        <v>9730</v>
      </c>
      <c r="D1804" s="1" t="s">
        <v>9731</v>
      </c>
      <c r="E1804" s="1" t="s">
        <v>1166</v>
      </c>
      <c r="F1804" s="1" t="s">
        <v>9732</v>
      </c>
      <c r="G1804" s="1">
        <v>1</v>
      </c>
      <c r="H1804" s="1" t="s">
        <v>1656</v>
      </c>
      <c r="I1804" s="1" t="s">
        <v>1657</v>
      </c>
      <c r="J1804" s="1" t="s">
        <v>1658</v>
      </c>
      <c r="K1804" s="1" t="s">
        <v>1658</v>
      </c>
      <c r="L1804" s="1" t="s">
        <v>1658</v>
      </c>
      <c r="M1804" s="1" t="s">
        <v>1658</v>
      </c>
      <c r="N1804" s="1" t="s">
        <v>1658</v>
      </c>
      <c r="O1804" s="1" t="s">
        <v>1658</v>
      </c>
      <c r="P1804" s="1">
        <v>1</v>
      </c>
      <c r="Q1804" s="1" t="s">
        <v>1658</v>
      </c>
      <c r="R1804" s="1">
        <v>0</v>
      </c>
      <c r="S1804" s="1" t="s">
        <v>9733</v>
      </c>
      <c r="T1804" s="6"/>
      <c r="W1804" s="1" t="s">
        <v>9734</v>
      </c>
      <c r="X1804" s="1" t="str">
        <f>IF(COUNTIF('MyWells Drilling Comp'!F:F,E1804)=0,"Missing","Exist")</f>
        <v>Exist</v>
      </c>
    </row>
    <row r="1805" hidden="1" spans="1:24">
      <c r="A1805" s="1" t="s">
        <v>1652</v>
      </c>
      <c r="B1805" s="1" t="s">
        <v>90</v>
      </c>
      <c r="C1805" s="1" t="s">
        <v>9735</v>
      </c>
      <c r="D1805" s="1" t="s">
        <v>9731</v>
      </c>
      <c r="E1805" s="1" t="s">
        <v>1166</v>
      </c>
      <c r="F1805" s="1" t="s">
        <v>9736</v>
      </c>
      <c r="G1805" s="1">
        <v>1</v>
      </c>
      <c r="H1805" s="1" t="s">
        <v>1663</v>
      </c>
      <c r="I1805" s="1" t="s">
        <v>1657</v>
      </c>
      <c r="J1805" s="1" t="s">
        <v>1658</v>
      </c>
      <c r="K1805" s="1" t="s">
        <v>1658</v>
      </c>
      <c r="L1805" s="1" t="s">
        <v>1658</v>
      </c>
      <c r="M1805" s="1" t="s">
        <v>1658</v>
      </c>
      <c r="N1805" s="1" t="s">
        <v>1658</v>
      </c>
      <c r="O1805" s="1" t="s">
        <v>1658</v>
      </c>
      <c r="P1805" s="1">
        <v>1</v>
      </c>
      <c r="Q1805" s="1" t="s">
        <v>1658</v>
      </c>
      <c r="R1805" s="1">
        <v>0</v>
      </c>
      <c r="S1805" s="1" t="s">
        <v>9737</v>
      </c>
      <c r="T1805" s="6"/>
      <c r="W1805" s="1" t="s">
        <v>9738</v>
      </c>
      <c r="X1805" s="1" t="str">
        <f>IF(COUNTIF('MyWells Drilling Comp'!F:F,E1805)=0,"Missing","Exist")</f>
        <v>Exist</v>
      </c>
    </row>
    <row r="1806" hidden="1" spans="1:24">
      <c r="A1806" s="1" t="s">
        <v>1652</v>
      </c>
      <c r="B1806" s="1" t="s">
        <v>90</v>
      </c>
      <c r="C1806" s="1" t="s">
        <v>3008</v>
      </c>
      <c r="D1806" s="1" t="s">
        <v>3009</v>
      </c>
      <c r="E1806" s="1" t="s">
        <v>622</v>
      </c>
      <c r="F1806" s="1" t="s">
        <v>9739</v>
      </c>
      <c r="G1806" s="1">
        <v>1</v>
      </c>
      <c r="H1806" s="1" t="s">
        <v>1663</v>
      </c>
      <c r="I1806" s="1" t="s">
        <v>1657</v>
      </c>
      <c r="J1806" s="1" t="s">
        <v>1658</v>
      </c>
      <c r="K1806" s="1" t="s">
        <v>1658</v>
      </c>
      <c r="L1806" s="1" t="s">
        <v>1658</v>
      </c>
      <c r="M1806" s="1" t="s">
        <v>1658</v>
      </c>
      <c r="N1806" s="1" t="s">
        <v>1658</v>
      </c>
      <c r="O1806" s="1" t="s">
        <v>1658</v>
      </c>
      <c r="P1806" s="1">
        <v>1</v>
      </c>
      <c r="Q1806" s="1" t="s">
        <v>1658</v>
      </c>
      <c r="R1806" s="1">
        <v>0</v>
      </c>
      <c r="S1806" s="1" t="s">
        <v>1959</v>
      </c>
      <c r="T1806" s="6"/>
      <c r="W1806" s="1" t="s">
        <v>9740</v>
      </c>
      <c r="X1806" s="1" t="str">
        <f>IF(COUNTIF('MyWells Drilling Comp'!F:F,E1806)=0,"Missing","Exist")</f>
        <v>Exist</v>
      </c>
    </row>
    <row r="1807" hidden="1" spans="1:24">
      <c r="A1807" s="1" t="s">
        <v>1652</v>
      </c>
      <c r="B1807" s="1" t="s">
        <v>90</v>
      </c>
      <c r="C1807" s="1" t="s">
        <v>3558</v>
      </c>
      <c r="D1807" s="1" t="s">
        <v>3559</v>
      </c>
      <c r="E1807" s="1" t="s">
        <v>623</v>
      </c>
      <c r="F1807" s="1" t="s">
        <v>9741</v>
      </c>
      <c r="G1807" s="1">
        <v>1</v>
      </c>
      <c r="H1807" s="1" t="s">
        <v>1663</v>
      </c>
      <c r="I1807" s="1" t="s">
        <v>1657</v>
      </c>
      <c r="J1807" s="1" t="s">
        <v>1658</v>
      </c>
      <c r="K1807" s="1" t="s">
        <v>1658</v>
      </c>
      <c r="L1807" s="1" t="s">
        <v>1658</v>
      </c>
      <c r="M1807" s="1" t="s">
        <v>1658</v>
      </c>
      <c r="N1807" s="1" t="s">
        <v>1658</v>
      </c>
      <c r="O1807" s="1" t="s">
        <v>1658</v>
      </c>
      <c r="P1807" s="1">
        <v>1</v>
      </c>
      <c r="Q1807" s="1" t="s">
        <v>1658</v>
      </c>
      <c r="R1807" s="1">
        <v>0</v>
      </c>
      <c r="S1807" s="1" t="s">
        <v>1959</v>
      </c>
      <c r="T1807" s="6"/>
      <c r="W1807" s="1" t="s">
        <v>9742</v>
      </c>
      <c r="X1807" s="1" t="str">
        <f>IF(COUNTIF('MyWells Drilling Comp'!F:F,E1807)=0,"Missing","Exist")</f>
        <v>Exist</v>
      </c>
    </row>
    <row r="1808" hidden="1" spans="1:24">
      <c r="A1808" s="1" t="s">
        <v>5265</v>
      </c>
      <c r="B1808" s="1" t="s">
        <v>90</v>
      </c>
      <c r="C1808" s="7" t="s">
        <v>9743</v>
      </c>
      <c r="D1808" s="1" t="s">
        <v>9744</v>
      </c>
      <c r="E1808" s="1" t="s">
        <v>1436</v>
      </c>
      <c r="F1808" s="7" t="s">
        <v>9745</v>
      </c>
      <c r="G1808" s="1">
        <v>1</v>
      </c>
      <c r="H1808" s="1" t="s">
        <v>1663</v>
      </c>
      <c r="I1808" s="1" t="s">
        <v>1657</v>
      </c>
      <c r="J1808" s="1" t="s">
        <v>1658</v>
      </c>
      <c r="K1808" s="1" t="s">
        <v>1658</v>
      </c>
      <c r="L1808" s="1" t="s">
        <v>1658</v>
      </c>
      <c r="M1808" s="1" t="s">
        <v>1658</v>
      </c>
      <c r="N1808" s="1" t="s">
        <v>1658</v>
      </c>
      <c r="O1808" s="1" t="s">
        <v>1658</v>
      </c>
      <c r="P1808" s="1">
        <v>1</v>
      </c>
      <c r="Q1808" s="1" t="s">
        <v>1658</v>
      </c>
      <c r="R1808" s="1">
        <v>0</v>
      </c>
      <c r="S1808" s="6" t="s">
        <v>9746</v>
      </c>
      <c r="T1808" s="6" t="s">
        <v>9746</v>
      </c>
      <c r="W1808" s="1" t="s">
        <v>9747</v>
      </c>
      <c r="X1808" s="1" t="str">
        <f>IF(COUNTIF('MyWells Drilling Comp'!F:F,E1808)=0,"Missing","Exist")</f>
        <v>Exist</v>
      </c>
    </row>
    <row r="1809" hidden="1" spans="1:24">
      <c r="A1809" s="1" t="s">
        <v>5265</v>
      </c>
      <c r="B1809" s="1" t="s">
        <v>90</v>
      </c>
      <c r="C1809" s="1" t="s">
        <v>9748</v>
      </c>
      <c r="D1809" s="1" t="s">
        <v>9744</v>
      </c>
      <c r="E1809" s="1" t="s">
        <v>1436</v>
      </c>
      <c r="F1809" s="1" t="s">
        <v>9749</v>
      </c>
      <c r="G1809" s="1">
        <v>1</v>
      </c>
      <c r="H1809" s="1" t="s">
        <v>1656</v>
      </c>
      <c r="I1809" s="1" t="s">
        <v>1657</v>
      </c>
      <c r="J1809" s="1" t="s">
        <v>1658</v>
      </c>
      <c r="K1809" s="1" t="s">
        <v>1658</v>
      </c>
      <c r="L1809" s="1" t="s">
        <v>1658</v>
      </c>
      <c r="M1809" s="1" t="s">
        <v>1658</v>
      </c>
      <c r="N1809" s="1" t="s">
        <v>1658</v>
      </c>
      <c r="O1809" s="1" t="s">
        <v>1658</v>
      </c>
      <c r="P1809" s="1">
        <v>1</v>
      </c>
      <c r="Q1809" s="1" t="s">
        <v>1658</v>
      </c>
      <c r="R1809" s="1">
        <v>0</v>
      </c>
      <c r="S1809" s="6" t="s">
        <v>9750</v>
      </c>
      <c r="T1809" s="6" t="s">
        <v>9750</v>
      </c>
      <c r="W1809" s="1" t="s">
        <v>9751</v>
      </c>
      <c r="X1809" s="1" t="str">
        <f>IF(COUNTIF('MyWells Drilling Comp'!F:F,E1809)=0,"Missing","Exist")</f>
        <v>Exist</v>
      </c>
    </row>
    <row r="1810" hidden="1" spans="1:24">
      <c r="A1810" s="1" t="s">
        <v>5265</v>
      </c>
      <c r="B1810" s="1" t="s">
        <v>90</v>
      </c>
      <c r="C1810" s="1" t="s">
        <v>9752</v>
      </c>
      <c r="D1810" s="1" t="s">
        <v>9753</v>
      </c>
      <c r="E1810" s="1" t="s">
        <v>1435</v>
      </c>
      <c r="F1810" s="1" t="s">
        <v>9754</v>
      </c>
      <c r="G1810" s="1">
        <v>1</v>
      </c>
      <c r="H1810" s="1" t="s">
        <v>1663</v>
      </c>
      <c r="I1810" s="1" t="s">
        <v>1657</v>
      </c>
      <c r="J1810" s="1" t="s">
        <v>1658</v>
      </c>
      <c r="K1810" s="1" t="s">
        <v>1658</v>
      </c>
      <c r="L1810" s="1" t="s">
        <v>1658</v>
      </c>
      <c r="M1810" s="1" t="s">
        <v>1658</v>
      </c>
      <c r="N1810" s="1" t="s">
        <v>1658</v>
      </c>
      <c r="O1810" s="1" t="s">
        <v>1658</v>
      </c>
      <c r="P1810" s="1">
        <v>1</v>
      </c>
      <c r="Q1810" s="1" t="s">
        <v>1658</v>
      </c>
      <c r="R1810" s="1">
        <v>0</v>
      </c>
      <c r="S1810" s="6" t="s">
        <v>9755</v>
      </c>
      <c r="T1810" s="6" t="s">
        <v>9755</v>
      </c>
      <c r="W1810" s="1" t="s">
        <v>9756</v>
      </c>
      <c r="X1810" s="1" t="str">
        <f>IF(COUNTIF('MyWells Drilling Comp'!F:F,E1810)=0,"Missing","Exist")</f>
        <v>Exist</v>
      </c>
    </row>
    <row r="1811" hidden="1" spans="1:24">
      <c r="A1811" s="1" t="s">
        <v>5265</v>
      </c>
      <c r="B1811" s="1" t="s">
        <v>90</v>
      </c>
      <c r="C1811" s="1" t="s">
        <v>9757</v>
      </c>
      <c r="D1811" s="1" t="s">
        <v>9753</v>
      </c>
      <c r="E1811" s="1" t="s">
        <v>1435</v>
      </c>
      <c r="F1811" s="1" t="s">
        <v>9758</v>
      </c>
      <c r="G1811" s="1">
        <v>1</v>
      </c>
      <c r="H1811" s="1" t="s">
        <v>1656</v>
      </c>
      <c r="I1811" s="1" t="s">
        <v>1657</v>
      </c>
      <c r="J1811" s="1" t="s">
        <v>1658</v>
      </c>
      <c r="K1811" s="1" t="s">
        <v>1658</v>
      </c>
      <c r="L1811" s="1" t="s">
        <v>1658</v>
      </c>
      <c r="M1811" s="1" t="s">
        <v>1658</v>
      </c>
      <c r="N1811" s="1" t="s">
        <v>1658</v>
      </c>
      <c r="O1811" s="1" t="s">
        <v>1658</v>
      </c>
      <c r="P1811" s="1">
        <v>1</v>
      </c>
      <c r="Q1811" s="1" t="s">
        <v>1658</v>
      </c>
      <c r="R1811" s="1">
        <v>0</v>
      </c>
      <c r="S1811" s="6" t="s">
        <v>9759</v>
      </c>
      <c r="T1811" s="6" t="s">
        <v>9759</v>
      </c>
      <c r="W1811" s="1" t="s">
        <v>9760</v>
      </c>
      <c r="X1811" s="1" t="str">
        <f>IF(COUNTIF('MyWells Drilling Comp'!F:F,E1811)=0,"Missing","Exist")</f>
        <v>Exist</v>
      </c>
    </row>
    <row r="1812" hidden="1" spans="1:24">
      <c r="A1812" s="1" t="s">
        <v>5265</v>
      </c>
      <c r="B1812" s="1" t="s">
        <v>90</v>
      </c>
      <c r="C1812" s="1" t="s">
        <v>9761</v>
      </c>
      <c r="D1812" s="1" t="s">
        <v>9762</v>
      </c>
      <c r="E1812" s="1" t="s">
        <v>1139</v>
      </c>
      <c r="F1812" s="1" t="s">
        <v>9763</v>
      </c>
      <c r="G1812" s="1">
        <v>1</v>
      </c>
      <c r="H1812" s="1" t="s">
        <v>1663</v>
      </c>
      <c r="I1812" s="1" t="s">
        <v>1657</v>
      </c>
      <c r="J1812" s="1" t="s">
        <v>1658</v>
      </c>
      <c r="K1812" s="1" t="s">
        <v>1658</v>
      </c>
      <c r="L1812" s="1" t="s">
        <v>1658</v>
      </c>
      <c r="M1812" s="1" t="s">
        <v>1658</v>
      </c>
      <c r="N1812" s="1" t="s">
        <v>1658</v>
      </c>
      <c r="O1812" s="1" t="s">
        <v>1658</v>
      </c>
      <c r="P1812" s="1">
        <v>1</v>
      </c>
      <c r="Q1812" s="1" t="s">
        <v>1658</v>
      </c>
      <c r="R1812" s="1">
        <v>0</v>
      </c>
      <c r="S1812" s="6" t="s">
        <v>9764</v>
      </c>
      <c r="T1812" s="6" t="s">
        <v>9764</v>
      </c>
      <c r="W1812" s="1" t="s">
        <v>9765</v>
      </c>
      <c r="X1812" s="1" t="str">
        <f>IF(COUNTIF('MyWells Drilling Comp'!F:F,E1812)=0,"Missing","Exist")</f>
        <v>Exist</v>
      </c>
    </row>
    <row r="1813" hidden="1" spans="1:24">
      <c r="A1813" s="1" t="s">
        <v>5265</v>
      </c>
      <c r="B1813" s="1" t="s">
        <v>90</v>
      </c>
      <c r="C1813" s="1" t="s">
        <v>9766</v>
      </c>
      <c r="D1813" s="1" t="s">
        <v>9762</v>
      </c>
      <c r="E1813" s="1" t="s">
        <v>1139</v>
      </c>
      <c r="F1813" s="1" t="s">
        <v>9767</v>
      </c>
      <c r="G1813" s="1">
        <v>1</v>
      </c>
      <c r="H1813" s="1" t="s">
        <v>1656</v>
      </c>
      <c r="I1813" s="1" t="s">
        <v>1657</v>
      </c>
      <c r="J1813" s="1" t="s">
        <v>1658</v>
      </c>
      <c r="K1813" s="1" t="s">
        <v>1658</v>
      </c>
      <c r="L1813" s="1" t="s">
        <v>1658</v>
      </c>
      <c r="M1813" s="1" t="s">
        <v>1658</v>
      </c>
      <c r="N1813" s="1" t="s">
        <v>1658</v>
      </c>
      <c r="O1813" s="1" t="s">
        <v>1658</v>
      </c>
      <c r="P1813" s="1">
        <v>1</v>
      </c>
      <c r="Q1813" s="1" t="s">
        <v>1658</v>
      </c>
      <c r="R1813" s="1">
        <v>0</v>
      </c>
      <c r="S1813" s="6" t="s">
        <v>9768</v>
      </c>
      <c r="T1813" s="6" t="s">
        <v>9768</v>
      </c>
      <c r="W1813" s="1" t="s">
        <v>9769</v>
      </c>
      <c r="X1813" s="1" t="str">
        <f>IF(COUNTIF('MyWells Drilling Comp'!F:F,E1813)=0,"Missing","Exist")</f>
        <v>Exist</v>
      </c>
    </row>
  </sheetData>
  <autoFilter xmlns:etc="http://www.wps.cn/officeDocument/2017/etCustomData" ref="A1:AA1813" etc:filterBottomFollowUsedRange="0">
    <filterColumn colId="7">
      <customFilters>
        <customFilter operator="equal" val="FWR"/>
      </customFilters>
    </filterColumn>
    <filterColumn colId="23">
      <customFilters>
        <customFilter operator="equal" val="Missing"/>
      </customFilters>
    </filterColumn>
    <extLst/>
  </autoFilter>
  <conditionalFormatting sqref="S394">
    <cfRule type="duplicateValues" dxfId="0" priority="2"/>
    <cfRule type="duplicateValues" dxfId="0" priority="3"/>
  </conditionalFormatting>
  <conditionalFormatting sqref="S482">
    <cfRule type="duplicateValues" dxfId="0" priority="4"/>
    <cfRule type="duplicateValues" dxfId="0" priority="5"/>
  </conditionalFormatting>
  <conditionalFormatting sqref="S483">
    <cfRule type="duplicateValues" dxfId="0" priority="6"/>
    <cfRule type="duplicateValues" dxfId="0" priority="7"/>
  </conditionalFormatting>
  <conditionalFormatting sqref="S484">
    <cfRule type="duplicateValues" dxfId="0" priority="8"/>
    <cfRule type="duplicateValues" dxfId="0" priority="9"/>
  </conditionalFormatting>
  <conditionalFormatting sqref="S487">
    <cfRule type="duplicateValues" dxfId="0" priority="10"/>
    <cfRule type="duplicateValues" dxfId="0" priority="11"/>
  </conditionalFormatting>
  <conditionalFormatting sqref="B$1:B$1048576">
    <cfRule type="containsText" dxfId="1" priority="1" operator="between" text="Yes">
      <formula>NOT(ISERROR(SEARCH("Yes",B1)))</formula>
    </cfRule>
  </conditionalFormatting>
  <conditionalFormatting sqref="T1:T77 T79:T1599 T1814:T1048576">
    <cfRule type="duplicateValues" dxfId="0" priority="12"/>
    <cfRule type="duplicateValues" dxfId="0" priority="13"/>
  </conditionalFormatting>
  <pageMargins left="0.7" right="0.7" top="0.75" bottom="0.75" header="0.3" footer="0.3"/>
  <pageSetup paperSize="1" orientation="portrait"/>
  <headerFooter>
    <oddFooter>&amp;L&amp;"Verdana,Regular"&amp;06&amp;K000000Open</oddFooter>
    <evenFooter>&amp;L&amp;"Verdana,Regular"&amp;06&amp;K000000Open</evenFooter>
    <firstFooter>&amp;L&amp;"Verdana,Regular"&amp;06&amp;K000000Open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MyWells Drilling Comp</vt:lpstr>
      <vt:lpstr>Data Upload-prod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AEM-Iswadi</dc:creator>
  <cp:lastModifiedBy>AEM-Faiz</cp:lastModifiedBy>
  <dcterms:created xsi:type="dcterms:W3CDTF">2026-04-03T01:24:00Z</dcterms:created>
  <dcterms:modified xsi:type="dcterms:W3CDTF">2026-05-20T08:04:08Z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3CD8F002E2C9445EAA47FD9955BD5B42_12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